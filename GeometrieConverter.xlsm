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745BC921-0AD2-41FA-9539-DDB9943547FB}" xr6:coauthVersionLast="47" xr6:coauthVersionMax="47" xr10:uidLastSave="{00000000-0000-0000-0000-000000000000}"/>
  <bookViews>
    <workbookView xWindow="-120" yWindow="-120" windowWidth="29040" windowHeight="17520" xr2:uid="{52C6B389-4C94-430F-9043-C68D8C94A3E4}"/>
  </bookViews>
  <sheets>
    <sheet name="GlobalConfig" sheetId="9" r:id="rId1"/>
    <sheet name="CreateStucture" sheetId="1" state="hidden" r:id="rId2"/>
    <sheet name="BuildYourStructure" sheetId="5" r:id="rId3"/>
    <sheet name="StructureOverview" sheetId="6" r:id="rId4"/>
    <sheet name="ExportStructure" sheetId="7" r:id="rId5"/>
    <sheet name="Loop" sheetId="3" r:id="rId6"/>
  </sheets>
  <functionGroups builtInGroupCount="19"/>
  <definedNames>
    <definedName name="_xleta.N" hidden="1" xlm="1">#NAME?</definedName>
    <definedName name="_xleta.T" hidden="1" xlm="1">#NAME?</definedName>
    <definedName name="Assambly_plot">BuildYourStructure!$A$115</definedName>
    <definedName name="Assambly_plot_Overview">StructureOverview!$BF$2</definedName>
    <definedName name="Assambly_plot_Overview2">StructureOverview!$BG$7</definedName>
    <definedName name="Bladed_Meta">#REF!</definedName>
    <definedName name="debug_mode">GlobalConfig!$D$57</definedName>
    <definedName name="DISPL_MP">BuildYourStructure!$F$24</definedName>
    <definedName name="DISPL_TOWER">BuildYourStructure!$CC$24</definedName>
    <definedName name="DISPL_TP">BuildYourStructure!$AQ$24</definedName>
    <definedName name="Import_GeomConv_path">BuildYourStructure!$C$18</definedName>
    <definedName name="Import_MP_path">BuildYourStructure!$A$30</definedName>
    <definedName name="JBOOST_Path">ExportStructure!$F$6</definedName>
    <definedName name="MOVE_STRUCT">BuildYourStructure!#REF!</definedName>
    <definedName name="MP_plot">BuildYourStructure!$M$3</definedName>
    <definedName name="PROJECT_PARAMETERS">JBOOST_PROJECT[[#Headers],[Project Settings]]</definedName>
    <definedName name="python_script_path">GlobalConfig!$D$13</definedName>
    <definedName name="python_scripts_path">GlobalConfig!$D$13</definedName>
    <definedName name="RNA_CURR_TRUE">RNA_DATA_TRUE[[#Headers],[Identifier]]</definedName>
    <definedName name="RNA_META_FULL36">#REF!</definedName>
    <definedName name="SKIRT_MASS">StructureOverview!$AC$14</definedName>
    <definedName name="Table_MP_DATA">BuildYourStructure!$Y$18</definedName>
    <definedName name="Table_MP_META">BuildYourStructure!$E$13</definedName>
    <definedName name="Table_TP_DATA">BuildYourStructure!#REF!</definedName>
    <definedName name="Table_TP_META">BuildYourStructure!#REF!</definedName>
    <definedName name="Text">BuildYourStructure!$BM$7</definedName>
    <definedName name="TextBox_Import_MP_path">BuildYourStructure!$A$30</definedName>
    <definedName name="TextBox_MP_db_path">BuildYourStructure!$F$7</definedName>
    <definedName name="TextBox_RNA_db_path">BuildYourStructure!$DO$7</definedName>
    <definedName name="TextBox_TOWER_db_path">BuildYourStructure!$BM$7</definedName>
    <definedName name="TextBox_TOWER_db_path2">BuildYourStructure!$CC$7</definedName>
    <definedName name="TextBox_TP_db_path">BuildYourStructure!$AQ$7</definedName>
    <definedName name="TextBox_TWR_db_path">#REF!</definedName>
    <definedName name="TOWER_plot">BuildYourStructure!$CJ$3</definedName>
    <definedName name="TP_plot">BuildYourStructure!$AX$3</definedName>
    <definedName name="Use_MP">BuildYourStructure!$A$23</definedName>
    <definedName name="Use_TP">BuildYourStructure!$B$23</definedName>
    <definedName name="UseMPGeomConv">BuildYourStructure!$C$23</definedName>
    <definedName name="UseTOWERGeomConv">BuildYourStructure!$D$23</definedName>
    <definedName name="UseTPGeomConv">BuildYourStructure!$C$24</definedName>
    <definedName name="WLGen_path">ExportStructure!$S$6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14" i="5" l="1"/>
  <c r="AW114" i="5"/>
  <c r="AX114" i="5"/>
  <c r="AY114" i="5"/>
  <c r="AV115" i="5"/>
  <c r="AW115" i="5"/>
  <c r="AX115" i="5"/>
  <c r="AY115" i="5"/>
  <c r="AV116" i="5"/>
  <c r="AW116" i="5"/>
  <c r="AX116" i="5"/>
  <c r="AY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AV251" i="5"/>
  <c r="AV252" i="5"/>
  <c r="AV253" i="5"/>
  <c r="AV254" i="5"/>
  <c r="AV255" i="5"/>
  <c r="AV256" i="5"/>
  <c r="AV257" i="5"/>
  <c r="AV258" i="5"/>
  <c r="AV259" i="5"/>
  <c r="AV260" i="5"/>
  <c r="AV261" i="5"/>
  <c r="AV262" i="5"/>
  <c r="AV263" i="5"/>
  <c r="AV264" i="5"/>
  <c r="AV265" i="5"/>
  <c r="AV266" i="5"/>
  <c r="AV267" i="5"/>
  <c r="AV268" i="5"/>
  <c r="AV269" i="5"/>
  <c r="AV270" i="5"/>
  <c r="AV271" i="5"/>
  <c r="AV272" i="5"/>
  <c r="AV273" i="5"/>
  <c r="AV274" i="5"/>
  <c r="AV275" i="5"/>
  <c r="AV276" i="5"/>
  <c r="AV277" i="5"/>
  <c r="AV278" i="5"/>
  <c r="AV279" i="5"/>
  <c r="AV280" i="5"/>
  <c r="AV281" i="5"/>
  <c r="AV282" i="5"/>
  <c r="AV283" i="5"/>
  <c r="AV284" i="5"/>
  <c r="AV285" i="5"/>
  <c r="AV286" i="5"/>
  <c r="AV287" i="5"/>
  <c r="AV288" i="5"/>
  <c r="AV289" i="5"/>
  <c r="AV290" i="5"/>
  <c r="AV291" i="5"/>
  <c r="AV292" i="5"/>
  <c r="AV293" i="5"/>
  <c r="AV294" i="5"/>
  <c r="AV295" i="5"/>
  <c r="AV296" i="5"/>
  <c r="AV297" i="5"/>
  <c r="AV298" i="5"/>
  <c r="AV299" i="5"/>
  <c r="AV300" i="5"/>
  <c r="AV301" i="5"/>
  <c r="AV302" i="5"/>
  <c r="AV303" i="5"/>
  <c r="AV304" i="5"/>
  <c r="AV305" i="5"/>
  <c r="AV306" i="5"/>
  <c r="AV307" i="5"/>
  <c r="AV308" i="5"/>
  <c r="AV309" i="5"/>
  <c r="AV310" i="5"/>
  <c r="AV311" i="5"/>
  <c r="AV312" i="5"/>
  <c r="AV313" i="5"/>
  <c r="AV314" i="5"/>
  <c r="AV315" i="5"/>
  <c r="AV316" i="5"/>
  <c r="AV317" i="5"/>
  <c r="AV318" i="5"/>
  <c r="AV319" i="5"/>
  <c r="AV320" i="5"/>
  <c r="AV321" i="5"/>
  <c r="AV322" i="5"/>
  <c r="AV323" i="5"/>
  <c r="AV324" i="5"/>
  <c r="AV325" i="5"/>
  <c r="AV326" i="5"/>
  <c r="AV327" i="5"/>
  <c r="AV328" i="5"/>
  <c r="AV329" i="5"/>
  <c r="AV330" i="5"/>
  <c r="AV331" i="5"/>
  <c r="AV332" i="5"/>
  <c r="AV333" i="5"/>
  <c r="AV334" i="5"/>
  <c r="AV335" i="5"/>
  <c r="AV336" i="5"/>
  <c r="AV337" i="5"/>
  <c r="AV338" i="5"/>
  <c r="AV339" i="5"/>
  <c r="AV340" i="5"/>
  <c r="AV341" i="5"/>
  <c r="AV342" i="5"/>
  <c r="AV343" i="5"/>
  <c r="AV344" i="5"/>
  <c r="AV345" i="5"/>
  <c r="AV346" i="5"/>
  <c r="AV347" i="5"/>
  <c r="AV348" i="5"/>
  <c r="AV349" i="5"/>
  <c r="AV350" i="5"/>
  <c r="AV351" i="5"/>
  <c r="AV352" i="5"/>
  <c r="AV353" i="5"/>
  <c r="AV354" i="5"/>
  <c r="AV355" i="5"/>
  <c r="AV356" i="5"/>
  <c r="AV357" i="5"/>
  <c r="AV358" i="5"/>
  <c r="AV359" i="5"/>
  <c r="AV360" i="5"/>
  <c r="AV361" i="5"/>
  <c r="AV362" i="5"/>
  <c r="AV363" i="5"/>
  <c r="AV364" i="5"/>
  <c r="AV365" i="5"/>
  <c r="AV366" i="5"/>
  <c r="AV367" i="5"/>
  <c r="AV368" i="5"/>
  <c r="AV369" i="5"/>
  <c r="AV370" i="5"/>
  <c r="AV371" i="5"/>
  <c r="AV372" i="5"/>
  <c r="AV373" i="5"/>
  <c r="AV374" i="5"/>
  <c r="AV375" i="5"/>
  <c r="AV376" i="5"/>
  <c r="AV377" i="5"/>
  <c r="AV378" i="5"/>
  <c r="AV379" i="5"/>
  <c r="AV380" i="5"/>
  <c r="AV381" i="5"/>
  <c r="AV382" i="5"/>
  <c r="AV383" i="5"/>
  <c r="AV384" i="5"/>
  <c r="AV385" i="5"/>
  <c r="AV386" i="5"/>
  <c r="AV387" i="5"/>
  <c r="AV388" i="5"/>
  <c r="AV389" i="5"/>
  <c r="AV390" i="5"/>
  <c r="AV391" i="5"/>
  <c r="AV392" i="5"/>
  <c r="AV393" i="5"/>
  <c r="AV394" i="5"/>
  <c r="AV395" i="5"/>
  <c r="AV396" i="5"/>
  <c r="AV397" i="5"/>
  <c r="AV398" i="5"/>
  <c r="AV399" i="5"/>
  <c r="AV400" i="5"/>
  <c r="AV401" i="5"/>
  <c r="AV402" i="5"/>
  <c r="AV403" i="5"/>
  <c r="AV404" i="5"/>
  <c r="AV405" i="5"/>
  <c r="AV406" i="5"/>
  <c r="AV407" i="5"/>
  <c r="AV408" i="5"/>
  <c r="AV409" i="5"/>
  <c r="AV410" i="5"/>
  <c r="AV411" i="5"/>
  <c r="AV412" i="5"/>
  <c r="AV413" i="5"/>
  <c r="AV414" i="5"/>
  <c r="AV415" i="5"/>
  <c r="AV416" i="5"/>
  <c r="AV417" i="5"/>
  <c r="AV418" i="5"/>
  <c r="AV419" i="5"/>
  <c r="AV420" i="5"/>
  <c r="AV421" i="5"/>
  <c r="AV422" i="5"/>
  <c r="AV423" i="5"/>
  <c r="AV424" i="5"/>
  <c r="AV425" i="5"/>
  <c r="AV426" i="5"/>
  <c r="AV427" i="5"/>
  <c r="AV428" i="5"/>
  <c r="AV429" i="5"/>
  <c r="AV430" i="5"/>
  <c r="AV431" i="5"/>
  <c r="AV432" i="5"/>
  <c r="AV433" i="5"/>
  <c r="AV434" i="5"/>
  <c r="AV435" i="5"/>
  <c r="AV436" i="5"/>
  <c r="AV437" i="5"/>
  <c r="AV438" i="5"/>
  <c r="AV439" i="5"/>
  <c r="AV440" i="5"/>
  <c r="AV441" i="5"/>
  <c r="AV442" i="5"/>
  <c r="AV443" i="5"/>
  <c r="AV444" i="5"/>
  <c r="AV445" i="5"/>
  <c r="AV446" i="5"/>
  <c r="AV447" i="5"/>
  <c r="AV448" i="5"/>
  <c r="AV449" i="5"/>
  <c r="AV450" i="5"/>
  <c r="AV451" i="5"/>
  <c r="AV452" i="5"/>
  <c r="AV453" i="5"/>
  <c r="AV454" i="5"/>
  <c r="AV455" i="5"/>
  <c r="AV456" i="5"/>
  <c r="AV457" i="5"/>
  <c r="AV458" i="5"/>
  <c r="AV459" i="5"/>
  <c r="AV460" i="5"/>
  <c r="AV461" i="5"/>
  <c r="AV462" i="5"/>
  <c r="AV463" i="5"/>
  <c r="AV464" i="5"/>
  <c r="AV465" i="5"/>
  <c r="AV466" i="5"/>
  <c r="AV467" i="5"/>
  <c r="AV468" i="5"/>
  <c r="AV469" i="5"/>
  <c r="AV470" i="5"/>
  <c r="AV471" i="5"/>
  <c r="AV472" i="5"/>
  <c r="AV473" i="5"/>
  <c r="AV474" i="5"/>
  <c r="AV475" i="5"/>
  <c r="AV476" i="5"/>
  <c r="AV477" i="5"/>
  <c r="AV478" i="5"/>
  <c r="AV479" i="5"/>
  <c r="AV480" i="5"/>
  <c r="AV481" i="5"/>
  <c r="AV482" i="5"/>
  <c r="AV483" i="5"/>
  <c r="AV484" i="5"/>
  <c r="AV485" i="5"/>
  <c r="AV486" i="5"/>
  <c r="AV487" i="5"/>
  <c r="AV488" i="5"/>
  <c r="AV489" i="5"/>
  <c r="AV490" i="5"/>
  <c r="AV491" i="5"/>
  <c r="AV492" i="5"/>
  <c r="AV493" i="5"/>
  <c r="AV494" i="5"/>
  <c r="AV495" i="5"/>
  <c r="AV496" i="5"/>
  <c r="AV497" i="5"/>
  <c r="AV498" i="5"/>
  <c r="AV499" i="5"/>
  <c r="AV500" i="5"/>
  <c r="AV501" i="5"/>
  <c r="AV502" i="5"/>
  <c r="AV503" i="5"/>
  <c r="AV504" i="5"/>
  <c r="AV505" i="5"/>
  <c r="AV506" i="5"/>
  <c r="AV507" i="5"/>
  <c r="AV508" i="5"/>
  <c r="AV509" i="5"/>
  <c r="AV510" i="5"/>
  <c r="AV511" i="5"/>
  <c r="AV512" i="5"/>
  <c r="AV513" i="5"/>
  <c r="AV514" i="5"/>
  <c r="AV515" i="5"/>
  <c r="AV516" i="5"/>
  <c r="AV517" i="5"/>
  <c r="AV518" i="5"/>
  <c r="AV519" i="5"/>
  <c r="AV520" i="5"/>
  <c r="AV521" i="5"/>
  <c r="AV522" i="5"/>
  <c r="AV523" i="5"/>
  <c r="AV524" i="5"/>
  <c r="AV525" i="5"/>
  <c r="AV526" i="5"/>
  <c r="AV527" i="5"/>
  <c r="AV528" i="5"/>
  <c r="AV529" i="5"/>
  <c r="AV530" i="5"/>
  <c r="AV531" i="5"/>
  <c r="AV532" i="5"/>
  <c r="AV533" i="5"/>
  <c r="AV534" i="5"/>
  <c r="AV535" i="5"/>
  <c r="AV536" i="5"/>
  <c r="AV537" i="5"/>
  <c r="AV538" i="5"/>
  <c r="AV539" i="5"/>
  <c r="AV540" i="5"/>
  <c r="AV541" i="5"/>
  <c r="AV542" i="5"/>
  <c r="AV543" i="5"/>
  <c r="AV544" i="5"/>
  <c r="AV545" i="5"/>
  <c r="AV546" i="5"/>
  <c r="AV547" i="5"/>
  <c r="AV548" i="5"/>
  <c r="AV549" i="5"/>
  <c r="AV550" i="5"/>
  <c r="AV551" i="5"/>
  <c r="AV552" i="5"/>
  <c r="AV553" i="5"/>
  <c r="AV554" i="5"/>
  <c r="AV555" i="5"/>
  <c r="AV556" i="5"/>
  <c r="AV557" i="5"/>
  <c r="AV558" i="5"/>
  <c r="AV559" i="5"/>
  <c r="AV560" i="5"/>
  <c r="AV561" i="5"/>
  <c r="AV562" i="5"/>
  <c r="AV563" i="5"/>
  <c r="AV564" i="5"/>
  <c r="AV565" i="5"/>
  <c r="AV566" i="5"/>
  <c r="AV567" i="5"/>
  <c r="AV568" i="5"/>
  <c r="AV569" i="5"/>
  <c r="AV570" i="5"/>
  <c r="AV571" i="5"/>
  <c r="AV572" i="5"/>
  <c r="AV573" i="5"/>
  <c r="AV574" i="5"/>
  <c r="AV575" i="5"/>
  <c r="AV576" i="5"/>
  <c r="AV577" i="5"/>
  <c r="AV578" i="5"/>
  <c r="AV579" i="5"/>
  <c r="AV580" i="5"/>
  <c r="AV581" i="5"/>
  <c r="AV582" i="5"/>
  <c r="AV583" i="5"/>
  <c r="AV584" i="5"/>
  <c r="AV585" i="5"/>
  <c r="AV586" i="5"/>
  <c r="AV587" i="5"/>
  <c r="AV588" i="5"/>
  <c r="AV589" i="5"/>
  <c r="AV590" i="5"/>
  <c r="AV591" i="5"/>
  <c r="AV592" i="5"/>
  <c r="AV593" i="5"/>
  <c r="AV594" i="5"/>
  <c r="AV595" i="5"/>
  <c r="AV596" i="5"/>
  <c r="AV597" i="5"/>
  <c r="AV598" i="5"/>
  <c r="AV599" i="5"/>
  <c r="AV600" i="5"/>
  <c r="AV601" i="5"/>
  <c r="AV602" i="5"/>
  <c r="AV603" i="5"/>
  <c r="AV604" i="5"/>
  <c r="AV605" i="5"/>
  <c r="AV606" i="5"/>
  <c r="AV607" i="5"/>
  <c r="AV608" i="5"/>
  <c r="AV609" i="5"/>
  <c r="AV610" i="5"/>
  <c r="AV611" i="5"/>
  <c r="AV612" i="5"/>
  <c r="AV613" i="5"/>
  <c r="AV614" i="5"/>
  <c r="AV615" i="5"/>
  <c r="AV616" i="5"/>
  <c r="AV617" i="5"/>
  <c r="AV618" i="5"/>
  <c r="AV619" i="5"/>
  <c r="AV620" i="5"/>
  <c r="AV621" i="5"/>
  <c r="AV622" i="5"/>
  <c r="AV623" i="5"/>
  <c r="AV624" i="5"/>
  <c r="AV625" i="5"/>
  <c r="AV626" i="5"/>
  <c r="AV627" i="5"/>
  <c r="AV628" i="5"/>
  <c r="AV629" i="5"/>
  <c r="AV630" i="5"/>
  <c r="AV631" i="5"/>
  <c r="AV632" i="5"/>
  <c r="AV633" i="5"/>
  <c r="AV634" i="5"/>
  <c r="AV635" i="5"/>
  <c r="AV636" i="5"/>
  <c r="AV637" i="5"/>
  <c r="AV638" i="5"/>
  <c r="AV639" i="5"/>
  <c r="AV640" i="5"/>
  <c r="AV641" i="5"/>
  <c r="AV642" i="5"/>
  <c r="AV643" i="5"/>
  <c r="AV644" i="5"/>
  <c r="AV645" i="5"/>
  <c r="AV646" i="5"/>
  <c r="AV647" i="5"/>
  <c r="AV648" i="5"/>
  <c r="AV649" i="5"/>
  <c r="AV650" i="5"/>
  <c r="AV651" i="5"/>
  <c r="AV652" i="5"/>
  <c r="AV653" i="5"/>
  <c r="AV654" i="5"/>
  <c r="AV655" i="5"/>
  <c r="AV656" i="5"/>
  <c r="AV657" i="5"/>
  <c r="AV658" i="5"/>
  <c r="AV659" i="5"/>
  <c r="AV660" i="5"/>
  <c r="AV661" i="5"/>
  <c r="AV662" i="5"/>
  <c r="AV663" i="5"/>
  <c r="AV664" i="5"/>
  <c r="AV665" i="5"/>
  <c r="AV666" i="5"/>
  <c r="AV667" i="5"/>
  <c r="AV668" i="5"/>
  <c r="AV669" i="5"/>
  <c r="AV670" i="5"/>
  <c r="AV671" i="5"/>
  <c r="AV672" i="5"/>
  <c r="AV673" i="5"/>
  <c r="AV674" i="5"/>
  <c r="AV675" i="5"/>
  <c r="AV676" i="5"/>
  <c r="AV677" i="5"/>
  <c r="AV678" i="5"/>
  <c r="AV679" i="5"/>
  <c r="AV680" i="5"/>
  <c r="AV681" i="5"/>
  <c r="AV682" i="5"/>
  <c r="AV683" i="5"/>
  <c r="AV684" i="5"/>
  <c r="AV685" i="5"/>
  <c r="AV686" i="5"/>
  <c r="AV687" i="5"/>
  <c r="AV688" i="5"/>
  <c r="AV689" i="5"/>
  <c r="AV690" i="5"/>
  <c r="AV691" i="5"/>
  <c r="AV692" i="5"/>
  <c r="AV693" i="5"/>
  <c r="AV694" i="5"/>
  <c r="AV695" i="5"/>
  <c r="AV696" i="5"/>
  <c r="AV697" i="5"/>
  <c r="AV698" i="5"/>
  <c r="AV699" i="5"/>
  <c r="AV700" i="5"/>
  <c r="AV701" i="5"/>
  <c r="AV702" i="5"/>
  <c r="AV703" i="5"/>
  <c r="AV704" i="5"/>
  <c r="AV705" i="5"/>
  <c r="AV706" i="5"/>
  <c r="AV707" i="5"/>
  <c r="AV708" i="5"/>
  <c r="AV709" i="5"/>
  <c r="AV710" i="5"/>
  <c r="AV711" i="5"/>
  <c r="AV712" i="5"/>
  <c r="AV713" i="5"/>
  <c r="AV714" i="5"/>
  <c r="AV715" i="5"/>
  <c r="AV716" i="5"/>
  <c r="AV717" i="5"/>
  <c r="AV718" i="5"/>
  <c r="AV719" i="5"/>
  <c r="AV720" i="5"/>
  <c r="AV721" i="5"/>
  <c r="AV722" i="5"/>
  <c r="AV723" i="5"/>
  <c r="AV724" i="5"/>
  <c r="AV725" i="5"/>
  <c r="AV726" i="5"/>
  <c r="AV727" i="5"/>
  <c r="AV728" i="5"/>
  <c r="AV729" i="5"/>
  <c r="AV730" i="5"/>
  <c r="AV731" i="5"/>
  <c r="AV732" i="5"/>
  <c r="AV733" i="5"/>
  <c r="AV734" i="5"/>
  <c r="AV735" i="5"/>
  <c r="AV736" i="5"/>
  <c r="AV737" i="5"/>
  <c r="AV738" i="5"/>
  <c r="AV739" i="5"/>
  <c r="AV740" i="5"/>
  <c r="AV741" i="5"/>
  <c r="AV742" i="5"/>
  <c r="AV743" i="5"/>
  <c r="AV744" i="5"/>
  <c r="AV745" i="5"/>
  <c r="AV746" i="5"/>
  <c r="AV747" i="5"/>
  <c r="AV748" i="5"/>
  <c r="CK139" i="5"/>
  <c r="CK140" i="5"/>
  <c r="CK141" i="5"/>
  <c r="CK142" i="5"/>
  <c r="CK143" i="5"/>
  <c r="CK144" i="5"/>
  <c r="CK145" i="5"/>
  <c r="CK146" i="5"/>
  <c r="CK147" i="5"/>
  <c r="CK148" i="5"/>
  <c r="CK149" i="5"/>
  <c r="CK150" i="5"/>
  <c r="CK151" i="5"/>
  <c r="CK152" i="5"/>
  <c r="CK153" i="5"/>
  <c r="CK154" i="5"/>
  <c r="CK155" i="5"/>
  <c r="CK156" i="5"/>
  <c r="CK157" i="5"/>
  <c r="CK158" i="5"/>
  <c r="CK159" i="5"/>
  <c r="CK160" i="5"/>
  <c r="CK161" i="5"/>
  <c r="CK162" i="5"/>
  <c r="CK163" i="5"/>
  <c r="CK164" i="5"/>
  <c r="CK165" i="5"/>
  <c r="CK166" i="5"/>
  <c r="CK167" i="5"/>
  <c r="CK168" i="5"/>
  <c r="CK169" i="5"/>
  <c r="CK170" i="5"/>
  <c r="CK171" i="5"/>
  <c r="CK172" i="5"/>
  <c r="CK173" i="5"/>
  <c r="CK174" i="5"/>
  <c r="CK175" i="5"/>
  <c r="CK176" i="5"/>
  <c r="CK177" i="5"/>
  <c r="CK178" i="5"/>
  <c r="CK179" i="5"/>
  <c r="CK180" i="5"/>
  <c r="CK181" i="5"/>
  <c r="CK182" i="5"/>
  <c r="CK183" i="5"/>
  <c r="CK184" i="5"/>
  <c r="CK185" i="5"/>
  <c r="CK186" i="5"/>
  <c r="CK187" i="5"/>
  <c r="CK188" i="5"/>
  <c r="CK189" i="5"/>
  <c r="CK190" i="5"/>
  <c r="CK191" i="5"/>
  <c r="CK192" i="5"/>
  <c r="CK193" i="5"/>
  <c r="CK194" i="5"/>
  <c r="CK195" i="5"/>
  <c r="CK196" i="5"/>
  <c r="CK197" i="5"/>
  <c r="CK198" i="5"/>
  <c r="CK199" i="5"/>
  <c r="CK200" i="5"/>
  <c r="CK201" i="5"/>
  <c r="CK202" i="5"/>
  <c r="CK203" i="5"/>
  <c r="CK204" i="5"/>
  <c r="CK205" i="5"/>
  <c r="CK206" i="5"/>
  <c r="CK207" i="5"/>
  <c r="CK208" i="5"/>
  <c r="CK209" i="5"/>
  <c r="CK210" i="5"/>
  <c r="CK211" i="5"/>
  <c r="CK212" i="5"/>
  <c r="CK213" i="5"/>
  <c r="CK214" i="5"/>
  <c r="CK215" i="5"/>
  <c r="CK216" i="5"/>
  <c r="CK217" i="5"/>
  <c r="CK218" i="5"/>
  <c r="CK219" i="5"/>
  <c r="CK220" i="5"/>
  <c r="CK221" i="5"/>
  <c r="CK222" i="5"/>
  <c r="CK223" i="5"/>
  <c r="CK224" i="5"/>
  <c r="CK225" i="5"/>
  <c r="CK226" i="5"/>
  <c r="CK227" i="5"/>
  <c r="CK228" i="5"/>
  <c r="CK229" i="5"/>
  <c r="CK230" i="5"/>
  <c r="CK231" i="5"/>
  <c r="CK232" i="5"/>
  <c r="CK233" i="5"/>
  <c r="CK234" i="5"/>
  <c r="CK235" i="5"/>
  <c r="CK236" i="5"/>
  <c r="CK237" i="5"/>
  <c r="CK238" i="5"/>
  <c r="CK239" i="5"/>
  <c r="CK240" i="5"/>
  <c r="CK241" i="5"/>
  <c r="CK242" i="5"/>
  <c r="CK243" i="5"/>
  <c r="CK244" i="5"/>
  <c r="CK245" i="5"/>
  <c r="CK246" i="5"/>
  <c r="CK247" i="5"/>
  <c r="CK248" i="5"/>
  <c r="CK249" i="5"/>
  <c r="CK250" i="5"/>
  <c r="CK251" i="5"/>
  <c r="CK252" i="5"/>
  <c r="CK253" i="5"/>
  <c r="CK254" i="5"/>
  <c r="CK255" i="5"/>
  <c r="CK256" i="5"/>
  <c r="CK257" i="5"/>
  <c r="CK258" i="5"/>
  <c r="CK259" i="5"/>
  <c r="CK260" i="5"/>
  <c r="CK261" i="5"/>
  <c r="CK262" i="5"/>
  <c r="CK263" i="5"/>
  <c r="CK264" i="5"/>
  <c r="CK265" i="5"/>
  <c r="CK266" i="5"/>
  <c r="CK267" i="5"/>
  <c r="CK268" i="5"/>
  <c r="CK269" i="5"/>
  <c r="CK270" i="5"/>
  <c r="CK271" i="5"/>
  <c r="CK272" i="5"/>
  <c r="CK273" i="5"/>
  <c r="CK274" i="5"/>
  <c r="CK275" i="5"/>
  <c r="CK276" i="5"/>
  <c r="CK277" i="5"/>
  <c r="CK278" i="5"/>
  <c r="CK279" i="5"/>
  <c r="CK280" i="5"/>
  <c r="CK281" i="5"/>
  <c r="CK282" i="5"/>
  <c r="CK283" i="5"/>
  <c r="CK284" i="5"/>
  <c r="CK285" i="5"/>
  <c r="CK286" i="5"/>
  <c r="CK287" i="5"/>
  <c r="CK288" i="5"/>
  <c r="CK289" i="5"/>
  <c r="CK290" i="5"/>
  <c r="CK291" i="5"/>
  <c r="CK292" i="5"/>
  <c r="CK293" i="5"/>
  <c r="CK294" i="5"/>
  <c r="CK295" i="5"/>
  <c r="CK296" i="5"/>
  <c r="CK297" i="5"/>
  <c r="CK298" i="5"/>
  <c r="CK299" i="5"/>
  <c r="CK300" i="5"/>
  <c r="CK301" i="5"/>
  <c r="CK302" i="5"/>
  <c r="CK303" i="5"/>
  <c r="CK304" i="5"/>
  <c r="CK305" i="5"/>
  <c r="CK306" i="5"/>
  <c r="CK307" i="5"/>
  <c r="CK308" i="5"/>
  <c r="CK309" i="5"/>
  <c r="CK310" i="5"/>
  <c r="CK311" i="5"/>
  <c r="CK312" i="5"/>
  <c r="CK313" i="5"/>
  <c r="CK314" i="5"/>
  <c r="CK315" i="5"/>
  <c r="CK316" i="5"/>
  <c r="CK317" i="5"/>
  <c r="CK318" i="5"/>
  <c r="CK319" i="5"/>
  <c r="CK320" i="5"/>
  <c r="CK321" i="5"/>
  <c r="CK322" i="5"/>
  <c r="CK323" i="5"/>
  <c r="CK324" i="5"/>
  <c r="CK325" i="5"/>
  <c r="CK326" i="5"/>
  <c r="CK327" i="5"/>
  <c r="CK328" i="5"/>
  <c r="CK329" i="5"/>
  <c r="CK330" i="5"/>
  <c r="CK331" i="5"/>
  <c r="CK332" i="5"/>
  <c r="CK333" i="5"/>
  <c r="CK334" i="5"/>
  <c r="CK335" i="5"/>
  <c r="CK336" i="5"/>
  <c r="CK337" i="5"/>
  <c r="CK338" i="5"/>
  <c r="CK339" i="5"/>
  <c r="CK340" i="5"/>
  <c r="CK341" i="5"/>
  <c r="CK342" i="5"/>
  <c r="CK343" i="5"/>
  <c r="CK344" i="5"/>
  <c r="CK345" i="5"/>
  <c r="CK346" i="5"/>
  <c r="CK347" i="5"/>
  <c r="CK348" i="5"/>
  <c r="CK349" i="5"/>
  <c r="CK350" i="5"/>
  <c r="CK351" i="5"/>
  <c r="CK352" i="5"/>
  <c r="CK353" i="5"/>
  <c r="CK354" i="5"/>
  <c r="CK355" i="5"/>
  <c r="CK356" i="5"/>
  <c r="CK357" i="5"/>
  <c r="CK358" i="5"/>
  <c r="CK359" i="5"/>
  <c r="CK360" i="5"/>
  <c r="CK361" i="5"/>
  <c r="CK362" i="5"/>
  <c r="CK363" i="5"/>
  <c r="CK364" i="5"/>
  <c r="CK365" i="5"/>
  <c r="CK366" i="5"/>
  <c r="CK367" i="5"/>
  <c r="CK368" i="5"/>
  <c r="CK369" i="5"/>
  <c r="CK370" i="5"/>
  <c r="CK371" i="5"/>
  <c r="CK372" i="5"/>
  <c r="CK373" i="5"/>
  <c r="CK374" i="5"/>
  <c r="CK375" i="5"/>
  <c r="CK376" i="5"/>
  <c r="CK377" i="5"/>
  <c r="CK378" i="5"/>
  <c r="CK379" i="5"/>
  <c r="CK380" i="5"/>
  <c r="CK381" i="5"/>
  <c r="CK382" i="5"/>
  <c r="CK383" i="5"/>
  <c r="CK384" i="5"/>
  <c r="CK385" i="5"/>
  <c r="CK386" i="5"/>
  <c r="CK387" i="5"/>
  <c r="CK388" i="5"/>
  <c r="CK389" i="5"/>
  <c r="CK390" i="5"/>
  <c r="CK391" i="5"/>
  <c r="CK392" i="5"/>
  <c r="CK393" i="5"/>
  <c r="CK394" i="5"/>
  <c r="CK395" i="5"/>
  <c r="CK396" i="5"/>
  <c r="CK397" i="5"/>
  <c r="CK398" i="5"/>
  <c r="CK399" i="5"/>
  <c r="CK400" i="5"/>
  <c r="CK401" i="5"/>
  <c r="CK402" i="5"/>
  <c r="CK403" i="5"/>
  <c r="CK404" i="5"/>
  <c r="CK405" i="5"/>
  <c r="CK406" i="5"/>
  <c r="CK407" i="5"/>
  <c r="CK408" i="5"/>
  <c r="CK409" i="5"/>
  <c r="CK410" i="5"/>
  <c r="CK411" i="5"/>
  <c r="CK412" i="5"/>
  <c r="CK413" i="5"/>
  <c r="CK414" i="5"/>
  <c r="CK415" i="5"/>
  <c r="CK416" i="5"/>
  <c r="CK417" i="5"/>
  <c r="CK418" i="5"/>
  <c r="CK419" i="5"/>
  <c r="CK420" i="5"/>
  <c r="CK421" i="5"/>
  <c r="CK422" i="5"/>
  <c r="CK423" i="5"/>
  <c r="CK424" i="5"/>
  <c r="CK425" i="5"/>
  <c r="CK426" i="5"/>
  <c r="CK427" i="5"/>
  <c r="CK428" i="5"/>
  <c r="CK429" i="5"/>
  <c r="CK430" i="5"/>
  <c r="CK431" i="5"/>
  <c r="CK432" i="5"/>
  <c r="CK433" i="5"/>
  <c r="CK434" i="5"/>
  <c r="CK435" i="5"/>
  <c r="CK436" i="5"/>
  <c r="CK437" i="5"/>
  <c r="CK438" i="5"/>
  <c r="CK439" i="5"/>
  <c r="CK440" i="5"/>
  <c r="CK441" i="5"/>
  <c r="CK442" i="5"/>
  <c r="CK443" i="5"/>
  <c r="CK444" i="5"/>
  <c r="CK445" i="5"/>
  <c r="CK446" i="5"/>
  <c r="CK447" i="5"/>
  <c r="CK448" i="5"/>
  <c r="CK449" i="5"/>
  <c r="CK450" i="5"/>
  <c r="CK451" i="5"/>
  <c r="CK452" i="5"/>
  <c r="CK453" i="5"/>
  <c r="CK454" i="5"/>
  <c r="CK455" i="5"/>
  <c r="CK456" i="5"/>
  <c r="CK457" i="5"/>
  <c r="CK458" i="5"/>
  <c r="CK459" i="5"/>
  <c r="CK460" i="5"/>
  <c r="CK461" i="5"/>
  <c r="CK462" i="5"/>
  <c r="CK463" i="5"/>
  <c r="CK464" i="5"/>
  <c r="CK465" i="5"/>
  <c r="CK466" i="5"/>
  <c r="CK467" i="5"/>
  <c r="CK468" i="5"/>
  <c r="CK469" i="5"/>
  <c r="CK470" i="5"/>
  <c r="CK471" i="5"/>
  <c r="CK472" i="5"/>
  <c r="CK473" i="5"/>
  <c r="CK474" i="5"/>
  <c r="CK475" i="5"/>
  <c r="CK476" i="5"/>
  <c r="CK477" i="5"/>
  <c r="CK478" i="5"/>
  <c r="CK479" i="5"/>
  <c r="CK480" i="5"/>
  <c r="CK481" i="5"/>
  <c r="CK482" i="5"/>
  <c r="CK483" i="5"/>
  <c r="CK484" i="5"/>
  <c r="CK485" i="5"/>
  <c r="CK486" i="5"/>
  <c r="CK487" i="5"/>
  <c r="CK488" i="5"/>
  <c r="CK489" i="5"/>
  <c r="CK490" i="5"/>
  <c r="CK491" i="5"/>
  <c r="CK492" i="5"/>
  <c r="CK493" i="5"/>
  <c r="CK494" i="5"/>
  <c r="CK495" i="5"/>
  <c r="CK496" i="5"/>
  <c r="CK497" i="5"/>
  <c r="CK498" i="5"/>
  <c r="CK499" i="5"/>
  <c r="CK500" i="5"/>
  <c r="CK501" i="5"/>
  <c r="CK502" i="5"/>
  <c r="CK503" i="5"/>
  <c r="CK504" i="5"/>
  <c r="CK505" i="5"/>
  <c r="CK506" i="5"/>
  <c r="CK507" i="5"/>
  <c r="CK508" i="5"/>
  <c r="CK509" i="5"/>
  <c r="CK510" i="5"/>
  <c r="CK511" i="5"/>
  <c r="CK512" i="5"/>
  <c r="CK513" i="5"/>
  <c r="CK514" i="5"/>
  <c r="CK515" i="5"/>
  <c r="CK516" i="5"/>
  <c r="CK517" i="5"/>
  <c r="CK518" i="5"/>
  <c r="CK519" i="5"/>
  <c r="CK520" i="5"/>
  <c r="CK521" i="5"/>
  <c r="CK522" i="5"/>
  <c r="CK523" i="5"/>
  <c r="CK524" i="5"/>
  <c r="CK525" i="5"/>
  <c r="CK526" i="5"/>
  <c r="CK527" i="5"/>
  <c r="CK528" i="5"/>
  <c r="CK529" i="5"/>
  <c r="CK530" i="5"/>
  <c r="CK531" i="5"/>
  <c r="CK532" i="5"/>
  <c r="CK533" i="5"/>
  <c r="CK534" i="5"/>
  <c r="CK535" i="5"/>
  <c r="CK536" i="5"/>
  <c r="CK537" i="5"/>
  <c r="CK538" i="5"/>
  <c r="CK539" i="5"/>
  <c r="CK540" i="5"/>
  <c r="CK541" i="5"/>
  <c r="CK542" i="5"/>
  <c r="CK543" i="5"/>
  <c r="CK544" i="5"/>
  <c r="CK545" i="5"/>
  <c r="CK546" i="5"/>
  <c r="CK547" i="5"/>
  <c r="CK548" i="5"/>
  <c r="CK549" i="5"/>
  <c r="CK550" i="5"/>
  <c r="CK551" i="5"/>
  <c r="CK552" i="5"/>
  <c r="CK553" i="5"/>
  <c r="CK554" i="5"/>
  <c r="CK555" i="5"/>
  <c r="CK556" i="5"/>
  <c r="CK557" i="5"/>
  <c r="CK558" i="5"/>
  <c r="CK559" i="5"/>
  <c r="CK560" i="5"/>
  <c r="CK561" i="5"/>
  <c r="CK562" i="5"/>
  <c r="CK563" i="5"/>
  <c r="CK564" i="5"/>
  <c r="CK565" i="5"/>
  <c r="CK566" i="5"/>
  <c r="CK567" i="5"/>
  <c r="CK568" i="5"/>
  <c r="CK569" i="5"/>
  <c r="CK570" i="5"/>
  <c r="CK571" i="5"/>
  <c r="CK572" i="5"/>
  <c r="CK573" i="5"/>
  <c r="CK574" i="5"/>
  <c r="CK575" i="5"/>
  <c r="CK576" i="5"/>
  <c r="CK577" i="5"/>
  <c r="CK578" i="5"/>
  <c r="CK579" i="5"/>
  <c r="CK580" i="5"/>
  <c r="CK581" i="5"/>
  <c r="CK582" i="5"/>
  <c r="CK583" i="5"/>
  <c r="CK584" i="5"/>
  <c r="CK585" i="5"/>
  <c r="CK586" i="5"/>
  <c r="CK587" i="5"/>
  <c r="CK588" i="5"/>
  <c r="CK589" i="5"/>
  <c r="CK590" i="5"/>
  <c r="CK591" i="5"/>
  <c r="CK592" i="5"/>
  <c r="CK593" i="5"/>
  <c r="CK594" i="5"/>
  <c r="CK595" i="5"/>
  <c r="CK596" i="5"/>
  <c r="CK597" i="5"/>
  <c r="CK598" i="5"/>
  <c r="CK599" i="5"/>
  <c r="CK600" i="5"/>
  <c r="CK601" i="5"/>
  <c r="CK602" i="5"/>
  <c r="CK603" i="5"/>
  <c r="CK604" i="5"/>
  <c r="CK605" i="5"/>
  <c r="CK606" i="5"/>
  <c r="CK607" i="5"/>
  <c r="CK608" i="5"/>
  <c r="CK609" i="5"/>
  <c r="CK610" i="5"/>
  <c r="CK611" i="5"/>
  <c r="CK612" i="5"/>
  <c r="CK613" i="5"/>
  <c r="CK614" i="5"/>
  <c r="CK615" i="5"/>
  <c r="CK616" i="5"/>
  <c r="CK617" i="5"/>
  <c r="CK618" i="5"/>
  <c r="CK619" i="5"/>
  <c r="CK620" i="5"/>
  <c r="CK621" i="5"/>
  <c r="CK622" i="5"/>
  <c r="CK623" i="5"/>
  <c r="CK624" i="5"/>
  <c r="CK625" i="5"/>
  <c r="CK626" i="5"/>
  <c r="CK627" i="5"/>
  <c r="CK628" i="5"/>
  <c r="CK629" i="5"/>
  <c r="CK630" i="5"/>
  <c r="CK631" i="5"/>
  <c r="CK632" i="5"/>
  <c r="CK633" i="5"/>
  <c r="CK634" i="5"/>
  <c r="CK635" i="5"/>
  <c r="CK636" i="5"/>
  <c r="CK637" i="5"/>
  <c r="CK638" i="5"/>
  <c r="CK639" i="5"/>
  <c r="CK640" i="5"/>
  <c r="CK641" i="5"/>
  <c r="CK642" i="5"/>
  <c r="CK643" i="5"/>
  <c r="CK644" i="5"/>
  <c r="CK645" i="5"/>
  <c r="CK646" i="5"/>
  <c r="CK647" i="5"/>
  <c r="CK648" i="5"/>
  <c r="CK649" i="5"/>
  <c r="CK650" i="5"/>
  <c r="CK651" i="5"/>
  <c r="CK652" i="5"/>
  <c r="CK653" i="5"/>
  <c r="CK654" i="5"/>
  <c r="CK655" i="5"/>
  <c r="CK656" i="5"/>
  <c r="CK657" i="5"/>
  <c r="CK658" i="5"/>
  <c r="CK659" i="5"/>
  <c r="CK660" i="5"/>
  <c r="CK661" i="5"/>
  <c r="CK662" i="5"/>
  <c r="CK663" i="5"/>
  <c r="CK664" i="5"/>
  <c r="CK665" i="5"/>
  <c r="CK666" i="5"/>
  <c r="CK667" i="5"/>
  <c r="CK668" i="5"/>
  <c r="CK669" i="5"/>
  <c r="CK670" i="5"/>
  <c r="CK671" i="5"/>
  <c r="CK672" i="5"/>
  <c r="CK673" i="5"/>
  <c r="CK674" i="5"/>
  <c r="CK675" i="5"/>
  <c r="CK676" i="5"/>
  <c r="CK677" i="5"/>
  <c r="CK678" i="5"/>
  <c r="CK679" i="5"/>
  <c r="CK680" i="5"/>
  <c r="CK681" i="5"/>
  <c r="CK682" i="5"/>
  <c r="CK683" i="5"/>
  <c r="CK684" i="5"/>
  <c r="CK685" i="5"/>
  <c r="CK686" i="5"/>
  <c r="CK687" i="5"/>
  <c r="CK688" i="5"/>
  <c r="CK689" i="5"/>
  <c r="CK690" i="5"/>
  <c r="CK691" i="5"/>
  <c r="CK692" i="5"/>
  <c r="CK693" i="5"/>
  <c r="CK694" i="5"/>
  <c r="CK695" i="5"/>
  <c r="CK696" i="5"/>
  <c r="CK697" i="5"/>
  <c r="CK698" i="5"/>
  <c r="CK699" i="5"/>
  <c r="CK700" i="5"/>
  <c r="CK701" i="5"/>
  <c r="CK702" i="5"/>
  <c r="CK703" i="5"/>
  <c r="CK704" i="5"/>
  <c r="CK705" i="5"/>
  <c r="CK706" i="5"/>
  <c r="CK707" i="5"/>
  <c r="CK708" i="5"/>
  <c r="CK709" i="5"/>
  <c r="CK710" i="5"/>
  <c r="CK711" i="5"/>
  <c r="CK712" i="5"/>
  <c r="CK713" i="5"/>
  <c r="CK714" i="5"/>
  <c r="CK715" i="5"/>
  <c r="CK716" i="5"/>
  <c r="CK717" i="5"/>
  <c r="CK718" i="5"/>
  <c r="CK719" i="5"/>
  <c r="CK720" i="5"/>
  <c r="CK721" i="5"/>
  <c r="CK722" i="5"/>
  <c r="CK723" i="5"/>
  <c r="CK724" i="5"/>
  <c r="CK725" i="5"/>
  <c r="CK726" i="5"/>
  <c r="CK727" i="5"/>
  <c r="CK728" i="5"/>
  <c r="CK729" i="5"/>
  <c r="CK730" i="5"/>
  <c r="CK731" i="5"/>
  <c r="CK732" i="5"/>
  <c r="CK733" i="5"/>
  <c r="CK734" i="5"/>
  <c r="CK735" i="5"/>
  <c r="CK736" i="5"/>
  <c r="CK737" i="5"/>
  <c r="CK738" i="5"/>
  <c r="CK739" i="5"/>
  <c r="CK740" i="5"/>
  <c r="CK741" i="5"/>
  <c r="CK742" i="5"/>
  <c r="CK743" i="5"/>
  <c r="CK744" i="5"/>
  <c r="CK745" i="5"/>
  <c r="CK746" i="5"/>
  <c r="CK747" i="5"/>
  <c r="CK748" i="5"/>
  <c r="CK749" i="5"/>
  <c r="CK750" i="5"/>
  <c r="CK751" i="5"/>
  <c r="CK752" i="5"/>
  <c r="CK753" i="5"/>
  <c r="CK754" i="5"/>
  <c r="CK755" i="5"/>
  <c r="CK756" i="5"/>
  <c r="CK757" i="5"/>
  <c r="CK758" i="5"/>
  <c r="CK759" i="5"/>
  <c r="CK760" i="5"/>
  <c r="CK761" i="5"/>
  <c r="CK762" i="5"/>
  <c r="CK763" i="5"/>
  <c r="CK764" i="5"/>
  <c r="CK765" i="5"/>
  <c r="CK766" i="5"/>
  <c r="CK767" i="5"/>
  <c r="CK768" i="5"/>
  <c r="CK769" i="5"/>
  <c r="CK770" i="5"/>
  <c r="CK771" i="5"/>
  <c r="CK772" i="5"/>
  <c r="CK773" i="5"/>
  <c r="CK774" i="5"/>
  <c r="CK775" i="5"/>
  <c r="CK776" i="5"/>
  <c r="CK777" i="5"/>
  <c r="CK778" i="5"/>
  <c r="CK779" i="5"/>
  <c r="CK780" i="5"/>
  <c r="CK781" i="5"/>
  <c r="CK782" i="5"/>
  <c r="CK783" i="5"/>
  <c r="CK784" i="5"/>
  <c r="CK785" i="5"/>
  <c r="CK786" i="5"/>
  <c r="CK787" i="5"/>
  <c r="CK788" i="5"/>
  <c r="CK789" i="5"/>
  <c r="CK790" i="5"/>
  <c r="CK791" i="5"/>
  <c r="CK792" i="5"/>
  <c r="CK793" i="5"/>
  <c r="CK794" i="5"/>
  <c r="CK795" i="5"/>
  <c r="CK796" i="5"/>
  <c r="CK797" i="5"/>
  <c r="CK798" i="5"/>
  <c r="CK799" i="5"/>
  <c r="CK800" i="5"/>
  <c r="CK801" i="5"/>
  <c r="CK802" i="5"/>
  <c r="CK803" i="5"/>
  <c r="CK804" i="5"/>
  <c r="CK805" i="5"/>
  <c r="CK806" i="5"/>
  <c r="CK807" i="5"/>
  <c r="CK808" i="5"/>
  <c r="CK809" i="5"/>
  <c r="CK810" i="5"/>
  <c r="CK811" i="5"/>
  <c r="CK812" i="5"/>
  <c r="CK813" i="5"/>
  <c r="CK814" i="5"/>
  <c r="CK815" i="5"/>
  <c r="CK816" i="5"/>
  <c r="CK817" i="5"/>
  <c r="CK818" i="5"/>
  <c r="CK819" i="5"/>
  <c r="CK820" i="5"/>
  <c r="CK821" i="5"/>
  <c r="CK822" i="5"/>
  <c r="CK823" i="5"/>
  <c r="CK824" i="5"/>
  <c r="CK825" i="5"/>
  <c r="CK826" i="5"/>
  <c r="CK827" i="5"/>
  <c r="CK828" i="5"/>
  <c r="CK829" i="5"/>
  <c r="CK830" i="5"/>
  <c r="CK831" i="5"/>
  <c r="CK832" i="5"/>
  <c r="CK833" i="5"/>
  <c r="CK834" i="5"/>
  <c r="CK835" i="5"/>
  <c r="CK836" i="5"/>
  <c r="CK837" i="5"/>
  <c r="CK838" i="5"/>
  <c r="CK839" i="5"/>
  <c r="CK840" i="5"/>
  <c r="CK841" i="5"/>
  <c r="CK842" i="5"/>
  <c r="CK843" i="5"/>
  <c r="CK844" i="5"/>
  <c r="CK845" i="5"/>
  <c r="CK846" i="5"/>
  <c r="CK847" i="5"/>
  <c r="CK848" i="5"/>
  <c r="CK849" i="5"/>
  <c r="CK850" i="5"/>
  <c r="CK851" i="5"/>
  <c r="CK852" i="5"/>
  <c r="CK853" i="5"/>
  <c r="CK854" i="5"/>
  <c r="CK855" i="5"/>
  <c r="CK856" i="5"/>
  <c r="CK857" i="5"/>
  <c r="CK858" i="5"/>
  <c r="CK859" i="5"/>
  <c r="CK860" i="5"/>
  <c r="CK861" i="5"/>
  <c r="CK862" i="5"/>
  <c r="CK863" i="5"/>
  <c r="CK864" i="5"/>
  <c r="CK865" i="5"/>
  <c r="CK866" i="5"/>
  <c r="CK867" i="5"/>
  <c r="CK868" i="5"/>
  <c r="CK869" i="5"/>
  <c r="CK870" i="5"/>
  <c r="CK871" i="5"/>
  <c r="CK872" i="5"/>
  <c r="CK873" i="5"/>
  <c r="CK874" i="5"/>
  <c r="CK875" i="5"/>
  <c r="CK876" i="5"/>
  <c r="CK877" i="5"/>
  <c r="CK878" i="5"/>
  <c r="CK879" i="5"/>
  <c r="CK880" i="5"/>
  <c r="CK881" i="5"/>
  <c r="CK882" i="5"/>
  <c r="CK883" i="5"/>
  <c r="CK884" i="5"/>
  <c r="CJ139" i="5"/>
  <c r="CJ140" i="5"/>
  <c r="CJ141" i="5"/>
  <c r="CJ142" i="5"/>
  <c r="CJ143" i="5"/>
  <c r="CJ144" i="5"/>
  <c r="CJ145" i="5"/>
  <c r="CJ146" i="5"/>
  <c r="CJ147" i="5"/>
  <c r="CJ148" i="5"/>
  <c r="CJ149" i="5"/>
  <c r="CJ150" i="5"/>
  <c r="CJ151" i="5"/>
  <c r="CJ152" i="5"/>
  <c r="CJ153" i="5"/>
  <c r="CJ154" i="5"/>
  <c r="CJ155" i="5"/>
  <c r="CJ156" i="5"/>
  <c r="CJ157" i="5"/>
  <c r="CJ158" i="5"/>
  <c r="CJ159" i="5"/>
  <c r="CJ160" i="5"/>
  <c r="CJ161" i="5"/>
  <c r="CJ162" i="5"/>
  <c r="CJ163" i="5"/>
  <c r="CJ164" i="5"/>
  <c r="CJ165" i="5"/>
  <c r="CJ166" i="5"/>
  <c r="CJ167" i="5"/>
  <c r="CJ168" i="5"/>
  <c r="CJ169" i="5"/>
  <c r="CJ170" i="5"/>
  <c r="CJ171" i="5"/>
  <c r="CJ172" i="5"/>
  <c r="CJ173" i="5"/>
  <c r="CJ174" i="5"/>
  <c r="CJ175" i="5"/>
  <c r="CJ176" i="5"/>
  <c r="CJ177" i="5"/>
  <c r="CJ178" i="5"/>
  <c r="CJ179" i="5"/>
  <c r="CJ180" i="5"/>
  <c r="CJ181" i="5"/>
  <c r="CJ182" i="5"/>
  <c r="CJ183" i="5"/>
  <c r="CJ184" i="5"/>
  <c r="CJ185" i="5"/>
  <c r="CJ186" i="5"/>
  <c r="CJ187" i="5"/>
  <c r="CJ188" i="5"/>
  <c r="CJ189" i="5"/>
  <c r="CJ190" i="5"/>
  <c r="CJ191" i="5"/>
  <c r="CJ192" i="5"/>
  <c r="CJ193" i="5"/>
  <c r="CJ194" i="5"/>
  <c r="CJ195" i="5"/>
  <c r="CJ196" i="5"/>
  <c r="CJ197" i="5"/>
  <c r="CJ198" i="5"/>
  <c r="CJ199" i="5"/>
  <c r="CJ200" i="5"/>
  <c r="CJ201" i="5"/>
  <c r="CJ202" i="5"/>
  <c r="CJ203" i="5"/>
  <c r="CJ204" i="5"/>
  <c r="CJ205" i="5"/>
  <c r="CJ206" i="5"/>
  <c r="CJ207" i="5"/>
  <c r="CJ208" i="5"/>
  <c r="CJ209" i="5"/>
  <c r="CJ210" i="5"/>
  <c r="CJ211" i="5"/>
  <c r="CJ212" i="5"/>
  <c r="CJ213" i="5"/>
  <c r="CJ214" i="5"/>
  <c r="CJ215" i="5"/>
  <c r="CJ216" i="5"/>
  <c r="CJ217" i="5"/>
  <c r="CJ218" i="5"/>
  <c r="CJ219" i="5"/>
  <c r="CJ220" i="5"/>
  <c r="CJ221" i="5"/>
  <c r="CJ222" i="5"/>
  <c r="CJ223" i="5"/>
  <c r="CJ224" i="5"/>
  <c r="CJ225" i="5"/>
  <c r="CJ226" i="5"/>
  <c r="CJ227" i="5"/>
  <c r="CJ228" i="5"/>
  <c r="CJ229" i="5"/>
  <c r="CJ230" i="5"/>
  <c r="CJ231" i="5"/>
  <c r="CJ232" i="5"/>
  <c r="CJ233" i="5"/>
  <c r="CJ234" i="5"/>
  <c r="CJ235" i="5"/>
  <c r="CJ236" i="5"/>
  <c r="CJ237" i="5"/>
  <c r="CJ238" i="5"/>
  <c r="CJ239" i="5"/>
  <c r="CJ240" i="5"/>
  <c r="CJ241" i="5"/>
  <c r="CJ242" i="5"/>
  <c r="CJ243" i="5"/>
  <c r="CJ244" i="5"/>
  <c r="CJ245" i="5"/>
  <c r="CJ246" i="5"/>
  <c r="CJ247" i="5"/>
  <c r="CJ248" i="5"/>
  <c r="CJ249" i="5"/>
  <c r="CJ250" i="5"/>
  <c r="CJ251" i="5"/>
  <c r="CJ252" i="5"/>
  <c r="CJ253" i="5"/>
  <c r="CJ254" i="5"/>
  <c r="CJ255" i="5"/>
  <c r="CJ256" i="5"/>
  <c r="CJ257" i="5"/>
  <c r="CJ258" i="5"/>
  <c r="CJ259" i="5"/>
  <c r="CJ260" i="5"/>
  <c r="CJ261" i="5"/>
  <c r="CJ262" i="5"/>
  <c r="CJ263" i="5"/>
  <c r="CJ264" i="5"/>
  <c r="CJ265" i="5"/>
  <c r="CJ266" i="5"/>
  <c r="CJ267" i="5"/>
  <c r="CJ268" i="5"/>
  <c r="CJ269" i="5"/>
  <c r="CJ270" i="5"/>
  <c r="CJ271" i="5"/>
  <c r="CJ272" i="5"/>
  <c r="CJ273" i="5"/>
  <c r="CJ274" i="5"/>
  <c r="CJ275" i="5"/>
  <c r="CJ276" i="5"/>
  <c r="CJ277" i="5"/>
  <c r="CJ278" i="5"/>
  <c r="CJ279" i="5"/>
  <c r="CJ280" i="5"/>
  <c r="CJ281" i="5"/>
  <c r="CJ282" i="5"/>
  <c r="CJ283" i="5"/>
  <c r="CJ284" i="5"/>
  <c r="CJ285" i="5"/>
  <c r="CJ286" i="5"/>
  <c r="CJ287" i="5"/>
  <c r="CJ288" i="5"/>
  <c r="CJ289" i="5"/>
  <c r="CJ290" i="5"/>
  <c r="CJ291" i="5"/>
  <c r="CJ292" i="5"/>
  <c r="CJ293" i="5"/>
  <c r="CJ294" i="5"/>
  <c r="CJ295" i="5"/>
  <c r="CJ296" i="5"/>
  <c r="CJ297" i="5"/>
  <c r="CJ298" i="5"/>
  <c r="CJ299" i="5"/>
  <c r="CJ300" i="5"/>
  <c r="CJ301" i="5"/>
  <c r="CJ302" i="5"/>
  <c r="CJ303" i="5"/>
  <c r="CJ304" i="5"/>
  <c r="CJ305" i="5"/>
  <c r="CJ306" i="5"/>
  <c r="CJ307" i="5"/>
  <c r="CJ308" i="5"/>
  <c r="CJ309" i="5"/>
  <c r="CJ310" i="5"/>
  <c r="CJ311" i="5"/>
  <c r="CJ312" i="5"/>
  <c r="CJ313" i="5"/>
  <c r="CJ314" i="5"/>
  <c r="CJ315" i="5"/>
  <c r="CJ316" i="5"/>
  <c r="CJ317" i="5"/>
  <c r="CJ318" i="5"/>
  <c r="CJ319" i="5"/>
  <c r="CJ320" i="5"/>
  <c r="CJ321" i="5"/>
  <c r="CJ322" i="5"/>
  <c r="CJ323" i="5"/>
  <c r="CJ324" i="5"/>
  <c r="CJ325" i="5"/>
  <c r="CJ326" i="5"/>
  <c r="CJ327" i="5"/>
  <c r="CJ328" i="5"/>
  <c r="CJ329" i="5"/>
  <c r="CJ330" i="5"/>
  <c r="CJ331" i="5"/>
  <c r="CJ332" i="5"/>
  <c r="CJ333" i="5"/>
  <c r="CJ334" i="5"/>
  <c r="CJ335" i="5"/>
  <c r="CJ336" i="5"/>
  <c r="CJ337" i="5"/>
  <c r="CJ338" i="5"/>
  <c r="CJ339" i="5"/>
  <c r="CJ340" i="5"/>
  <c r="CJ341" i="5"/>
  <c r="CJ342" i="5"/>
  <c r="CJ343" i="5"/>
  <c r="CJ344" i="5"/>
  <c r="CJ345" i="5"/>
  <c r="CJ346" i="5"/>
  <c r="CJ347" i="5"/>
  <c r="CJ348" i="5"/>
  <c r="CJ349" i="5"/>
  <c r="CJ350" i="5"/>
  <c r="CJ351" i="5"/>
  <c r="CJ352" i="5"/>
  <c r="CJ353" i="5"/>
  <c r="CJ354" i="5"/>
  <c r="CJ355" i="5"/>
  <c r="CJ356" i="5"/>
  <c r="CJ357" i="5"/>
  <c r="CJ358" i="5"/>
  <c r="CJ359" i="5"/>
  <c r="CJ360" i="5"/>
  <c r="CJ361" i="5"/>
  <c r="CJ362" i="5"/>
  <c r="CJ363" i="5"/>
  <c r="CJ364" i="5"/>
  <c r="CJ365" i="5"/>
  <c r="CJ366" i="5"/>
  <c r="CJ367" i="5"/>
  <c r="CJ368" i="5"/>
  <c r="CJ369" i="5"/>
  <c r="CJ370" i="5"/>
  <c r="CJ371" i="5"/>
  <c r="CJ372" i="5"/>
  <c r="CJ373" i="5"/>
  <c r="CJ374" i="5"/>
  <c r="CJ375" i="5"/>
  <c r="CJ376" i="5"/>
  <c r="CJ377" i="5"/>
  <c r="CJ378" i="5"/>
  <c r="CJ379" i="5"/>
  <c r="CJ380" i="5"/>
  <c r="CJ381" i="5"/>
  <c r="CJ382" i="5"/>
  <c r="CJ383" i="5"/>
  <c r="CJ384" i="5"/>
  <c r="CJ385" i="5"/>
  <c r="CJ386" i="5"/>
  <c r="CJ387" i="5"/>
  <c r="CJ388" i="5"/>
  <c r="CJ389" i="5"/>
  <c r="CJ390" i="5"/>
  <c r="CJ391" i="5"/>
  <c r="CJ392" i="5"/>
  <c r="CJ393" i="5"/>
  <c r="CJ394" i="5"/>
  <c r="CJ395" i="5"/>
  <c r="CJ396" i="5"/>
  <c r="CJ397" i="5"/>
  <c r="CJ398" i="5"/>
  <c r="CJ399" i="5"/>
  <c r="CJ400" i="5"/>
  <c r="CJ401" i="5"/>
  <c r="CJ402" i="5"/>
  <c r="CJ403" i="5"/>
  <c r="CJ404" i="5"/>
  <c r="CJ405" i="5"/>
  <c r="CJ406" i="5"/>
  <c r="CJ407" i="5"/>
  <c r="CJ408" i="5"/>
  <c r="CJ409" i="5"/>
  <c r="CJ410" i="5"/>
  <c r="CJ411" i="5"/>
  <c r="CJ412" i="5"/>
  <c r="CJ413" i="5"/>
  <c r="CJ414" i="5"/>
  <c r="CJ415" i="5"/>
  <c r="CJ416" i="5"/>
  <c r="CJ417" i="5"/>
  <c r="CJ418" i="5"/>
  <c r="CJ419" i="5"/>
  <c r="CJ420" i="5"/>
  <c r="CJ421" i="5"/>
  <c r="CJ422" i="5"/>
  <c r="CJ423" i="5"/>
  <c r="CJ424" i="5"/>
  <c r="CJ425" i="5"/>
  <c r="CJ426" i="5"/>
  <c r="CJ427" i="5"/>
  <c r="CJ428" i="5"/>
  <c r="CJ429" i="5"/>
  <c r="CJ430" i="5"/>
  <c r="CJ431" i="5"/>
  <c r="CJ432" i="5"/>
  <c r="CJ433" i="5"/>
  <c r="CJ434" i="5"/>
  <c r="CJ435" i="5"/>
  <c r="CJ436" i="5"/>
  <c r="CJ437" i="5"/>
  <c r="CJ438" i="5"/>
  <c r="CJ439" i="5"/>
  <c r="CJ440" i="5"/>
  <c r="CJ441" i="5"/>
  <c r="CJ442" i="5"/>
  <c r="CJ443" i="5"/>
  <c r="CJ444" i="5"/>
  <c r="CJ445" i="5"/>
  <c r="CJ446" i="5"/>
  <c r="CJ447" i="5"/>
  <c r="CJ448" i="5"/>
  <c r="CJ449" i="5"/>
  <c r="CJ450" i="5"/>
  <c r="CJ451" i="5"/>
  <c r="CJ452" i="5"/>
  <c r="CJ453" i="5"/>
  <c r="CJ454" i="5"/>
  <c r="CJ455" i="5"/>
  <c r="CJ456" i="5"/>
  <c r="CJ457" i="5"/>
  <c r="CJ458" i="5"/>
  <c r="CJ459" i="5"/>
  <c r="CJ460" i="5"/>
  <c r="CJ461" i="5"/>
  <c r="CJ462" i="5"/>
  <c r="CJ463" i="5"/>
  <c r="CJ464" i="5"/>
  <c r="CJ465" i="5"/>
  <c r="CJ466" i="5"/>
  <c r="CJ467" i="5"/>
  <c r="CJ468" i="5"/>
  <c r="CJ469" i="5"/>
  <c r="CJ470" i="5"/>
  <c r="CJ471" i="5"/>
  <c r="CJ472" i="5"/>
  <c r="CJ473" i="5"/>
  <c r="CJ474" i="5"/>
  <c r="CJ475" i="5"/>
  <c r="CJ476" i="5"/>
  <c r="CJ477" i="5"/>
  <c r="CJ478" i="5"/>
  <c r="CJ479" i="5"/>
  <c r="CJ480" i="5"/>
  <c r="CJ481" i="5"/>
  <c r="CJ482" i="5"/>
  <c r="CJ483" i="5"/>
  <c r="CJ484" i="5"/>
  <c r="CJ485" i="5"/>
  <c r="CJ486" i="5"/>
  <c r="CJ487" i="5"/>
  <c r="CJ488" i="5"/>
  <c r="CJ489" i="5"/>
  <c r="CJ490" i="5"/>
  <c r="CJ491" i="5"/>
  <c r="CJ492" i="5"/>
  <c r="CJ493" i="5"/>
  <c r="CJ494" i="5"/>
  <c r="CJ495" i="5"/>
  <c r="CJ496" i="5"/>
  <c r="CJ497" i="5"/>
  <c r="CJ498" i="5"/>
  <c r="CJ499" i="5"/>
  <c r="CJ500" i="5"/>
  <c r="CJ501" i="5"/>
  <c r="CJ502" i="5"/>
  <c r="CJ503" i="5"/>
  <c r="CJ504" i="5"/>
  <c r="CJ505" i="5"/>
  <c r="CJ506" i="5"/>
  <c r="CJ507" i="5"/>
  <c r="CJ508" i="5"/>
  <c r="CJ509" i="5"/>
  <c r="CJ510" i="5"/>
  <c r="CJ511" i="5"/>
  <c r="CJ512" i="5"/>
  <c r="CJ513" i="5"/>
  <c r="CJ514" i="5"/>
  <c r="CJ515" i="5"/>
  <c r="CJ516" i="5"/>
  <c r="CJ517" i="5"/>
  <c r="CJ518" i="5"/>
  <c r="CJ519" i="5"/>
  <c r="CJ520" i="5"/>
  <c r="CJ521" i="5"/>
  <c r="CJ522" i="5"/>
  <c r="CJ523" i="5"/>
  <c r="CJ524" i="5"/>
  <c r="CJ525" i="5"/>
  <c r="CJ526" i="5"/>
  <c r="CJ527" i="5"/>
  <c r="CJ528" i="5"/>
  <c r="CJ529" i="5"/>
  <c r="CJ530" i="5"/>
  <c r="CJ531" i="5"/>
  <c r="CJ532" i="5"/>
  <c r="CJ533" i="5"/>
  <c r="CJ534" i="5"/>
  <c r="CJ535" i="5"/>
  <c r="CJ536" i="5"/>
  <c r="CJ537" i="5"/>
  <c r="CJ538" i="5"/>
  <c r="CJ539" i="5"/>
  <c r="CJ540" i="5"/>
  <c r="CJ541" i="5"/>
  <c r="CJ542" i="5"/>
  <c r="CJ543" i="5"/>
  <c r="CJ544" i="5"/>
  <c r="CJ545" i="5"/>
  <c r="CJ546" i="5"/>
  <c r="CJ547" i="5"/>
  <c r="CJ548" i="5"/>
  <c r="CJ549" i="5"/>
  <c r="CJ550" i="5"/>
  <c r="CJ551" i="5"/>
  <c r="CJ552" i="5"/>
  <c r="CJ553" i="5"/>
  <c r="CJ554" i="5"/>
  <c r="CJ555" i="5"/>
  <c r="CJ556" i="5"/>
  <c r="CJ557" i="5"/>
  <c r="CJ558" i="5"/>
  <c r="CJ559" i="5"/>
  <c r="CJ560" i="5"/>
  <c r="CJ561" i="5"/>
  <c r="CJ562" i="5"/>
  <c r="CJ563" i="5"/>
  <c r="CJ564" i="5"/>
  <c r="CJ565" i="5"/>
  <c r="CJ566" i="5"/>
  <c r="CJ567" i="5"/>
  <c r="CJ568" i="5"/>
  <c r="CJ569" i="5"/>
  <c r="CJ570" i="5"/>
  <c r="CJ571" i="5"/>
  <c r="CJ572" i="5"/>
  <c r="CJ573" i="5"/>
  <c r="CJ574" i="5"/>
  <c r="CJ575" i="5"/>
  <c r="CJ576" i="5"/>
  <c r="CJ577" i="5"/>
  <c r="CJ578" i="5"/>
  <c r="CJ579" i="5"/>
  <c r="CJ580" i="5"/>
  <c r="CJ581" i="5"/>
  <c r="CJ582" i="5"/>
  <c r="CJ583" i="5"/>
  <c r="CJ584" i="5"/>
  <c r="CJ585" i="5"/>
  <c r="CJ586" i="5"/>
  <c r="CJ587" i="5"/>
  <c r="CJ588" i="5"/>
  <c r="CJ589" i="5"/>
  <c r="CJ590" i="5"/>
  <c r="CJ591" i="5"/>
  <c r="CJ592" i="5"/>
  <c r="CJ593" i="5"/>
  <c r="CJ594" i="5"/>
  <c r="CJ595" i="5"/>
  <c r="CJ596" i="5"/>
  <c r="CJ597" i="5"/>
  <c r="CJ598" i="5"/>
  <c r="CJ599" i="5"/>
  <c r="CJ600" i="5"/>
  <c r="CJ601" i="5"/>
  <c r="CJ602" i="5"/>
  <c r="CJ603" i="5"/>
  <c r="CJ604" i="5"/>
  <c r="CJ605" i="5"/>
  <c r="CJ606" i="5"/>
  <c r="CJ607" i="5"/>
  <c r="CJ608" i="5"/>
  <c r="CJ609" i="5"/>
  <c r="CJ610" i="5"/>
  <c r="CJ611" i="5"/>
  <c r="CJ612" i="5"/>
  <c r="CJ613" i="5"/>
  <c r="CJ614" i="5"/>
  <c r="CJ615" i="5"/>
  <c r="CJ616" i="5"/>
  <c r="CJ617" i="5"/>
  <c r="CJ618" i="5"/>
  <c r="CJ619" i="5"/>
  <c r="CJ620" i="5"/>
  <c r="CJ621" i="5"/>
  <c r="CJ622" i="5"/>
  <c r="CJ623" i="5"/>
  <c r="CJ624" i="5"/>
  <c r="CJ625" i="5"/>
  <c r="CJ626" i="5"/>
  <c r="CJ627" i="5"/>
  <c r="CJ628" i="5"/>
  <c r="CJ629" i="5"/>
  <c r="CJ630" i="5"/>
  <c r="CJ631" i="5"/>
  <c r="CJ632" i="5"/>
  <c r="CJ633" i="5"/>
  <c r="CJ634" i="5"/>
  <c r="CJ635" i="5"/>
  <c r="CJ636" i="5"/>
  <c r="CJ637" i="5"/>
  <c r="CJ638" i="5"/>
  <c r="CJ639" i="5"/>
  <c r="CJ640" i="5"/>
  <c r="CJ641" i="5"/>
  <c r="CJ642" i="5"/>
  <c r="CJ643" i="5"/>
  <c r="CJ644" i="5"/>
  <c r="CJ645" i="5"/>
  <c r="CJ646" i="5"/>
  <c r="CJ647" i="5"/>
  <c r="CJ648" i="5"/>
  <c r="CJ649" i="5"/>
  <c r="CJ650" i="5"/>
  <c r="CJ651" i="5"/>
  <c r="CJ652" i="5"/>
  <c r="CJ653" i="5"/>
  <c r="CJ654" i="5"/>
  <c r="CJ655" i="5"/>
  <c r="CJ656" i="5"/>
  <c r="CJ657" i="5"/>
  <c r="CJ658" i="5"/>
  <c r="CJ659" i="5"/>
  <c r="CJ660" i="5"/>
  <c r="CJ661" i="5"/>
  <c r="CJ662" i="5"/>
  <c r="CJ663" i="5"/>
  <c r="CJ664" i="5"/>
  <c r="CJ665" i="5"/>
  <c r="CJ666" i="5"/>
  <c r="CJ667" i="5"/>
  <c r="CJ668" i="5"/>
  <c r="CJ669" i="5"/>
  <c r="CJ670" i="5"/>
  <c r="CJ671" i="5"/>
  <c r="CJ672" i="5"/>
  <c r="CJ673" i="5"/>
  <c r="CJ674" i="5"/>
  <c r="CJ675" i="5"/>
  <c r="CJ676" i="5"/>
  <c r="CJ677" i="5"/>
  <c r="CJ678" i="5"/>
  <c r="CJ679" i="5"/>
  <c r="CJ680" i="5"/>
  <c r="CJ681" i="5"/>
  <c r="CJ682" i="5"/>
  <c r="CJ683" i="5"/>
  <c r="CJ684" i="5"/>
  <c r="CJ685" i="5"/>
  <c r="CJ686" i="5"/>
  <c r="CJ687" i="5"/>
  <c r="CJ688" i="5"/>
  <c r="CJ689" i="5"/>
  <c r="CJ690" i="5"/>
  <c r="CJ691" i="5"/>
  <c r="CJ692" i="5"/>
  <c r="CJ693" i="5"/>
  <c r="CJ694" i="5"/>
  <c r="CJ695" i="5"/>
  <c r="CJ696" i="5"/>
  <c r="CJ697" i="5"/>
  <c r="CJ698" i="5"/>
  <c r="CJ699" i="5"/>
  <c r="CJ700" i="5"/>
  <c r="CJ701" i="5"/>
  <c r="CJ702" i="5"/>
  <c r="CJ703" i="5"/>
  <c r="CJ704" i="5"/>
  <c r="CJ705" i="5"/>
  <c r="CJ706" i="5"/>
  <c r="CJ707" i="5"/>
  <c r="CJ708" i="5"/>
  <c r="CJ709" i="5"/>
  <c r="CJ710" i="5"/>
  <c r="CJ711" i="5"/>
  <c r="CJ712" i="5"/>
  <c r="CJ713" i="5"/>
  <c r="CJ714" i="5"/>
  <c r="CJ715" i="5"/>
  <c r="CJ716" i="5"/>
  <c r="CJ717" i="5"/>
  <c r="CJ718" i="5"/>
  <c r="CJ719" i="5"/>
  <c r="CJ720" i="5"/>
  <c r="CJ721" i="5"/>
  <c r="CJ722" i="5"/>
  <c r="CJ723" i="5"/>
  <c r="CJ724" i="5"/>
  <c r="CJ725" i="5"/>
  <c r="CJ726" i="5"/>
  <c r="CJ727" i="5"/>
  <c r="CJ728" i="5"/>
  <c r="CJ729" i="5"/>
  <c r="CJ730" i="5"/>
  <c r="CJ731" i="5"/>
  <c r="CJ732" i="5"/>
  <c r="CJ733" i="5"/>
  <c r="CJ734" i="5"/>
  <c r="CJ735" i="5"/>
  <c r="CJ736" i="5"/>
  <c r="CJ737" i="5"/>
  <c r="CJ738" i="5"/>
  <c r="CJ739" i="5"/>
  <c r="CJ740" i="5"/>
  <c r="CJ741" i="5"/>
  <c r="CJ742" i="5"/>
  <c r="CJ743" i="5"/>
  <c r="CJ744" i="5"/>
  <c r="CJ745" i="5"/>
  <c r="CJ746" i="5"/>
  <c r="CJ747" i="5"/>
  <c r="CJ748" i="5"/>
  <c r="CJ749" i="5"/>
  <c r="CJ750" i="5"/>
  <c r="CJ751" i="5"/>
  <c r="CJ752" i="5"/>
  <c r="CJ753" i="5"/>
  <c r="CJ754" i="5"/>
  <c r="CJ755" i="5"/>
  <c r="CJ756" i="5"/>
  <c r="CJ757" i="5"/>
  <c r="CJ758" i="5"/>
  <c r="CJ759" i="5"/>
  <c r="CJ760" i="5"/>
  <c r="CJ761" i="5"/>
  <c r="CJ762" i="5"/>
  <c r="CJ763" i="5"/>
  <c r="CJ764" i="5"/>
  <c r="CJ765" i="5"/>
  <c r="CJ766" i="5"/>
  <c r="CJ767" i="5"/>
  <c r="CJ768" i="5"/>
  <c r="CJ769" i="5"/>
  <c r="CJ770" i="5"/>
  <c r="CJ771" i="5"/>
  <c r="CJ772" i="5"/>
  <c r="CJ773" i="5"/>
  <c r="CJ774" i="5"/>
  <c r="CJ775" i="5"/>
  <c r="CJ776" i="5"/>
  <c r="CJ777" i="5"/>
  <c r="CJ778" i="5"/>
  <c r="CJ779" i="5"/>
  <c r="CJ780" i="5"/>
  <c r="CJ781" i="5"/>
  <c r="CJ782" i="5"/>
  <c r="CJ783" i="5"/>
  <c r="CJ784" i="5"/>
  <c r="CJ785" i="5"/>
  <c r="CJ786" i="5"/>
  <c r="CJ787" i="5"/>
  <c r="CJ788" i="5"/>
  <c r="CJ789" i="5"/>
  <c r="CJ790" i="5"/>
  <c r="CJ791" i="5"/>
  <c r="CJ792" i="5"/>
  <c r="CJ793" i="5"/>
  <c r="CJ794" i="5"/>
  <c r="CJ795" i="5"/>
  <c r="CJ796" i="5"/>
  <c r="CJ797" i="5"/>
  <c r="CJ798" i="5"/>
  <c r="CJ799" i="5"/>
  <c r="CJ800" i="5"/>
  <c r="CJ801" i="5"/>
  <c r="CJ802" i="5"/>
  <c r="CJ803" i="5"/>
  <c r="CJ804" i="5"/>
  <c r="CJ805" i="5"/>
  <c r="CJ806" i="5"/>
  <c r="CJ807" i="5"/>
  <c r="CJ808" i="5"/>
  <c r="CJ809" i="5"/>
  <c r="CJ810" i="5"/>
  <c r="CJ811" i="5"/>
  <c r="CJ812" i="5"/>
  <c r="CJ813" i="5"/>
  <c r="CJ814" i="5"/>
  <c r="CJ815" i="5"/>
  <c r="CJ816" i="5"/>
  <c r="CJ817" i="5"/>
  <c r="CJ818" i="5"/>
  <c r="CJ819" i="5"/>
  <c r="CJ820" i="5"/>
  <c r="CJ821" i="5"/>
  <c r="CJ822" i="5"/>
  <c r="CJ823" i="5"/>
  <c r="CJ824" i="5"/>
  <c r="CJ825" i="5"/>
  <c r="CJ826" i="5"/>
  <c r="CJ827" i="5"/>
  <c r="CJ828" i="5"/>
  <c r="CJ829" i="5"/>
  <c r="CJ830" i="5"/>
  <c r="CJ831" i="5"/>
  <c r="CJ832" i="5"/>
  <c r="CJ833" i="5"/>
  <c r="CJ834" i="5"/>
  <c r="CJ835" i="5"/>
  <c r="CJ836" i="5"/>
  <c r="CJ837" i="5"/>
  <c r="CJ838" i="5"/>
  <c r="CJ839" i="5"/>
  <c r="CJ840" i="5"/>
  <c r="CJ841" i="5"/>
  <c r="CJ842" i="5"/>
  <c r="CJ843" i="5"/>
  <c r="CJ844" i="5"/>
  <c r="CJ845" i="5"/>
  <c r="CJ846" i="5"/>
  <c r="CJ847" i="5"/>
  <c r="CJ848" i="5"/>
  <c r="CJ849" i="5"/>
  <c r="CJ850" i="5"/>
  <c r="CJ851" i="5"/>
  <c r="CJ852" i="5"/>
  <c r="CJ853" i="5"/>
  <c r="CJ854" i="5"/>
  <c r="CJ855" i="5"/>
  <c r="CJ856" i="5"/>
  <c r="CJ857" i="5"/>
  <c r="CJ858" i="5"/>
  <c r="CJ859" i="5"/>
  <c r="CJ860" i="5"/>
  <c r="CJ861" i="5"/>
  <c r="CJ862" i="5"/>
  <c r="CJ863" i="5"/>
  <c r="CJ864" i="5"/>
  <c r="CJ865" i="5"/>
  <c r="CJ866" i="5"/>
  <c r="CJ867" i="5"/>
  <c r="CJ868" i="5"/>
  <c r="CJ869" i="5"/>
  <c r="CJ870" i="5"/>
  <c r="CJ871" i="5"/>
  <c r="CJ872" i="5"/>
  <c r="CJ873" i="5"/>
  <c r="CJ874" i="5"/>
  <c r="CJ875" i="5"/>
  <c r="CJ876" i="5"/>
  <c r="CJ877" i="5"/>
  <c r="CJ878" i="5"/>
  <c r="CJ879" i="5"/>
  <c r="CJ880" i="5"/>
  <c r="CJ881" i="5"/>
  <c r="CJ882" i="5"/>
  <c r="CJ113" i="5"/>
  <c r="CI138" i="5"/>
  <c r="CI139" i="5"/>
  <c r="CI140" i="5"/>
  <c r="CI141" i="5"/>
  <c r="CI142" i="5"/>
  <c r="CI143" i="5"/>
  <c r="CI144" i="5"/>
  <c r="CI145" i="5"/>
  <c r="CI146" i="5"/>
  <c r="CI147" i="5"/>
  <c r="CI148" i="5"/>
  <c r="CI149" i="5"/>
  <c r="CI150" i="5"/>
  <c r="CI151" i="5"/>
  <c r="CI152" i="5"/>
  <c r="CI153" i="5"/>
  <c r="CI154" i="5"/>
  <c r="CI155" i="5"/>
  <c r="CI156" i="5"/>
  <c r="CI157" i="5"/>
  <c r="CI158" i="5"/>
  <c r="CI159" i="5"/>
  <c r="CI160" i="5"/>
  <c r="CI161" i="5"/>
  <c r="CI162" i="5"/>
  <c r="CI163" i="5"/>
  <c r="CI164" i="5"/>
  <c r="CI165" i="5"/>
  <c r="CI166" i="5"/>
  <c r="CI167" i="5"/>
  <c r="CI168" i="5"/>
  <c r="CI169" i="5"/>
  <c r="CI170" i="5"/>
  <c r="CI171" i="5"/>
  <c r="CI172" i="5"/>
  <c r="CI173" i="5"/>
  <c r="CI174" i="5"/>
  <c r="CI175" i="5"/>
  <c r="CI176" i="5"/>
  <c r="CI177" i="5"/>
  <c r="CI178" i="5"/>
  <c r="CI179" i="5"/>
  <c r="CI180" i="5"/>
  <c r="CI181" i="5"/>
  <c r="CI182" i="5"/>
  <c r="CI183" i="5"/>
  <c r="CI184" i="5"/>
  <c r="CI185" i="5"/>
  <c r="CI186" i="5"/>
  <c r="CI187" i="5"/>
  <c r="CI188" i="5"/>
  <c r="CI189" i="5"/>
  <c r="CI190" i="5"/>
  <c r="CI191" i="5"/>
  <c r="CI192" i="5"/>
  <c r="CI193" i="5"/>
  <c r="CI194" i="5"/>
  <c r="CI195" i="5"/>
  <c r="CI196" i="5"/>
  <c r="CI197" i="5"/>
  <c r="CI198" i="5"/>
  <c r="CI199" i="5"/>
  <c r="CI200" i="5"/>
  <c r="CI201" i="5"/>
  <c r="CI202" i="5"/>
  <c r="CI203" i="5"/>
  <c r="CI204" i="5"/>
  <c r="CI205" i="5"/>
  <c r="CI206" i="5"/>
  <c r="CI207" i="5"/>
  <c r="CI208" i="5"/>
  <c r="CI209" i="5"/>
  <c r="CI210" i="5"/>
  <c r="CI211" i="5"/>
  <c r="CI212" i="5"/>
  <c r="CI213" i="5"/>
  <c r="CI214" i="5"/>
  <c r="CI215" i="5"/>
  <c r="CI216" i="5"/>
  <c r="CI217" i="5"/>
  <c r="CI218" i="5"/>
  <c r="CI219" i="5"/>
  <c r="CI220" i="5"/>
  <c r="CI221" i="5"/>
  <c r="CI222" i="5"/>
  <c r="CI223" i="5"/>
  <c r="CI224" i="5"/>
  <c r="CI225" i="5"/>
  <c r="CI226" i="5"/>
  <c r="CI227" i="5"/>
  <c r="CI228" i="5"/>
  <c r="CI229" i="5"/>
  <c r="CI230" i="5"/>
  <c r="CI231" i="5"/>
  <c r="CI232" i="5"/>
  <c r="CI233" i="5"/>
  <c r="CI234" i="5"/>
  <c r="CI235" i="5"/>
  <c r="CI236" i="5"/>
  <c r="CI237" i="5"/>
  <c r="CI238" i="5"/>
  <c r="CI239" i="5"/>
  <c r="CI240" i="5"/>
  <c r="CI241" i="5"/>
  <c r="CI242" i="5"/>
  <c r="CI243" i="5"/>
  <c r="CI244" i="5"/>
  <c r="CI245" i="5"/>
  <c r="CI246" i="5"/>
  <c r="CI247" i="5"/>
  <c r="CI248" i="5"/>
  <c r="CI249" i="5"/>
  <c r="CI250" i="5"/>
  <c r="CI251" i="5"/>
  <c r="CI252" i="5"/>
  <c r="CI253" i="5"/>
  <c r="CI254" i="5"/>
  <c r="CI255" i="5"/>
  <c r="CI256" i="5"/>
  <c r="CI257" i="5"/>
  <c r="CI258" i="5"/>
  <c r="CI259" i="5"/>
  <c r="CI260" i="5"/>
  <c r="CI261" i="5"/>
  <c r="CI262" i="5"/>
  <c r="CI263" i="5"/>
  <c r="CI264" i="5"/>
  <c r="CI265" i="5"/>
  <c r="CI266" i="5"/>
  <c r="CI267" i="5"/>
  <c r="CI268" i="5"/>
  <c r="CI269" i="5"/>
  <c r="CI270" i="5"/>
  <c r="CI271" i="5"/>
  <c r="CI272" i="5"/>
  <c r="CI273" i="5"/>
  <c r="CI274" i="5"/>
  <c r="CI275" i="5"/>
  <c r="CI276" i="5"/>
  <c r="CI277" i="5"/>
  <c r="CI278" i="5"/>
  <c r="CI279" i="5"/>
  <c r="CI280" i="5"/>
  <c r="CI281" i="5"/>
  <c r="CI282" i="5"/>
  <c r="CI283" i="5"/>
  <c r="CI284" i="5"/>
  <c r="CI285" i="5"/>
  <c r="CI286" i="5"/>
  <c r="CI287" i="5"/>
  <c r="CI288" i="5"/>
  <c r="CI289" i="5"/>
  <c r="CI290" i="5"/>
  <c r="CI291" i="5"/>
  <c r="CI292" i="5"/>
  <c r="CI293" i="5"/>
  <c r="CI294" i="5"/>
  <c r="CI295" i="5"/>
  <c r="CI296" i="5"/>
  <c r="CI297" i="5"/>
  <c r="CI298" i="5"/>
  <c r="CI299" i="5"/>
  <c r="CI300" i="5"/>
  <c r="CI301" i="5"/>
  <c r="CI302" i="5"/>
  <c r="CI303" i="5"/>
  <c r="CI304" i="5"/>
  <c r="CI305" i="5"/>
  <c r="CI306" i="5"/>
  <c r="CI307" i="5"/>
  <c r="CI308" i="5"/>
  <c r="CI309" i="5"/>
  <c r="CI310" i="5"/>
  <c r="CI311" i="5"/>
  <c r="CI312" i="5"/>
  <c r="CI313" i="5"/>
  <c r="CI314" i="5"/>
  <c r="CI315" i="5"/>
  <c r="CI316" i="5"/>
  <c r="CI317" i="5"/>
  <c r="CI318" i="5"/>
  <c r="CI319" i="5"/>
  <c r="CI320" i="5"/>
  <c r="CI321" i="5"/>
  <c r="CI322" i="5"/>
  <c r="CI323" i="5"/>
  <c r="CI324" i="5"/>
  <c r="CI325" i="5"/>
  <c r="CI326" i="5"/>
  <c r="CI327" i="5"/>
  <c r="CI328" i="5"/>
  <c r="CI329" i="5"/>
  <c r="CI330" i="5"/>
  <c r="CI331" i="5"/>
  <c r="CI332" i="5"/>
  <c r="CI333" i="5"/>
  <c r="CI334" i="5"/>
  <c r="CI335" i="5"/>
  <c r="CI336" i="5"/>
  <c r="CI337" i="5"/>
  <c r="CI338" i="5"/>
  <c r="CI339" i="5"/>
  <c r="CI340" i="5"/>
  <c r="CI341" i="5"/>
  <c r="CI342" i="5"/>
  <c r="CI343" i="5"/>
  <c r="CI344" i="5"/>
  <c r="CI345" i="5"/>
  <c r="CI346" i="5"/>
  <c r="CI347" i="5"/>
  <c r="CI348" i="5"/>
  <c r="CI349" i="5"/>
  <c r="CI350" i="5"/>
  <c r="CI351" i="5"/>
  <c r="CI352" i="5"/>
  <c r="CI353" i="5"/>
  <c r="CI354" i="5"/>
  <c r="CI355" i="5"/>
  <c r="CI356" i="5"/>
  <c r="CI357" i="5"/>
  <c r="CI358" i="5"/>
  <c r="CI359" i="5"/>
  <c r="CI360" i="5"/>
  <c r="CI361" i="5"/>
  <c r="CI362" i="5"/>
  <c r="CI363" i="5"/>
  <c r="CI364" i="5"/>
  <c r="CI365" i="5"/>
  <c r="CI366" i="5"/>
  <c r="CI367" i="5"/>
  <c r="CI368" i="5"/>
  <c r="CI369" i="5"/>
  <c r="CI370" i="5"/>
  <c r="CI371" i="5"/>
  <c r="CI372" i="5"/>
  <c r="CI373" i="5"/>
  <c r="CI374" i="5"/>
  <c r="CI375" i="5"/>
  <c r="CI376" i="5"/>
  <c r="CI377" i="5"/>
  <c r="CI378" i="5"/>
  <c r="CI379" i="5"/>
  <c r="CI380" i="5"/>
  <c r="CI381" i="5"/>
  <c r="CI382" i="5"/>
  <c r="CI383" i="5"/>
  <c r="CI384" i="5"/>
  <c r="CI385" i="5"/>
  <c r="CI386" i="5"/>
  <c r="CI387" i="5"/>
  <c r="CI388" i="5"/>
  <c r="CI389" i="5"/>
  <c r="CI390" i="5"/>
  <c r="CI391" i="5"/>
  <c r="CI392" i="5"/>
  <c r="CI393" i="5"/>
  <c r="CI394" i="5"/>
  <c r="CI395" i="5"/>
  <c r="CI396" i="5"/>
  <c r="CI397" i="5"/>
  <c r="CI398" i="5"/>
  <c r="CI399" i="5"/>
  <c r="CI400" i="5"/>
  <c r="CI401" i="5"/>
  <c r="CI402" i="5"/>
  <c r="CI403" i="5"/>
  <c r="CI404" i="5"/>
  <c r="CI405" i="5"/>
  <c r="CI406" i="5"/>
  <c r="CI407" i="5"/>
  <c r="CI408" i="5"/>
  <c r="CI409" i="5"/>
  <c r="CI410" i="5"/>
  <c r="CI411" i="5"/>
  <c r="CI412" i="5"/>
  <c r="CI413" i="5"/>
  <c r="CI414" i="5"/>
  <c r="CI415" i="5"/>
  <c r="CI416" i="5"/>
  <c r="CI417" i="5"/>
  <c r="CI418" i="5"/>
  <c r="CI419" i="5"/>
  <c r="CI420" i="5"/>
  <c r="CI421" i="5"/>
  <c r="CI422" i="5"/>
  <c r="CI423" i="5"/>
  <c r="CI424" i="5"/>
  <c r="CI425" i="5"/>
  <c r="CI426" i="5"/>
  <c r="CI427" i="5"/>
  <c r="CI428" i="5"/>
  <c r="CI429" i="5"/>
  <c r="CI430" i="5"/>
  <c r="CI431" i="5"/>
  <c r="CI432" i="5"/>
  <c r="CI433" i="5"/>
  <c r="CI434" i="5"/>
  <c r="CI435" i="5"/>
  <c r="CI436" i="5"/>
  <c r="CI437" i="5"/>
  <c r="CI438" i="5"/>
  <c r="CI439" i="5"/>
  <c r="CI440" i="5"/>
  <c r="CI441" i="5"/>
  <c r="CI442" i="5"/>
  <c r="CI443" i="5"/>
  <c r="CI444" i="5"/>
  <c r="CI445" i="5"/>
  <c r="CI446" i="5"/>
  <c r="CI447" i="5"/>
  <c r="CI448" i="5"/>
  <c r="CI449" i="5"/>
  <c r="CI450" i="5"/>
  <c r="CI451" i="5"/>
  <c r="CI452" i="5"/>
  <c r="CI453" i="5"/>
  <c r="CI454" i="5"/>
  <c r="CI455" i="5"/>
  <c r="CI456" i="5"/>
  <c r="CI457" i="5"/>
  <c r="CI458" i="5"/>
  <c r="CI459" i="5"/>
  <c r="CI460" i="5"/>
  <c r="CI461" i="5"/>
  <c r="CI462" i="5"/>
  <c r="CI463" i="5"/>
  <c r="CI464" i="5"/>
  <c r="CI465" i="5"/>
  <c r="CI466" i="5"/>
  <c r="CI467" i="5"/>
  <c r="CI468" i="5"/>
  <c r="CI469" i="5"/>
  <c r="CI470" i="5"/>
  <c r="CI471" i="5"/>
  <c r="CI472" i="5"/>
  <c r="CI473" i="5"/>
  <c r="CI474" i="5"/>
  <c r="CI475" i="5"/>
  <c r="CI476" i="5"/>
  <c r="CI477" i="5"/>
  <c r="CI478" i="5"/>
  <c r="CI479" i="5"/>
  <c r="CI480" i="5"/>
  <c r="CI481" i="5"/>
  <c r="CI482" i="5"/>
  <c r="CI483" i="5"/>
  <c r="CI484" i="5"/>
  <c r="CI485" i="5"/>
  <c r="CI486" i="5"/>
  <c r="CI487" i="5"/>
  <c r="CI488" i="5"/>
  <c r="CI489" i="5"/>
  <c r="CI490" i="5"/>
  <c r="CI491" i="5"/>
  <c r="CI492" i="5"/>
  <c r="CI493" i="5"/>
  <c r="CI494" i="5"/>
  <c r="CI495" i="5"/>
  <c r="CI496" i="5"/>
  <c r="CI497" i="5"/>
  <c r="CI498" i="5"/>
  <c r="CI499" i="5"/>
  <c r="CI500" i="5"/>
  <c r="CI501" i="5"/>
  <c r="CI502" i="5"/>
  <c r="CI503" i="5"/>
  <c r="CI504" i="5"/>
  <c r="CI505" i="5"/>
  <c r="CI506" i="5"/>
  <c r="CI507" i="5"/>
  <c r="CI508" i="5"/>
  <c r="CI509" i="5"/>
  <c r="CI510" i="5"/>
  <c r="CI511" i="5"/>
  <c r="CI512" i="5"/>
  <c r="CI513" i="5"/>
  <c r="CI514" i="5"/>
  <c r="CI515" i="5"/>
  <c r="CI516" i="5"/>
  <c r="CI517" i="5"/>
  <c r="CI518" i="5"/>
  <c r="CI519" i="5"/>
  <c r="CI520" i="5"/>
  <c r="CI521" i="5"/>
  <c r="CI522" i="5"/>
  <c r="CI523" i="5"/>
  <c r="CI524" i="5"/>
  <c r="CI525" i="5"/>
  <c r="CI526" i="5"/>
  <c r="CI527" i="5"/>
  <c r="CI528" i="5"/>
  <c r="CI529" i="5"/>
  <c r="CI530" i="5"/>
  <c r="CI531" i="5"/>
  <c r="CI532" i="5"/>
  <c r="CI533" i="5"/>
  <c r="CI534" i="5"/>
  <c r="CI535" i="5"/>
  <c r="CI536" i="5"/>
  <c r="CI537" i="5"/>
  <c r="CI538" i="5"/>
  <c r="CI539" i="5"/>
  <c r="CI540" i="5"/>
  <c r="CI541" i="5"/>
  <c r="CI542" i="5"/>
  <c r="CI543" i="5"/>
  <c r="CI544" i="5"/>
  <c r="CI545" i="5"/>
  <c r="CI546" i="5"/>
  <c r="CI547" i="5"/>
  <c r="CI548" i="5"/>
  <c r="CI549" i="5"/>
  <c r="CI550" i="5"/>
  <c r="CI551" i="5"/>
  <c r="CI552" i="5"/>
  <c r="CI553" i="5"/>
  <c r="CI554" i="5"/>
  <c r="CI555" i="5"/>
  <c r="CI556" i="5"/>
  <c r="CI557" i="5"/>
  <c r="CI558" i="5"/>
  <c r="CI559" i="5"/>
  <c r="CI560" i="5"/>
  <c r="CI561" i="5"/>
  <c r="CI562" i="5"/>
  <c r="CI563" i="5"/>
  <c r="CI564" i="5"/>
  <c r="CI565" i="5"/>
  <c r="CI566" i="5"/>
  <c r="CI567" i="5"/>
  <c r="CI568" i="5"/>
  <c r="CI569" i="5"/>
  <c r="CI570" i="5"/>
  <c r="CI571" i="5"/>
  <c r="CI572" i="5"/>
  <c r="CI573" i="5"/>
  <c r="CI574" i="5"/>
  <c r="CI575" i="5"/>
  <c r="CI576" i="5"/>
  <c r="CI577" i="5"/>
  <c r="CI578" i="5"/>
  <c r="CI579" i="5"/>
  <c r="CI580" i="5"/>
  <c r="CI581" i="5"/>
  <c r="CI582" i="5"/>
  <c r="CI583" i="5"/>
  <c r="CI584" i="5"/>
  <c r="CI585" i="5"/>
  <c r="CI586" i="5"/>
  <c r="CI587" i="5"/>
  <c r="CI588" i="5"/>
  <c r="CI589" i="5"/>
  <c r="CI590" i="5"/>
  <c r="CI591" i="5"/>
  <c r="CI592" i="5"/>
  <c r="CI593" i="5"/>
  <c r="CI594" i="5"/>
  <c r="CI595" i="5"/>
  <c r="CI596" i="5"/>
  <c r="CI597" i="5"/>
  <c r="CI598" i="5"/>
  <c r="CI599" i="5"/>
  <c r="CI600" i="5"/>
  <c r="CI601" i="5"/>
  <c r="CI602" i="5"/>
  <c r="CI603" i="5"/>
  <c r="CI604" i="5"/>
  <c r="CI605" i="5"/>
  <c r="CI606" i="5"/>
  <c r="CI607" i="5"/>
  <c r="CI608" i="5"/>
  <c r="CI609" i="5"/>
  <c r="CI610" i="5"/>
  <c r="CI611" i="5"/>
  <c r="CI612" i="5"/>
  <c r="CI613" i="5"/>
  <c r="CI614" i="5"/>
  <c r="CI615" i="5"/>
  <c r="CI616" i="5"/>
  <c r="CI617" i="5"/>
  <c r="CI618" i="5"/>
  <c r="CI619" i="5"/>
  <c r="CI620" i="5"/>
  <c r="CI621" i="5"/>
  <c r="CI622" i="5"/>
  <c r="CI623" i="5"/>
  <c r="CI624" i="5"/>
  <c r="CI625" i="5"/>
  <c r="CI626" i="5"/>
  <c r="CI627" i="5"/>
  <c r="CI628" i="5"/>
  <c r="CI629" i="5"/>
  <c r="CI630" i="5"/>
  <c r="CI631" i="5"/>
  <c r="CI632" i="5"/>
  <c r="CI633" i="5"/>
  <c r="CI634" i="5"/>
  <c r="CI635" i="5"/>
  <c r="CI636" i="5"/>
  <c r="CI637" i="5"/>
  <c r="CI638" i="5"/>
  <c r="CI639" i="5"/>
  <c r="CI640" i="5"/>
  <c r="CI641" i="5"/>
  <c r="CI642" i="5"/>
  <c r="CI643" i="5"/>
  <c r="CI644" i="5"/>
  <c r="CI645" i="5"/>
  <c r="CI646" i="5"/>
  <c r="CI647" i="5"/>
  <c r="CI648" i="5"/>
  <c r="CI649" i="5"/>
  <c r="CI650" i="5"/>
  <c r="CI651" i="5"/>
  <c r="CI652" i="5"/>
  <c r="CI653" i="5"/>
  <c r="CI654" i="5"/>
  <c r="CI655" i="5"/>
  <c r="CI656" i="5"/>
  <c r="CI657" i="5"/>
  <c r="CI658" i="5"/>
  <c r="CI659" i="5"/>
  <c r="CI660" i="5"/>
  <c r="CI661" i="5"/>
  <c r="CI662" i="5"/>
  <c r="CI663" i="5"/>
  <c r="CI664" i="5"/>
  <c r="CI665" i="5"/>
  <c r="CI666" i="5"/>
  <c r="CI667" i="5"/>
  <c r="CI668" i="5"/>
  <c r="CI669" i="5"/>
  <c r="CI670" i="5"/>
  <c r="CI671" i="5"/>
  <c r="CI672" i="5"/>
  <c r="CI673" i="5"/>
  <c r="CI674" i="5"/>
  <c r="CI675" i="5"/>
  <c r="CI676" i="5"/>
  <c r="CI677" i="5"/>
  <c r="CI678" i="5"/>
  <c r="CI679" i="5"/>
  <c r="CI680" i="5"/>
  <c r="CI681" i="5"/>
  <c r="CI682" i="5"/>
  <c r="CI683" i="5"/>
  <c r="CI684" i="5"/>
  <c r="CI685" i="5"/>
  <c r="CI686" i="5"/>
  <c r="CI687" i="5"/>
  <c r="CI688" i="5"/>
  <c r="CI689" i="5"/>
  <c r="CI690" i="5"/>
  <c r="CI691" i="5"/>
  <c r="CI692" i="5"/>
  <c r="CI693" i="5"/>
  <c r="CI694" i="5"/>
  <c r="CI695" i="5"/>
  <c r="CI696" i="5"/>
  <c r="CI697" i="5"/>
  <c r="CI698" i="5"/>
  <c r="CI699" i="5"/>
  <c r="CI700" i="5"/>
  <c r="CI701" i="5"/>
  <c r="CI702" i="5"/>
  <c r="CI703" i="5"/>
  <c r="CI704" i="5"/>
  <c r="CI705" i="5"/>
  <c r="CI706" i="5"/>
  <c r="CI707" i="5"/>
  <c r="CI708" i="5"/>
  <c r="CI709" i="5"/>
  <c r="CI710" i="5"/>
  <c r="CI711" i="5"/>
  <c r="CI712" i="5"/>
  <c r="CI713" i="5"/>
  <c r="CI714" i="5"/>
  <c r="CI715" i="5"/>
  <c r="CI716" i="5"/>
  <c r="CI717" i="5"/>
  <c r="CI718" i="5"/>
  <c r="CI719" i="5"/>
  <c r="CI720" i="5"/>
  <c r="CI721" i="5"/>
  <c r="CI722" i="5"/>
  <c r="CI723" i="5"/>
  <c r="CI724" i="5"/>
  <c r="CI725" i="5"/>
  <c r="CI726" i="5"/>
  <c r="CI727" i="5"/>
  <c r="CI728" i="5"/>
  <c r="CI729" i="5"/>
  <c r="CI730" i="5"/>
  <c r="CI731" i="5"/>
  <c r="CI732" i="5"/>
  <c r="CI733" i="5"/>
  <c r="CI734" i="5"/>
  <c r="CI735" i="5"/>
  <c r="CI736" i="5"/>
  <c r="CI737" i="5"/>
  <c r="CI738" i="5"/>
  <c r="CI739" i="5"/>
  <c r="CI740" i="5"/>
  <c r="CI741" i="5"/>
  <c r="CI742" i="5"/>
  <c r="CI743" i="5"/>
  <c r="CI744" i="5"/>
  <c r="CI745" i="5"/>
  <c r="CI746" i="5"/>
  <c r="CI747" i="5"/>
  <c r="CI748" i="5"/>
  <c r="CI749" i="5"/>
  <c r="CI750" i="5"/>
  <c r="CI751" i="5"/>
  <c r="CI752" i="5"/>
  <c r="CI753" i="5"/>
  <c r="CI754" i="5"/>
  <c r="CI755" i="5"/>
  <c r="CI756" i="5"/>
  <c r="CI757" i="5"/>
  <c r="CI758" i="5"/>
  <c r="CI759" i="5"/>
  <c r="CI760" i="5"/>
  <c r="CI761" i="5"/>
  <c r="CI762" i="5"/>
  <c r="CI763" i="5"/>
  <c r="CI764" i="5"/>
  <c r="CI765" i="5"/>
  <c r="CI766" i="5"/>
  <c r="CI767" i="5"/>
  <c r="CI768" i="5"/>
  <c r="CI769" i="5"/>
  <c r="CI770" i="5"/>
  <c r="CI771" i="5"/>
  <c r="CI772" i="5"/>
  <c r="CI773" i="5"/>
  <c r="CI774" i="5"/>
  <c r="CI775" i="5"/>
  <c r="CI776" i="5"/>
  <c r="CI777" i="5"/>
  <c r="CI778" i="5"/>
  <c r="CI779" i="5"/>
  <c r="CI780" i="5"/>
  <c r="CI781" i="5"/>
  <c r="CI782" i="5"/>
  <c r="CI783" i="5"/>
  <c r="CI784" i="5"/>
  <c r="CI785" i="5"/>
  <c r="CI786" i="5"/>
  <c r="CI787" i="5"/>
  <c r="CI788" i="5"/>
  <c r="CI789" i="5"/>
  <c r="CI790" i="5"/>
  <c r="CI791" i="5"/>
  <c r="CI792" i="5"/>
  <c r="CI793" i="5"/>
  <c r="CI794" i="5"/>
  <c r="CI795" i="5"/>
  <c r="CI796" i="5"/>
  <c r="CI797" i="5"/>
  <c r="CI798" i="5"/>
  <c r="CI799" i="5"/>
  <c r="CI800" i="5"/>
  <c r="CI801" i="5"/>
  <c r="CI802" i="5"/>
  <c r="CI803" i="5"/>
  <c r="CI804" i="5"/>
  <c r="CI805" i="5"/>
  <c r="CI806" i="5"/>
  <c r="CI807" i="5"/>
  <c r="CI808" i="5"/>
  <c r="CI809" i="5"/>
  <c r="CI810" i="5"/>
  <c r="CI811" i="5"/>
  <c r="CI812" i="5"/>
  <c r="CI813" i="5"/>
  <c r="CI814" i="5"/>
  <c r="CI815" i="5"/>
  <c r="CI816" i="5"/>
  <c r="CI817" i="5"/>
  <c r="CI818" i="5"/>
  <c r="CI819" i="5"/>
  <c r="CI820" i="5"/>
  <c r="CI821" i="5"/>
  <c r="CI822" i="5"/>
  <c r="CI823" i="5"/>
  <c r="CI824" i="5"/>
  <c r="CI825" i="5"/>
  <c r="CI826" i="5"/>
  <c r="CI827" i="5"/>
  <c r="CI828" i="5"/>
  <c r="CI829" i="5"/>
  <c r="CI830" i="5"/>
  <c r="CI831" i="5"/>
  <c r="CI832" i="5"/>
  <c r="CI833" i="5"/>
  <c r="CI834" i="5"/>
  <c r="CI835" i="5"/>
  <c r="CI836" i="5"/>
  <c r="CI837" i="5"/>
  <c r="CI838" i="5"/>
  <c r="CI839" i="5"/>
  <c r="CI840" i="5"/>
  <c r="CI841" i="5"/>
  <c r="CI842" i="5"/>
  <c r="CI843" i="5"/>
  <c r="CI844" i="5"/>
  <c r="CI845" i="5"/>
  <c r="CI846" i="5"/>
  <c r="CI847" i="5"/>
  <c r="CI848" i="5"/>
  <c r="CI849" i="5"/>
  <c r="CI850" i="5"/>
  <c r="CI851" i="5"/>
  <c r="CI852" i="5"/>
  <c r="CI853" i="5"/>
  <c r="CI854" i="5"/>
  <c r="CI855" i="5"/>
  <c r="CI856" i="5"/>
  <c r="CI857" i="5"/>
  <c r="CI858" i="5"/>
  <c r="CI859" i="5"/>
  <c r="CI860" i="5"/>
  <c r="CI861" i="5"/>
  <c r="CI862" i="5"/>
  <c r="CI863" i="5"/>
  <c r="CI864" i="5"/>
  <c r="CI865" i="5"/>
  <c r="CI866" i="5"/>
  <c r="CI867" i="5"/>
  <c r="CI868" i="5"/>
  <c r="CI869" i="5"/>
  <c r="CI870" i="5"/>
  <c r="CI871" i="5"/>
  <c r="CI872" i="5"/>
  <c r="CI873" i="5"/>
  <c r="CI874" i="5"/>
  <c r="CI875" i="5"/>
  <c r="CI876" i="5"/>
  <c r="CI877" i="5"/>
  <c r="CI878" i="5"/>
  <c r="CI879" i="5"/>
  <c r="CI880" i="5"/>
  <c r="CI881" i="5"/>
  <c r="CI882" i="5"/>
  <c r="CI883" i="5"/>
  <c r="CI884" i="5"/>
  <c r="CI885" i="5"/>
  <c r="CI886" i="5"/>
  <c r="CI887" i="5"/>
  <c r="CI888" i="5"/>
  <c r="CI889" i="5"/>
  <c r="CI890" i="5"/>
  <c r="AV113" i="5"/>
  <c r="CI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7" i="6"/>
  <c r="CH114" i="5" l="1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563" i="5"/>
  <c r="CH564" i="5"/>
  <c r="CH565" i="5"/>
  <c r="CH566" i="5"/>
  <c r="CH567" i="5"/>
  <c r="CH568" i="5"/>
  <c r="CH569" i="5"/>
  <c r="CH570" i="5"/>
  <c r="CH571" i="5"/>
  <c r="CH572" i="5"/>
  <c r="CH573" i="5"/>
  <c r="CH574" i="5"/>
  <c r="CH575" i="5"/>
  <c r="CH576" i="5"/>
  <c r="CH577" i="5"/>
  <c r="CH578" i="5"/>
  <c r="CH579" i="5"/>
  <c r="CH580" i="5"/>
  <c r="CH581" i="5"/>
  <c r="CH582" i="5"/>
  <c r="CH583" i="5"/>
  <c r="CH584" i="5"/>
  <c r="CH585" i="5"/>
  <c r="CH586" i="5"/>
  <c r="CH587" i="5"/>
  <c r="CH588" i="5"/>
  <c r="CH589" i="5"/>
  <c r="CH590" i="5"/>
  <c r="CH591" i="5"/>
  <c r="CH592" i="5"/>
  <c r="CH593" i="5"/>
  <c r="CH594" i="5"/>
  <c r="CH595" i="5"/>
  <c r="CH596" i="5"/>
  <c r="CH597" i="5"/>
  <c r="CH598" i="5"/>
  <c r="CH599" i="5"/>
  <c r="CH600" i="5"/>
  <c r="CH601" i="5"/>
  <c r="CH602" i="5"/>
  <c r="CH603" i="5"/>
  <c r="CH604" i="5"/>
  <c r="CH605" i="5"/>
  <c r="CH606" i="5"/>
  <c r="CH607" i="5"/>
  <c r="CH608" i="5"/>
  <c r="CH609" i="5"/>
  <c r="CH610" i="5"/>
  <c r="CH611" i="5"/>
  <c r="CH612" i="5"/>
  <c r="CH613" i="5"/>
  <c r="CH614" i="5"/>
  <c r="CH615" i="5"/>
  <c r="CH616" i="5"/>
  <c r="CH617" i="5"/>
  <c r="CH618" i="5"/>
  <c r="CH619" i="5"/>
  <c r="CH620" i="5"/>
  <c r="CH621" i="5"/>
  <c r="CH622" i="5"/>
  <c r="CH623" i="5"/>
  <c r="CH624" i="5"/>
  <c r="CH625" i="5"/>
  <c r="CH626" i="5"/>
  <c r="CH627" i="5"/>
  <c r="CH628" i="5"/>
  <c r="CH629" i="5"/>
  <c r="CH630" i="5"/>
  <c r="CH631" i="5"/>
  <c r="CH632" i="5"/>
  <c r="CH633" i="5"/>
  <c r="CH634" i="5"/>
  <c r="CH635" i="5"/>
  <c r="CH636" i="5"/>
  <c r="CH637" i="5"/>
  <c r="CH638" i="5"/>
  <c r="CH639" i="5"/>
  <c r="CH640" i="5"/>
  <c r="CH641" i="5"/>
  <c r="CH642" i="5"/>
  <c r="CH643" i="5"/>
  <c r="CH644" i="5"/>
  <c r="CH645" i="5"/>
  <c r="CH646" i="5"/>
  <c r="CH647" i="5"/>
  <c r="CH648" i="5"/>
  <c r="CH649" i="5"/>
  <c r="CH650" i="5"/>
  <c r="CH651" i="5"/>
  <c r="CH652" i="5"/>
  <c r="CH653" i="5"/>
  <c r="CH654" i="5"/>
  <c r="CH655" i="5"/>
  <c r="CH656" i="5"/>
  <c r="CH657" i="5"/>
  <c r="CH658" i="5"/>
  <c r="CH659" i="5"/>
  <c r="CH660" i="5"/>
  <c r="CH661" i="5"/>
  <c r="CH662" i="5"/>
  <c r="CH663" i="5"/>
  <c r="CH664" i="5"/>
  <c r="CH665" i="5"/>
  <c r="CH666" i="5"/>
  <c r="CH667" i="5"/>
  <c r="CH668" i="5"/>
  <c r="CH669" i="5"/>
  <c r="CH670" i="5"/>
  <c r="CH671" i="5"/>
  <c r="CH672" i="5"/>
  <c r="CH673" i="5"/>
  <c r="CH674" i="5"/>
  <c r="CH675" i="5"/>
  <c r="CH676" i="5"/>
  <c r="CH677" i="5"/>
  <c r="CH678" i="5"/>
  <c r="CH679" i="5"/>
  <c r="CH680" i="5"/>
  <c r="CH681" i="5"/>
  <c r="CH682" i="5"/>
  <c r="CH683" i="5"/>
  <c r="CH684" i="5"/>
  <c r="CH685" i="5"/>
  <c r="CH686" i="5"/>
  <c r="CH687" i="5"/>
  <c r="CH688" i="5"/>
  <c r="CH689" i="5"/>
  <c r="CH690" i="5"/>
  <c r="CH691" i="5"/>
  <c r="CH692" i="5"/>
  <c r="CH693" i="5"/>
  <c r="CH694" i="5"/>
  <c r="CH695" i="5"/>
  <c r="CH696" i="5"/>
  <c r="CH697" i="5"/>
  <c r="CH698" i="5"/>
  <c r="CH699" i="5"/>
  <c r="CH700" i="5"/>
  <c r="CH701" i="5"/>
  <c r="CH702" i="5"/>
  <c r="CH703" i="5"/>
  <c r="CH704" i="5"/>
  <c r="CH705" i="5"/>
  <c r="CH706" i="5"/>
  <c r="CH707" i="5"/>
  <c r="CH708" i="5"/>
  <c r="CH709" i="5"/>
  <c r="CH710" i="5"/>
  <c r="CH711" i="5"/>
  <c r="CH712" i="5"/>
  <c r="CH713" i="5"/>
  <c r="CH714" i="5"/>
  <c r="CH715" i="5"/>
  <c r="CH716" i="5"/>
  <c r="CH717" i="5"/>
  <c r="CH718" i="5"/>
  <c r="CH719" i="5"/>
  <c r="CH720" i="5"/>
  <c r="CH721" i="5"/>
  <c r="CH722" i="5"/>
  <c r="CH723" i="5"/>
  <c r="CH724" i="5"/>
  <c r="CH725" i="5"/>
  <c r="CH726" i="5"/>
  <c r="CH727" i="5"/>
  <c r="CH728" i="5"/>
  <c r="CH729" i="5"/>
  <c r="CH730" i="5"/>
  <c r="CH731" i="5"/>
  <c r="CH732" i="5"/>
  <c r="CH733" i="5"/>
  <c r="CH734" i="5"/>
  <c r="CH735" i="5"/>
  <c r="CH736" i="5"/>
  <c r="CH737" i="5"/>
  <c r="CH738" i="5"/>
  <c r="CH739" i="5"/>
  <c r="CH740" i="5"/>
  <c r="CH741" i="5"/>
  <c r="CH742" i="5"/>
  <c r="CH743" i="5"/>
  <c r="CH744" i="5"/>
  <c r="CH745" i="5"/>
  <c r="CH746" i="5"/>
  <c r="CH747" i="5"/>
  <c r="CH748" i="5"/>
  <c r="CH749" i="5"/>
  <c r="CH750" i="5"/>
  <c r="CH751" i="5"/>
  <c r="CH752" i="5"/>
  <c r="CH753" i="5"/>
  <c r="CH754" i="5"/>
  <c r="CH755" i="5"/>
  <c r="CH756" i="5"/>
  <c r="CH757" i="5"/>
  <c r="CH758" i="5"/>
  <c r="CH759" i="5"/>
  <c r="CH760" i="5"/>
  <c r="CH761" i="5"/>
  <c r="CH762" i="5"/>
  <c r="CH763" i="5"/>
  <c r="CH764" i="5"/>
  <c r="CH765" i="5"/>
  <c r="CH766" i="5"/>
  <c r="CH767" i="5"/>
  <c r="CH768" i="5"/>
  <c r="CH769" i="5"/>
  <c r="CH770" i="5"/>
  <c r="CH771" i="5"/>
  <c r="CH772" i="5"/>
  <c r="CH773" i="5"/>
  <c r="CH774" i="5"/>
  <c r="CH775" i="5"/>
  <c r="CH776" i="5"/>
  <c r="CH777" i="5"/>
  <c r="CH778" i="5"/>
  <c r="CH779" i="5"/>
  <c r="CH780" i="5"/>
  <c r="CH781" i="5"/>
  <c r="CH782" i="5"/>
  <c r="CH783" i="5"/>
  <c r="CH784" i="5"/>
  <c r="CH785" i="5"/>
  <c r="CH786" i="5"/>
  <c r="CH787" i="5"/>
  <c r="CH788" i="5"/>
  <c r="CH789" i="5"/>
  <c r="CH790" i="5"/>
  <c r="CH791" i="5"/>
  <c r="CH792" i="5"/>
  <c r="CH793" i="5"/>
  <c r="CH794" i="5"/>
  <c r="CH795" i="5"/>
  <c r="CH796" i="5"/>
  <c r="CH797" i="5"/>
  <c r="CH798" i="5"/>
  <c r="CH799" i="5"/>
  <c r="CH800" i="5"/>
  <c r="CH801" i="5"/>
  <c r="CH802" i="5"/>
  <c r="CH803" i="5"/>
  <c r="CH804" i="5"/>
  <c r="CH805" i="5"/>
  <c r="CH806" i="5"/>
  <c r="CH807" i="5"/>
  <c r="CH808" i="5"/>
  <c r="CH809" i="5"/>
  <c r="CH810" i="5"/>
  <c r="CH811" i="5"/>
  <c r="CH812" i="5"/>
  <c r="CH813" i="5"/>
  <c r="CH814" i="5"/>
  <c r="CH815" i="5"/>
  <c r="CH816" i="5"/>
  <c r="CH817" i="5"/>
  <c r="CH818" i="5"/>
  <c r="CH819" i="5"/>
  <c r="CH820" i="5"/>
  <c r="CH821" i="5"/>
  <c r="CH822" i="5"/>
  <c r="CH823" i="5"/>
  <c r="CH824" i="5"/>
  <c r="CH825" i="5"/>
  <c r="CH826" i="5"/>
  <c r="CH827" i="5"/>
  <c r="CH828" i="5"/>
  <c r="CH829" i="5"/>
  <c r="CH830" i="5"/>
  <c r="CH831" i="5"/>
  <c r="CH832" i="5"/>
  <c r="CH833" i="5"/>
  <c r="CH834" i="5"/>
  <c r="CH835" i="5"/>
  <c r="CH836" i="5"/>
  <c r="CH837" i="5"/>
  <c r="CH838" i="5"/>
  <c r="CH839" i="5"/>
  <c r="CH840" i="5"/>
  <c r="CH841" i="5"/>
  <c r="CH842" i="5"/>
  <c r="CH843" i="5"/>
  <c r="CH844" i="5"/>
  <c r="CH845" i="5"/>
  <c r="CH846" i="5"/>
  <c r="CH847" i="5"/>
  <c r="CH848" i="5"/>
  <c r="CH849" i="5"/>
  <c r="CH850" i="5"/>
  <c r="CH851" i="5"/>
  <c r="CH852" i="5"/>
  <c r="CH853" i="5"/>
  <c r="CH854" i="5"/>
  <c r="CH855" i="5"/>
  <c r="CH856" i="5"/>
  <c r="CH857" i="5"/>
  <c r="CH858" i="5"/>
  <c r="CH859" i="5"/>
  <c r="CH860" i="5"/>
  <c r="CH861" i="5"/>
  <c r="CH862" i="5"/>
  <c r="CH863" i="5"/>
  <c r="CH864" i="5"/>
  <c r="CH865" i="5"/>
  <c r="CH866" i="5"/>
  <c r="CH867" i="5"/>
  <c r="CH868" i="5"/>
  <c r="CH869" i="5"/>
  <c r="CH870" i="5"/>
  <c r="CH871" i="5"/>
  <c r="CH872" i="5"/>
  <c r="CH873" i="5"/>
  <c r="CH874" i="5"/>
  <c r="CH875" i="5"/>
  <c r="CH876" i="5"/>
  <c r="CH877" i="5"/>
  <c r="CH878" i="5"/>
  <c r="CH879" i="5"/>
  <c r="CH880" i="5"/>
  <c r="CH881" i="5"/>
  <c r="CH882" i="5"/>
  <c r="CH883" i="5"/>
  <c r="CH884" i="5"/>
  <c r="CH885" i="5"/>
  <c r="CH886" i="5"/>
  <c r="CH887" i="5"/>
  <c r="CH888" i="5"/>
  <c r="CH889" i="5"/>
  <c r="CH890" i="5"/>
  <c r="CH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13" i="5"/>
  <c r="CK138" i="5"/>
  <c r="CJ138" i="5"/>
  <c r="CK137" i="5"/>
  <c r="CJ137" i="5"/>
  <c r="CI137" i="5"/>
  <c r="CK136" i="5"/>
  <c r="CJ136" i="5"/>
  <c r="CI136" i="5"/>
  <c r="CK135" i="5"/>
  <c r="CJ135" i="5"/>
  <c r="CK134" i="5"/>
  <c r="CJ134" i="5"/>
  <c r="CI134" i="5"/>
  <c r="CK133" i="5"/>
  <c r="CJ133" i="5"/>
  <c r="CI133" i="5"/>
  <c r="CK132" i="5"/>
  <c r="CJ132" i="5"/>
  <c r="CI132" i="5"/>
  <c r="CK131" i="5"/>
  <c r="CJ131" i="5"/>
  <c r="CI131" i="5"/>
  <c r="CK130" i="5"/>
  <c r="CJ130" i="5"/>
  <c r="CI130" i="5"/>
  <c r="CK129" i="5"/>
  <c r="CJ129" i="5"/>
  <c r="CI129" i="5"/>
  <c r="CK128" i="5"/>
  <c r="CJ128" i="5"/>
  <c r="CI128" i="5"/>
  <c r="CK127" i="5"/>
  <c r="CJ127" i="5"/>
  <c r="CI127" i="5"/>
  <c r="CK126" i="5"/>
  <c r="CJ126" i="5"/>
  <c r="CI126" i="5"/>
  <c r="CK125" i="5"/>
  <c r="CJ125" i="5"/>
  <c r="CI125" i="5"/>
  <c r="CK124" i="5"/>
  <c r="CJ124" i="5"/>
  <c r="CI124" i="5"/>
  <c r="CK123" i="5"/>
  <c r="CJ123" i="5"/>
  <c r="CI123" i="5"/>
  <c r="CK122" i="5"/>
  <c r="CJ122" i="5"/>
  <c r="CI122" i="5"/>
  <c r="CK121" i="5"/>
  <c r="CJ121" i="5"/>
  <c r="CI121" i="5"/>
  <c r="CK120" i="5"/>
  <c r="CJ120" i="5"/>
  <c r="CI120" i="5"/>
  <c r="CK119" i="5"/>
  <c r="CJ119" i="5"/>
  <c r="CI119" i="5"/>
  <c r="CK118" i="5"/>
  <c r="CJ118" i="5"/>
  <c r="CI118" i="5"/>
  <c r="CK117" i="5"/>
  <c r="CJ117" i="5"/>
  <c r="CI117" i="5"/>
  <c r="CK116" i="5"/>
  <c r="CJ116" i="5"/>
  <c r="CI116" i="5"/>
  <c r="CK115" i="5"/>
  <c r="CJ115" i="5"/>
  <c r="CI115" i="5"/>
  <c r="CK114" i="5"/>
  <c r="CJ114" i="5"/>
  <c r="CI114" i="5"/>
  <c r="CK113" i="5"/>
  <c r="CI113" i="5"/>
  <c r="CL112" i="5"/>
  <c r="CL111" i="5"/>
  <c r="CL110" i="5"/>
  <c r="CK110" i="5"/>
  <c r="CI110" i="5"/>
  <c r="CH110" i="5"/>
  <c r="CL109" i="5"/>
  <c r="CK109" i="5"/>
  <c r="CJ109" i="5"/>
  <c r="CI109" i="5"/>
  <c r="CH109" i="5"/>
  <c r="CL108" i="5"/>
  <c r="CL107" i="5"/>
  <c r="CL106" i="5"/>
  <c r="CL105" i="5"/>
  <c r="CL104" i="5"/>
  <c r="CL103" i="5"/>
  <c r="CL102" i="5"/>
  <c r="CL101" i="5"/>
  <c r="CL100" i="5"/>
  <c r="CL99" i="5"/>
  <c r="CL98" i="5"/>
  <c r="CL97" i="5"/>
  <c r="CL96" i="5"/>
  <c r="CL95" i="5"/>
  <c r="CL94" i="5"/>
  <c r="CL93" i="5"/>
  <c r="CL92" i="5"/>
  <c r="CL91" i="5"/>
  <c r="CL90" i="5"/>
  <c r="CL89" i="5"/>
  <c r="CL88" i="5"/>
  <c r="CL87" i="5"/>
  <c r="CL86" i="5"/>
  <c r="CL85" i="5"/>
  <c r="CL84" i="5"/>
  <c r="CK84" i="5"/>
  <c r="CJ84" i="5"/>
  <c r="CI84" i="5"/>
  <c r="CH84" i="5"/>
  <c r="CL83" i="5"/>
  <c r="CK83" i="5"/>
  <c r="CJ83" i="5"/>
  <c r="CI83" i="5"/>
  <c r="CH83" i="5"/>
  <c r="CL82" i="5"/>
  <c r="CK82" i="5"/>
  <c r="CJ82" i="5"/>
  <c r="CI82" i="5"/>
  <c r="CH82" i="5"/>
  <c r="CL81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47" i="5"/>
  <c r="CL46" i="5"/>
  <c r="CL45" i="5"/>
  <c r="CL44" i="5"/>
  <c r="CL43" i="5"/>
  <c r="CL42" i="5"/>
  <c r="CL37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DV88" i="5"/>
  <c r="DV89" i="5"/>
  <c r="DV90" i="5"/>
  <c r="DV91" i="5"/>
  <c r="DV92" i="5"/>
  <c r="DV93" i="5"/>
  <c r="DV94" i="5"/>
  <c r="DV95" i="5"/>
  <c r="DV96" i="5"/>
  <c r="DV97" i="5"/>
  <c r="DV98" i="5"/>
  <c r="DV99" i="5"/>
  <c r="DV100" i="5"/>
  <c r="DV101" i="5"/>
  <c r="DV102" i="5"/>
  <c r="DV103" i="5"/>
  <c r="DV104" i="5"/>
  <c r="DV105" i="5"/>
  <c r="DV106" i="5"/>
  <c r="DV107" i="5"/>
  <c r="DV108" i="5"/>
  <c r="DV109" i="5"/>
  <c r="DV110" i="5"/>
  <c r="DV126" i="5"/>
  <c r="DV127" i="5"/>
  <c r="DV128" i="5"/>
  <c r="DV129" i="5"/>
  <c r="DV130" i="5"/>
  <c r="DV131" i="5"/>
  <c r="DV132" i="5"/>
  <c r="DV133" i="5"/>
  <c r="DV134" i="5"/>
  <c r="AY138" i="5"/>
  <c r="AX138" i="5"/>
  <c r="AY137" i="5"/>
  <c r="AX137" i="5"/>
  <c r="AW137" i="5"/>
  <c r="AY136" i="5"/>
  <c r="AX136" i="5"/>
  <c r="AW136" i="5"/>
  <c r="AY135" i="5"/>
  <c r="AX135" i="5"/>
  <c r="AW135" i="5"/>
  <c r="AY134" i="5"/>
  <c r="AX134" i="5"/>
  <c r="AW134" i="5"/>
  <c r="AY133" i="5"/>
  <c r="AX133" i="5"/>
  <c r="AW133" i="5"/>
  <c r="AY132" i="5"/>
  <c r="AX132" i="5"/>
  <c r="AW132" i="5"/>
  <c r="AY131" i="5"/>
  <c r="AX131" i="5"/>
  <c r="AW131" i="5"/>
  <c r="AY130" i="5"/>
  <c r="AX130" i="5"/>
  <c r="AW130" i="5"/>
  <c r="AY129" i="5"/>
  <c r="AX129" i="5"/>
  <c r="AW129" i="5"/>
  <c r="AY128" i="5"/>
  <c r="AX128" i="5"/>
  <c r="AW128" i="5"/>
  <c r="AY127" i="5"/>
  <c r="AX127" i="5"/>
  <c r="AW127" i="5"/>
  <c r="AY126" i="5"/>
  <c r="AX126" i="5"/>
  <c r="AW126" i="5"/>
  <c r="AY125" i="5"/>
  <c r="AX125" i="5"/>
  <c r="AW125" i="5"/>
  <c r="AY124" i="5"/>
  <c r="AX124" i="5"/>
  <c r="AW124" i="5"/>
  <c r="AY123" i="5"/>
  <c r="AX123" i="5"/>
  <c r="AW123" i="5"/>
  <c r="AY122" i="5"/>
  <c r="AX122" i="5"/>
  <c r="AW122" i="5"/>
  <c r="AY113" i="5"/>
  <c r="AX113" i="5"/>
  <c r="AW113" i="5"/>
  <c r="AZ112" i="5"/>
  <c r="AZ111" i="5"/>
  <c r="AZ110" i="5"/>
  <c r="AY110" i="5"/>
  <c r="AX110" i="5"/>
  <c r="AW110" i="5"/>
  <c r="AV110" i="5"/>
  <c r="AZ109" i="5"/>
  <c r="AY109" i="5"/>
  <c r="AX109" i="5"/>
  <c r="AW109" i="5"/>
  <c r="AV109" i="5"/>
  <c r="AZ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Y84" i="5"/>
  <c r="AX84" i="5"/>
  <c r="AW84" i="5"/>
  <c r="AV84" i="5"/>
  <c r="AZ83" i="5"/>
  <c r="AY83" i="5"/>
  <c r="AX83" i="5"/>
  <c r="AW83" i="5"/>
  <c r="AV83" i="5"/>
  <c r="AZ82" i="5"/>
  <c r="AY82" i="5"/>
  <c r="AX82" i="5"/>
  <c r="AW82" i="5"/>
  <c r="AV82" i="5"/>
  <c r="AZ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47" i="5"/>
  <c r="AZ46" i="5"/>
  <c r="AZ45" i="5"/>
  <c r="AZ44" i="5"/>
  <c r="AZ43" i="5"/>
  <c r="AZ42" i="5"/>
  <c r="AZ37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M113" i="5"/>
  <c r="L119" i="5"/>
  <c r="M135" i="5"/>
  <c r="N113" i="5"/>
  <c r="O27" i="5"/>
  <c r="B11" i="6"/>
  <c r="M82" i="5"/>
  <c r="M83" i="5"/>
  <c r="M84" i="5"/>
  <c r="B32" i="6" l="1" a="1"/>
  <c r="B32" i="6" s="1"/>
  <c r="B33" i="6"/>
  <c r="AY17" i="6" l="1"/>
  <c r="AB33" i="6"/>
  <c r="L7" i="6" l="1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N61" i="6" l="1"/>
  <c r="L61" i="6"/>
  <c r="O61" i="6"/>
  <c r="N62" i="6"/>
  <c r="L62" i="6"/>
  <c r="O62" i="6"/>
  <c r="N63" i="6"/>
  <c r="L63" i="6"/>
  <c r="O63" i="6"/>
  <c r="N64" i="6"/>
  <c r="L64" i="6"/>
  <c r="O64" i="6"/>
  <c r="N65" i="6"/>
  <c r="L65" i="6"/>
  <c r="O65" i="6"/>
  <c r="N66" i="6"/>
  <c r="L66" i="6"/>
  <c r="O66" i="6"/>
  <c r="N67" i="6"/>
  <c r="L67" i="6"/>
  <c r="O67" i="6"/>
  <c r="N68" i="6"/>
  <c r="L68" i="6"/>
  <c r="O68" i="6"/>
  <c r="N69" i="6"/>
  <c r="L69" i="6"/>
  <c r="O69" i="6"/>
  <c r="N70" i="6"/>
  <c r="L70" i="6"/>
  <c r="O70" i="6"/>
  <c r="N71" i="6"/>
  <c r="L71" i="6"/>
  <c r="O71" i="6"/>
  <c r="N72" i="6"/>
  <c r="L72" i="6"/>
  <c r="O72" i="6"/>
  <c r="N73" i="6"/>
  <c r="L73" i="6"/>
  <c r="O73" i="6"/>
  <c r="N74" i="6"/>
  <c r="L74" i="6"/>
  <c r="O74" i="6"/>
  <c r="N75" i="6"/>
  <c r="L75" i="6"/>
  <c r="O75" i="6"/>
  <c r="N76" i="6"/>
  <c r="L76" i="6"/>
  <c r="O76" i="6"/>
  <c r="N77" i="6"/>
  <c r="L77" i="6"/>
  <c r="O77" i="6"/>
  <c r="N78" i="6"/>
  <c r="L78" i="6"/>
  <c r="O78" i="6"/>
  <c r="N79" i="6"/>
  <c r="L79" i="6"/>
  <c r="O79" i="6"/>
  <c r="N80" i="6"/>
  <c r="L80" i="6"/>
  <c r="O80" i="6"/>
  <c r="N81" i="6"/>
  <c r="L81" i="6"/>
  <c r="O81" i="6"/>
  <c r="N82" i="6"/>
  <c r="L82" i="6"/>
  <c r="O82" i="6"/>
  <c r="N83" i="6"/>
  <c r="L83" i="6"/>
  <c r="O83" i="6"/>
  <c r="N84" i="6"/>
  <c r="L84" i="6"/>
  <c r="O84" i="6"/>
  <c r="N85" i="6"/>
  <c r="L85" i="6"/>
  <c r="O85" i="6"/>
  <c r="N86" i="6"/>
  <c r="L86" i="6"/>
  <c r="O86" i="6"/>
  <c r="N87" i="6"/>
  <c r="L87" i="6"/>
  <c r="O87" i="6"/>
  <c r="N88" i="6"/>
  <c r="L88" i="6"/>
  <c r="O88" i="6"/>
  <c r="N89" i="6"/>
  <c r="L89" i="6"/>
  <c r="O89" i="6"/>
  <c r="N90" i="6"/>
  <c r="L90" i="6"/>
  <c r="O90" i="6"/>
  <c r="N91" i="6"/>
  <c r="L91" i="6"/>
  <c r="O91" i="6"/>
  <c r="N92" i="6"/>
  <c r="L92" i="6"/>
  <c r="O92" i="6"/>
  <c r="N93" i="6"/>
  <c r="L93" i="6"/>
  <c r="O93" i="6"/>
  <c r="N94" i="6"/>
  <c r="L94" i="6"/>
  <c r="O94" i="6"/>
  <c r="N95" i="6"/>
  <c r="L95" i="6"/>
  <c r="O95" i="6"/>
  <c r="N96" i="6"/>
  <c r="L96" i="6"/>
  <c r="O96" i="6"/>
  <c r="N97" i="6"/>
  <c r="L97" i="6"/>
  <c r="O97" i="6"/>
  <c r="N98" i="6"/>
  <c r="L98" i="6"/>
  <c r="O98" i="6"/>
  <c r="N99" i="6"/>
  <c r="L99" i="6"/>
  <c r="O99" i="6"/>
  <c r="N100" i="6"/>
  <c r="L100" i="6"/>
  <c r="O100" i="6"/>
  <c r="N101" i="6"/>
  <c r="L101" i="6"/>
  <c r="O101" i="6"/>
  <c r="N102" i="6"/>
  <c r="L102" i="6"/>
  <c r="O102" i="6"/>
  <c r="N103" i="6"/>
  <c r="L103" i="6"/>
  <c r="O103" i="6"/>
  <c r="N104" i="6"/>
  <c r="L104" i="6"/>
  <c r="O104" i="6"/>
  <c r="N105" i="6"/>
  <c r="L105" i="6"/>
  <c r="O105" i="6"/>
  <c r="N106" i="6"/>
  <c r="L106" i="6"/>
  <c r="O106" i="6"/>
  <c r="N107" i="6"/>
  <c r="L107" i="6"/>
  <c r="O107" i="6"/>
  <c r="N108" i="6"/>
  <c r="L108" i="6"/>
  <c r="O108" i="6"/>
  <c r="N109" i="6"/>
  <c r="L109" i="6"/>
  <c r="O109" i="6"/>
  <c r="N110" i="6"/>
  <c r="L110" i="6"/>
  <c r="O110" i="6"/>
  <c r="N111" i="6"/>
  <c r="L111" i="6"/>
  <c r="O111" i="6"/>
  <c r="N112" i="6"/>
  <c r="L112" i="6"/>
  <c r="O112" i="6"/>
  <c r="N113" i="6"/>
  <c r="L113" i="6"/>
  <c r="O113" i="6"/>
  <c r="N114" i="6"/>
  <c r="L114" i="6"/>
  <c r="O114" i="6"/>
  <c r="N115" i="6"/>
  <c r="L115" i="6"/>
  <c r="O115" i="6"/>
  <c r="N116" i="6"/>
  <c r="L116" i="6"/>
  <c r="O116" i="6"/>
  <c r="N117" i="6"/>
  <c r="L117" i="6"/>
  <c r="O117" i="6"/>
  <c r="N118" i="6"/>
  <c r="L118" i="6"/>
  <c r="O118" i="6"/>
  <c r="N119" i="6"/>
  <c r="L119" i="6"/>
  <c r="O119" i="6"/>
  <c r="N120" i="6"/>
  <c r="L120" i="6"/>
  <c r="O120" i="6"/>
  <c r="N121" i="6"/>
  <c r="L121" i="6"/>
  <c r="O121" i="6"/>
  <c r="N122" i="6"/>
  <c r="L122" i="6"/>
  <c r="O122" i="6"/>
  <c r="N123" i="6"/>
  <c r="L123" i="6"/>
  <c r="O123" i="6"/>
  <c r="N132" i="6"/>
  <c r="L132" i="6"/>
  <c r="O132" i="6"/>
  <c r="N133" i="6"/>
  <c r="L133" i="6"/>
  <c r="O133" i="6"/>
  <c r="N134" i="6"/>
  <c r="L134" i="6"/>
  <c r="O134" i="6"/>
  <c r="N135" i="6"/>
  <c r="L135" i="6"/>
  <c r="O135" i="6"/>
  <c r="N136" i="6"/>
  <c r="L136" i="6"/>
  <c r="O136" i="6"/>
  <c r="N137" i="6"/>
  <c r="L137" i="6"/>
  <c r="O137" i="6"/>
  <c r="N138" i="6"/>
  <c r="L138" i="6"/>
  <c r="O138" i="6"/>
  <c r="N139" i="6"/>
  <c r="L139" i="6"/>
  <c r="O139" i="6"/>
  <c r="N140" i="6"/>
  <c r="L140" i="6"/>
  <c r="O140" i="6"/>
  <c r="N141" i="6"/>
  <c r="L141" i="6"/>
  <c r="O141" i="6"/>
  <c r="N142" i="6"/>
  <c r="L142" i="6"/>
  <c r="O142" i="6"/>
  <c r="N143" i="6"/>
  <c r="L143" i="6"/>
  <c r="O143" i="6"/>
  <c r="N144" i="6"/>
  <c r="L144" i="6"/>
  <c r="O144" i="6"/>
  <c r="N145" i="6"/>
  <c r="L145" i="6"/>
  <c r="O145" i="6"/>
  <c r="N146" i="6"/>
  <c r="L146" i="6"/>
  <c r="O146" i="6"/>
  <c r="N147" i="6"/>
  <c r="L147" i="6"/>
  <c r="O147" i="6"/>
  <c r="N148" i="6"/>
  <c r="L148" i="6"/>
  <c r="O148" i="6"/>
  <c r="N149" i="6"/>
  <c r="L149" i="6"/>
  <c r="O149" i="6"/>
  <c r="N150" i="6"/>
  <c r="L150" i="6"/>
  <c r="O150" i="6"/>
  <c r="N151" i="6"/>
  <c r="L151" i="6"/>
  <c r="O151" i="6"/>
  <c r="N152" i="6"/>
  <c r="L152" i="6"/>
  <c r="O152" i="6"/>
  <c r="N153" i="6"/>
  <c r="L153" i="6"/>
  <c r="O153" i="6"/>
  <c r="N154" i="6"/>
  <c r="L154" i="6"/>
  <c r="O154" i="6"/>
  <c r="N155" i="6"/>
  <c r="L155" i="6"/>
  <c r="O155" i="6"/>
  <c r="N156" i="6"/>
  <c r="L156" i="6"/>
  <c r="O156" i="6"/>
  <c r="N157" i="6"/>
  <c r="L157" i="6"/>
  <c r="O157" i="6"/>
  <c r="N158" i="6"/>
  <c r="L158" i="6"/>
  <c r="O158" i="6"/>
  <c r="N159" i="6"/>
  <c r="L159" i="6"/>
  <c r="O159" i="6"/>
  <c r="N160" i="6"/>
  <c r="L160" i="6"/>
  <c r="O160" i="6"/>
  <c r="N161" i="6"/>
  <c r="L161" i="6"/>
  <c r="O161" i="6"/>
  <c r="N162" i="6"/>
  <c r="L162" i="6"/>
  <c r="O162" i="6"/>
  <c r="N163" i="6"/>
  <c r="L163" i="6"/>
  <c r="O163" i="6"/>
  <c r="N164" i="6"/>
  <c r="L164" i="6"/>
  <c r="O164" i="6"/>
  <c r="N165" i="6"/>
  <c r="L165" i="6"/>
  <c r="O165" i="6"/>
  <c r="N166" i="6"/>
  <c r="L166" i="6"/>
  <c r="O166" i="6"/>
  <c r="N167" i="6"/>
  <c r="L167" i="6"/>
  <c r="O167" i="6"/>
  <c r="N168" i="6"/>
  <c r="L168" i="6"/>
  <c r="O168" i="6"/>
  <c r="N169" i="6"/>
  <c r="L169" i="6"/>
  <c r="O169" i="6"/>
  <c r="N170" i="6"/>
  <c r="L170" i="6"/>
  <c r="O170" i="6"/>
  <c r="N171" i="6"/>
  <c r="L171" i="6"/>
  <c r="O171" i="6"/>
  <c r="N172" i="6"/>
  <c r="L172" i="6"/>
  <c r="O172" i="6"/>
  <c r="N173" i="6"/>
  <c r="L173" i="6"/>
  <c r="O173" i="6"/>
  <c r="N174" i="6"/>
  <c r="L174" i="6"/>
  <c r="O174" i="6"/>
  <c r="N175" i="6"/>
  <c r="L175" i="6"/>
  <c r="O175" i="6"/>
  <c r="N176" i="6"/>
  <c r="L176" i="6"/>
  <c r="O176" i="6"/>
  <c r="N177" i="6"/>
  <c r="L177" i="6"/>
  <c r="O177" i="6"/>
  <c r="N178" i="6"/>
  <c r="L178" i="6"/>
  <c r="O178" i="6"/>
  <c r="N179" i="6"/>
  <c r="L179" i="6"/>
  <c r="O179" i="6"/>
  <c r="N180" i="6"/>
  <c r="L180" i="6"/>
  <c r="O180" i="6"/>
  <c r="N181" i="6"/>
  <c r="L181" i="6"/>
  <c r="O181" i="6"/>
  <c r="N182" i="6"/>
  <c r="L182" i="6"/>
  <c r="O182" i="6"/>
  <c r="N183" i="6"/>
  <c r="L183" i="6"/>
  <c r="O183" i="6"/>
  <c r="N184" i="6"/>
  <c r="L184" i="6"/>
  <c r="O184" i="6"/>
  <c r="N185" i="6"/>
  <c r="L185" i="6"/>
  <c r="O185" i="6"/>
  <c r="N186" i="6"/>
  <c r="L186" i="6"/>
  <c r="O186" i="6"/>
  <c r="N187" i="6"/>
  <c r="L187" i="6"/>
  <c r="O187" i="6"/>
  <c r="N188" i="6"/>
  <c r="L188" i="6"/>
  <c r="O188" i="6"/>
  <c r="N189" i="6"/>
  <c r="L189" i="6"/>
  <c r="O189" i="6"/>
  <c r="N190" i="6"/>
  <c r="L190" i="6"/>
  <c r="O190" i="6"/>
  <c r="N191" i="6"/>
  <c r="L191" i="6"/>
  <c r="O191" i="6"/>
  <c r="N192" i="6"/>
  <c r="L192" i="6"/>
  <c r="O192" i="6"/>
  <c r="N193" i="6"/>
  <c r="L193" i="6"/>
  <c r="O193" i="6"/>
  <c r="N194" i="6"/>
  <c r="L194" i="6"/>
  <c r="O194" i="6"/>
  <c r="N195" i="6"/>
  <c r="L195" i="6"/>
  <c r="O195" i="6"/>
  <c r="N196" i="6"/>
  <c r="L196" i="6"/>
  <c r="O196" i="6"/>
  <c r="N197" i="6"/>
  <c r="L197" i="6"/>
  <c r="O197" i="6"/>
  <c r="N198" i="6"/>
  <c r="L198" i="6"/>
  <c r="O198" i="6"/>
  <c r="N199" i="6"/>
  <c r="L199" i="6"/>
  <c r="O199" i="6"/>
  <c r="N200" i="6"/>
  <c r="L200" i="6"/>
  <c r="O200" i="6"/>
  <c r="N201" i="6"/>
  <c r="L201" i="6"/>
  <c r="O201" i="6"/>
  <c r="N202" i="6"/>
  <c r="L202" i="6"/>
  <c r="O202" i="6"/>
  <c r="N203" i="6"/>
  <c r="L203" i="6"/>
  <c r="O203" i="6"/>
  <c r="N204" i="6"/>
  <c r="L204" i="6"/>
  <c r="O204" i="6"/>
  <c r="N205" i="6"/>
  <c r="L205" i="6"/>
  <c r="O205" i="6"/>
  <c r="N206" i="6"/>
  <c r="L206" i="6"/>
  <c r="O206" i="6"/>
  <c r="N207" i="6"/>
  <c r="L207" i="6"/>
  <c r="O207" i="6"/>
  <c r="N208" i="6"/>
  <c r="L208" i="6"/>
  <c r="O208" i="6"/>
  <c r="N209" i="6"/>
  <c r="L209" i="6"/>
  <c r="O209" i="6"/>
  <c r="N210" i="6"/>
  <c r="L210" i="6"/>
  <c r="O210" i="6"/>
  <c r="N211" i="6"/>
  <c r="L211" i="6"/>
  <c r="O211" i="6"/>
  <c r="N212" i="6"/>
  <c r="L212" i="6"/>
  <c r="O212" i="6"/>
  <c r="N213" i="6"/>
  <c r="L213" i="6"/>
  <c r="O213" i="6"/>
  <c r="N214" i="6"/>
  <c r="L214" i="6"/>
  <c r="O214" i="6"/>
  <c r="N215" i="6"/>
  <c r="L215" i="6"/>
  <c r="O215" i="6"/>
  <c r="N216" i="6"/>
  <c r="L216" i="6"/>
  <c r="O216" i="6"/>
  <c r="N217" i="6"/>
  <c r="L217" i="6"/>
  <c r="O217" i="6"/>
  <c r="N218" i="6"/>
  <c r="L218" i="6"/>
  <c r="O218" i="6"/>
  <c r="N219" i="6"/>
  <c r="L219" i="6"/>
  <c r="O219" i="6"/>
  <c r="N220" i="6"/>
  <c r="L220" i="6"/>
  <c r="O220" i="6"/>
  <c r="N221" i="6"/>
  <c r="L221" i="6"/>
  <c r="O221" i="6"/>
  <c r="N222" i="6"/>
  <c r="L222" i="6"/>
  <c r="O222" i="6"/>
  <c r="N223" i="6"/>
  <c r="L223" i="6"/>
  <c r="O223" i="6"/>
  <c r="N224" i="6"/>
  <c r="L224" i="6"/>
  <c r="O224" i="6"/>
  <c r="N225" i="6"/>
  <c r="L225" i="6"/>
  <c r="O225" i="6"/>
  <c r="N226" i="6"/>
  <c r="L226" i="6"/>
  <c r="O226" i="6"/>
  <c r="N227" i="6"/>
  <c r="L227" i="6"/>
  <c r="O227" i="6"/>
  <c r="N228" i="6"/>
  <c r="L228" i="6"/>
  <c r="O228" i="6"/>
  <c r="N229" i="6"/>
  <c r="L229" i="6"/>
  <c r="O229" i="6"/>
  <c r="N230" i="6"/>
  <c r="L230" i="6"/>
  <c r="O230" i="6"/>
  <c r="N231" i="6"/>
  <c r="L231" i="6"/>
  <c r="O231" i="6"/>
  <c r="N232" i="6"/>
  <c r="L232" i="6"/>
  <c r="O232" i="6"/>
  <c r="N233" i="6"/>
  <c r="L233" i="6"/>
  <c r="O233" i="6"/>
  <c r="N234" i="6"/>
  <c r="L234" i="6"/>
  <c r="O234" i="6"/>
  <c r="N235" i="6"/>
  <c r="L235" i="6"/>
  <c r="O235" i="6"/>
  <c r="N236" i="6"/>
  <c r="L236" i="6"/>
  <c r="O236" i="6"/>
  <c r="N237" i="6"/>
  <c r="L237" i="6"/>
  <c r="O237" i="6"/>
  <c r="N238" i="6"/>
  <c r="L238" i="6"/>
  <c r="O238" i="6"/>
  <c r="N239" i="6"/>
  <c r="L239" i="6"/>
  <c r="O239" i="6"/>
  <c r="N240" i="6"/>
  <c r="L240" i="6"/>
  <c r="O240" i="6"/>
  <c r="N241" i="6"/>
  <c r="L241" i="6"/>
  <c r="O241" i="6"/>
  <c r="N242" i="6"/>
  <c r="L242" i="6"/>
  <c r="O242" i="6"/>
  <c r="N243" i="6"/>
  <c r="L243" i="6"/>
  <c r="O243" i="6"/>
  <c r="N244" i="6"/>
  <c r="L244" i="6"/>
  <c r="O244" i="6"/>
  <c r="N245" i="6"/>
  <c r="L245" i="6"/>
  <c r="O245" i="6"/>
  <c r="N246" i="6"/>
  <c r="L246" i="6"/>
  <c r="O246" i="6"/>
  <c r="N247" i="6"/>
  <c r="L247" i="6"/>
  <c r="O247" i="6"/>
  <c r="N248" i="6"/>
  <c r="L248" i="6"/>
  <c r="O248" i="6"/>
  <c r="N249" i="6"/>
  <c r="L249" i="6"/>
  <c r="O249" i="6"/>
  <c r="N250" i="6"/>
  <c r="L250" i="6"/>
  <c r="O250" i="6"/>
  <c r="N251" i="6"/>
  <c r="L251" i="6"/>
  <c r="O251" i="6"/>
  <c r="N252" i="6"/>
  <c r="L252" i="6"/>
  <c r="O252" i="6"/>
  <c r="N253" i="6"/>
  <c r="L253" i="6"/>
  <c r="O253" i="6"/>
  <c r="N254" i="6"/>
  <c r="L254" i="6"/>
  <c r="O254" i="6"/>
  <c r="N255" i="6"/>
  <c r="L255" i="6"/>
  <c r="O255" i="6"/>
  <c r="N256" i="6"/>
  <c r="L256" i="6"/>
  <c r="O256" i="6"/>
  <c r="N257" i="6"/>
  <c r="L257" i="6"/>
  <c r="O257" i="6"/>
  <c r="N258" i="6"/>
  <c r="L258" i="6"/>
  <c r="O258" i="6"/>
  <c r="N259" i="6"/>
  <c r="L259" i="6"/>
  <c r="O259" i="6"/>
  <c r="N260" i="6"/>
  <c r="L260" i="6"/>
  <c r="O260" i="6"/>
  <c r="N261" i="6"/>
  <c r="L261" i="6"/>
  <c r="O261" i="6"/>
  <c r="N262" i="6"/>
  <c r="L262" i="6"/>
  <c r="O262" i="6"/>
  <c r="N263" i="6"/>
  <c r="L263" i="6"/>
  <c r="O263" i="6"/>
  <c r="N264" i="6"/>
  <c r="L264" i="6"/>
  <c r="O264" i="6"/>
  <c r="N265" i="6"/>
  <c r="L265" i="6"/>
  <c r="O265" i="6"/>
  <c r="N266" i="6"/>
  <c r="L266" i="6"/>
  <c r="O266" i="6"/>
  <c r="N267" i="6"/>
  <c r="L267" i="6"/>
  <c r="O267" i="6"/>
  <c r="N268" i="6"/>
  <c r="L268" i="6"/>
  <c r="O268" i="6"/>
  <c r="N269" i="6"/>
  <c r="L269" i="6"/>
  <c r="O269" i="6"/>
  <c r="N270" i="6"/>
  <c r="L270" i="6"/>
  <c r="O270" i="6"/>
  <c r="N271" i="6"/>
  <c r="L271" i="6"/>
  <c r="O271" i="6"/>
  <c r="N272" i="6"/>
  <c r="L272" i="6"/>
  <c r="O272" i="6"/>
  <c r="N273" i="6"/>
  <c r="L273" i="6"/>
  <c r="O273" i="6"/>
  <c r="N274" i="6"/>
  <c r="L274" i="6"/>
  <c r="O274" i="6"/>
  <c r="N275" i="6"/>
  <c r="L275" i="6"/>
  <c r="O275" i="6"/>
  <c r="N276" i="6"/>
  <c r="L276" i="6"/>
  <c r="O276" i="6"/>
  <c r="N277" i="6"/>
  <c r="L277" i="6"/>
  <c r="O277" i="6"/>
  <c r="N278" i="6"/>
  <c r="L278" i="6"/>
  <c r="O278" i="6"/>
  <c r="N279" i="6"/>
  <c r="L279" i="6"/>
  <c r="O279" i="6"/>
  <c r="N280" i="6"/>
  <c r="L280" i="6"/>
  <c r="O280" i="6"/>
  <c r="N281" i="6"/>
  <c r="L281" i="6"/>
  <c r="O281" i="6"/>
  <c r="N282" i="6"/>
  <c r="L282" i="6"/>
  <c r="O282" i="6"/>
  <c r="N283" i="6"/>
  <c r="L283" i="6"/>
  <c r="O283" i="6"/>
  <c r="N284" i="6"/>
  <c r="L284" i="6"/>
  <c r="O284" i="6"/>
  <c r="N285" i="6"/>
  <c r="L285" i="6"/>
  <c r="O285" i="6"/>
  <c r="N286" i="6"/>
  <c r="L286" i="6"/>
  <c r="O286" i="6"/>
  <c r="N287" i="6"/>
  <c r="L287" i="6"/>
  <c r="O287" i="6"/>
  <c r="N288" i="6"/>
  <c r="L288" i="6"/>
  <c r="O288" i="6"/>
  <c r="N289" i="6"/>
  <c r="L289" i="6"/>
  <c r="O289" i="6"/>
  <c r="N290" i="6"/>
  <c r="L290" i="6"/>
  <c r="O290" i="6"/>
  <c r="N291" i="6"/>
  <c r="L291" i="6"/>
  <c r="O291" i="6"/>
  <c r="N292" i="6"/>
  <c r="L292" i="6"/>
  <c r="O292" i="6"/>
  <c r="N293" i="6"/>
  <c r="L293" i="6"/>
  <c r="O293" i="6"/>
  <c r="N294" i="6"/>
  <c r="L294" i="6"/>
  <c r="O294" i="6"/>
  <c r="N295" i="6"/>
  <c r="L295" i="6"/>
  <c r="O295" i="6"/>
  <c r="N296" i="6"/>
  <c r="L296" i="6"/>
  <c r="O296" i="6"/>
  <c r="N297" i="6"/>
  <c r="L297" i="6"/>
  <c r="O297" i="6"/>
  <c r="N298" i="6"/>
  <c r="L298" i="6"/>
  <c r="O298" i="6"/>
  <c r="N299" i="6"/>
  <c r="L299" i="6"/>
  <c r="O299" i="6"/>
  <c r="N300" i="6"/>
  <c r="L300" i="6"/>
  <c r="O300" i="6"/>
  <c r="N301" i="6"/>
  <c r="L301" i="6"/>
  <c r="O301" i="6"/>
  <c r="N302" i="6"/>
  <c r="L302" i="6"/>
  <c r="O302" i="6"/>
  <c r="N303" i="6"/>
  <c r="L303" i="6"/>
  <c r="O303" i="6"/>
  <c r="N304" i="6"/>
  <c r="L304" i="6"/>
  <c r="O304" i="6"/>
  <c r="N305" i="6"/>
  <c r="L305" i="6"/>
  <c r="O305" i="6"/>
  <c r="N306" i="6"/>
  <c r="L306" i="6"/>
  <c r="O306" i="6"/>
  <c r="N307" i="6"/>
  <c r="L307" i="6"/>
  <c r="O307" i="6"/>
  <c r="N308" i="6"/>
  <c r="L308" i="6"/>
  <c r="O308" i="6"/>
  <c r="N309" i="6"/>
  <c r="L309" i="6"/>
  <c r="O309" i="6"/>
  <c r="N310" i="6"/>
  <c r="L310" i="6"/>
  <c r="O310" i="6"/>
  <c r="N311" i="6"/>
  <c r="L311" i="6"/>
  <c r="O311" i="6"/>
  <c r="N312" i="6"/>
  <c r="L312" i="6"/>
  <c r="O312" i="6"/>
  <c r="N313" i="6"/>
  <c r="L313" i="6"/>
  <c r="O313" i="6"/>
  <c r="N314" i="6"/>
  <c r="L314" i="6"/>
  <c r="O314" i="6"/>
  <c r="N315" i="6"/>
  <c r="L315" i="6"/>
  <c r="O315" i="6"/>
  <c r="N316" i="6"/>
  <c r="L316" i="6"/>
  <c r="O316" i="6"/>
  <c r="N317" i="6"/>
  <c r="L317" i="6"/>
  <c r="O317" i="6"/>
  <c r="N318" i="6"/>
  <c r="L318" i="6"/>
  <c r="O318" i="6"/>
  <c r="N319" i="6"/>
  <c r="L319" i="6"/>
  <c r="O319" i="6"/>
  <c r="N320" i="6"/>
  <c r="L320" i="6"/>
  <c r="O320" i="6"/>
  <c r="N321" i="6"/>
  <c r="L321" i="6"/>
  <c r="O321" i="6"/>
  <c r="N322" i="6"/>
  <c r="L322" i="6"/>
  <c r="O322" i="6"/>
  <c r="N323" i="6"/>
  <c r="L323" i="6"/>
  <c r="O323" i="6"/>
  <c r="N324" i="6"/>
  <c r="L324" i="6"/>
  <c r="O324" i="6"/>
  <c r="N325" i="6"/>
  <c r="L325" i="6"/>
  <c r="O325" i="6"/>
  <c r="N326" i="6"/>
  <c r="L326" i="6"/>
  <c r="O326" i="6"/>
  <c r="N327" i="6"/>
  <c r="L327" i="6"/>
  <c r="O327" i="6"/>
  <c r="N328" i="6"/>
  <c r="L328" i="6"/>
  <c r="O328" i="6"/>
  <c r="N329" i="6"/>
  <c r="L329" i="6"/>
  <c r="O329" i="6"/>
  <c r="N330" i="6"/>
  <c r="L330" i="6"/>
  <c r="O330" i="6"/>
  <c r="N331" i="6"/>
  <c r="L331" i="6"/>
  <c r="O331" i="6"/>
  <c r="N332" i="6"/>
  <c r="L332" i="6"/>
  <c r="O332" i="6"/>
  <c r="N333" i="6"/>
  <c r="L333" i="6"/>
  <c r="O333" i="6"/>
  <c r="N334" i="6"/>
  <c r="L334" i="6"/>
  <c r="O334" i="6"/>
  <c r="N335" i="6"/>
  <c r="L335" i="6"/>
  <c r="O335" i="6"/>
  <c r="N336" i="6"/>
  <c r="L336" i="6"/>
  <c r="O336" i="6"/>
  <c r="N337" i="6"/>
  <c r="L337" i="6"/>
  <c r="O337" i="6"/>
  <c r="N338" i="6"/>
  <c r="L338" i="6"/>
  <c r="O338" i="6"/>
  <c r="N339" i="6"/>
  <c r="L339" i="6"/>
  <c r="O339" i="6"/>
  <c r="N340" i="6"/>
  <c r="L340" i="6"/>
  <c r="O340" i="6"/>
  <c r="N341" i="6"/>
  <c r="L341" i="6"/>
  <c r="O341" i="6"/>
  <c r="N342" i="6"/>
  <c r="L342" i="6"/>
  <c r="O342" i="6"/>
  <c r="N343" i="6"/>
  <c r="L343" i="6"/>
  <c r="O343" i="6"/>
  <c r="N344" i="6"/>
  <c r="L344" i="6"/>
  <c r="O344" i="6"/>
  <c r="N345" i="6"/>
  <c r="L345" i="6"/>
  <c r="O345" i="6"/>
  <c r="N346" i="6"/>
  <c r="L346" i="6"/>
  <c r="O346" i="6"/>
  <c r="N347" i="6"/>
  <c r="L347" i="6"/>
  <c r="O347" i="6"/>
  <c r="N348" i="6"/>
  <c r="L348" i="6"/>
  <c r="O348" i="6"/>
  <c r="N349" i="6"/>
  <c r="L349" i="6"/>
  <c r="O349" i="6"/>
  <c r="N350" i="6"/>
  <c r="L350" i="6"/>
  <c r="O350" i="6"/>
  <c r="N351" i="6"/>
  <c r="L351" i="6"/>
  <c r="O351" i="6"/>
  <c r="N352" i="6"/>
  <c r="L352" i="6"/>
  <c r="O352" i="6"/>
  <c r="N353" i="6"/>
  <c r="L353" i="6"/>
  <c r="O353" i="6"/>
  <c r="N354" i="6"/>
  <c r="L354" i="6"/>
  <c r="O354" i="6"/>
  <c r="N355" i="6"/>
  <c r="L355" i="6"/>
  <c r="O355" i="6"/>
  <c r="N356" i="6"/>
  <c r="L356" i="6"/>
  <c r="O356" i="6"/>
  <c r="N357" i="6"/>
  <c r="L357" i="6"/>
  <c r="O357" i="6"/>
  <c r="N358" i="6"/>
  <c r="L358" i="6"/>
  <c r="O358" i="6"/>
  <c r="N359" i="6"/>
  <c r="L359" i="6"/>
  <c r="O359" i="6"/>
  <c r="N360" i="6"/>
  <c r="L360" i="6"/>
  <c r="O360" i="6"/>
  <c r="N361" i="6"/>
  <c r="L361" i="6"/>
  <c r="O361" i="6"/>
  <c r="N362" i="6"/>
  <c r="L362" i="6"/>
  <c r="O362" i="6"/>
  <c r="N363" i="6"/>
  <c r="L363" i="6"/>
  <c r="O363" i="6"/>
  <c r="N364" i="6"/>
  <c r="L364" i="6"/>
  <c r="O364" i="6"/>
  <c r="N365" i="6"/>
  <c r="L365" i="6"/>
  <c r="O365" i="6"/>
  <c r="N366" i="6"/>
  <c r="L366" i="6"/>
  <c r="O366" i="6"/>
  <c r="N367" i="6"/>
  <c r="L367" i="6"/>
  <c r="O367" i="6"/>
  <c r="N368" i="6"/>
  <c r="L368" i="6"/>
  <c r="O368" i="6"/>
  <c r="N369" i="6"/>
  <c r="L369" i="6"/>
  <c r="O369" i="6"/>
  <c r="N370" i="6"/>
  <c r="L370" i="6"/>
  <c r="O370" i="6"/>
  <c r="N371" i="6"/>
  <c r="L371" i="6"/>
  <c r="O371" i="6"/>
  <c r="N372" i="6"/>
  <c r="L372" i="6"/>
  <c r="O372" i="6"/>
  <c r="N373" i="6"/>
  <c r="L373" i="6"/>
  <c r="O373" i="6"/>
  <c r="N374" i="6"/>
  <c r="L374" i="6"/>
  <c r="O374" i="6"/>
  <c r="N375" i="6"/>
  <c r="L375" i="6"/>
  <c r="O375" i="6"/>
  <c r="N376" i="6"/>
  <c r="L376" i="6"/>
  <c r="O376" i="6"/>
  <c r="N377" i="6"/>
  <c r="L377" i="6"/>
  <c r="O377" i="6"/>
  <c r="N378" i="6"/>
  <c r="L378" i="6"/>
  <c r="O378" i="6"/>
  <c r="N379" i="6"/>
  <c r="L379" i="6"/>
  <c r="O379" i="6"/>
  <c r="N380" i="6"/>
  <c r="L380" i="6"/>
  <c r="O380" i="6"/>
  <c r="N381" i="6"/>
  <c r="L381" i="6"/>
  <c r="O381" i="6"/>
  <c r="N382" i="6"/>
  <c r="L382" i="6"/>
  <c r="O382" i="6"/>
  <c r="N383" i="6"/>
  <c r="L383" i="6"/>
  <c r="O383" i="6"/>
  <c r="N384" i="6"/>
  <c r="L384" i="6"/>
  <c r="O384" i="6"/>
  <c r="N385" i="6"/>
  <c r="L385" i="6"/>
  <c r="O385" i="6"/>
  <c r="N386" i="6"/>
  <c r="L386" i="6"/>
  <c r="O386" i="6"/>
  <c r="N387" i="6"/>
  <c r="L387" i="6"/>
  <c r="O387" i="6"/>
  <c r="N388" i="6"/>
  <c r="L388" i="6"/>
  <c r="O388" i="6"/>
  <c r="N389" i="6"/>
  <c r="L389" i="6"/>
  <c r="O389" i="6"/>
  <c r="N390" i="6"/>
  <c r="L390" i="6"/>
  <c r="O390" i="6"/>
  <c r="N391" i="6"/>
  <c r="L391" i="6"/>
  <c r="O391" i="6"/>
  <c r="N392" i="6"/>
  <c r="L392" i="6"/>
  <c r="O392" i="6"/>
  <c r="N393" i="6"/>
  <c r="L393" i="6"/>
  <c r="O393" i="6"/>
  <c r="N394" i="6"/>
  <c r="L394" i="6"/>
  <c r="O394" i="6"/>
  <c r="N395" i="6"/>
  <c r="L395" i="6"/>
  <c r="O395" i="6"/>
  <c r="N396" i="6"/>
  <c r="L396" i="6"/>
  <c r="O396" i="6"/>
  <c r="N397" i="6"/>
  <c r="L397" i="6"/>
  <c r="O397" i="6"/>
  <c r="N398" i="6"/>
  <c r="L398" i="6"/>
  <c r="O398" i="6"/>
  <c r="N399" i="6"/>
  <c r="L399" i="6"/>
  <c r="O399" i="6"/>
  <c r="N400" i="6"/>
  <c r="L400" i="6"/>
  <c r="O400" i="6"/>
  <c r="N401" i="6"/>
  <c r="L401" i="6"/>
  <c r="O401" i="6"/>
  <c r="N402" i="6"/>
  <c r="L402" i="6"/>
  <c r="O402" i="6"/>
  <c r="N403" i="6"/>
  <c r="L403" i="6"/>
  <c r="O403" i="6"/>
  <c r="N404" i="6"/>
  <c r="L404" i="6"/>
  <c r="O404" i="6"/>
  <c r="N405" i="6"/>
  <c r="L405" i="6"/>
  <c r="O405" i="6"/>
  <c r="N406" i="6"/>
  <c r="L406" i="6"/>
  <c r="O406" i="6"/>
  <c r="N407" i="6"/>
  <c r="L407" i="6"/>
  <c r="O407" i="6"/>
  <c r="N408" i="6"/>
  <c r="L408" i="6"/>
  <c r="O408" i="6"/>
  <c r="N409" i="6"/>
  <c r="L409" i="6"/>
  <c r="O409" i="6"/>
  <c r="N410" i="6"/>
  <c r="L410" i="6"/>
  <c r="O410" i="6"/>
  <c r="N411" i="6"/>
  <c r="L411" i="6"/>
  <c r="O411" i="6"/>
  <c r="N412" i="6"/>
  <c r="L412" i="6"/>
  <c r="O412" i="6"/>
  <c r="N413" i="6"/>
  <c r="L413" i="6"/>
  <c r="O413" i="6"/>
  <c r="N414" i="6"/>
  <c r="L414" i="6"/>
  <c r="O414" i="6"/>
  <c r="N415" i="6"/>
  <c r="L415" i="6"/>
  <c r="O415" i="6"/>
  <c r="N416" i="6"/>
  <c r="L416" i="6"/>
  <c r="O416" i="6"/>
  <c r="N417" i="6"/>
  <c r="L417" i="6"/>
  <c r="O417" i="6"/>
  <c r="N418" i="6"/>
  <c r="L418" i="6"/>
  <c r="O418" i="6"/>
  <c r="N419" i="6"/>
  <c r="L419" i="6"/>
  <c r="O419" i="6"/>
  <c r="N420" i="6"/>
  <c r="L420" i="6"/>
  <c r="O420" i="6"/>
  <c r="N421" i="6"/>
  <c r="L421" i="6"/>
  <c r="O421" i="6"/>
  <c r="N422" i="6"/>
  <c r="L422" i="6"/>
  <c r="O422" i="6"/>
  <c r="N423" i="6"/>
  <c r="L423" i="6"/>
  <c r="O423" i="6"/>
  <c r="N424" i="6"/>
  <c r="L424" i="6"/>
  <c r="O424" i="6"/>
  <c r="N425" i="6"/>
  <c r="L425" i="6"/>
  <c r="O425" i="6"/>
  <c r="N426" i="6"/>
  <c r="L426" i="6"/>
  <c r="O426" i="6"/>
  <c r="N427" i="6"/>
  <c r="L427" i="6"/>
  <c r="O427" i="6"/>
  <c r="N428" i="6"/>
  <c r="L428" i="6"/>
  <c r="O428" i="6"/>
  <c r="N429" i="6"/>
  <c r="L429" i="6"/>
  <c r="O429" i="6"/>
  <c r="N430" i="6"/>
  <c r="L430" i="6"/>
  <c r="O430" i="6"/>
  <c r="N431" i="6"/>
  <c r="L431" i="6"/>
  <c r="O431" i="6"/>
  <c r="N432" i="6"/>
  <c r="L432" i="6"/>
  <c r="O432" i="6"/>
  <c r="N433" i="6"/>
  <c r="L433" i="6"/>
  <c r="O433" i="6"/>
  <c r="N434" i="6"/>
  <c r="L434" i="6"/>
  <c r="O434" i="6"/>
  <c r="N435" i="6"/>
  <c r="L435" i="6"/>
  <c r="O435" i="6"/>
  <c r="N436" i="6"/>
  <c r="L436" i="6"/>
  <c r="O436" i="6"/>
  <c r="N437" i="6"/>
  <c r="L437" i="6"/>
  <c r="O437" i="6"/>
  <c r="N438" i="6"/>
  <c r="L438" i="6"/>
  <c r="O438" i="6"/>
  <c r="N439" i="6"/>
  <c r="L439" i="6"/>
  <c r="O439" i="6"/>
  <c r="N440" i="6"/>
  <c r="L440" i="6"/>
  <c r="O440" i="6"/>
  <c r="N441" i="6"/>
  <c r="L441" i="6"/>
  <c r="O441" i="6"/>
  <c r="N442" i="6"/>
  <c r="L442" i="6"/>
  <c r="O442" i="6"/>
  <c r="N443" i="6"/>
  <c r="L443" i="6"/>
  <c r="O443" i="6"/>
  <c r="N444" i="6"/>
  <c r="L444" i="6"/>
  <c r="O444" i="6"/>
  <c r="N445" i="6"/>
  <c r="L445" i="6"/>
  <c r="O445" i="6"/>
  <c r="N446" i="6"/>
  <c r="L446" i="6"/>
  <c r="O446" i="6"/>
  <c r="N447" i="6"/>
  <c r="L447" i="6"/>
  <c r="O447" i="6"/>
  <c r="N448" i="6"/>
  <c r="L448" i="6"/>
  <c r="O448" i="6"/>
  <c r="N449" i="6"/>
  <c r="L449" i="6"/>
  <c r="O449" i="6"/>
  <c r="N450" i="6"/>
  <c r="L450" i="6"/>
  <c r="O450" i="6"/>
  <c r="N451" i="6"/>
  <c r="L451" i="6"/>
  <c r="O451" i="6"/>
  <c r="N452" i="6"/>
  <c r="L452" i="6"/>
  <c r="O452" i="6"/>
  <c r="N453" i="6"/>
  <c r="L453" i="6"/>
  <c r="O453" i="6"/>
  <c r="N454" i="6"/>
  <c r="L454" i="6"/>
  <c r="O454" i="6"/>
  <c r="N8" i="6"/>
  <c r="O8" i="6"/>
  <c r="N9" i="6"/>
  <c r="O9" i="6"/>
  <c r="N10" i="6"/>
  <c r="O10" i="6"/>
  <c r="N11" i="6"/>
  <c r="O11" i="6"/>
  <c r="N12" i="6"/>
  <c r="O12" i="6"/>
  <c r="N13" i="6"/>
  <c r="O13" i="6"/>
  <c r="N14" i="6"/>
  <c r="O14" i="6"/>
  <c r="N15" i="6"/>
  <c r="O15" i="6"/>
  <c r="N16" i="6"/>
  <c r="O16" i="6"/>
  <c r="N17" i="6"/>
  <c r="O17" i="6"/>
  <c r="N18" i="6"/>
  <c r="O18" i="6"/>
  <c r="N19" i="6"/>
  <c r="O19" i="6"/>
  <c r="N20" i="6"/>
  <c r="O20" i="6"/>
  <c r="N21" i="6"/>
  <c r="O21" i="6"/>
  <c r="N22" i="6"/>
  <c r="O22" i="6"/>
  <c r="N23" i="6"/>
  <c r="O23" i="6"/>
  <c r="N24" i="6"/>
  <c r="O24" i="6"/>
  <c r="N25" i="6"/>
  <c r="O25" i="6"/>
  <c r="N26" i="6"/>
  <c r="O26" i="6"/>
  <c r="N27" i="6"/>
  <c r="O27" i="6"/>
  <c r="N28" i="6"/>
  <c r="O28" i="6"/>
  <c r="N29" i="6"/>
  <c r="O29" i="6"/>
  <c r="N30" i="6"/>
  <c r="O30" i="6"/>
  <c r="N31" i="6"/>
  <c r="O31" i="6"/>
  <c r="N32" i="6"/>
  <c r="O32" i="6"/>
  <c r="N33" i="6"/>
  <c r="O33" i="6"/>
  <c r="N34" i="6"/>
  <c r="O34" i="6"/>
  <c r="N35" i="6"/>
  <c r="O35" i="6"/>
  <c r="N36" i="6"/>
  <c r="O36" i="6"/>
  <c r="N37" i="6"/>
  <c r="O37" i="6"/>
  <c r="N38" i="6"/>
  <c r="O38" i="6"/>
  <c r="N39" i="6"/>
  <c r="O39" i="6"/>
  <c r="N40" i="6"/>
  <c r="O40" i="6"/>
  <c r="N41" i="6"/>
  <c r="O41" i="6"/>
  <c r="N42" i="6"/>
  <c r="O42" i="6"/>
  <c r="N43" i="6"/>
  <c r="O43" i="6"/>
  <c r="N44" i="6"/>
  <c r="O44" i="6"/>
  <c r="N45" i="6"/>
  <c r="O45" i="6"/>
  <c r="N46" i="6"/>
  <c r="O46" i="6"/>
  <c r="N47" i="6"/>
  <c r="O47" i="6"/>
  <c r="N48" i="6"/>
  <c r="O48" i="6"/>
  <c r="N49" i="6"/>
  <c r="O49" i="6"/>
  <c r="N50" i="6"/>
  <c r="O50" i="6"/>
  <c r="N51" i="6"/>
  <c r="O51" i="6"/>
  <c r="N52" i="6"/>
  <c r="O52" i="6"/>
  <c r="N53" i="6"/>
  <c r="O53" i="6"/>
  <c r="N54" i="6"/>
  <c r="O54" i="6"/>
  <c r="N55" i="6"/>
  <c r="O55" i="6"/>
  <c r="N56" i="6"/>
  <c r="O56" i="6"/>
  <c r="N57" i="6"/>
  <c r="O57" i="6"/>
  <c r="N58" i="6"/>
  <c r="O58" i="6"/>
  <c r="N59" i="6"/>
  <c r="O59" i="6"/>
  <c r="N60" i="6"/>
  <c r="O60" i="6"/>
  <c r="O7" i="6"/>
  <c r="N7" i="6"/>
  <c r="B29" i="6" l="1"/>
  <c r="B30" i="6"/>
  <c r="B31" i="6"/>
  <c r="N82" i="5"/>
  <c r="N83" i="5"/>
  <c r="N84" i="5"/>
  <c r="N109" i="5"/>
  <c r="N110" i="5"/>
  <c r="N135" i="5"/>
  <c r="N115" i="5"/>
  <c r="N116" i="5"/>
  <c r="N117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14" i="5"/>
  <c r="M109" i="5"/>
  <c r="M110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L114" i="5"/>
  <c r="L115" i="5"/>
  <c r="L116" i="5"/>
  <c r="L117" i="5"/>
  <c r="L118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82" i="5"/>
  <c r="L83" i="5"/>
  <c r="L84" i="5"/>
  <c r="L109" i="5"/>
  <c r="L110" i="5"/>
  <c r="L113" i="5"/>
  <c r="K82" i="5"/>
  <c r="K83" i="5"/>
  <c r="K84" i="5"/>
  <c r="K109" i="5"/>
  <c r="K110" i="5"/>
  <c r="O23" i="5"/>
  <c r="O24" i="5"/>
  <c r="O25" i="5"/>
  <c r="O26" i="5"/>
  <c r="O28" i="5"/>
  <c r="O29" i="5"/>
  <c r="O30" i="5"/>
  <c r="O31" i="5"/>
  <c r="O32" i="5"/>
  <c r="O33" i="5"/>
  <c r="O34" i="5"/>
  <c r="O35" i="5"/>
  <c r="O36" i="5"/>
  <c r="O37" i="5"/>
  <c r="O42" i="5"/>
  <c r="O43" i="5"/>
  <c r="O44" i="5"/>
  <c r="O45" i="5"/>
  <c r="O46" i="5"/>
  <c r="O47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B34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<sst xmlns="http://schemas.openxmlformats.org/spreadsheetml/2006/main" count="991" uniqueCount="396">
  <si>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</si>
  <si>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</si>
  <si>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</si>
  <si>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</si>
  <si>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</si>
  <si>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</si>
  <si>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</si>
  <si>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</si>
  <si>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</si>
  <si>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</si>
  <si>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</si>
  <si>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</si>
  <si>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</si>
  <si>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</si>
  <si>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</si>
  <si>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</si>
  <si>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</si>
  <si>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</si>
  <si>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</si>
  <si>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</si>
  <si>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</si>
  <si>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</si>
  <si>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</si>
  <si>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</si>
  <si>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</si>
  <si>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</si>
  <si>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</si>
  <si>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</si>
  <si>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</si>
  <si>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</si>
  <si>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</si>
  <si>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</si>
  <si>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</si>
  <si>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</si>
  <si>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</si>
  <si>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</si>
  <si>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</si>
  <si>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</si>
  <si>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</si>
  <si>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</si>
  <si>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</si>
  <si>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</si>
  <si>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</si>
  <si>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</si>
  <si>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</si>
  <si>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</si>
  <si>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</si>
  <si>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</si>
  <si>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</si>
  <si>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</si>
  <si>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</si>
  <si>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</si>
  <si>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</si>
  <si>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</si>
  <si>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</si>
  <si>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</si>
  <si>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</si>
  <si>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</si>
  <si>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</si>
  <si>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</si>
  <si>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</si>
  <si>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</si>
  <si>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</si>
  <si>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</si>
  <si>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</si>
  <si>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</si>
  <si>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</si>
  <si>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</si>
  <si>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</si>
  <si>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</si>
  <si>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</si>
  <si>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</si>
  <si>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</si>
  <si>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</si>
  <si>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</si>
  <si>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</si>
  <si>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</si>
  <si>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</si>
  <si>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</si>
  <si>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</si>
  <si>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</si>
  <si>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</si>
  <si>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</si>
  <si>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</si>
  <si>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</si>
  <si>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</si>
  <si>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Mass [kg]</t>
  </si>
  <si>
    <t>Skirt</t>
  </si>
  <si>
    <t>Bottom [m]</t>
  </si>
  <si>
    <t>Top [m]</t>
  </si>
  <si>
    <t>Elevation [m]</t>
  </si>
  <si>
    <t>Geometry</t>
  </si>
  <si>
    <t>Added Masses</t>
  </si>
  <si>
    <t>Hydro Coefficients</t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</si>
  <si>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</si>
  <si>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</si>
  <si>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</si>
  <si>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</si>
  <si>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</si>
  <si>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</si>
  <si>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</si>
  <si>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</si>
  <si>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</si>
  <si>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</si>
  <si>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</si>
  <si>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</si>
  <si>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</si>
  <si>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</si>
  <si>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</si>
  <si>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</si>
  <si>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</si>
  <si>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</si>
  <si>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</si>
  <si>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</si>
  <si>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</si>
  <si>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</si>
  <si>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</si>
  <si>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</si>
  <si>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</si>
  <si>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Structure</t>
  </si>
  <si>
    <t>Power [MW]</t>
  </si>
  <si>
    <t>Rotor Diameter [m]</t>
  </si>
  <si>
    <t>relative to TP</t>
  </si>
  <si>
    <t>absolute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</si>
  <si>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</si>
  <si>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</si>
  <si>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</si>
  <si>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</si>
  <si>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</si>
  <si>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</si>
  <si>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</si>
  <si>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</si>
  <si>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</si>
  <si>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</si>
  <si>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</si>
  <si>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</si>
  <si>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</si>
  <si>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</si>
  <si>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</si>
  <si>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</si>
  <si>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</si>
  <si>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</si>
  <si>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</si>
  <si>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</si>
  <si>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</si>
  <si>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</si>
  <si>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</si>
  <si>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</si>
  <si>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</si>
  <si>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</si>
  <si>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</si>
  <si>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</si>
  <si>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</si>
  <si>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</si>
  <si>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</si>
  <si>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</si>
  <si>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</si>
  <si>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</si>
  <si>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</si>
  <si>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</si>
  <si>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</si>
  <si>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</si>
  <si>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</si>
  <si>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</si>
  <si>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</si>
  <si>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</si>
  <si>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</si>
  <si>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</si>
  <si>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</si>
  <si>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</si>
  <si>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</si>
  <si>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</si>
  <si>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</si>
  <si>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</si>
  <si>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</si>
  <si>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</si>
  <si>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</si>
  <si>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</si>
  <si>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</si>
  <si>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</si>
  <si>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</si>
  <si>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</si>
  <si>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</si>
  <si>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</si>
  <si>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</si>
  <si>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</si>
  <si>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</si>
  <si>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</si>
  <si>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</si>
  <si>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</si>
  <si>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</si>
  <si>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</si>
  <si>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</si>
  <si>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</si>
  <si>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</si>
  <si>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</si>
  <si>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</si>
  <si>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</si>
  <si>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</si>
  <si>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</si>
  <si>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</si>
  <si>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</si>
  <si>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</si>
  <si>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</si>
  <si>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</si>
  <si>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</si>
  <si>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</si>
  <si>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</si>
  <si>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</si>
  <si>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</si>
  <si>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</si>
  <si>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</si>
  <si>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</si>
  <si>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</si>
  <si>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</si>
  <si>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</si>
  <si>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</si>
  <si>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</si>
  <si>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</si>
  <si>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</si>
  <si>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Surface Roughness [m]</t>
  </si>
  <si>
    <t>Density  [kg/m^3]</t>
  </si>
  <si>
    <t>DIN 18088-1</t>
  </si>
  <si>
    <t>Siemens SG-DD-XXX</t>
  </si>
  <si>
    <t>added from Ala</t>
  </si>
  <si>
    <t>24A525</t>
  </si>
  <si>
    <t>MPTP_DP-A2_L0_G2_S1</t>
  </si>
  <si>
    <t>24A525_FEED_MPTP_DP-A2_L0_G2_S1</t>
  </si>
  <si>
    <t>for Dreekant</t>
  </si>
  <si>
    <t>whole MP geometry from top to end of pile (way below mudline - right now, geometry must be cut at mudline level for Bladed model, JBOOST model)</t>
  </si>
  <si>
    <t>Name</t>
  </si>
  <si>
    <t>GENERIC_NONE_XXX</t>
  </si>
  <si>
    <t>GENERIC</t>
  </si>
  <si>
    <t>NONE</t>
  </si>
  <si>
    <t>XXX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</si>
  <si>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</si>
  <si>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</si>
  <si>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</si>
  <si>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</si>
  <si>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</si>
  <si>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</si>
  <si>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</si>
  <si>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</si>
  <si>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Slope [-]</t>
  </si>
  <si>
    <t>D/t [-]</t>
  </si>
  <si>
    <t>db path</t>
  </si>
  <si>
    <t xml:space="preserve">value in m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</si>
  <si>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</si>
  <si>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</si>
  <si>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</si>
  <si>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</si>
  <si>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</si>
  <si>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</si>
  <si>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saved to be used further</t>
    </r>
  </si>
  <si>
    <t>Same as DP_A</t>
  </si>
  <si>
    <t>Same as DP_A, B</t>
  </si>
  <si>
    <t>Generic_Turbine</t>
  </si>
  <si>
    <t>Generic Turbine as Placeholder</t>
  </si>
  <si>
    <t>C:\Users\aaron.lange\Desktop\Projekte\Geometrie_Converter\GeometrieConverter\databases\TOWER.db</t>
  </si>
  <si>
    <t>24A525_FEED_DP-A2</t>
  </si>
  <si>
    <t>DP-A2</t>
  </si>
  <si>
    <t>XXXX_DUMMY_XXXX</t>
  </si>
  <si>
    <t>XXXX</t>
  </si>
  <si>
    <t>DUMMY</t>
  </si>
  <si>
    <t>C:\Users\aaron.lange\Desktop\Projekte\Geometrie_Converter\Validation_Dreekant\NEW\JBOOST</t>
  </si>
  <si>
    <t>Length [m]</t>
  </si>
  <si>
    <t>MISC</t>
  </si>
  <si>
    <t>Masses</t>
  </si>
  <si>
    <t>1 (End 1)</t>
  </si>
  <si>
    <t>Steel</t>
  </si>
  <si>
    <t>1 (End 2)</t>
  </si>
  <si>
    <t>2 (End 1)</t>
  </si>
  <si>
    <t>2 (End 2)</t>
  </si>
  <si>
    <t>3 (End 1)</t>
  </si>
  <si>
    <t>3 (End 2)</t>
  </si>
  <si>
    <t>4 (End 1)</t>
  </si>
  <si>
    <t>4 (End 2)</t>
  </si>
  <si>
    <t>5 (End 1)</t>
  </si>
  <si>
    <t>5 (End 2)</t>
  </si>
  <si>
    <t>6 (End 1)</t>
  </si>
  <si>
    <t>6 (End 2)</t>
  </si>
  <si>
    <t>7 (End 1)</t>
  </si>
  <si>
    <t>7 (End 2)</t>
  </si>
  <si>
    <t>8 (End 1)</t>
  </si>
  <si>
    <t>8 (End 2)</t>
  </si>
  <si>
    <t>9 (End 1)</t>
  </si>
  <si>
    <t>9 (End 2)</t>
  </si>
  <si>
    <t>10 (End 1)</t>
  </si>
  <si>
    <t>10 (End 2)</t>
  </si>
  <si>
    <t>11 (End 1)</t>
  </si>
  <si>
    <t>11 (End 2)</t>
  </si>
  <si>
    <t>12 (End 1)</t>
  </si>
  <si>
    <t>12 (End 2)</t>
  </si>
  <si>
    <t>13 (End 1)</t>
  </si>
  <si>
    <t>13 (End 2)</t>
  </si>
  <si>
    <t>14 (End 1)</t>
  </si>
  <si>
    <t>14 (End 2)</t>
  </si>
  <si>
    <t>15 (End 1)</t>
  </si>
  <si>
    <t>15 (End 2)</t>
  </si>
  <si>
    <t>16 (End 1)</t>
  </si>
  <si>
    <t>16 (End 2)</t>
  </si>
  <si>
    <t>17 (End 1)</t>
  </si>
  <si>
    <t>17 (End 2)</t>
  </si>
  <si>
    <t>Node [-]</t>
  </si>
  <si>
    <t>Local x [m]</t>
  </si>
  <si>
    <t>Point mass [m]</t>
  </si>
  <si>
    <t>Member [-]</t>
  </si>
  <si>
    <t>Wall thickness [mm]</t>
  </si>
  <si>
    <t>cd [-]</t>
  </si>
  <si>
    <t>cm [-]</t>
  </si>
  <si>
    <t>Marine growth [mm]</t>
  </si>
  <si>
    <t>Density [kg*m^-3]</t>
  </si>
  <si>
    <t>Material [-]</t>
  </si>
  <si>
    <t>Bladed</t>
  </si>
  <si>
    <t>Local y [m]</t>
  </si>
  <si>
    <t>New Node?</t>
  </si>
  <si>
    <t xml:space="preserve">sorce: </t>
  </si>
  <si>
    <t>sorce (Github):</t>
  </si>
  <si>
    <t>sorce (Server):</t>
  </si>
  <si>
    <t xml:space="preserve">3. Get python requirements </t>
  </si>
  <si>
    <t>4. Get xlwings in excel</t>
  </si>
  <si>
    <t>Python Releases for Windows | Python.org</t>
  </si>
  <si>
    <t>J-B-O-Offshore/GeometrieConverter</t>
  </si>
  <si>
    <t>M:/02_Software/02_Intern/02_Tools/Python/GeometrieConverter</t>
  </si>
  <si>
    <t>run "install_requirements" in "./GometrieConverter/pythonscripts"</t>
  </si>
  <si>
    <t xml:space="preserve">search for "xlwings lite" in add-ins and install it </t>
  </si>
  <si>
    <t>python_scripts_path:</t>
  </si>
  <si>
    <t>C:/Users/aaron.lange/Desktop/Projekte/Geometrie_Converter/GeometrieConverter/python_scripts/</t>
  </si>
  <si>
    <t>2. Get GeometrieConverter scripts</t>
  </si>
  <si>
    <t>add the python path into the Interpreter box in the xlwings tab (example: C:\Users\aaron.lange\AppData\Local\Programs\Python\Python312\python.exe)</t>
  </si>
  <si>
    <t>or</t>
  </si>
  <si>
    <t>[mLAT]</t>
  </si>
  <si>
    <t>add python.exe to PATH (can be selected at installation, can be done after installation also)</t>
  </si>
  <si>
    <r>
      <t xml:space="preserve">change </t>
    </r>
    <r>
      <rPr>
        <i/>
        <sz val="11"/>
        <color theme="1"/>
        <rFont val="Aptos Narrow"/>
        <family val="2"/>
        <scheme val="minor"/>
      </rPr>
      <t>python_scripts_path</t>
    </r>
    <r>
      <rPr>
        <sz val="11"/>
        <color theme="1"/>
        <rFont val="Aptos Narrow"/>
        <family val="2"/>
        <scheme val="minor"/>
      </rPr>
      <t xml:space="preserve"> to script location (best use temp)</t>
    </r>
  </si>
  <si>
    <t>1. Install python</t>
  </si>
  <si>
    <t>overlapping mode "SKIRT", waterlevel at 0 and seabed at -waterdepth from MP input</t>
  </si>
  <si>
    <t>Global Parameters</t>
  </si>
  <si>
    <r>
      <t xml:space="preserve">   Geometrie Converter 2.0 -</t>
    </r>
    <r>
      <rPr>
        <i/>
        <sz val="48"/>
        <color rgb="FF008F85"/>
        <rFont val="Aptos Narrow"/>
        <family val="2"/>
        <scheme val="minor"/>
      </rPr>
      <t xml:space="preserve"> Build your Structrue</t>
    </r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</si>
  <si>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</si>
  <si>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Build your Structrue</t>
    </r>
  </si>
  <si>
    <r>
      <t xml:space="preserve">   </t>
    </r>
    <r>
      <rPr>
        <b/>
        <sz val="48"/>
        <color rgb="FF008F85"/>
        <rFont val="Aptos Narrow"/>
        <family val="2"/>
        <scheme val="minor"/>
      </rPr>
      <t xml:space="preserve">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</si>
  <si>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t>&lt;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</si>
  <si>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Overview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</si>
  <si>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Overview</t>
    </r>
  </si>
  <si>
    <r>
      <t xml:space="preserve">   Geometrie Converter 2.0  </t>
    </r>
    <r>
      <rPr>
        <i/>
        <sz val="48"/>
        <color rgb="FF008F85"/>
        <rFont val="Aptos Narrow"/>
        <family val="2"/>
        <scheme val="minor"/>
      </rPr>
      <t>- Structure Overview</t>
    </r>
  </si>
  <si>
    <t>C:\Users\aaron.lange\Desktop\Projekte\Geometrie_Converter\GeometrieConverter\databases\TP.db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</si>
  <si>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Export</t>
    </r>
  </si>
  <si>
    <r>
      <t xml:space="preserve">Structure Settings </t>
    </r>
    <r>
      <rPr>
        <i/>
        <sz val="14"/>
        <color theme="1"/>
        <rFont val="Aptos Narrow"/>
        <family val="2"/>
        <scheme val="minor"/>
      </rPr>
      <t>- applied to every configuration defined below</t>
    </r>
  </si>
  <si>
    <r>
      <t xml:space="preserve">Project Settings </t>
    </r>
    <r>
      <rPr>
        <i/>
        <sz val="14"/>
        <color theme="1"/>
        <rFont val="Aptos Narrow"/>
        <family val="2"/>
        <scheme val="minor"/>
      </rPr>
      <t>- every column starting from column 5 is a new configuration, if not filled default is used, columns can be added</t>
    </r>
  </si>
  <si>
    <t>JBOOST Path</t>
  </si>
  <si>
    <t>C:\Users\aaron.lange\Desktop</t>
  </si>
  <si>
    <t>WLGen Path</t>
  </si>
  <si>
    <t>Use For</t>
  </si>
  <si>
    <r>
      <t xml:space="preserve">Masses and Appurtenances - </t>
    </r>
    <r>
      <rPr>
        <i/>
        <sz val="14"/>
        <color theme="1"/>
        <rFont val="Aptos Narrow"/>
        <family val="2"/>
        <scheme val="minor"/>
      </rPr>
      <t>type WL in first coulumn to add as appurtenance, AM to use just as mass, type nothing to exclude</t>
    </r>
  </si>
  <si>
    <t>Material</t>
  </si>
  <si>
    <t>Density</t>
  </si>
  <si>
    <t>Dimensional Tolerance for Node generating [m]</t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</si>
  <si>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Export</t>
    </r>
  </si>
  <si>
    <t>Choose RNA:</t>
  </si>
  <si>
    <t>C:\Users\aaron.lange\Desktop\Projekte\Geometrie_Converter\GeometrieConverter\databases\RNAs.db</t>
  </si>
  <si>
    <r>
      <t xml:space="preserve">Plot Assembly </t>
    </r>
    <r>
      <rPr>
        <i/>
        <sz val="18"/>
        <color theme="1"/>
        <rFont val="Aptos Narrow"/>
        <family val="2"/>
        <scheme val="minor"/>
      </rPr>
      <t xml:space="preserve"> </t>
    </r>
  </si>
  <si>
    <t>select structure (database table)</t>
  </si>
  <si>
    <t>User Input</t>
  </si>
  <si>
    <t>Output</t>
  </si>
  <si>
    <t>Vestas mass</t>
  </si>
  <si>
    <t>#</t>
  </si>
  <si>
    <t>TP top flange</t>
  </si>
  <si>
    <t>Maintenance platform</t>
  </si>
  <si>
    <t>Bolting platform</t>
  </si>
  <si>
    <t>E-module</t>
  </si>
  <si>
    <t>MP-TP flange</t>
  </si>
  <si>
    <t>Upper Ladder</t>
  </si>
  <si>
    <t>Lower Ladder</t>
  </si>
  <si>
    <t>Fender</t>
  </si>
  <si>
    <t>Resting Platform (equivalent)[1]</t>
  </si>
  <si>
    <t>SKIRT</t>
  </si>
  <si>
    <t>Young's Mod. [Pa]</t>
  </si>
  <si>
    <t>Shear Mod [Pa]</t>
  </si>
  <si>
    <t xml:space="preserve">Vestas mass </t>
  </si>
  <si>
    <t>total mass</t>
  </si>
  <si>
    <t xml:space="preserve">Working platform </t>
  </si>
  <si>
    <t xml:space="preserve">Grouting system + ICCP cable routing </t>
  </si>
  <si>
    <t>input</t>
  </si>
  <si>
    <t>dont change</t>
  </si>
  <si>
    <t>Dreekant</t>
  </si>
  <si>
    <t xml:space="preserve">Debug mode (\vba skripts required) </t>
  </si>
  <si>
    <t>Distance Axis to Axis [m]</t>
  </si>
  <si>
    <t>Gap between surfaces [m]</t>
  </si>
  <si>
    <t>Installation</t>
  </si>
  <si>
    <t>Colors</t>
  </si>
  <si>
    <t>Settins</t>
  </si>
  <si>
    <t>Tipps and Settings</t>
  </si>
  <si>
    <r>
      <t xml:space="preserve">Added Masses </t>
    </r>
    <r>
      <rPr>
        <i/>
        <sz val="16"/>
        <color theme="1"/>
        <rFont val="Aptos Narrow"/>
        <family val="2"/>
        <scheme val="minor"/>
      </rPr>
      <t xml:space="preserve">edit values and save to change data in datbase, they do not need to be saved to be used further </t>
    </r>
  </si>
  <si>
    <r>
      <t>Added Masses</t>
    </r>
    <r>
      <rPr>
        <sz val="16"/>
        <color theme="1"/>
        <rFont val="Aptos Narrow"/>
        <family val="2"/>
        <scheme val="minor"/>
      </rPr>
      <t xml:space="preserve"> </t>
    </r>
    <r>
      <rPr>
        <i/>
        <sz val="16"/>
        <color theme="1"/>
        <rFont val="Aptos Narrow"/>
        <family val="2"/>
        <scheme val="minor"/>
      </rPr>
      <t xml:space="preserve">edit values and save to change data in datbase, they do not need to be saved to be used further </t>
    </r>
  </si>
  <si>
    <r>
      <t>Added Masses</t>
    </r>
    <r>
      <rPr>
        <i/>
        <sz val="16"/>
        <color theme="1"/>
        <rFont val="Aptos Narrow"/>
        <family val="2"/>
        <scheme val="minor"/>
      </rPr>
      <t xml:space="preserve"> Added Masses edit values and save to change data in datbase, they do not need to be saved to be used further </t>
    </r>
  </si>
  <si>
    <t>deviating from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</si>
</sst>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4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2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sz val="16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9"/>
      <color rgb="FF54B33E"/>
      <name val="JetBrains Mono"/>
      <family val="3"/>
    </font>
    <font>
      <i/>
      <sz val="11"/>
      <color theme="1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48"/>
      <color rgb="FF008F85"/>
      <name val="Aptos Narrow"/>
      <family val="2"/>
      <scheme val="minor"/>
    </font>
    <font>
      <sz val="18"/>
      <color rgb="FF000000"/>
      <name val="Aptos Narrow"/>
      <family val="2"/>
    </font>
    <font>
      <sz val="20"/>
      <color rgb="FF000000"/>
      <name val="Aptos Narrow"/>
      <family val="2"/>
    </font>
    <font>
      <b/>
      <sz val="20"/>
      <color rgb="FF000000"/>
      <name val="Aptos Narrow"/>
      <family val="2"/>
    </font>
    <font>
      <i/>
      <sz val="18"/>
      <color theme="1"/>
      <name val="Aptos Narrow"/>
      <family val="2"/>
      <scheme val="minor"/>
    </font>
    <font>
      <i/>
      <sz val="14"/>
      <name val="Aptos Narrow"/>
      <family val="2"/>
      <scheme val="minor"/>
    </font>
    <font>
      <i/>
      <sz val="48"/>
      <color rgb="FF008F85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thin">
        <color theme="6" tint="0.79998168889431442"/>
      </left>
      <right/>
      <top style="thin">
        <color theme="6" tint="0.79998168889431442"/>
      </top>
      <bottom style="thin">
        <color theme="6" tint="0.79998168889431442"/>
      </bottom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 style="thin">
        <color theme="6" tint="0.79998168889431442"/>
      </top>
      <bottom style="thin">
        <color theme="6" tint="0.79998168889431442"/>
      </bottom>
      <diagonal/>
    </border>
    <border>
      <left/>
      <right style="medium">
        <color theme="1"/>
      </right>
      <top/>
      <bottom/>
      <diagonal/>
    </border>
    <border>
      <left/>
      <right/>
      <top/>
      <bottom style="medium">
        <color theme="1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/>
      <right style="thin">
        <color theme="9" tint="0.79998168889431442"/>
      </right>
      <top/>
      <bottom style="thin">
        <color theme="9" tint="0.79998168889431442"/>
      </bottom>
      <diagonal/>
    </border>
    <border>
      <left/>
      <right style="thin">
        <color theme="5" tint="0.79998168889431442"/>
      </right>
      <top/>
      <bottom/>
      <diagonal/>
    </border>
    <border>
      <left/>
      <right style="thin">
        <color theme="5" tint="0.79998168889431442"/>
      </right>
      <top/>
      <bottom style="thin">
        <color theme="5" tint="0.79998168889431442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</borders>
  <cellStyleXfs count="3">
    <xf numFmtId="0" fontId="0" fillId="0" borderId="0"/>
    <xf numFmtId="164" fontId="1" fillId="0" borderId="0"/>
    <xf numFmtId="0" fontId="25" fillId="0" borderId="0" applyNumberFormat="0" applyFill="0" applyBorder="0" applyAlignment="0" applyProtection="0"/>
  </cellStyleXfs>
  <cellXfs count="322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9" fillId="0" borderId="0" xfId="0" applyFont="1"/>
    <xf numFmtId="0" fontId="0" fillId="15" borderId="9" xfId="0" applyFill="1" applyBorder="1"/>
    <xf numFmtId="0" fontId="16" fillId="0" borderId="0" xfId="0" applyFont="1"/>
    <xf numFmtId="0" fontId="15" fillId="0" borderId="0" xfId="0" applyFont="1"/>
    <xf numFmtId="168" fontId="0" fillId="0" borderId="0" xfId="0" applyNumberFormat="1"/>
    <xf numFmtId="0" fontId="0" fillId="0" borderId="22" xfId="0" applyBorder="1"/>
    <xf numFmtId="0" fontId="0" fillId="17" borderId="7" xfId="0" applyFill="1" applyBorder="1"/>
    <xf numFmtId="0" fontId="0" fillId="17" borderId="0" xfId="0" applyFill="1"/>
    <xf numFmtId="0" fontId="0" fillId="17" borderId="11" xfId="0" applyFill="1" applyBorder="1"/>
    <xf numFmtId="0" fontId="0" fillId="0" borderId="21" xfId="0" applyBorder="1"/>
    <xf numFmtId="2" fontId="3" fillId="17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15" borderId="6" xfId="0" applyFill="1" applyBorder="1"/>
    <xf numFmtId="0" fontId="0" fillId="15" borderId="7" xfId="0" applyFill="1" applyBorder="1"/>
    <xf numFmtId="1" fontId="0" fillId="0" borderId="9" xfId="0" applyNumberFormat="1" applyBorder="1" applyAlignment="1">
      <alignment horizontal="center"/>
    </xf>
    <xf numFmtId="0" fontId="0" fillId="0" borderId="20" xfId="0" applyBorder="1"/>
    <xf numFmtId="0" fontId="0" fillId="15" borderId="11" xfId="0" applyFill="1" applyBorder="1"/>
    <xf numFmtId="0" fontId="13" fillId="0" borderId="9" xfId="0" applyFont="1" applyBorder="1"/>
    <xf numFmtId="1" fontId="13" fillId="0" borderId="9" xfId="0" applyNumberFormat="1" applyFont="1" applyBorder="1" applyAlignment="1">
      <alignment horizontal="left"/>
    </xf>
    <xf numFmtId="0" fontId="13" fillId="0" borderId="0" xfId="0" applyFont="1"/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2" fontId="3" fillId="0" borderId="8" xfId="0" applyNumberFormat="1" applyFont="1" applyBorder="1" applyAlignment="1">
      <alignment horizontal="left"/>
    </xf>
    <xf numFmtId="1" fontId="18" fillId="0" borderId="9" xfId="0" applyNumberFormat="1" applyFont="1" applyBorder="1" applyAlignment="1">
      <alignment horizontal="center"/>
    </xf>
    <xf numFmtId="2" fontId="18" fillId="0" borderId="0" xfId="0" applyNumberFormat="1" applyFont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/>
      <protection locked="0"/>
    </xf>
    <xf numFmtId="0" fontId="0" fillId="17" borderId="8" xfId="0" applyFill="1" applyBorder="1"/>
    <xf numFmtId="0" fontId="0" fillId="17" borderId="10" xfId="0" applyFill="1" applyBorder="1"/>
    <xf numFmtId="0" fontId="0" fillId="17" borderId="4" xfId="0" applyFill="1" applyBorder="1"/>
    <xf numFmtId="0" fontId="14" fillId="16" borderId="23" xfId="0" applyFont="1" applyFill="1" applyBorder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6" fillId="17" borderId="0" xfId="0" applyFont="1" applyFill="1" applyAlignment="1">
      <alignment horizontal="left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13" fillId="12" borderId="9" xfId="0" applyFont="1" applyFill="1" applyBorder="1" applyAlignment="1">
      <alignment horizontal="left"/>
    </xf>
    <xf numFmtId="0" fontId="0" fillId="15" borderId="10" xfId="0" applyFill="1" applyBorder="1"/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16" borderId="0" xfId="0" applyFont="1" applyFill="1" applyAlignment="1">
      <alignment horizontal="center"/>
    </xf>
    <xf numFmtId="0" fontId="27" fillId="0" borderId="7" xfId="0" applyFont="1" applyBorder="1"/>
    <xf numFmtId="0" fontId="28" fillId="0" borderId="8" xfId="2" applyFont="1" applyBorder="1"/>
    <xf numFmtId="0" fontId="27" fillId="0" borderId="0" xfId="0" applyFont="1"/>
    <xf numFmtId="0" fontId="3" fillId="0" borderId="10" xfId="0" applyFont="1" applyBorder="1"/>
    <xf numFmtId="0" fontId="27" fillId="0" borderId="27" xfId="0" applyFont="1" applyBorder="1"/>
    <xf numFmtId="0" fontId="9" fillId="15" borderId="29" xfId="0" applyFont="1" applyFill="1" applyBorder="1"/>
    <xf numFmtId="0" fontId="0" fillId="15" borderId="30" xfId="0" applyFill="1" applyBorder="1"/>
    <xf numFmtId="0" fontId="0" fillId="15" borderId="31" xfId="0" applyFill="1" applyBorder="1"/>
    <xf numFmtId="0" fontId="0" fillId="18" borderId="9" xfId="0" applyFill="1" applyBorder="1"/>
    <xf numFmtId="0" fontId="0" fillId="18" borderId="0" xfId="0" applyFill="1"/>
    <xf numFmtId="0" fontId="0" fillId="15" borderId="8" xfId="0" applyFill="1" applyBorder="1"/>
    <xf numFmtId="0" fontId="0" fillId="17" borderId="26" xfId="0" applyFill="1" applyBorder="1"/>
    <xf numFmtId="0" fontId="0" fillId="17" borderId="27" xfId="0" applyFill="1" applyBorder="1"/>
    <xf numFmtId="0" fontId="0" fillId="17" borderId="28" xfId="0" applyFill="1" applyBorder="1"/>
    <xf numFmtId="1" fontId="31" fillId="0" borderId="9" xfId="0" applyNumberFormat="1" applyFont="1" applyBorder="1" applyAlignment="1">
      <alignment horizontal="left" vertical="center"/>
    </xf>
    <xf numFmtId="0" fontId="21" fillId="15" borderId="0" xfId="0" applyFont="1" applyFill="1"/>
    <xf numFmtId="0" fontId="21" fillId="15" borderId="9" xfId="0" applyFont="1" applyFill="1" applyBorder="1"/>
    <xf numFmtId="0" fontId="21" fillId="15" borderId="10" xfId="0" applyFont="1" applyFill="1" applyBorder="1"/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6" xfId="0" applyBorder="1"/>
    <xf numFmtId="1" fontId="32" fillId="0" borderId="0" xfId="0" applyNumberFormat="1" applyFont="1" applyAlignment="1">
      <alignment horizontal="left" vertical="center"/>
    </xf>
    <xf numFmtId="1" fontId="32" fillId="0" borderId="9" xfId="0" applyNumberFormat="1" applyFont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32" fillId="0" borderId="27" xfId="0" applyFont="1" applyBorder="1" applyAlignment="1">
      <alignment horizontal="left" vertical="center"/>
    </xf>
    <xf numFmtId="1" fontId="31" fillId="0" borderId="27" xfId="0" applyNumberFormat="1" applyFont="1" applyBorder="1" applyAlignment="1">
      <alignment horizontal="left" vertical="center"/>
    </xf>
    <xf numFmtId="0" fontId="0" fillId="12" borderId="0" xfId="0" applyFill="1" applyAlignment="1">
      <alignment horizontal="center"/>
    </xf>
    <xf numFmtId="0" fontId="5" fillId="15" borderId="9" xfId="0" applyFont="1" applyFill="1" applyBorder="1" applyAlignment="1">
      <alignment horizontal="center"/>
    </xf>
    <xf numFmtId="0" fontId="5" fillId="15" borderId="0" xfId="0" applyFont="1" applyFill="1" applyAlignment="1">
      <alignment horizontal="center"/>
    </xf>
    <xf numFmtId="0" fontId="5" fillId="15" borderId="10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9" fillId="12" borderId="9" xfId="0" applyFont="1" applyFill="1" applyBorder="1" applyAlignment="1">
      <alignment horizontal="left"/>
    </xf>
    <xf numFmtId="0" fontId="0" fillId="19" borderId="9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0" fillId="19" borderId="10" xfId="0" applyFill="1" applyBorder="1" applyAlignment="1">
      <alignment horizontal="center"/>
    </xf>
    <xf numFmtId="1" fontId="0" fillId="15" borderId="6" xfId="0" applyNumberFormat="1" applyFill="1" applyBorder="1" applyAlignment="1">
      <alignment horizontal="center"/>
    </xf>
    <xf numFmtId="2" fontId="0" fillId="15" borderId="7" xfId="0" applyNumberFormat="1" applyFill="1" applyBorder="1" applyAlignment="1">
      <alignment horizontal="center"/>
    </xf>
    <xf numFmtId="1" fontId="0" fillId="15" borderId="7" xfId="0" applyNumberFormat="1" applyFill="1" applyBorder="1" applyAlignment="1">
      <alignment horizontal="center"/>
    </xf>
    <xf numFmtId="2" fontId="0" fillId="15" borderId="0" xfId="0" applyNumberFormat="1" applyFill="1" applyAlignment="1">
      <alignment horizontal="center"/>
    </xf>
    <xf numFmtId="1" fontId="0" fillId="15" borderId="0" xfId="0" applyNumberFormat="1" applyFill="1" applyAlignment="1">
      <alignment horizontal="center"/>
    </xf>
    <xf numFmtId="0" fontId="20" fillId="15" borderId="9" xfId="0" applyFont="1" applyFill="1" applyBorder="1" applyAlignment="1">
      <alignment horizontal="center" vertical="center"/>
    </xf>
    <xf numFmtId="0" fontId="30" fillId="15" borderId="9" xfId="0" applyFont="1" applyFill="1" applyBorder="1" applyAlignment="1">
      <alignment horizontal="center" vertical="center"/>
    </xf>
    <xf numFmtId="1" fontId="32" fillId="0" borderId="27" xfId="0" applyNumberFormat="1" applyFont="1" applyBorder="1" applyAlignment="1">
      <alignment horizontal="left" vertical="center"/>
    </xf>
    <xf numFmtId="0" fontId="0" fillId="15" borderId="9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0" xfId="0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26" fillId="0" borderId="0" xfId="0" applyFont="1" applyAlignment="1">
      <alignment vertical="center"/>
    </xf>
    <xf numFmtId="0" fontId="20" fillId="15" borderId="0" xfId="0" applyFont="1" applyFill="1" applyAlignment="1">
      <alignment horizontal="left"/>
    </xf>
    <xf numFmtId="0" fontId="0" fillId="15" borderId="0" xfId="0" applyFill="1" applyAlignment="1">
      <alignment horizontal="left"/>
    </xf>
    <xf numFmtId="0" fontId="12" fillId="15" borderId="0" xfId="0" applyFont="1" applyFill="1" applyAlignment="1">
      <alignment horizontal="left"/>
    </xf>
    <xf numFmtId="0" fontId="0" fillId="18" borderId="10" xfId="0" applyFill="1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2" fontId="3" fillId="17" borderId="0" xfId="0" applyNumberFormat="1" applyFont="1" applyFill="1" applyAlignment="1">
      <alignment horizontal="left"/>
    </xf>
    <xf numFmtId="0" fontId="0" fillId="17" borderId="0" xfId="0" applyFill="1" applyAlignment="1">
      <alignment vertical="center"/>
    </xf>
    <xf numFmtId="0" fontId="3" fillId="0" borderId="7" xfId="0" applyFont="1" applyBorder="1"/>
    <xf numFmtId="0" fontId="12" fillId="15" borderId="0" xfId="0" applyFont="1" applyFill="1" applyAlignment="1">
      <alignment horizontal="center"/>
    </xf>
    <xf numFmtId="0" fontId="39" fillId="0" borderId="0" xfId="0" applyFont="1"/>
    <xf numFmtId="0" fontId="39" fillId="20" borderId="0" xfId="0" applyFont="1" applyFill="1"/>
    <xf numFmtId="0" fontId="2" fillId="16" borderId="18" xfId="0" applyFont="1" applyFill="1" applyBorder="1"/>
    <xf numFmtId="0" fontId="2" fillId="16" borderId="19" xfId="0" applyFont="1" applyFill="1" applyBorder="1"/>
    <xf numFmtId="0" fontId="2" fillId="16" borderId="17" xfId="0" applyFont="1" applyFill="1" applyBorder="1"/>
    <xf numFmtId="0" fontId="0" fillId="21" borderId="6" xfId="0" applyFill="1" applyBorder="1"/>
    <xf numFmtId="0" fontId="0" fillId="21" borderId="9" xfId="0" applyFill="1" applyBorder="1"/>
    <xf numFmtId="0" fontId="0" fillId="21" borderId="5" xfId="0" applyFill="1" applyBorder="1"/>
    <xf numFmtId="1" fontId="18" fillId="17" borderId="9" xfId="0" applyNumberFormat="1" applyFont="1" applyFill="1" applyBorder="1" applyAlignment="1">
      <alignment horizontal="center"/>
    </xf>
    <xf numFmtId="0" fontId="0" fillId="21" borderId="7" xfId="0" applyFill="1" applyBorder="1"/>
    <xf numFmtId="0" fontId="0" fillId="21" borderId="0" xfId="0" applyFill="1"/>
    <xf numFmtId="0" fontId="0" fillId="21" borderId="11" xfId="0" applyFill="1" applyBorder="1"/>
    <xf numFmtId="0" fontId="2" fillId="16" borderId="32" xfId="0" applyFont="1" applyFill="1" applyBorder="1"/>
    <xf numFmtId="0" fontId="2" fillId="16" borderId="33" xfId="0" applyFont="1" applyFill="1" applyBorder="1" applyAlignment="1">
      <alignment horizontal="left"/>
    </xf>
    <xf numFmtId="1" fontId="0" fillId="0" borderId="0" xfId="0" applyNumberFormat="1"/>
    <xf numFmtId="1" fontId="0" fillId="15" borderId="7" xfId="0" applyNumberFormat="1" applyFill="1" applyBorder="1"/>
    <xf numFmtId="1" fontId="0" fillId="15" borderId="0" xfId="0" applyNumberFormat="1" applyFill="1"/>
    <xf numFmtId="1" fontId="9" fillId="0" borderId="0" xfId="0" applyNumberFormat="1" applyFont="1"/>
    <xf numFmtId="1" fontId="0" fillId="17" borderId="7" xfId="0" applyNumberFormat="1" applyFill="1" applyBorder="1"/>
    <xf numFmtId="1" fontId="2" fillId="16" borderId="32" xfId="0" applyNumberFormat="1" applyFont="1" applyFill="1" applyBorder="1"/>
    <xf numFmtId="1" fontId="0" fillId="0" borderId="11" xfId="0" applyNumberFormat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0" fillId="8" borderId="10" xfId="0" applyFill="1" applyBorder="1"/>
    <xf numFmtId="49" fontId="0" fillId="8" borderId="0" xfId="0" applyNumberFormat="1" applyFill="1" applyAlignment="1">
      <alignment horizontal="center"/>
    </xf>
    <xf numFmtId="0" fontId="6" fillId="0" borderId="0" xfId="0" applyFont="1"/>
    <xf numFmtId="0" fontId="0" fillId="8" borderId="0" xfId="0" applyFill="1" applyAlignment="1">
      <alignment vertical="center"/>
    </xf>
    <xf numFmtId="0" fontId="19" fillId="8" borderId="4" xfId="0" applyFont="1" applyFill="1" applyBorder="1" applyAlignment="1">
      <alignment horizontal="center"/>
    </xf>
    <xf numFmtId="0" fontId="40" fillId="21" borderId="9" xfId="0" applyFont="1" applyFill="1" applyBorder="1"/>
    <xf numFmtId="1" fontId="0" fillId="17" borderId="0" xfId="0" applyNumberFormat="1" applyFill="1"/>
    <xf numFmtId="0" fontId="0" fillId="8" borderId="11" xfId="0" applyFill="1" applyBorder="1" applyAlignment="1">
      <alignment vertical="center"/>
    </xf>
    <xf numFmtId="0" fontId="0" fillId="8" borderId="11" xfId="0" applyFill="1" applyBorder="1"/>
    <xf numFmtId="1" fontId="0" fillId="8" borderId="11" xfId="0" applyNumberFormat="1" applyFill="1" applyBorder="1"/>
    <xf numFmtId="0" fontId="0" fillId="8" borderId="4" xfId="0" applyFill="1" applyBorder="1"/>
    <xf numFmtId="0" fontId="0" fillId="13" borderId="0" xfId="0" applyFill="1" applyAlignment="1">
      <alignment horizontal="center"/>
    </xf>
    <xf numFmtId="166" fontId="0" fillId="0" borderId="0" xfId="0" applyNumberFormat="1"/>
    <xf numFmtId="167" fontId="0" fillId="0" borderId="0" xfId="0" applyNumberFormat="1"/>
    <xf numFmtId="1" fontId="0" fillId="0" borderId="21" xfId="0" applyNumberFormat="1" applyBorder="1"/>
    <xf numFmtId="0" fontId="0" fillId="15" borderId="7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5" xfId="0" applyBorder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20" xfId="0" applyBorder="1" applyAlignment="1">
      <alignment horizontal="center"/>
    </xf>
    <xf numFmtId="0" fontId="16" fillId="0" borderId="0" xfId="0" applyFont="1" applyAlignment="1">
      <alignment horizontal="center"/>
    </xf>
    <xf numFmtId="1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14" fillId="16" borderId="25" xfId="0" applyFont="1" applyFill="1" applyBorder="1" applyAlignment="1">
      <alignment horizontal="center"/>
    </xf>
    <xf numFmtId="2" fontId="0" fillId="0" borderId="0" xfId="0" applyNumberFormat="1" applyAlignment="1">
      <alignment horizontal="left"/>
    </xf>
    <xf numFmtId="0" fontId="3" fillId="0" borderId="9" xfId="0" applyFont="1" applyBorder="1"/>
    <xf numFmtId="167" fontId="3" fillId="0" borderId="0" xfId="0" applyNumberFormat="1" applyFont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35" xfId="0" applyFill="1" applyBorder="1"/>
    <xf numFmtId="0" fontId="14" fillId="16" borderId="24" xfId="0" applyFont="1" applyFill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166" fontId="0" fillId="0" borderId="37" xfId="0" applyNumberFormat="1" applyBorder="1" applyAlignment="1">
      <alignment horizontal="center"/>
    </xf>
    <xf numFmtId="167" fontId="0" fillId="0" borderId="37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67" fontId="0" fillId="0" borderId="42" xfId="0" applyNumberFormat="1" applyBorder="1" applyAlignment="1">
      <alignment horizontal="center"/>
    </xf>
    <xf numFmtId="1" fontId="0" fillId="0" borderId="43" xfId="0" applyNumberFormat="1" applyBorder="1" applyAlignment="1">
      <alignment horizontal="center"/>
    </xf>
    <xf numFmtId="166" fontId="0" fillId="0" borderId="42" xfId="0" applyNumberFormat="1" applyBorder="1"/>
    <xf numFmtId="1" fontId="0" fillId="0" borderId="40" xfId="0" applyNumberFormat="1" applyBorder="1"/>
    <xf numFmtId="0" fontId="0" fillId="0" borderId="39" xfId="0" applyBorder="1"/>
    <xf numFmtId="0" fontId="0" fillId="0" borderId="41" xfId="0" applyBorder="1"/>
    <xf numFmtId="167" fontId="0" fillId="0" borderId="42" xfId="0" applyNumberFormat="1" applyBorder="1"/>
    <xf numFmtId="1" fontId="0" fillId="0" borderId="43" xfId="0" applyNumberFormat="1" applyBorder="1"/>
    <xf numFmtId="0" fontId="0" fillId="8" borderId="44" xfId="0" applyFill="1" applyBorder="1" applyAlignment="1">
      <alignment vertical="center"/>
    </xf>
    <xf numFmtId="0" fontId="0" fillId="8" borderId="45" xfId="0" applyFill="1" applyBorder="1"/>
    <xf numFmtId="2" fontId="0" fillId="0" borderId="37" xfId="0" applyNumberFormat="1" applyBorder="1" applyAlignment="1">
      <alignment horizontal="center"/>
    </xf>
    <xf numFmtId="0" fontId="0" fillId="0" borderId="46" xfId="0" applyBorder="1"/>
    <xf numFmtId="2" fontId="3" fillId="0" borderId="47" xfId="0" applyNumberFormat="1" applyFont="1" applyBorder="1" applyAlignment="1">
      <alignment horizontal="left"/>
    </xf>
    <xf numFmtId="0" fontId="0" fillId="0" borderId="48" xfId="0" applyBorder="1"/>
    <xf numFmtId="0" fontId="19" fillId="8" borderId="49" xfId="0" applyFont="1" applyFill="1" applyBorder="1" applyAlignment="1">
      <alignment horizontal="center"/>
    </xf>
    <xf numFmtId="0" fontId="0" fillId="21" borderId="46" xfId="0" applyFill="1" applyBorder="1"/>
    <xf numFmtId="2" fontId="3" fillId="17" borderId="50" xfId="0" applyNumberFormat="1" applyFont="1" applyFill="1" applyBorder="1" applyAlignment="1">
      <alignment horizontal="left"/>
    </xf>
    <xf numFmtId="0" fontId="0" fillId="17" borderId="50" xfId="0" applyFill="1" applyBorder="1"/>
    <xf numFmtId="0" fontId="0" fillId="17" borderId="47" xfId="0" applyFill="1" applyBorder="1"/>
    <xf numFmtId="0" fontId="0" fillId="21" borderId="51" xfId="0" applyFill="1" applyBorder="1"/>
    <xf numFmtId="0" fontId="0" fillId="8" borderId="52" xfId="0" applyFill="1" applyBorder="1"/>
    <xf numFmtId="0" fontId="0" fillId="17" borderId="53" xfId="0" applyFill="1" applyBorder="1"/>
    <xf numFmtId="0" fontId="0" fillId="17" borderId="54" xfId="0" applyFill="1" applyBorder="1"/>
    <xf numFmtId="0" fontId="0" fillId="17" borderId="49" xfId="0" applyFill="1" applyBorder="1"/>
    <xf numFmtId="0" fontId="0" fillId="22" borderId="34" xfId="0" applyFill="1" applyBorder="1" applyAlignment="1">
      <alignment horizontal="center"/>
    </xf>
    <xf numFmtId="1" fontId="0" fillId="22" borderId="34" xfId="0" applyNumberFormat="1" applyFill="1" applyBorder="1" applyAlignment="1">
      <alignment horizontal="center"/>
    </xf>
    <xf numFmtId="1" fontId="18" fillId="0" borderId="0" xfId="0" applyNumberFormat="1" applyFont="1" applyAlignment="1">
      <alignment horizontal="center"/>
    </xf>
    <xf numFmtId="166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3" fillId="8" borderId="28" xfId="0" applyFont="1" applyFill="1" applyBorder="1"/>
    <xf numFmtId="0" fontId="0" fillId="0" borderId="47" xfId="0" applyBorder="1"/>
    <xf numFmtId="0" fontId="0" fillId="0" borderId="53" xfId="0" applyBorder="1"/>
    <xf numFmtId="0" fontId="0" fillId="0" borderId="54" xfId="0" applyBorder="1"/>
    <xf numFmtId="0" fontId="0" fillId="0" borderId="49" xfId="0" applyBorder="1"/>
    <xf numFmtId="0" fontId="0" fillId="15" borderId="51" xfId="0" applyFill="1" applyBorder="1"/>
    <xf numFmtId="0" fontId="0" fillId="15" borderId="48" xfId="0" applyFill="1" applyBorder="1"/>
    <xf numFmtId="0" fontId="0" fillId="13" borderId="56" xfId="0" applyFill="1" applyBorder="1"/>
    <xf numFmtId="0" fontId="0" fillId="13" borderId="55" xfId="0" applyFill="1" applyBorder="1"/>
    <xf numFmtId="1" fontId="13" fillId="0" borderId="0" xfId="0" applyNumberFormat="1" applyFont="1" applyAlignment="1">
      <alignment horizontal="left"/>
    </xf>
    <xf numFmtId="0" fontId="29" fillId="15" borderId="46" xfId="0" applyFont="1" applyFill="1" applyBorder="1"/>
    <xf numFmtId="0" fontId="0" fillId="15" borderId="50" xfId="0" applyFill="1" applyBorder="1"/>
    <xf numFmtId="0" fontId="0" fillId="15" borderId="47" xfId="0" applyFill="1" applyBorder="1"/>
    <xf numFmtId="0" fontId="37" fillId="15" borderId="51" xfId="0" applyFont="1" applyFill="1" applyBorder="1"/>
    <xf numFmtId="0" fontId="0" fillId="15" borderId="53" xfId="0" applyFill="1" applyBorder="1"/>
    <xf numFmtId="0" fontId="0" fillId="15" borderId="58" xfId="0" applyFill="1" applyBorder="1"/>
    <xf numFmtId="0" fontId="0" fillId="15" borderId="59" xfId="0" applyFill="1" applyBorder="1"/>
    <xf numFmtId="0" fontId="0" fillId="15" borderId="54" xfId="0" applyFill="1" applyBorder="1"/>
    <xf numFmtId="0" fontId="0" fillId="15" borderId="49" xfId="0" applyFill="1" applyBorder="1"/>
    <xf numFmtId="0" fontId="15" fillId="0" borderId="0" xfId="0" applyFont="1" applyAlignment="1">
      <alignment horizontal="left"/>
    </xf>
    <xf numFmtId="0" fontId="0" fillId="8" borderId="57" xfId="0" applyFill="1" applyBorder="1"/>
    <xf numFmtId="0" fontId="0" fillId="17" borderId="60" xfId="0" applyFill="1" applyBorder="1"/>
    <xf numFmtId="0" fontId="0" fillId="7" borderId="61" xfId="0" applyFill="1" applyBorder="1"/>
    <xf numFmtId="0" fontId="0" fillId="17" borderId="62" xfId="0" applyFill="1" applyBorder="1"/>
    <xf numFmtId="0" fontId="3" fillId="0" borderId="50" xfId="0" applyFont="1" applyBorder="1"/>
    <xf numFmtId="0" fontId="9" fillId="15" borderId="63" xfId="0" applyFont="1" applyFill="1" applyBorder="1"/>
    <xf numFmtId="0" fontId="0" fillId="15" borderId="64" xfId="0" applyFill="1" applyBorder="1"/>
    <xf numFmtId="0" fontId="3" fillId="15" borderId="64" xfId="0" applyFont="1" applyFill="1" applyBorder="1"/>
    <xf numFmtId="0" fontId="0" fillId="15" borderId="65" xfId="0" applyFill="1" applyBorder="1"/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40" fillId="17" borderId="51" xfId="0" applyFont="1" applyFill="1" applyBorder="1" applyAlignment="1">
      <alignment horizontal="center" vertical="center"/>
    </xf>
    <xf numFmtId="0" fontId="40" fillId="17" borderId="48" xfId="0" applyFont="1" applyFill="1" applyBorder="1" applyAlignment="1">
      <alignment horizontal="center" vertical="center"/>
    </xf>
    <xf numFmtId="0" fontId="40" fillId="17" borderId="9" xfId="0" applyFont="1" applyFill="1" applyBorder="1" applyAlignment="1">
      <alignment horizontal="center" vertical="center"/>
    </xf>
    <xf numFmtId="0" fontId="40" fillId="17" borderId="5" xfId="0" applyFont="1" applyFill="1" applyBorder="1" applyAlignment="1">
      <alignment horizontal="center" vertical="center"/>
    </xf>
    <xf numFmtId="0" fontId="0" fillId="0" borderId="56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0" borderId="0" xfId="0" applyFill="1"/>
    <xf numFmtId="0" fontId="0" fillId="0" borderId="35" xfId="0" applyFill="1" applyBorder="1" applyAlignment="1">
      <alignment horizontal="center"/>
    </xf>
    <xf numFmtId="0" fontId="0" fillId="0" borderId="0" xfId="0" applyFill="1" applyAlignment="1">
      <alignment horizontal="center"/>
    </xf>
    <xf numFmtId="1" fontId="18" fillId="0" borderId="9" xfId="0" applyNumberFormat="1" applyFont="1" applyFill="1" applyBorder="1" applyAlignment="1">
      <alignment horizontal="center"/>
    </xf>
    <xf numFmtId="2" fontId="18" fillId="0" borderId="0" xfId="0" applyNumberFormat="1" applyFont="1" applyFill="1" applyAlignment="1" applyProtection="1">
      <alignment horizontal="center"/>
      <protection locked="0"/>
    </xf>
    <xf numFmtId="1" fontId="18" fillId="0" borderId="0" xfId="0" applyNumberFormat="1" applyFont="1" applyFill="1" applyAlignment="1" applyProtection="1">
      <alignment horizontal="center"/>
      <protection locked="0"/>
    </xf>
    <xf numFmtId="2" fontId="0" fillId="0" borderId="9" xfId="0" applyNumberFormat="1" applyFill="1" applyBorder="1" applyAlignment="1">
      <alignment horizontal="left"/>
    </xf>
    <xf numFmtId="167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9" xfId="0" applyFill="1" applyBorder="1" applyAlignment="1">
      <alignment horizontal="left"/>
    </xf>
    <xf numFmtId="168" fontId="0" fillId="0" borderId="0" xfId="0" applyNumberFormat="1" applyFill="1" applyAlignment="1">
      <alignment horizontal="center"/>
    </xf>
  </cellXfs>
  <cellStyles count="3">
    <cellStyle name="Link" xfId="2" builtinId="8"/>
    <cellStyle name="Standard" xfId="0" builtinId="0"/>
    <cellStyle name="Standard 4" xfId="1" xr:uid="{7C2E7282-4006-4D40-8AAC-8E6944058B8E}"/>
  </cellStyles>
  <dxfs count="4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0.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ill>
        <patternFill>
          <bgColor theme="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JBO_Design" defaultPivotStyle="PivotStyleLight16">
    <tableStyle name="JBO_Design" pivot="0" count="4" xr9:uid="{95AAA938-C4DD-4DEC-A5CC-FFB0938B175B}">
      <tableStyleElement type="wholeTable" dxfId="410"/>
      <tableStyleElement type="headerRow" dxfId="409"/>
      <tableStyleElement type="firstRowStripe" dxfId="408"/>
      <tableStyleElement type="secondRowStripe" dxfId="407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fmlaLink="Use_TP" lockText="1" noThreeD="1"/>
</file>

<file path=xl/ctrlProps/ctrlProp13.xml><?xml version="1.0" encoding="utf-8"?>
<formControlPr xmlns="http://schemas.microsoft.com/office/spreadsheetml/2009/9/main" objectType="CheckBox" fmlaLink="Use_MP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checked="Checked" fmlaLink="UseMPGeomConv" lockText="1" noThreeD="1"/>
</file>

<file path=xl/ctrlProps/ctrlProp21.xml><?xml version="1.0" encoding="utf-8"?>
<formControlPr xmlns="http://schemas.microsoft.com/office/spreadsheetml/2009/9/main" objectType="CheckBox" fmlaLink="UseTPGeomConv" lockText="1" noThreeD="1"/>
</file>

<file path=xl/ctrlProps/ctrlProp22.xml><?xml version="1.0" encoding="utf-8"?>
<formControlPr xmlns="http://schemas.microsoft.com/office/spreadsheetml/2009/9/main" objectType="CheckBox" fmlaLink="UseTOWERGeomConv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Drop" dropStyle="combo" dx="26" noThreeD="1" sel="0" val="0">
  <itemLst>
    <item val="Generic_Turbine"/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Style="combo" dx="26" noThreeD="1" sel="0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Drop" dropStyle="combo" dx="26" noThreeD="1" sel="0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3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4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45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6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1540601</xdr:colOff>
      <xdr:row>34</xdr:row>
      <xdr:rowOff>47353</xdr:rowOff>
    </xdr:from>
    <xdr:to>
      <xdr:col>3</xdr:col>
      <xdr:colOff>9553847</xdr:colOff>
      <xdr:row>40</xdr:row>
      <xdr:rowOff>169000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EF2D4F2-4A2D-C173-D57D-FACA6C31AAC4}"/>
            </a:ext>
          </a:extLst>
        </xdr:cNvPr>
        <xdr:cNvGrpSpPr/>
      </xdr:nvGrpSpPr>
      <xdr:grpSpPr>
        <a:xfrm>
          <a:off x="4928780" y="6905353"/>
          <a:ext cx="10628538" cy="1264647"/>
          <a:chOff x="3531524" y="3298361"/>
          <a:chExt cx="11849099" cy="1404787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79614FCB-1737-7538-0B0E-10E1D3E223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531524" y="3298361"/>
            <a:ext cx="11849099" cy="1404787"/>
          </a:xfrm>
          <a:prstGeom prst="rect">
            <a:avLst/>
          </a:prstGeom>
        </xdr:spPr>
      </xdr:pic>
      <xdr:sp macro="" textlink="">
        <xdr:nvSpPr>
          <xdr:cNvPr id="3" name="Rechteck 2">
            <a:extLst>
              <a:ext uri="{FF2B5EF4-FFF2-40B4-BE49-F238E27FC236}">
                <a16:creationId xmlns:a16="http://schemas.microsoft.com/office/drawing/2014/main" id="{86D5BE9A-14FE-8C63-F993-A798E2DE67AE}"/>
              </a:ext>
            </a:extLst>
          </xdr:cNvPr>
          <xdr:cNvSpPr/>
        </xdr:nvSpPr>
        <xdr:spPr>
          <a:xfrm>
            <a:off x="3924300" y="3870960"/>
            <a:ext cx="1645920" cy="22860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3</xdr:col>
      <xdr:colOff>21771</xdr:colOff>
      <xdr:row>15</xdr:row>
      <xdr:rowOff>105591</xdr:rowOff>
    </xdr:from>
    <xdr:to>
      <xdr:col>3</xdr:col>
      <xdr:colOff>6763920</xdr:colOff>
      <xdr:row>31</xdr:row>
      <xdr:rowOff>18213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2BDF2351-FC74-5EAC-237C-0B3BE30B3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61857" y="2696391"/>
          <a:ext cx="6730719" cy="2873537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25</xdr:row>
      <xdr:rowOff>0</xdr:rowOff>
    </xdr:from>
    <xdr:to>
      <xdr:col>3</xdr:col>
      <xdr:colOff>6770915</xdr:colOff>
      <xdr:row>26</xdr:row>
      <xdr:rowOff>1</xdr:rowOff>
    </xdr:to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E9C0B6CA-9708-21EC-169F-4DA3C065284E}"/>
            </a:ext>
          </a:extLst>
        </xdr:cNvPr>
        <xdr:cNvSpPr/>
      </xdr:nvSpPr>
      <xdr:spPr>
        <a:xfrm>
          <a:off x="5040087" y="4441371"/>
          <a:ext cx="6770914" cy="18505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57150</xdr:rowOff>
        </xdr:from>
        <xdr:to>
          <xdr:col>7</xdr:col>
          <xdr:colOff>2095500</xdr:colOff>
          <xdr:row>8</xdr:row>
          <xdr:rowOff>171450</xdr:rowOff>
        </xdr:to>
        <xdr:sp macro="" textlink="">
          <xdr:nvSpPr>
            <xdr:cNvPr id="4102" name="Dropdown_MP_Structures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47625</xdr:rowOff>
        </xdr:from>
        <xdr:to>
          <xdr:col>4</xdr:col>
          <xdr:colOff>3295650</xdr:colOff>
          <xdr:row>6</xdr:row>
          <xdr:rowOff>180975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21</xdr:row>
          <xdr:rowOff>171450</xdr:rowOff>
        </xdr:from>
        <xdr:to>
          <xdr:col>8</xdr:col>
          <xdr:colOff>1228725</xdr:colOff>
          <xdr:row>24</xdr:row>
          <xdr:rowOff>209550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1352550</xdr:colOff>
          <xdr:row>21</xdr:row>
          <xdr:rowOff>171450</xdr:rowOff>
        </xdr:from>
        <xdr:to>
          <xdr:col>10</xdr:col>
          <xdr:colOff>1228725</xdr:colOff>
          <xdr:row>24</xdr:row>
          <xdr:rowOff>209550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133350</xdr:rowOff>
        </xdr:from>
        <xdr:to>
          <xdr:col>3</xdr:col>
          <xdr:colOff>1685925</xdr:colOff>
          <xdr:row>3</xdr:row>
          <xdr:rowOff>76200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95250</xdr:rowOff>
        </xdr:from>
        <xdr:to>
          <xdr:col>1</xdr:col>
          <xdr:colOff>1428750</xdr:colOff>
          <xdr:row>20</xdr:row>
          <xdr:rowOff>180975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38100</xdr:colOff>
          <xdr:row>6</xdr:row>
          <xdr:rowOff>38100</xdr:rowOff>
        </xdr:from>
        <xdr:to>
          <xdr:col>63</xdr:col>
          <xdr:colOff>790575</xdr:colOff>
          <xdr:row>6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819150</xdr:colOff>
          <xdr:row>6</xdr:row>
          <xdr:rowOff>19050</xdr:rowOff>
        </xdr:from>
        <xdr:to>
          <xdr:col>64</xdr:col>
          <xdr:colOff>9525</xdr:colOff>
          <xdr:row>6</xdr:row>
          <xdr:rowOff>257175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1609725</xdr:colOff>
          <xdr:row>20</xdr:row>
          <xdr:rowOff>95250</xdr:rowOff>
        </xdr:from>
        <xdr:to>
          <xdr:col>1</xdr:col>
          <xdr:colOff>971550</xdr:colOff>
          <xdr:row>22</xdr:row>
          <xdr:rowOff>142875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20</xdr:row>
          <xdr:rowOff>114300</xdr:rowOff>
        </xdr:from>
        <xdr:to>
          <xdr:col>0</xdr:col>
          <xdr:colOff>990600</xdr:colOff>
          <xdr:row>22</xdr:row>
          <xdr:rowOff>142875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22</xdr:row>
          <xdr:rowOff>57150</xdr:rowOff>
        </xdr:from>
        <xdr:to>
          <xdr:col>4</xdr:col>
          <xdr:colOff>3314700</xdr:colOff>
          <xdr:row>23</xdr:row>
          <xdr:rowOff>180975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57150</xdr:colOff>
          <xdr:row>24</xdr:row>
          <xdr:rowOff>104775</xdr:rowOff>
        </xdr:from>
        <xdr:to>
          <xdr:col>120</xdr:col>
          <xdr:colOff>762000</xdr:colOff>
          <xdr:row>109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18</xdr:row>
          <xdr:rowOff>104775</xdr:rowOff>
        </xdr:from>
        <xdr:to>
          <xdr:col>3</xdr:col>
          <xdr:colOff>1695450</xdr:colOff>
          <xdr:row>20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104775</xdr:rowOff>
        </xdr:from>
        <xdr:to>
          <xdr:col>2</xdr:col>
          <xdr:colOff>914400</xdr:colOff>
          <xdr:row>22</xdr:row>
          <xdr:rowOff>123825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20</xdr:row>
          <xdr:rowOff>85725</xdr:rowOff>
        </xdr:from>
        <xdr:to>
          <xdr:col>3</xdr:col>
          <xdr:colOff>142875</xdr:colOff>
          <xdr:row>22</xdr:row>
          <xdr:rowOff>152400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20</xdr:row>
          <xdr:rowOff>76200</xdr:rowOff>
        </xdr:from>
        <xdr:to>
          <xdr:col>3</xdr:col>
          <xdr:colOff>1504950</xdr:colOff>
          <xdr:row>22</xdr:row>
          <xdr:rowOff>142875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4</xdr:row>
          <xdr:rowOff>95250</xdr:rowOff>
        </xdr:from>
        <xdr:to>
          <xdr:col>3</xdr:col>
          <xdr:colOff>1695450</xdr:colOff>
          <xdr:row>7</xdr:row>
          <xdr:rowOff>104775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7</xdr:row>
          <xdr:rowOff>171450</xdr:rowOff>
        </xdr:from>
        <xdr:to>
          <xdr:col>3</xdr:col>
          <xdr:colOff>1695450</xdr:colOff>
          <xdr:row>10</xdr:row>
          <xdr:rowOff>209550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11</xdr:row>
          <xdr:rowOff>38100</xdr:rowOff>
        </xdr:from>
        <xdr:to>
          <xdr:col>3</xdr:col>
          <xdr:colOff>1695450</xdr:colOff>
          <xdr:row>14</xdr:row>
          <xdr:rowOff>66675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14</xdr:row>
          <xdr:rowOff>133350</xdr:rowOff>
        </xdr:from>
        <xdr:to>
          <xdr:col>3</xdr:col>
          <xdr:colOff>1695450</xdr:colOff>
          <xdr:row>17</xdr:row>
          <xdr:rowOff>161925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0</xdr:colOff>
          <xdr:row>8</xdr:row>
          <xdr:rowOff>19050</xdr:rowOff>
        </xdr:from>
        <xdr:to>
          <xdr:col>145</xdr:col>
          <xdr:colOff>0</xdr:colOff>
          <xdr:row>10</xdr:row>
          <xdr:rowOff>47625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19050</xdr:colOff>
          <xdr:row>8</xdr:row>
          <xdr:rowOff>19050</xdr:rowOff>
        </xdr:from>
        <xdr:to>
          <xdr:col>144</xdr:col>
          <xdr:colOff>1543050</xdr:colOff>
          <xdr:row>9</xdr:row>
          <xdr:rowOff>209550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115</xdr:row>
      <xdr:rowOff>22412</xdr:rowOff>
    </xdr:from>
    <xdr:to>
      <xdr:col>0</xdr:col>
      <xdr:colOff>762000</xdr:colOff>
      <xdr:row>115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133350</xdr:rowOff>
        </xdr:from>
        <xdr:to>
          <xdr:col>11</xdr:col>
          <xdr:colOff>1009650</xdr:colOff>
          <xdr:row>4</xdr:row>
          <xdr:rowOff>28575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7</xdr:row>
          <xdr:rowOff>28575</xdr:rowOff>
        </xdr:from>
        <xdr:to>
          <xdr:col>147</xdr:col>
          <xdr:colOff>1047750</xdr:colOff>
          <xdr:row>8</xdr:row>
          <xdr:rowOff>152400</xdr:rowOff>
        </xdr:to>
        <xdr:sp macro="" textlink="">
          <xdr:nvSpPr>
            <xdr:cNvPr id="4158" name="Dropdown_TP_Structures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95250</xdr:colOff>
          <xdr:row>5</xdr:row>
          <xdr:rowOff>47625</xdr:rowOff>
        </xdr:from>
        <xdr:to>
          <xdr:col>41</xdr:col>
          <xdr:colOff>3333750</xdr:colOff>
          <xdr:row>6</xdr:row>
          <xdr:rowOff>171450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21</xdr:row>
          <xdr:rowOff>171450</xdr:rowOff>
        </xdr:from>
        <xdr:to>
          <xdr:col>45</xdr:col>
          <xdr:colOff>1181100</xdr:colOff>
          <xdr:row>24</xdr:row>
          <xdr:rowOff>209550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1323975</xdr:colOff>
          <xdr:row>21</xdr:row>
          <xdr:rowOff>171450</xdr:rowOff>
        </xdr:from>
        <xdr:to>
          <xdr:col>47</xdr:col>
          <xdr:colOff>1200150</xdr:colOff>
          <xdr:row>24</xdr:row>
          <xdr:rowOff>209550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28575</xdr:colOff>
          <xdr:row>22</xdr:row>
          <xdr:rowOff>19050</xdr:rowOff>
        </xdr:from>
        <xdr:to>
          <xdr:col>41</xdr:col>
          <xdr:colOff>3409950</xdr:colOff>
          <xdr:row>23</xdr:row>
          <xdr:rowOff>209550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85725</xdr:colOff>
          <xdr:row>1</xdr:row>
          <xdr:rowOff>133350</xdr:rowOff>
        </xdr:from>
        <xdr:to>
          <xdr:col>48</xdr:col>
          <xdr:colOff>981075</xdr:colOff>
          <xdr:row>4</xdr:row>
          <xdr:rowOff>19050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6</xdr:row>
          <xdr:rowOff>38100</xdr:rowOff>
        </xdr:from>
        <xdr:to>
          <xdr:col>101</xdr:col>
          <xdr:colOff>790575</xdr:colOff>
          <xdr:row>6</xdr:row>
          <xdr:rowOff>266700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819150</xdr:colOff>
          <xdr:row>6</xdr:row>
          <xdr:rowOff>19050</xdr:rowOff>
        </xdr:from>
        <xdr:to>
          <xdr:col>102</xdr:col>
          <xdr:colOff>9525</xdr:colOff>
          <xdr:row>6</xdr:row>
          <xdr:rowOff>257175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0</xdr:colOff>
          <xdr:row>8</xdr:row>
          <xdr:rowOff>19050</xdr:rowOff>
        </xdr:from>
        <xdr:to>
          <xdr:col>145</xdr:col>
          <xdr:colOff>0</xdr:colOff>
          <xdr:row>10</xdr:row>
          <xdr:rowOff>47625</xdr:rowOff>
        </xdr:to>
        <xdr:sp macro="" textlink="">
          <xdr:nvSpPr>
            <xdr:cNvPr id="4168" name="Dropdown_TP_Structures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19050</xdr:colOff>
          <xdr:row>8</xdr:row>
          <xdr:rowOff>19050</xdr:rowOff>
        </xdr:from>
        <xdr:to>
          <xdr:col>144</xdr:col>
          <xdr:colOff>1543050</xdr:colOff>
          <xdr:row>9</xdr:row>
          <xdr:rowOff>209550</xdr:rowOff>
        </xdr:to>
        <xdr:sp macro="" textlink="">
          <xdr:nvSpPr>
            <xdr:cNvPr id="4169" name="Dropdown_TOWER_Structures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19050</xdr:colOff>
          <xdr:row>7</xdr:row>
          <xdr:rowOff>47625</xdr:rowOff>
        </xdr:from>
        <xdr:to>
          <xdr:col>147</xdr:col>
          <xdr:colOff>695325</xdr:colOff>
          <xdr:row>8</xdr:row>
          <xdr:rowOff>171450</xdr:rowOff>
        </xdr:to>
        <xdr:sp macro="" textlink="">
          <xdr:nvSpPr>
            <xdr:cNvPr id="4170" name="Dropdown_TOWER_Structures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57150</xdr:colOff>
          <xdr:row>5</xdr:row>
          <xdr:rowOff>57150</xdr:rowOff>
        </xdr:from>
        <xdr:to>
          <xdr:col>79</xdr:col>
          <xdr:colOff>3295650</xdr:colOff>
          <xdr:row>6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28575</xdr:colOff>
          <xdr:row>21</xdr:row>
          <xdr:rowOff>161925</xdr:rowOff>
        </xdr:from>
        <xdr:to>
          <xdr:col>83</xdr:col>
          <xdr:colOff>1181100</xdr:colOff>
          <xdr:row>24</xdr:row>
          <xdr:rowOff>209550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1323975</xdr:colOff>
          <xdr:row>21</xdr:row>
          <xdr:rowOff>171450</xdr:rowOff>
        </xdr:from>
        <xdr:to>
          <xdr:col>85</xdr:col>
          <xdr:colOff>1200150</xdr:colOff>
          <xdr:row>24</xdr:row>
          <xdr:rowOff>209550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28575</xdr:colOff>
          <xdr:row>22</xdr:row>
          <xdr:rowOff>19050</xdr:rowOff>
        </xdr:from>
        <xdr:to>
          <xdr:col>79</xdr:col>
          <xdr:colOff>3409950</xdr:colOff>
          <xdr:row>23</xdr:row>
          <xdr:rowOff>209550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85725</xdr:colOff>
          <xdr:row>1</xdr:row>
          <xdr:rowOff>104775</xdr:rowOff>
        </xdr:from>
        <xdr:to>
          <xdr:col>86</xdr:col>
          <xdr:colOff>981075</xdr:colOff>
          <xdr:row>3</xdr:row>
          <xdr:rowOff>219075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21</xdr:row>
          <xdr:rowOff>161925</xdr:rowOff>
        </xdr:from>
        <xdr:to>
          <xdr:col>146</xdr:col>
          <xdr:colOff>714375</xdr:colOff>
          <xdr:row>23</xdr:row>
          <xdr:rowOff>66675</xdr:rowOff>
        </xdr:to>
        <xdr:sp macro="" textlink="">
          <xdr:nvSpPr>
            <xdr:cNvPr id="4180" name="Dropdown_RNA_Structures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57150</xdr:colOff>
          <xdr:row>5</xdr:row>
          <xdr:rowOff>66675</xdr:rowOff>
        </xdr:from>
        <xdr:to>
          <xdr:col>117</xdr:col>
          <xdr:colOff>3305175</xdr:colOff>
          <xdr:row>6</xdr:row>
          <xdr:rowOff>200025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109</xdr:row>
          <xdr:rowOff>114300</xdr:rowOff>
        </xdr:from>
        <xdr:to>
          <xdr:col>3</xdr:col>
          <xdr:colOff>1657350</xdr:colOff>
          <xdr:row>113</xdr:row>
          <xdr:rowOff>28575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Aptos Narrow"/>
                </a:rPr>
                <a:t>visualize current selection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23813</xdr:colOff>
      <xdr:row>0</xdr:row>
      <xdr:rowOff>42862</xdr:rowOff>
    </xdr:from>
    <xdr:to>
      <xdr:col>3</xdr:col>
      <xdr:colOff>1657350</xdr:colOff>
      <xdr:row>0</xdr:row>
      <xdr:rowOff>2460922</xdr:rowOff>
    </xdr:to>
    <xdr:pic>
      <xdr:nvPicPr>
        <xdr:cNvPr id="18" name="Grafik 17">
          <a:extLst>
            <a:ext uri="{FF2B5EF4-FFF2-40B4-BE49-F238E27FC236}">
              <a16:creationId xmlns:a16="http://schemas.microsoft.com/office/drawing/2014/main" id="{C68FD83B-9A55-B481-2ACE-5B5ADC567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3" y="42862"/>
          <a:ext cx="6262687" cy="2429490"/>
        </a:xfrm>
        <a:prstGeom prst="rect">
          <a:avLst/>
        </a:prstGeom>
      </xdr:spPr>
    </xdr:pic>
    <xdr:clientData/>
  </xdr:twoCellAnchor>
  <xdr:oneCellAnchor>
    <xdr:from>
      <xdr:col>7</xdr:col>
      <xdr:colOff>544285</xdr:colOff>
      <xdr:row>0</xdr:row>
      <xdr:rowOff>1347107</xdr:rowOff>
    </xdr:from>
    <xdr:ext cx="184731" cy="264560"/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4A6B1E08-D5F5-1EBC-05CF-D175D8D5D613}"/>
            </a:ext>
          </a:extLst>
        </xdr:cNvPr>
        <xdr:cNvSpPr txBox="1"/>
      </xdr:nvSpPr>
      <xdr:spPr>
        <a:xfrm>
          <a:off x="13185321" y="134710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0</xdr:col>
      <xdr:colOff>98664</xdr:colOff>
      <xdr:row>113</xdr:row>
      <xdr:rowOff>130925</xdr:rowOff>
    </xdr:from>
    <xdr:to>
      <xdr:col>3</xdr:col>
      <xdr:colOff>1657728</xdr:colOff>
      <xdr:row>198</xdr:row>
      <xdr:rowOff>148905</xdr:rowOff>
    </xdr:to>
    <xdr:pic>
      <xdr:nvPicPr>
        <xdr:cNvPr id="15" name="Fig_Assambly_plot">
          <a:extLst>
            <a:ext uri="{FF2B5EF4-FFF2-40B4-BE49-F238E27FC236}">
              <a16:creationId xmlns:a16="http://schemas.microsoft.com/office/drawing/2014/main" id="{4FE1F390-1DB7-67DF-4CDB-133C0CF7F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64" y="9722600"/>
          <a:ext cx="6203454" cy="19448980"/>
        </a:xfrm>
        <a:prstGeom prst="rect">
          <a:avLst/>
        </a:prstGeom>
      </xdr:spPr>
    </xdr:pic>
    <xdr:clientData/>
  </xdr:twoCellAnchor>
  <xdr:twoCellAnchor editAs="oneCell">
    <xdr:from>
      <xdr:col>87</xdr:col>
      <xdr:colOff>6</xdr:colOff>
      <xdr:row>2</xdr:row>
      <xdr:rowOff>0</xdr:rowOff>
    </xdr:from>
    <xdr:to>
      <xdr:col>154</xdr:col>
      <xdr:colOff>284121</xdr:colOff>
      <xdr:row>25</xdr:row>
      <xdr:rowOff>34737</xdr:rowOff>
    </xdr:to>
    <xdr:pic>
      <xdr:nvPicPr>
        <xdr:cNvPr id="7" name="Fig_TOWER_plot" hidden="1">
          <a:extLst>
            <a:ext uri="{FF2B5EF4-FFF2-40B4-BE49-F238E27FC236}">
              <a16:creationId xmlns:a16="http://schemas.microsoft.com/office/drawing/2014/main" id="{B0054915-FA80-76E6-FCF0-CBF81B682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6" y="2771775"/>
          <a:ext cx="16021152" cy="5683062"/>
        </a:xfrm>
        <a:prstGeom prst="rect">
          <a:avLst/>
        </a:prstGeom>
      </xdr:spPr>
    </xdr:pic>
    <xdr:clientData/>
  </xdr:twoCellAnchor>
  <xdr:twoCellAnchor editAs="oneCell">
    <xdr:from>
      <xdr:col>49</xdr:col>
      <xdr:colOff>15242</xdr:colOff>
      <xdr:row>2</xdr:row>
      <xdr:rowOff>0</xdr:rowOff>
    </xdr:from>
    <xdr:to>
      <xdr:col>155</xdr:col>
      <xdr:colOff>781662</xdr:colOff>
      <xdr:row>25</xdr:row>
      <xdr:rowOff>170906</xdr:rowOff>
    </xdr:to>
    <xdr:pic>
      <xdr:nvPicPr>
        <xdr:cNvPr id="22" name="Fig_TP_plot" hidden="1">
          <a:extLst>
            <a:ext uri="{FF2B5EF4-FFF2-40B4-BE49-F238E27FC236}">
              <a16:creationId xmlns:a16="http://schemas.microsoft.com/office/drawing/2014/main" id="{752101BE-4B46-E703-4F7E-7277F17BE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18092" y="2771775"/>
          <a:ext cx="18042520" cy="5819231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15242</xdr:colOff>
      <xdr:row>2</xdr:row>
      <xdr:rowOff>0</xdr:rowOff>
    </xdr:from>
    <xdr:to>
      <xdr:col>22</xdr:col>
      <xdr:colOff>1082774</xdr:colOff>
      <xdr:row>23</xdr:row>
      <xdr:rowOff>212610</xdr:rowOff>
    </xdr:to>
    <xdr:pic>
      <xdr:nvPicPr>
        <xdr:cNvPr id="9" name="Fig_MP_plot">
          <a:extLst>
            <a:ext uri="{FF2B5EF4-FFF2-40B4-BE49-F238E27FC236}">
              <a16:creationId xmlns:a16="http://schemas.microsoft.com/office/drawing/2014/main" id="{8438DD3E-70AE-EC78-6585-AB2E0E184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51342" y="2771775"/>
          <a:ext cx="16821882" cy="535611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12</xdr:row>
          <xdr:rowOff>66675</xdr:rowOff>
        </xdr:from>
        <xdr:to>
          <xdr:col>2</xdr:col>
          <xdr:colOff>2781300</xdr:colOff>
          <xdr:row>16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Geometry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114300</xdr:rowOff>
        </xdr:from>
        <xdr:to>
          <xdr:col>2</xdr:col>
          <xdr:colOff>2781300</xdr:colOff>
          <xdr:row>20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Added Masses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20</xdr:row>
          <xdr:rowOff>152400</xdr:rowOff>
        </xdr:from>
        <xdr:to>
          <xdr:col>2</xdr:col>
          <xdr:colOff>2781300</xdr:colOff>
          <xdr:row>24</xdr:row>
          <xdr:rowOff>85725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MISC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28575</xdr:colOff>
          <xdr:row>1</xdr:row>
          <xdr:rowOff>38100</xdr:rowOff>
        </xdr:from>
        <xdr:to>
          <xdr:col>59</xdr:col>
          <xdr:colOff>209550</xdr:colOff>
          <xdr:row>3</xdr:row>
          <xdr:rowOff>142875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update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8965</xdr:rowOff>
    </xdr:from>
    <xdr:to>
      <xdr:col>2</xdr:col>
      <xdr:colOff>2574694</xdr:colOff>
      <xdr:row>0</xdr:row>
      <xdr:rowOff>2438455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3EC6153-5551-4162-B3B0-576F4769B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6255978" cy="2429490"/>
        </a:xfrm>
        <a:prstGeom prst="rect">
          <a:avLst/>
        </a:prstGeom>
      </xdr:spPr>
    </xdr:pic>
    <xdr:clientData/>
  </xdr:twoCellAnchor>
  <xdr:twoCellAnchor editAs="oneCell">
    <xdr:from>
      <xdr:col>57</xdr:col>
      <xdr:colOff>609597</xdr:colOff>
      <xdr:row>6</xdr:row>
      <xdr:rowOff>18877</xdr:rowOff>
    </xdr:from>
    <xdr:to>
      <xdr:col>64</xdr:col>
      <xdr:colOff>322579</xdr:colOff>
      <xdr:row>108</xdr:row>
      <xdr:rowOff>53834</xdr:rowOff>
    </xdr:to>
    <xdr:pic>
      <xdr:nvPicPr>
        <xdr:cNvPr id="17" name="Fig_Assambly_plot_Overview2">
          <a:extLst>
            <a:ext uri="{FF2B5EF4-FFF2-40B4-BE49-F238E27FC236}">
              <a16:creationId xmlns:a16="http://schemas.microsoft.com/office/drawing/2014/main" id="{37C79075-DC54-4906-0BDD-F38564B3F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02552" y="3915468"/>
          <a:ext cx="6622937" cy="1806318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28575</xdr:rowOff>
        </xdr:from>
        <xdr:to>
          <xdr:col>4</xdr:col>
          <xdr:colOff>2724150</xdr:colOff>
          <xdr:row>5</xdr:row>
          <xdr:rowOff>200025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5</xdr:row>
          <xdr:rowOff>228600</xdr:rowOff>
        </xdr:from>
        <xdr:to>
          <xdr:col>4</xdr:col>
          <xdr:colOff>2714625</xdr:colOff>
          <xdr:row>7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4</xdr:row>
          <xdr:rowOff>28575</xdr:rowOff>
        </xdr:from>
        <xdr:to>
          <xdr:col>17</xdr:col>
          <xdr:colOff>2724150</xdr:colOff>
          <xdr:row>5</xdr:row>
          <xdr:rowOff>200025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5</xdr:row>
          <xdr:rowOff>219075</xdr:rowOff>
        </xdr:from>
        <xdr:to>
          <xdr:col>17</xdr:col>
          <xdr:colOff>2724150</xdr:colOff>
          <xdr:row>7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8</xdr:row>
          <xdr:rowOff>47625</xdr:rowOff>
        </xdr:from>
        <xdr:to>
          <xdr:col>18</xdr:col>
          <xdr:colOff>1038225</xdr:colOff>
          <xdr:row>10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</xdr:row>
          <xdr:rowOff>104775</xdr:rowOff>
        </xdr:from>
        <xdr:to>
          <xdr:col>3</xdr:col>
          <xdr:colOff>3257550</xdr:colOff>
          <xdr:row>7</xdr:row>
          <xdr:rowOff>19050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7</xdr:row>
          <xdr:rowOff>104775</xdr:rowOff>
        </xdr:from>
        <xdr:to>
          <xdr:col>3</xdr:col>
          <xdr:colOff>3267075</xdr:colOff>
          <xdr:row>11</xdr:row>
          <xdr:rowOff>9525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 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85725</xdr:rowOff>
        </xdr:from>
        <xdr:to>
          <xdr:col>3</xdr:col>
          <xdr:colOff>3276600</xdr:colOff>
          <xdr:row>15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Bladed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4</xdr:row>
          <xdr:rowOff>85725</xdr:rowOff>
        </xdr:from>
        <xdr:to>
          <xdr:col>33</xdr:col>
          <xdr:colOff>1238250</xdr:colOff>
          <xdr:row>9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43542</xdr:colOff>
      <xdr:row>0</xdr:row>
      <xdr:rowOff>32657</xdr:rowOff>
    </xdr:from>
    <xdr:to>
      <xdr:col>3</xdr:col>
      <xdr:colOff>3348990</xdr:colOff>
      <xdr:row>0</xdr:row>
      <xdr:rowOff>2473577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2B99220-BA46-4CB2-92FA-6AF45F548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" y="32657"/>
          <a:ext cx="6300108" cy="24294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3:K14" totalsRowShown="0" headerRowDxfId="369" dataDxfId="74">
  <autoFilter ref="E13:K14" xr:uid="{51AF5F9E-A6E5-4BA1-83BE-2546351DAE06}"/>
  <tableColumns count="7">
    <tableColumn id="1" xr3:uid="{8004DE55-01A0-4AB5-A007-D379F8ED184F}" name="Identifier" dataDxfId="81"/>
    <tableColumn id="2" xr3:uid="{73AEE22B-B9CF-4401-B31E-64902257C6A9}" name="Project ID" dataDxfId="80"/>
    <tableColumn id="3" xr3:uid="{6CD7BEF9-707B-4F7D-A334-46DB51B6F454}" name="Phase" dataDxfId="79"/>
    <tableColumn id="4" xr3:uid="{5572AB9F-884A-4001-85E7-5E708A2DFC71}" name="Structure ID" dataDxfId="78"/>
    <tableColumn id="5" xr3:uid="{AFCB5F1D-C5C1-4D21-A7C0-310C0D52F9E4}" name="Water Depth [m]" dataDxfId="77"/>
    <tableColumn id="6" xr3:uid="{149EEBB8-62A5-42C4-97FD-484848DB0825}" name="Height Reference" dataDxfId="76"/>
    <tableColumn id="7" xr3:uid="{82ECC3EB-0382-490B-8CE7-963B13E4D1A1}" name="Comments" dataDxfId="75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8:K19" insertRow="1" totalsRowShown="0" headerRowDxfId="368" dataDxfId="367">
  <autoFilter ref="E18:K19" xr:uid="{58117B73-5FCA-4002-A528-31B3F83BDE75}"/>
  <tableColumns count="7">
    <tableColumn id="1" xr3:uid="{5C484AAB-AA0F-4FBD-9543-28D80EB7F84D}" name="Identifier" dataDxfId="366"/>
    <tableColumn id="2" xr3:uid="{87603448-795E-499B-8754-D6455D5FF52F}" name="Project ID" dataDxfId="365"/>
    <tableColumn id="3" xr3:uid="{51EA6487-4EF3-43A9-B440-34893EEEEAB2}" name="Phase" dataDxfId="364"/>
    <tableColumn id="4" xr3:uid="{4AC48BB5-6D2E-492F-89B1-5662010991A8}" name="Structure ID" dataDxfId="363"/>
    <tableColumn id="5" xr3:uid="{2AE3ED2D-7CAB-45B8-AA43-6197A5DBB9C2}" name="Water Depth [m]" dataDxfId="362"/>
    <tableColumn id="6" xr3:uid="{BC0E3E2E-DE67-4FD9-94E9-5C112B52D3FD}" name="Height Reference" dataDxfId="361"/>
    <tableColumn id="7" xr3:uid="{16928D7F-3DB7-43BD-BCF5-5C279A3E16F5}" name="Comments" dataDxfId="360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2:J113" insertRow="1" totalsRowShown="0" headerRowDxfId="359" dataDxfId="358">
  <autoFilter ref="E112:J113" xr:uid="{C9C31EE9-6B44-4D67-9597-BD108F88B355}"/>
  <sortState xmlns:xlrd2="http://schemas.microsoft.com/office/spreadsheetml/2017/richdata2" ref="E113:O137">
    <sortCondition ref="E112:E137"/>
  </sortState>
  <tableColumns count="6">
    <tableColumn id="1" xr3:uid="{15F53C56-04A7-4EA4-A64D-A2A5A78E2AA2}" name="Section" dataDxfId="357"/>
    <tableColumn id="2" xr3:uid="{01B5124C-F6E1-40D2-9236-F2D6BE941DD3}" name="Top [m]" dataDxfId="356"/>
    <tableColumn id="3" xr3:uid="{0537C90E-D320-4AC4-8392-2A7C45CE31A1}" name="Bottom [m]" dataDxfId="355"/>
    <tableColumn id="4" xr3:uid="{3F0DC3DB-26F8-4D70-A358-70EF5E1596F5}" name="D, top [m]" dataDxfId="354"/>
    <tableColumn id="5" xr3:uid="{25F6B1D8-AC49-468F-BDCD-72AC07BB3CD0}" name="D, bottom [m]" dataDxfId="353"/>
    <tableColumn id="6" xr3:uid="{3ED99EE5-BCA8-4244-A3E5-81C6F22A9AB2}" name="t [mm]" dataDxfId="352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Y12:AE13" totalsRowShown="0" headerRowDxfId="351" dataDxfId="66">
  <autoFilter ref="Y12:AE13" xr:uid="{F46B677D-4D25-4464-BE0D-6A1E644518C5}"/>
  <tableColumns count="7">
    <tableColumn id="1" xr3:uid="{ECD0389F-015D-412B-9FF1-D5BEAAD27FC1}" name="Identifier" dataDxfId="73"/>
    <tableColumn id="2" xr3:uid="{90794316-AE1E-4D40-A728-B5B995A9CF65}" name="Project ID" dataDxfId="72"/>
    <tableColumn id="3" xr3:uid="{B8C9242D-AC32-4E57-A861-DB7E615D6A1C}" name="Phase" dataDxfId="71"/>
    <tableColumn id="4" xr3:uid="{1EEB510B-3010-431D-B8C6-870D9180A629}" name="Structure ID" dataDxfId="70"/>
    <tableColumn id="5" xr3:uid="{B6F5C20C-83C1-4B16-B4D3-933D066BB6A0}" name="Water Depth [m]" dataDxfId="69"/>
    <tableColumn id="6" xr3:uid="{26EA3A2D-14E0-4809-9795-74592B4984AD}" name="Height Reference" dataDxfId="68"/>
    <tableColumn id="7" xr3:uid="{9AC62F3C-D12C-40A1-8AF4-F7C9B043F1FB}" name="Comments" dataDxfId="6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Y18:AD41" totalsRowShown="0" headerRowDxfId="350" dataDxfId="349">
  <autoFilter ref="Y18:AD41" xr:uid="{186CFF05-2CD9-405C-829A-5AD7B62A8ACE}"/>
  <sortState xmlns:xlrd2="http://schemas.microsoft.com/office/spreadsheetml/2017/richdata2" ref="Y19:AI43">
    <sortCondition ref="Y18:Y43"/>
  </sortState>
  <tableColumns count="6">
    <tableColumn id="1" xr3:uid="{66D6C4E1-74CA-4A30-A085-277EA5E62B3C}" name="Section" dataDxfId="348"/>
    <tableColumn id="2" xr3:uid="{D0F6ECD2-6414-48B2-9B47-1C3B8BAC860B}" name="Top [m]" dataDxfId="347"/>
    <tableColumn id="3" xr3:uid="{575FC20A-0259-4081-83F8-71040557AEA8}" name="Bottom [m]" dataDxfId="346"/>
    <tableColumn id="4" xr3:uid="{529E5CD0-69F2-4E59-86A7-A3E6F1B39E96}" name="D, top [m]" dataDxfId="345"/>
    <tableColumn id="5" xr3:uid="{7F90AAFA-52D7-47DB-A99D-3E3E0AEE6541}" name="D, bottom [m]" dataDxfId="344"/>
    <tableColumn id="6" xr3:uid="{1B01547B-4485-4B79-8DB3-FCEA1C806B60}" name="t [mm]" dataDxfId="34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2:X113" insertRow="1" totalsRowShown="0" headerRowDxfId="342" dataDxfId="341">
  <autoFilter ref="P112:X113" xr:uid="{C2F2D263-B298-4967-B7BA-2043D2636A28}"/>
  <tableColumns count="9">
    <tableColumn id="9" xr3:uid="{983AA3EE-D554-4611-9143-CB18ADA5BC06}" name="Name" dataDxfId="340"/>
    <tableColumn id="2" xr3:uid="{365B74CD-D14D-4F75-ABA6-B5CBD126E6F2}" name="Top [m]" dataDxfId="339"/>
    <tableColumn id="12" xr3:uid="{3CC0B321-8A95-4AEE-8DFB-77DAE8FAB528}" name="Bottom [m]" dataDxfId="338"/>
    <tableColumn id="3" xr3:uid="{29EF80FE-079C-4A10-9ADB-03D595E35311}" name="Mass [kg]" dataDxfId="337"/>
    <tableColumn id="1" xr3:uid="{EB762DF5-D84F-4ED6-9E32-E1B37FE9C38D}" name="Diameter [m]" dataDxfId="336"/>
    <tableColumn id="4" xr3:uid="{7D3C052F-35A7-4A8C-B722-8A6311D56BDC}" name="Orientation [°]" dataDxfId="335"/>
    <tableColumn id="5" xr3:uid="{A094AF7B-AEFB-4B58-9377-0B3B7C131ADC}" name="Distance Axis to Axis" dataDxfId="334"/>
    <tableColumn id="6" xr3:uid="{E15A8DE3-D9C1-4684-A605-26B6F2B8779C}" name="Gap between surfaces" dataDxfId="333"/>
    <tableColumn id="7" xr3:uid="{026563CA-A00A-4D48-9BC2-1AF2FA6C6586}" name="Surface roughness [m]" dataDxfId="332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F18:AN21" totalsRowShown="0" dataDxfId="331">
  <autoFilter ref="AF18:AN21" xr:uid="{BDE973CA-C8D2-4A67-ACE1-6BE97A1FF0C7}"/>
  <tableColumns count="9">
    <tableColumn id="9" xr3:uid="{55BF990C-941A-438C-86DE-D99A5424D8A4}" name="Name" dataDxfId="330"/>
    <tableColumn id="2" xr3:uid="{D2CC7DEA-1AC5-4558-B6A8-7A00324F8731}" name="Top [m]" dataDxfId="329"/>
    <tableColumn id="12" xr3:uid="{63B7643C-B71B-4F75-B941-E84BE173CC9A}" name="Bottom [m]" dataDxfId="328"/>
    <tableColumn id="3" xr3:uid="{74DA4B22-9428-450B-B8ED-D23057E6EF7A}" name="Mass [kg]" dataDxfId="327"/>
    <tableColumn id="1" xr3:uid="{45265052-CB7D-44E4-B950-26F73BB47B9B}" name="Diameter [m]" dataDxfId="326"/>
    <tableColumn id="4" xr3:uid="{E80A5184-2DFE-4036-BD65-B61B96122334}" name="Orientation [°]" dataDxfId="325"/>
    <tableColumn id="5" xr3:uid="{F8C744AA-AA7B-4562-BFA1-0E7C53B53FF4}" name="Distance Axis to Axis" dataDxfId="324"/>
    <tableColumn id="6" xr3:uid="{A8D74212-5B24-4FC1-A938-5DFC386726CB}" name="Gap between surfaces" dataDxfId="323"/>
    <tableColumn id="7" xr3:uid="{9576E46D-F632-4BD0-8B5D-9B663892335B}" name="Surface roughness [m]" dataDxfId="3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7:K32" totalsRowShown="0" headerRowDxfId="321" dataDxfId="320">
  <autoFilter ref="E27:K32" xr:uid="{46FD7C67-BF9C-41F4-B134-682EDE7A007C}"/>
  <sortState xmlns:xlrd2="http://schemas.microsoft.com/office/spreadsheetml/2017/richdata2" ref="E28:I29">
    <sortCondition descending="1" ref="G27:G29"/>
  </sortState>
  <tableColumns count="7">
    <tableColumn id="1" xr3:uid="{43AB1C43-FBC5-42AE-8DFA-4651B77C56A0}" name="Identifier" dataDxfId="319"/>
    <tableColumn id="2" xr3:uid="{75FB6F15-9784-4F9D-9947-41C8E7DD1CC9}" name="Project ID" dataDxfId="318"/>
    <tableColumn id="3" xr3:uid="{DF3379D9-9371-4EDE-B715-A6A40C072275}" name="Phase" dataDxfId="317"/>
    <tableColumn id="4" xr3:uid="{B2F66CA1-64D8-49D4-A1DA-28FD14EC75C2}" name="Structure ID" dataDxfId="316"/>
    <tableColumn id="5" xr3:uid="{E0EC4989-22E7-49A3-8DAC-034A87568E19}" name="Water Depth [m]" dataDxfId="315"/>
    <tableColumn id="6" xr3:uid="{9873A46F-D488-4AA7-BC64-C1E65C65D808}" name="Height Reference" dataDxfId="314"/>
    <tableColumn id="7" xr3:uid="{CD60E691-17C5-40B2-9E26-571B6CB0C11D}" name="Comments" dataDxfId="313"/>
  </tableColumns>
  <tableStyleInfo name="JBO_Desig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688CB2-0B79-4AE2-B2DC-6850E0999F22}" name="TP_META" displayName="TP_META" ref="AP13:AV14" totalsRowShown="0" headerRowDxfId="312" dataDxfId="58">
  <autoFilter ref="AP13:AV14" xr:uid="{4C688CB2-0B79-4AE2-B2DC-6850E0999F22}"/>
  <tableColumns count="7">
    <tableColumn id="1" xr3:uid="{4F627CE6-59C4-4523-A98C-81FD64443B88}" name="Identifier" dataDxfId="65"/>
    <tableColumn id="2" xr3:uid="{19921618-20B3-46FF-937E-24E6775D797E}" name="Project ID" dataDxfId="64"/>
    <tableColumn id="3" xr3:uid="{B1F7CCA9-A1BD-4F05-9237-B6284F3056E5}" name="Phase" dataDxfId="63"/>
    <tableColumn id="4" xr3:uid="{D5F33D5B-370E-46F7-BB6A-B74EC6139333}" name="Structure ID" dataDxfId="62"/>
    <tableColumn id="5" xr3:uid="{A7DF7C25-D9CF-4ABB-B7CD-68DC60608B9A}" name="Water Depth [m]" dataDxfId="61"/>
    <tableColumn id="6" xr3:uid="{A1DB5BD8-96E9-4ECB-89FE-50CF6529DD7E}" name="Height Reference" dataDxfId="60"/>
    <tableColumn id="7" xr3:uid="{2B99DBD7-0B0D-4BA1-87CB-C7AC621E6F3F}" name="Comments" dataDxfId="59"/>
  </tableColumns>
  <tableStyleInfo name="JBO_Desig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B2E050-F7C0-4103-ACF7-1508C2548380}" name="TP_META_NEW" displayName="TP_META_NEW" ref="AP18:AV19" insertRow="1" totalsRowShown="0" headerRowDxfId="311" dataDxfId="310">
  <autoFilter ref="AP18:AV19" xr:uid="{82B2E050-F7C0-4103-ACF7-1508C2548380}"/>
  <tableColumns count="7">
    <tableColumn id="1" xr3:uid="{74379588-884B-4B92-99E3-2D8263DA35A7}" name="Identifier" dataDxfId="309"/>
    <tableColumn id="2" xr3:uid="{4D521BF5-BEDD-467B-BCA6-F197DD205F5D}" name="Project ID" dataDxfId="308"/>
    <tableColumn id="3" xr3:uid="{0D0764F3-2EB6-4AFD-8BBF-4B2A213694FB}" name="Phase" dataDxfId="307"/>
    <tableColumn id="4" xr3:uid="{F735A36B-0E53-4B21-98AF-8098D165B7A4}" name="Structure ID" dataDxfId="306"/>
    <tableColumn id="5" xr3:uid="{DD6C5343-9FF0-4988-B7AD-68A2B196AE75}" name="Water Depth [m]" dataDxfId="305"/>
    <tableColumn id="6" xr3:uid="{593B4864-FEBF-42DA-A98D-9BD5E874FDA3}" name="Height Reference" dataDxfId="304"/>
    <tableColumn id="7" xr3:uid="{AD918F6B-4A01-4D99-AEC7-AC9BF6550DE3}" name="Comments" dataDxfId="303"/>
  </tableColumns>
  <tableStyleInfo name="JBO_Desig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CAB4DE0-822A-4232-A06F-0E82A3BADB53}" name="TP_DATA" displayName="TP_DATA" ref="AP112:AU113" insertRow="1" totalsRowShown="0" headerRowDxfId="302" dataDxfId="301">
  <autoFilter ref="AP112:AU113" xr:uid="{4CAB4DE0-822A-4232-A06F-0E82A3BADB53}"/>
  <sortState xmlns:xlrd2="http://schemas.microsoft.com/office/spreadsheetml/2017/richdata2" ref="AP113:AZ137">
    <sortCondition ref="AP112:AP137"/>
  </sortState>
  <tableColumns count="6">
    <tableColumn id="1" xr3:uid="{A8499614-F62D-4117-A756-769C01DC0156}" name="Section" dataDxfId="300"/>
    <tableColumn id="2" xr3:uid="{AA39DD39-8C8E-4F66-AA28-5EB59746565D}" name="Top [m]" dataDxfId="299"/>
    <tableColumn id="3" xr3:uid="{E2F479E9-17D9-4C2D-BF7C-2640F78B84E4}" name="Bottom [m]" dataDxfId="298"/>
    <tableColumn id="4" xr3:uid="{C69849FB-2BB9-4BF6-8192-78ED7173DD46}" name="D, top [m]" dataDxfId="297"/>
    <tableColumn id="5" xr3:uid="{837623EF-EE9F-47D2-AAAD-D903281C1D0A}" name="D, bottom [m]" dataDxfId="296"/>
    <tableColumn id="6" xr3:uid="{FDE46510-9BFE-418F-AE03-598BF29FF831}" name="t [mm]" dataDxfId="295"/>
  </tableColumns>
  <tableStyleInfo name="JBO_Desig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1532FB8-4FA8-44E8-9D28-3535D0247613}" name="TP_MASSES" displayName="TP_MASSES" ref="BA112:BI113" insertRow="1" totalsRowShown="0" headerRowDxfId="294" dataDxfId="293">
  <autoFilter ref="BA112:BI113" xr:uid="{E1532FB8-4FA8-44E8-9D28-3535D0247613}"/>
  <tableColumns count="9">
    <tableColumn id="9" xr3:uid="{DDF4C359-0ED4-4157-B9B0-FFEC4F20A42C}" name="Name" dataDxfId="292"/>
    <tableColumn id="2" xr3:uid="{19BE9D85-AB85-4478-869F-084DC21BFD73}" name="Top [m]" dataDxfId="291"/>
    <tableColumn id="12" xr3:uid="{60D0BC20-AB8D-45D9-B128-1553A1D96305}" name="Bottom [m]" dataDxfId="290"/>
    <tableColumn id="3" xr3:uid="{662A2295-30AD-4A23-9CB2-ED339894A5E3}" name="Mass [kg]" dataDxfId="289"/>
    <tableColumn id="1" xr3:uid="{7BB91480-5314-4B92-B955-96A05520598B}" name="Diameter [m]" dataDxfId="288"/>
    <tableColumn id="4" xr3:uid="{288140B8-5B54-4E75-9449-01E8BB0785E7}" name="Orientation [°]" dataDxfId="287"/>
    <tableColumn id="5" xr3:uid="{04DC00AE-32C9-416C-ACBC-DEF2672988E5}" name="Distance Axis to Axis" dataDxfId="286"/>
    <tableColumn id="6" xr3:uid="{55C6527D-0D27-4523-B175-D1F63F0DDCEC}" name="Gap between surfaces" dataDxfId="285"/>
    <tableColumn id="7" xr3:uid="{0BEC8B77-AA74-4444-96C4-C6CFE771E16C}" name="Surface roughness [m]" dataDxfId="284"/>
  </tableColumns>
  <tableStyleInfo name="JBO_Desig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AA18F1D-DEA3-4B85-A06C-016DA74739E0}" name="TP_META_FULL" displayName="TP_META_FULL" ref="AP27:AV32" totalsRowShown="0" headerRowDxfId="283" dataDxfId="282">
  <autoFilter ref="AP27:AV32" xr:uid="{5AA18F1D-DEA3-4B85-A06C-016DA74739E0}"/>
  <sortState xmlns:xlrd2="http://schemas.microsoft.com/office/spreadsheetml/2017/richdata2" ref="AP28:AT29">
    <sortCondition descending="1" ref="AR27:AR29"/>
  </sortState>
  <tableColumns count="7">
    <tableColumn id="1" xr3:uid="{9DA6C410-B11E-4678-8482-D189DD47C876}" name="Identifier" dataDxfId="281"/>
    <tableColumn id="2" xr3:uid="{EC6A5746-7A0B-4DAB-8EBD-EDC20D766606}" name="Project ID" dataDxfId="280"/>
    <tableColumn id="3" xr3:uid="{2A15135F-98D6-4FBD-AE84-5EF0B52672ED}" name="Phase" dataDxfId="279"/>
    <tableColumn id="4" xr3:uid="{A7219BBA-68F7-4990-95D5-9B5A4EC218AA}" name="Structure ID" dataDxfId="278"/>
    <tableColumn id="5" xr3:uid="{ACC137C5-3CF1-40F4-952F-3B5BEC9A8ED2}" name="Water Depth [m]" dataDxfId="277"/>
    <tableColumn id="6" xr3:uid="{28B9B9E9-3ACF-4467-8F04-662CFC688071}" name="Height Reference" dataDxfId="276"/>
    <tableColumn id="7" xr3:uid="{352B6A31-2237-4251-83A7-8BBEBAA34145}" name="Comments" dataDxfId="275"/>
  </tableColumns>
  <tableStyleInfo name="JBO_Desig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5B9336E-C6A5-4C93-9BED-34E5AF05FA6C}" name="TP_META_TRUE" displayName="TP_META_TRUE" ref="BJ12:BP13" totalsRowShown="0" headerRowDxfId="274" dataDxfId="50">
  <autoFilter ref="BJ12:BP13" xr:uid="{95B9336E-C6A5-4C93-9BED-34E5AF05FA6C}"/>
  <tableColumns count="7">
    <tableColumn id="1" xr3:uid="{BFA931EE-6FF8-44FC-AD54-32A5CF9115A2}" name="Identifier" dataDxfId="57"/>
    <tableColumn id="2" xr3:uid="{890F5896-05F5-47DB-B9DE-92FEF30867DB}" name="Project ID" dataDxfId="56"/>
    <tableColumn id="3" xr3:uid="{B37A2062-3A26-4ECC-B4E4-991B88E82CB2}" name="Phase" dataDxfId="55"/>
    <tableColumn id="4" xr3:uid="{C64DA219-F7AA-44CC-BC3D-62956AF84B2E}" name="Structure ID" dataDxfId="54"/>
    <tableColumn id="5" xr3:uid="{47235A3E-EBF6-486D-8ADC-74E88BA72554}" name="Water Depth [m]" dataDxfId="53"/>
    <tableColumn id="6" xr3:uid="{6F9496C9-78A5-48EB-ADDB-1E499513D04A}" name="Height Reference" dataDxfId="52"/>
    <tableColumn id="7" xr3:uid="{377B6EFB-A6E2-452C-9D74-166D22A947E2}" name="Comments" dataDxfId="5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B054-8E79-4F22-8AED-286CD81169E8}" name="TP_DATA_TRUE" displayName="TP_DATA_TRUE" ref="BJ18:BO22" totalsRowShown="0" headerRowDxfId="273" dataDxfId="272">
  <autoFilter ref="BJ18:BO22" xr:uid="{6F0FB054-8E79-4F22-8AED-286CD81169E8}"/>
  <sortState xmlns:xlrd2="http://schemas.microsoft.com/office/spreadsheetml/2017/richdata2" ref="BJ19:BT43">
    <sortCondition ref="BJ18:BJ43"/>
  </sortState>
  <tableColumns count="6">
    <tableColumn id="1" xr3:uid="{382AF089-C078-4605-A4A5-FB574D1D73E2}" name="Section" dataDxfId="271"/>
    <tableColumn id="2" xr3:uid="{E8281684-BC71-4E35-8AE4-31AC648F4A83}" name="Top [m]" dataDxfId="270"/>
    <tableColumn id="3" xr3:uid="{6B784D87-E7E2-4CF9-935B-9C0C8FC2DBC2}" name="Bottom [m]" dataDxfId="269"/>
    <tableColumn id="4" xr3:uid="{96A3790F-0CF8-4CB5-8340-C0A20382D4FC}" name="D, top [m]" dataDxfId="268"/>
    <tableColumn id="5" xr3:uid="{222474F9-E0FB-441A-81D5-07306740C4B2}" name="D, bottom [m]" dataDxfId="267"/>
    <tableColumn id="6" xr3:uid="{541ECBE1-3529-43CA-B9AD-3DE9306D1235}" name="t [mm]" dataDxfId="26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CC2DE03-626B-408F-BF0C-226561799664}" name="TP_MASSES_TRUE" displayName="TP_MASSES_TRUE" ref="BQ18:BY30" totalsRowShown="0" dataDxfId="265">
  <autoFilter ref="BQ18:BY30" xr:uid="{6CC2DE03-626B-408F-BF0C-226561799664}"/>
  <tableColumns count="9">
    <tableColumn id="9" xr3:uid="{C4C238D0-5357-48AB-969A-BE97844E5B70}" name="Name" dataDxfId="264"/>
    <tableColumn id="2" xr3:uid="{75F4D18E-F4BE-42B7-BB68-BF337C8DBA12}" name="Top [m]" dataDxfId="263"/>
    <tableColumn id="12" xr3:uid="{7C08C228-C676-4F90-9088-C9A3D6E72EB7}" name="Bottom [m]" dataDxfId="262"/>
    <tableColumn id="3" xr3:uid="{935DDAA6-49E6-45F6-B4AC-FCE8DF0B0A4D}" name="Mass [kg]" dataDxfId="261"/>
    <tableColumn id="1" xr3:uid="{E1D9BE0D-D944-4F2C-BAFF-1BA4FBB69ECE}" name="Diameter [m]" dataDxfId="260"/>
    <tableColumn id="4" xr3:uid="{A5E1EAFC-3DD4-4294-8717-665AE71BEDA8}" name="Orientation [°]" dataDxfId="259"/>
    <tableColumn id="5" xr3:uid="{5CE5C6CE-44B0-4B32-B390-246BAF490F6A}" name="Distance Axis to Axis" dataDxfId="258"/>
    <tableColumn id="6" xr3:uid="{CBE21F9B-8BA2-4737-8F56-34AD78C68BC3}" name="Gap between surfaces" dataDxfId="257"/>
    <tableColumn id="7" xr3:uid="{18326CB3-EF8F-4E97-ADA5-82B71868B5B1}" name="Surface roughness [m]" dataDxfId="25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Y12:EG26" totalsRowShown="0" dataDxfId="0">
  <autoFilter ref="DY12:EG26" xr:uid="{6273375F-28C8-4A14-A545-8B988B5C9E65}"/>
  <tableColumns count="9">
    <tableColumn id="1" xr3:uid="{C3AE8FB7-66D2-47E1-8AA6-F0260BDFFCB8}" name="Identifier" dataDxfId="9"/>
    <tableColumn id="2" xr3:uid="{5F848737-A14E-44D6-9231-85AB48A55526}" name="Power [MW]" dataDxfId="8"/>
    <tableColumn id="3" xr3:uid="{2C93533D-1E27-4EB2-B7E6-3A19FEC55632}" name="Rotor Diameter [m]" dataDxfId="7"/>
    <tableColumn id="4" xr3:uid="{9D1780E5-E668-4D12-AF46-0A1DF433FA8A}" name="Mass of RNA [kg]" dataDxfId="6"/>
    <tableColumn id="5" xr3:uid="{1CA8A517-990E-4959-826C-118C5EC0C261}" name="Inertia of RNA fore-aft @COG [kg m^2]" dataDxfId="5"/>
    <tableColumn id="6" xr3:uid="{9FFE4A1F-E32A-49E7-8031-A24CF653CD8C}" name="Inertia of RNA side-side @COG [kg m^2]" dataDxfId="4"/>
    <tableColumn id="8" xr3:uid="{C481EB76-DD37-4979-8B5D-F3C81E38423E}" name="vertical offset TT to HH [m] " dataDxfId="3"/>
    <tableColumn id="7" xr3:uid="{3BD257A8-5786-4E03-8F1F-6116921828A3}" name="vertical offset TT_COG [m]" dataDxfId="2"/>
    <tableColumn id="9" xr3:uid="{A74BD603-BB70-4B62-BE72-E692B1275ED2}" name="comment" dataDxfId="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76A910-DF84-4E36-A4A6-B43198F7A96D}" name="TOWER_META" displayName="TOWER_META" ref="CB13:CH14" totalsRowShown="0" headerRowDxfId="255" dataDxfId="28">
  <autoFilter ref="CB13:CH14" xr:uid="{5E76A910-DF84-4E36-A4A6-B43198F7A96D}"/>
  <tableColumns count="7">
    <tableColumn id="1" xr3:uid="{49BDBE95-80B3-4FD9-8ACC-4B929435AD88}" name="Identifier" dataDxfId="35"/>
    <tableColumn id="2" xr3:uid="{32637689-6006-48B4-8929-BF421BC82099}" name="Project ID" dataDxfId="34"/>
    <tableColumn id="3" xr3:uid="{58EC6A59-D9AB-4639-AE2E-4066805ECCC7}" name="Phase" dataDxfId="33"/>
    <tableColumn id="4" xr3:uid="{D5F3B7B3-BCC6-430C-9377-613CFCF29F12}" name="Structure ID" dataDxfId="32"/>
    <tableColumn id="5" xr3:uid="{92A37342-D675-4C58-9EBE-68B176E8C4F0}" name="Water Depth [m]" dataDxfId="31"/>
    <tableColumn id="6" xr3:uid="{5F11FEBE-52FC-4092-8F48-847726252247}" name="Height Reference" dataDxfId="30"/>
    <tableColumn id="7" xr3:uid="{6517C9F8-12CA-4024-AE0A-4D2B27375CE4}" name="Comments" dataDxfId="29"/>
  </tableColumns>
  <tableStyleInfo name="JBO_Design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25EB930-F6B9-4BC7-B40C-AB7D77CEB229}" name="TOWER_META_NEW" displayName="TOWER_META_NEW" ref="CB18:CH19" insertRow="1" totalsRowShown="0" headerRowDxfId="254" dataDxfId="253">
  <autoFilter ref="CB18:CH19" xr:uid="{025EB930-F6B9-4BC7-B40C-AB7D77CEB229}"/>
  <tableColumns count="7">
    <tableColumn id="1" xr3:uid="{03FCE140-AA4A-46F2-BC6F-D0614EC2E9FE}" name="Identifier" dataDxfId="252"/>
    <tableColumn id="2" xr3:uid="{8FBF53CD-1458-4120-89FB-5F133EE7EBC4}" name="Project ID" dataDxfId="251"/>
    <tableColumn id="3" xr3:uid="{6DB63014-4AF3-4811-AA2F-6F13926398DB}" name="Phase" dataDxfId="250"/>
    <tableColumn id="4" xr3:uid="{87B1B81D-346F-4544-A6A4-9DDE8CD110B3}" name="Structure ID" dataDxfId="249"/>
    <tableColumn id="5" xr3:uid="{340DEA9D-D07C-4CB2-B2CA-37ABBF463E27}" name="Water Depth [m]" dataDxfId="248"/>
    <tableColumn id="6" xr3:uid="{878704E1-3839-422C-897E-097E9E7D609E}" name="Height Reference" dataDxfId="247"/>
    <tableColumn id="7" xr3:uid="{58108BE0-55DB-4266-A1B3-00D35B62F1A1}" name="Comments" dataDxfId="246"/>
  </tableColumns>
  <tableStyleInfo name="JBO_Desig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24AC03-091B-4440-AE35-46757D89154C}" name="TOWER_DATA" displayName="TOWER_DATA" ref="CB112:CG113" totalsRowShown="0" headerRowDxfId="245" dataDxfId="43">
  <autoFilter ref="CB112:CG113" xr:uid="{6624AC03-091B-4440-AE35-46757D89154C}"/>
  <sortState xmlns:xlrd2="http://schemas.microsoft.com/office/spreadsheetml/2017/richdata2" ref="CB113:CL137">
    <sortCondition ref="CB112:CB137"/>
  </sortState>
  <tableColumns count="6">
    <tableColumn id="1" xr3:uid="{4712795E-488A-48E6-9477-0C98BE5C778B}" name="Section" dataDxfId="49"/>
    <tableColumn id="2" xr3:uid="{AF3B0F66-A97E-469B-BB2C-92E08B9852BC}" name="Top [m]" dataDxfId="48"/>
    <tableColumn id="3" xr3:uid="{EC9C8893-C993-4BCE-BD9D-E7180486ABFE}" name="Bottom [m]" dataDxfId="47"/>
    <tableColumn id="4" xr3:uid="{ED8DD31F-6E20-4C5F-BC92-0B6DB7A1B362}" name="D, top [m]" dataDxfId="46"/>
    <tableColumn id="5" xr3:uid="{2B890B63-A561-40A7-9FBB-7B8D47FD2656}" name="D, bottom [m]" dataDxfId="45"/>
    <tableColumn id="6" xr3:uid="{F255FA0B-5DF3-4FA4-A7BD-E6FEACC8E738}" name="t [mm]" dataDxfId="44"/>
  </tableColumns>
  <tableStyleInfo name="JBO_Desig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3322B7-F3E5-4935-832F-DFBC92EF3AA2}" name="TOWER_MASSES" displayName="TOWER_MASSES" ref="CM112:CU113" insertRow="1" totalsRowShown="0" headerRowDxfId="244" dataDxfId="243">
  <autoFilter ref="CM112:CU113" xr:uid="{053322B7-F3E5-4935-832F-DFBC92EF3AA2}"/>
  <tableColumns count="9">
    <tableColumn id="9" xr3:uid="{AB7A3BD0-E047-4B9B-B321-179F40ECC452}" name="Name" dataDxfId="242"/>
    <tableColumn id="2" xr3:uid="{3AED4E5F-8B5F-4607-A3FD-EEAB134CA7C8}" name="Top [m]" dataDxfId="241"/>
    <tableColumn id="12" xr3:uid="{84257648-6597-4C8A-AD5A-3D3D0B07220D}" name="Bottom [m]" dataDxfId="240"/>
    <tableColumn id="3" xr3:uid="{20FDA9C3-BF70-4D85-A870-C8B7ADD0F944}" name="Mass [kg]" dataDxfId="239"/>
    <tableColumn id="1" xr3:uid="{A1DA6B57-09C6-4BA3-8C6D-34B4DE0BC8C4}" name="Diameter [m]" dataDxfId="238"/>
    <tableColumn id="4" xr3:uid="{7B401936-3842-4626-8801-F37D73E9C6DF}" name="Orientation [°]" dataDxfId="237"/>
    <tableColumn id="5" xr3:uid="{3E808003-5E60-482F-ABF1-D2D73158ED75}" name="Distance Axis to Axis" dataDxfId="236"/>
    <tableColumn id="6" xr3:uid="{AA2B16CF-21CA-4B65-91DB-2046C745D885}" name="Gap between surfaces" dataDxfId="235"/>
    <tableColumn id="7" xr3:uid="{269E9AEB-7728-4497-93C0-92D0DDE32F7B}" name="Surface roughness [m]" dataDxfId="234"/>
  </tableColumns>
  <tableStyleInfo name="JBO_Desig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39EC90-AC52-4EC1-B4CF-9799F74991BE}" name="TOWER_META_FULL" displayName="TOWER_META_FULL" ref="CB27:CH30" totalsRowShown="0" headerRowDxfId="233" dataDxfId="232">
  <autoFilter ref="CB27:CH30" xr:uid="{9E39EC90-AC52-4EC1-B4CF-9799F74991BE}"/>
  <sortState xmlns:xlrd2="http://schemas.microsoft.com/office/spreadsheetml/2017/richdata2" ref="CB28:CF29">
    <sortCondition descending="1" ref="CD27:CD29"/>
  </sortState>
  <tableColumns count="7">
    <tableColumn id="1" xr3:uid="{30A99A19-40E5-433E-929D-3A4779ACB1CE}" name="Identifier" dataDxfId="231"/>
    <tableColumn id="2" xr3:uid="{B126DBC5-55C1-442E-B96B-933B020A9CD4}" name="Project ID" dataDxfId="230"/>
    <tableColumn id="3" xr3:uid="{348D5BC0-8868-4781-8DF0-2E04B537B73E}" name="Phase" dataDxfId="229"/>
    <tableColumn id="4" xr3:uid="{056B06E5-26E8-494B-83AF-1C87FB2162FC}" name="Structure ID" dataDxfId="228"/>
    <tableColumn id="5" xr3:uid="{EF179F4C-6CE0-4E71-9486-F0E6D0E71C4C}" name="Water Depth [m]" dataDxfId="227"/>
    <tableColumn id="6" xr3:uid="{2FDCFB50-700F-4830-AD68-13F9C0B1CC31}" name="Height Reference" dataDxfId="226"/>
    <tableColumn id="7" xr3:uid="{DE9B320D-8967-4FD8-BAE1-C291FB3ED005}" name="Comments" dataDxfId="225"/>
  </tableColumns>
  <tableStyleInfo name="JBO_Desig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6DA4FD-EDFB-4F12-A89B-84FBA35E7AC5}" name="TOWER_META_TRUE" displayName="TOWER_META_TRUE" ref="CV12:DB13" totalsRowShown="0" headerRowDxfId="224" dataDxfId="20">
  <autoFilter ref="CV12:DB13" xr:uid="{636DA4FD-EDFB-4F12-A89B-84FBA35E7AC5}"/>
  <tableColumns count="7">
    <tableColumn id="1" xr3:uid="{E34E574E-744D-4554-AD98-E3D18572D674}" name="Identifier" dataDxfId="27"/>
    <tableColumn id="2" xr3:uid="{E411370A-1A97-44E5-BD18-89879F80115C}" name="Project ID" dataDxfId="26"/>
    <tableColumn id="3" xr3:uid="{F8DB145A-5EEF-4C6B-8F9D-B588A17D3C5D}" name="Phase" dataDxfId="25"/>
    <tableColumn id="4" xr3:uid="{43BB9CC2-4974-4122-BCFD-6271174F98E0}" name="Structure ID" dataDxfId="24"/>
    <tableColumn id="5" xr3:uid="{1E3D4F3B-C73C-4C7A-9F63-2C7CEB367AA8}" name="Water Depth [m]" dataDxfId="23"/>
    <tableColumn id="6" xr3:uid="{CF6F63D6-FC41-4D2D-B310-0191259847FF}" name="Height Reference" dataDxfId="22"/>
    <tableColumn id="7" xr3:uid="{50321489-A2C4-4A01-B8EA-6B294362F8E1}" name="Comments" dataDxfId="2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99803F4-C2CA-4425-9A32-A18B58E6ABD0}" name="TOWER_DATA_TRUE" displayName="TOWER_DATA_TRUE" ref="CV18:DA19" totalsRowShown="0" headerRowDxfId="223" dataDxfId="36">
  <autoFilter ref="CV18:DA19" xr:uid="{899803F4-C2CA-4425-9A32-A18B58E6ABD0}"/>
  <sortState xmlns:xlrd2="http://schemas.microsoft.com/office/spreadsheetml/2017/richdata2" ref="CV19:DF43">
    <sortCondition ref="CV18:CV43"/>
  </sortState>
  <tableColumns count="6">
    <tableColumn id="1" xr3:uid="{0011CC99-7AB3-49B8-9DB0-22F1E3955E91}" name="Section" dataDxfId="42"/>
    <tableColumn id="2" xr3:uid="{BB1ACF23-16B7-4C47-80B0-893A33C698A9}" name="Top [m]" dataDxfId="41"/>
    <tableColumn id="3" xr3:uid="{D5324E74-51EE-432A-847E-5AE29B7CA4D7}" name="Bottom [m]" dataDxfId="40"/>
    <tableColumn id="4" xr3:uid="{FFBDC83C-AA98-41F1-91F3-EE469D2DD36A}" name="D, top [m]" dataDxfId="39"/>
    <tableColumn id="5" xr3:uid="{B936FF01-5C34-41FB-BD9D-F28D153F9BDF}" name="D, bottom [m]" dataDxfId="38"/>
    <tableColumn id="6" xr3:uid="{19D1010E-9125-43B6-B42C-67FA9586EDA8}" name="t [mm]" dataDxfId="37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2F79D89-930A-4420-97C7-60370F1121DC}" name="TOWER_MASSES_TRUE" displayName="TOWER_MASSES_TRUE" ref="DC18:DK82" totalsRowShown="0" dataDxfId="222">
  <autoFilter ref="DC18:DK82" xr:uid="{12F79D89-930A-4420-97C7-60370F1121DC}"/>
  <tableColumns count="9">
    <tableColumn id="9" xr3:uid="{5BB60229-57C8-489B-8AD5-280AB6D93E54}" name="Name" dataDxfId="221"/>
    <tableColumn id="2" xr3:uid="{EAC19ED0-15BB-4F2F-B297-347769AEDA92}" name="Top [m]" dataDxfId="220"/>
    <tableColumn id="12" xr3:uid="{47A7AF06-EC9F-427D-8F50-53F82DB050A6}" name="Bottom [m]" dataDxfId="219"/>
    <tableColumn id="3" xr3:uid="{50700484-30B3-4605-8578-AD4FBA12A5B2}" name="Mass [kg]" dataDxfId="218"/>
    <tableColumn id="1" xr3:uid="{E557ADD3-D28A-4C96-B6FA-AF6D98691265}" name="Diameter [m]" dataDxfId="217"/>
    <tableColumn id="4" xr3:uid="{E8468086-16DA-4063-B0B5-DAC02A29244C}" name="Orientation [°]" dataDxfId="216"/>
    <tableColumn id="5" xr3:uid="{62B06F09-4543-4DBA-8F55-1F54D6CC331B}" name="Distance Axis to Axis" dataDxfId="215"/>
    <tableColumn id="6" xr3:uid="{FC078448-A491-4E57-AF88-7DC574214818}" name="Gap between surfaces" dataDxfId="214"/>
    <tableColumn id="7" xr3:uid="{C7E82548-94F1-43F3-BD70-20A3E76E01FF}" name="Surface roughness [m]" dataDxfId="21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5902508-4CE0-4A3E-B393-EABB076E5067}" name="RNA_DATA" displayName="RNA_DATA" ref="DN111:DV112" totalsRowShown="0" headerRowDxfId="212" dataDxfId="10" headerRowBorderDxfId="211" tableBorderDxfId="210">
  <autoFilter ref="DN111:DV112" xr:uid="{25902508-4CE0-4A3E-B393-EABB076E5067}"/>
  <tableColumns count="9">
    <tableColumn id="1" xr3:uid="{9AAE1BAC-6413-45AA-8F9A-CA13CBCAD201}" name="Identifier" dataDxfId="19"/>
    <tableColumn id="2" xr3:uid="{3752FAA6-8F43-4A1F-BDEE-07A53859F1E7}" name="Power [MW]" dataDxfId="18"/>
    <tableColumn id="10" xr3:uid="{458667F5-0408-492D-B92E-A3D3C270519C}" name="Rotor Diameter [m]" dataDxfId="17"/>
    <tableColumn id="3" xr3:uid="{7DB2ACAF-6D53-482F-8CEF-8073695D2184}" name="Mass of RNA [kg]" dataDxfId="16"/>
    <tableColumn id="4" xr3:uid="{AD0550DD-2078-47BE-8718-A80100547BC6}" name="Inertia of RNA fore-aft @COG [kg m^2]" dataDxfId="15"/>
    <tableColumn id="5" xr3:uid="{FE2F1CB5-7238-43D1-BD0E-870267602329}" name="Inertia of RNA side-side @COG [kg m^2]" dataDxfId="14"/>
    <tableColumn id="6" xr3:uid="{A8B68FE9-4E32-421F-B38A-D43A617ACB98}" name="Vertical Offset TT to HH [m] " dataDxfId="13"/>
    <tableColumn id="7" xr3:uid="{37A681FC-3A2A-4D32-AA7F-00F65FE7DB9F}" name="Vertical Offset TT_COG [m]" dataDxfId="12"/>
    <tableColumn id="8" xr3:uid="{F94ECCEB-31E8-4416-B7C7-95B8A86CF8EF}" name="comment" dataDxfId="11"/>
  </tableColumns>
  <tableStyleInfo name="JBO_Design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D6:K78" headerRowDxfId="209" dataDxfId="208">
  <autoFilter ref="D6:K78" xr:uid="{6964430C-2D65-45C4-817F-08653037EDFC}"/>
  <tableColumns count="8">
    <tableColumn id="1" xr3:uid="{1C924510-54DB-4186-8521-598E5FD7BF93}" name="Section" totalsRowLabel="Ergebnis" dataDxfId="207" totalsRowDxfId="206"/>
    <tableColumn id="2" xr3:uid="{29F8F207-72DF-4027-A39E-C3D956F79382}" name="Affiliation" dataDxfId="205" totalsRowDxfId="204"/>
    <tableColumn id="3" xr3:uid="{F1A86E12-282B-4FE8-A989-9056549BE251}" name="local Section" dataDxfId="203" totalsRowDxfId="202"/>
    <tableColumn id="4" xr3:uid="{1F0B5480-90D3-4DBF-AAEC-010EB8A46507}" name="Top [m]" dataDxfId="201" totalsRowDxfId="200"/>
    <tableColumn id="5" xr3:uid="{2F9EEEB1-AE18-4058-A215-9A6EAD23E6F0}" name="Bottom [m]" dataDxfId="199" totalsRowDxfId="198"/>
    <tableColumn id="6" xr3:uid="{CAF3E9FD-22BF-4C53-97D3-15DEA70C9DE2}" name="D, top [m]" dataDxfId="197" totalsRowDxfId="196"/>
    <tableColumn id="7" xr3:uid="{EE4449DD-273C-4967-8180-25E33E65F937}" name="D, bottom [m]" dataDxfId="195" totalsRowDxfId="194"/>
    <tableColumn id="8" xr3:uid="{0EE8182A-58FD-432D-A87C-9A474A081C7F}" name="t [mm]" totalsRowFunction="sum" dataDxfId="193" totalsRowDxfId="192"/>
  </tableColumns>
  <tableStyleInfo name="JBO_Design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Q6:Z32" totalsRowShown="0" headerRowDxfId="191" dataDxfId="190">
  <autoFilter ref="Q6:Z32" xr:uid="{99775F4D-8879-4247-BCBB-9E55004F5FE5}"/>
  <tableColumns count="10">
    <tableColumn id="8" xr3:uid="{4222E379-EA2F-436F-A27E-F66347A2B7A2}" name="Affiliation" dataDxfId="189"/>
    <tableColumn id="1" xr3:uid="{00244646-90F3-4DDD-AB6B-0373781AFF60}" name="Name" dataDxfId="188"/>
    <tableColumn id="2" xr3:uid="{6305BA78-EC7F-4D5E-A143-DF4E3CB9A56C}" name="Top [m]" dataDxfId="187"/>
    <tableColumn id="3" xr3:uid="{156C5A02-52CD-48BE-87D5-E9BF8F935E99}" name="Bottom [m]" dataDxfId="186"/>
    <tableColumn id="4" xr3:uid="{BA986155-703C-4151-964B-7F7638569588}" name="Mass [kg]" dataDxfId="185"/>
    <tableColumn id="5" xr3:uid="{5FB39ED9-35A0-4964-ADC5-B9008F43FCB7}" name="Diameter [m]" dataDxfId="184"/>
    <tableColumn id="6" xr3:uid="{094B0EAF-8736-4B85-A464-028FE0E10FAC}" name="Orientation [°]" dataDxfId="183"/>
    <tableColumn id="7" xr3:uid="{F864D980-FF18-446E-8D28-70D3CBCA43E9}" name="Distance Axis to Axis [m]" dataDxfId="182"/>
    <tableColumn id="9" xr3:uid="{FD2E8D1C-F275-49BC-BD8B-D63D6205E6DF}" name="Gap between surfaces [m]" dataDxfId="181"/>
    <tableColumn id="10" xr3:uid="{DFEB932C-31A8-42AF-A99C-78CC47E5676D}" name="Surface roughness [m]" dataDxfId="180"/>
  </tableColumns>
  <tableStyleInfo name="JBO_Design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B17:AG19" totalsRowShown="0" headerRowDxfId="179" dataDxfId="177" headerRowBorderDxfId="178" tableBorderDxfId="176" totalsRowBorderDxfId="175">
  <autoFilter ref="AB17:AG19" xr:uid="{A1E86920-59C8-4A34-A4FA-D52D35DC047E}"/>
  <tableColumns count="6">
    <tableColumn id="1" xr3:uid="{D7BA5792-F27A-42AB-84A6-1A5C5073E624}" name="Affiliation" dataDxfId="174"/>
    <tableColumn id="3" xr3:uid="{F299E913-54CD-48A0-BB41-0880A93754FE}" name="Top [m]" dataDxfId="173"/>
    <tableColumn id="4" xr3:uid="{3FE7280C-AE16-43A5-98C5-AC81567063F8}" name="Bottom [m]" dataDxfId="172"/>
    <tableColumn id="5" xr3:uid="{494E1F17-E9F7-4B30-BF2F-0D837AD6C9EB}" name="D, top [m]" dataDxfId="171"/>
    <tableColumn id="6" xr3:uid="{9D18588B-23C1-495C-A81D-3BA5AF2F1DDD}" name="D, bottom [m]" dataDxfId="170"/>
    <tableColumn id="7" xr3:uid="{C3BA2567-9ACF-4834-A3FA-9599A0D98796}" name="t [mm]" dataDxfId="169"/>
  </tableColumns>
  <tableStyleInfo name="JBO_Design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B13:AE14" totalsRowShown="0" headerRowDxfId="168" headerRowBorderDxfId="167" tableBorderDxfId="166">
  <autoFilter ref="AB13:AE14" xr:uid="{CD52EECF-AB78-4C57-8765-66AA1058C0CF}"/>
  <tableColumns count="4">
    <tableColumn id="1" xr3:uid="{035BC3C9-B7CD-47B5-94D2-F8D64A04FD6C}" name="Affiliation" dataDxfId="165"/>
    <tableColumn id="2" xr3:uid="{9093341A-644E-4005-A4B0-0B05612EE421}" name="Elevation [m]" dataDxfId="164"/>
    <tableColumn id="3" xr3:uid="{71FE16E7-7251-4F14-B28B-4C6055F6AED1}" name="Mass [t]" dataDxfId="163"/>
    <tableColumn id="4" xr3:uid="{87F4221A-61DF-4C79-A116-8098A7C6FAAE}" name="comment" dataDxfId="162"/>
  </tableColumns>
  <tableStyleInfo name="JBO_Design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B23:AF27" totalsRowShown="0" headerRowDxfId="161" dataDxfId="160">
  <autoFilter ref="AB23:AF27" xr:uid="{8D334D84-754D-4685-9A4A-6A66B2E4FFB9}"/>
  <tableColumns count="5">
    <tableColumn id="1" xr3:uid="{DB673771-BB6D-4B68-81A2-B0DFC2758DC6}" name="Bottom [m]" dataDxfId="159"/>
    <tableColumn id="2" xr3:uid="{88DBAEFE-0CE9-43B7-BBD5-30E29A54DD0E}" name="Top [m]" dataDxfId="158"/>
    <tableColumn id="3" xr3:uid="{88F4E89D-F5DC-463C-AE91-5C5F8B82A591}" name="Marine Growth [mm]" dataDxfId="157"/>
    <tableColumn id="4" xr3:uid="{ABEE5949-3D04-400D-9A95-F3EBF7837C0E}" name="Density  [kg/m^3]" dataDxfId="156"/>
    <tableColumn id="5" xr3:uid="{F538BE21-E07F-43DA-9EA7-D7658B55572F}" name="Surface Roughness [m]" dataDxfId="155"/>
  </tableColumns>
  <tableStyleInfo name="JBO_Design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B31:AE33" totalsRowShown="0" headerRowDxfId="154">
  <autoFilter ref="AB31:AE33" xr:uid="{87B4A03F-1005-4720-8887-A14737394284}"/>
  <tableColumns count="4">
    <tableColumn id="1" xr3:uid="{79B3039B-DCB3-4DB5-9657-9170C1A7D7A1}" name="Bottom [m]" dataDxfId="153"/>
    <tableColumn id="2" xr3:uid="{798BD679-C372-4555-9ABA-DF12AF1BEB7B}" name="Top [m]" dataDxfId="152"/>
    <tableColumn id="3" xr3:uid="{C28B4B73-F57A-4DF1-B531-CD436CEA398C}" name="cd" dataDxfId="151"/>
    <tableColumn id="4" xr3:uid="{B75141CC-AB54-4904-90B7-845CA3D69A1B}" name="cm" dataDxfId="150"/>
  </tableColumns>
  <tableStyleInfo name="JBO_Design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B8:AJ9" totalsRowShown="0" headerRowDxfId="149" dataDxfId="147" headerRowBorderDxfId="148" tableBorderDxfId="146" totalsRowBorderDxfId="145">
  <autoFilter ref="AB8:AJ9" xr:uid="{72CE8A2A-6760-4548-BB1E-BCA204D8C1BA}"/>
  <tableColumns count="9">
    <tableColumn id="1" xr3:uid="{46A5A21B-3002-456C-8AD9-5ECB42AC421F}" name="Identifier" dataDxfId="144"/>
    <tableColumn id="2" xr3:uid="{F5B4AC32-29FD-42F7-91EC-62CC42FCE0D7}" name="Power [MW]" dataDxfId="143"/>
    <tableColumn id="3" xr3:uid="{F6A77E93-EA0B-4A7B-91D9-D14361BC8B1A}" name="Rotor Diameter [m]" dataDxfId="142"/>
    <tableColumn id="4" xr3:uid="{324F57B3-0BB2-4A0A-864F-C4E295BA1417}" name="Mass of RNA [kg]" dataDxfId="141"/>
    <tableColumn id="5" xr3:uid="{498958C1-FF10-460A-950F-D28B6D477E67}" name="Inertia of RNA fore-aft @COG [kg m^2]" dataDxfId="140"/>
    <tableColumn id="8" xr3:uid="{234964DC-3BFC-4170-9D6A-7B3DBC67A11F}" name="Inertia of RNA side-side @COG [kg m^2]" dataDxfId="139"/>
    <tableColumn id="6" xr3:uid="{9A250389-A125-48C0-9709-4FC870698E51}" name="Vertical Offset TT to HH [m]" dataDxfId="138"/>
    <tableColumn id="7" xr3:uid="{7481D65D-D15B-4189-850C-213AFF247093}" name="Vertical Offset TT_COG [m]" dataDxfId="137"/>
    <tableColumn id="9" xr3:uid="{DC025F26-D4D4-42D6-A0AC-A10FD5B08484}" name="comment" dataDxfId="136"/>
  </tableColumns>
  <tableStyleInfo name="JBO_Design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A5:C9" headerRowDxfId="135" dataDxfId="134">
  <autoFilter ref="A5:C9" xr:uid="{C35E7AB2-603F-4F8E-A683-CC2DB9E03260}"/>
  <tableColumns count="3">
    <tableColumn id="1" xr3:uid="{249E4AC0-B025-41CE-B64B-B1C47A8B108A}" name="Parameter" dataDxfId="133" totalsRowDxfId="132"/>
    <tableColumn id="2" xr3:uid="{96957327-E448-409A-A132-2F66C10F1B05}" name="Value" dataDxfId="131" totalsRowDxfId="130"/>
    <tableColumn id="3" xr3:uid="{9BA3C973-0D4E-4458-9364-B9F23256E516}" name="Unit" dataDxfId="129" totalsRowDxfId="128"/>
  </tableColumns>
  <tableStyleInfo name="JBO_Design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797A4-FD72-46EC-AF51-C7FF0F3EB792}" name="Tabelle1" displayName="Tabelle1" ref="A28:C34" totalsRowShown="0">
  <autoFilter ref="A28:C34" xr:uid="{AE7797A4-FD72-46EC-AF51-C7FF0F3EB792}"/>
  <tableColumns count="3">
    <tableColumn id="1" xr3:uid="{BDB642AE-B9A4-45CB-BF41-7BEF68FFEDAB}" name="Structure"/>
    <tableColumn id="2" xr3:uid="{6E51D16D-6FD1-4E9F-B93C-11B153F5BAB1}" name="Mass [t]" dataDxfId="127"/>
    <tableColumn id="3" xr3:uid="{7B4AFB51-C380-4E40-AA9A-07A3C0BB6BB2}" name="Unit" dataDxfId="126"/>
  </tableColumns>
  <tableStyleInfo name="JBO_Design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E11:H18" totalsRowShown="0">
  <autoFilter ref="E11:H18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 dataDxfId="125"/>
    <tableColumn id="2" xr3:uid="{6C705FCB-5D10-4250-9912-E9DAC119643B}" name="Value" dataDxfId="124"/>
  </tableColumns>
  <tableStyleInfo name="JBO_Design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E22:I61" totalsRowShown="0" headerRowDxfId="123">
  <autoFilter ref="E22:I61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122"/>
    <tableColumn id="4" xr3:uid="{E0487E44-0EED-4BFD-B57A-C884FB22266C}" name="default" dataDxfId="121"/>
    <tableColumn id="5" xr3:uid="{92045E4D-F12F-4D16-876C-05D25606D491}" name="SN1" dataDxfId="120"/>
  </tableColumns>
  <tableStyleInfo name="JBO_Design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R13:AB16" totalsRowShown="0" headerRowDxfId="119" dataDxfId="117" headerRowBorderDxfId="118">
  <autoFilter ref="R13:AB16" xr:uid="{71E9ED97-D6B3-4021-B4A0-767262A463AF}"/>
  <tableColumns count="11">
    <tableColumn id="3" xr3:uid="{FEC1B86F-C35E-46DA-A7B6-958218640B32}" name="Use For" dataDxfId="116"/>
    <tableColumn id="12" xr3:uid="{C2A89023-9057-4005-B5BC-7177CA0916E4}" name="Affiliation" dataDxfId="115"/>
    <tableColumn id="8" xr3:uid="{DA5288F4-A6D2-4654-91EF-5216E3A5D06D}" name="Name" dataDxfId="114"/>
    <tableColumn id="1" xr3:uid="{BCF04A15-F7A1-4B02-B968-2B77E93E65C8}" name="Top [m]" dataDxfId="113"/>
    <tableColumn id="2" xr3:uid="{7285DDF2-50C0-437F-A508-26E337365FD6}" name="Bottom [m]" dataDxfId="112"/>
    <tableColumn id="6" xr3:uid="{FF72EB0E-B8A4-4A02-BB1C-1EDDA8FDE8B6}" name="Mass [kg]" dataDxfId="111"/>
    <tableColumn id="4" xr3:uid="{C529D6EA-DB28-489B-9417-E4E43DA45BC2}" name="Diameter [m]" dataDxfId="110"/>
    <tableColumn id="7" xr3:uid="{187EAF26-0053-462C-A746-F4CFDD4FEA26}" name="Orientation [°]" dataDxfId="109"/>
    <tableColumn id="9" xr3:uid="{083E9AAE-21E0-4DD4-92EE-C339CE2D1002}" name="Distance Axis to Axis" dataDxfId="108"/>
    <tableColumn id="13" xr3:uid="{21BE8926-C21A-4E38-9100-554AFA0FA93B}" name="Gap between surfaces" dataDxfId="107"/>
    <tableColumn id="10" xr3:uid="{5E743F44-ADBC-4FED-9125-954BB70B4AA2}" name="Surface roughness [m]" dataDxfId="106"/>
  </tableColumns>
  <tableStyleInfo name="JBO_Design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356BDF-F7DD-4DF8-8A03-F552C7434686}" name="Bladed_Nodes" displayName="Bladed_Nodes" ref="AF24:AL42" totalsRowShown="0" dataDxfId="105">
  <autoFilter ref="AF24:AL42" xr:uid="{FE356BDF-F7DD-4DF8-8A03-F552C7434686}"/>
  <tableColumns count="7">
    <tableColumn id="1" xr3:uid="{6D2CD887-573B-48AA-98AD-9996FADDC923}" name="Node [-]" dataDxfId="104"/>
    <tableColumn id="2" xr3:uid="{EC70247F-3373-4C15-8E7F-4D2A86B1DE62}" name="Elevation [m]" dataDxfId="103"/>
    <tableColumn id="3" xr3:uid="{083E87E4-CECB-495A-A83F-130B2C844AFE}" name="Local x [m]" dataDxfId="102"/>
    <tableColumn id="4" xr3:uid="{7C868A91-68C1-4A51-B109-53217D6E2AA3}" name="Local y [m]" dataDxfId="101"/>
    <tableColumn id="5" xr3:uid="{86FF08B6-8D4D-4CCD-919D-2EE5F2A56883}" name="Point mass [m]" dataDxfId="100"/>
    <tableColumn id="6" xr3:uid="{6C286BEE-E8E7-481A-94E7-8A10C03F2B0D}" name="New Node?" dataDxfId="99"/>
    <tableColumn id="7" xr3:uid="{6F09390B-5897-4502-BE0F-57B6FE441D6D}" name="comment" dataDxfId="98"/>
  </tableColumns>
  <tableStyleInfo name="JBO_Design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A0827C-AEB7-4AC5-AC1C-3A9EEE71E512}" name="Bladed_Elements" displayName="Bladed_Elements" ref="AO24:AX58" totalsRowShown="0" dataDxfId="97">
  <autoFilter ref="AO24:AX58" xr:uid="{08A0827C-AEB7-4AC5-AC1C-3A9EEE71E512}"/>
  <tableColumns count="10">
    <tableColumn id="1" xr3:uid="{EE8CEEDE-C7F8-49BC-B1C1-62256D68B1F7}" name="Affiliation" dataDxfId="96"/>
    <tableColumn id="2" xr3:uid="{B5C9A065-2A24-4663-A78E-AB359C1B07B6}" name="Member [-]" dataDxfId="95"/>
    <tableColumn id="3" xr3:uid="{6737F7E4-75EA-4406-A7BA-6FC70240743C}" name="Node [-]" dataDxfId="94"/>
    <tableColumn id="4" xr3:uid="{89E5BBF6-3045-4D1E-BBF3-FCAE237AEF1F}" name="Diameter [m]" dataDxfId="93"/>
    <tableColumn id="5" xr3:uid="{6F3CFA72-85FE-4FA1-98D1-C26E66E5227F}" name="Wall thickness [mm]" dataDxfId="92"/>
    <tableColumn id="6" xr3:uid="{6F8DAE76-3BDE-41F7-B41C-569866CCAC01}" name="cd [-]" dataDxfId="91"/>
    <tableColumn id="7" xr3:uid="{38F26F02-A7D4-4714-AB52-DE027CA3C685}" name="cm [-]" dataDxfId="90"/>
    <tableColumn id="8" xr3:uid="{AF03C275-EBB0-4E9C-B3AD-4A9D80A81FED}" name="Marine growth [mm]" dataDxfId="89"/>
    <tableColumn id="9" xr3:uid="{05F492D6-D126-434F-93C6-A121F0788998}" name="Density [kg*m^-3]" dataDxfId="88"/>
    <tableColumn id="10" xr3:uid="{0530F484-7CF4-4A9A-9354-6550550F5D09}" name="Material [-]" dataDxfId="87"/>
  </tableColumns>
  <tableStyleInfo name="JBO_Design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D83FCB-684E-49B9-8C8E-EEC425D5900E}" name="Bladed_Material" displayName="Bladed_Material" ref="AF19:AI20" totalsRowShown="0" dataDxfId="86">
  <autoFilter ref="AF19:AI20" xr:uid="{75D83FCB-684E-49B9-8C8E-EEC425D5900E}"/>
  <tableColumns count="4">
    <tableColumn id="1" xr3:uid="{CB78C727-D5DC-4CA2-BA49-B008160D7D1F}" name="Material" dataDxfId="85"/>
    <tableColumn id="2" xr3:uid="{065FA7D2-18F9-4AC6-BB89-D8104A6F0927}" name="Density" dataDxfId="84"/>
    <tableColumn id="3" xr3:uid="{5D3B327E-2F90-44C2-802D-F2908776C407}" name="Young's Mod. [Pa]" dataDxfId="83"/>
    <tableColumn id="4" xr3:uid="{4882E81A-F94D-4030-BB50-4BFCD860A46F}" name="Shear Mod [Pa]" dataDxfId="82"/>
  </tableColumns>
  <tableStyleInfo name="JBO_Design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D5B26A-0D09-403C-8B9E-50F7200A653D}" name="Bladed_Settings" displayName="Bladed_Settings" ref="AF13:AH14" totalsRowShown="0">
  <autoFilter ref="AF13:AH14" xr:uid="{9AD5B26A-0D09-403C-8B9E-50F7200A653D}"/>
  <tableColumns count="3">
    <tableColumn id="1" xr3:uid="{C235FE96-286A-42FA-8098-E93B2B3C8E5E}" name="Parameter"/>
    <tableColumn id="2" xr3:uid="{BD11FF44-1500-4157-941D-41DC78A2A481}" name="Value"/>
    <tableColumn id="3" xr3:uid="{7E4FAC9B-4485-4A2B-BEC6-3BC57CC7FF8C}" name="comment"/>
  </tableColumns>
  <tableStyleInfo name="JBO_Desig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_xldudf_CORREL2</we:customFunctionIds>
        <we:customFunctionIds>_xldudf_HELLO</we:customFunctionIds>
        <we:customFunctionIds>_xldudf_STANDARD_NORMAL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J-B-O-Offshore/GeometrieConverter" TargetMode="External"/><Relationship Id="rId1" Type="http://schemas.openxmlformats.org/officeDocument/2006/relationships/hyperlink" Target="https://www.python.org/downloads/windows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47" Type="http://schemas.openxmlformats.org/officeDocument/2006/relationships/table" Target="../tables/table2.xml"/><Relationship Id="rId63" Type="http://schemas.openxmlformats.org/officeDocument/2006/relationships/table" Target="../tables/table18.xml"/><Relationship Id="rId68" Type="http://schemas.openxmlformats.org/officeDocument/2006/relationships/table" Target="../tables/table23.xml"/><Relationship Id="rId7" Type="http://schemas.openxmlformats.org/officeDocument/2006/relationships/ctrlProp" Target="../ctrlProps/ctrlProp8.xml"/><Relationship Id="rId71" Type="http://schemas.openxmlformats.org/officeDocument/2006/relationships/table" Target="../tables/table2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3" Type="http://schemas.openxmlformats.org/officeDocument/2006/relationships/table" Target="../tables/table8.xml"/><Relationship Id="rId58" Type="http://schemas.openxmlformats.org/officeDocument/2006/relationships/table" Target="../tables/table13.xml"/><Relationship Id="rId66" Type="http://schemas.openxmlformats.org/officeDocument/2006/relationships/table" Target="../tables/table21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16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table" Target="../tables/table3.xml"/><Relationship Id="rId56" Type="http://schemas.openxmlformats.org/officeDocument/2006/relationships/table" Target="../tables/table11.xml"/><Relationship Id="rId64" Type="http://schemas.openxmlformats.org/officeDocument/2006/relationships/table" Target="../tables/table19.xml"/><Relationship Id="rId69" Type="http://schemas.openxmlformats.org/officeDocument/2006/relationships/table" Target="../tables/table24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table" Target="../tables/table1.xml"/><Relationship Id="rId59" Type="http://schemas.openxmlformats.org/officeDocument/2006/relationships/table" Target="../tables/table14.xml"/><Relationship Id="rId67" Type="http://schemas.openxmlformats.org/officeDocument/2006/relationships/table" Target="../tables/table22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54" Type="http://schemas.openxmlformats.org/officeDocument/2006/relationships/table" Target="../tables/table9.xml"/><Relationship Id="rId62" Type="http://schemas.openxmlformats.org/officeDocument/2006/relationships/table" Target="../tables/table17.xml"/><Relationship Id="rId70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table" Target="../tables/table4.xml"/><Relationship Id="rId57" Type="http://schemas.openxmlformats.org/officeDocument/2006/relationships/table" Target="../tables/table12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52" Type="http://schemas.openxmlformats.org/officeDocument/2006/relationships/table" Target="../tables/table7.xml"/><Relationship Id="rId60" Type="http://schemas.openxmlformats.org/officeDocument/2006/relationships/table" Target="../tables/table15.xml"/><Relationship Id="rId65" Type="http://schemas.openxmlformats.org/officeDocument/2006/relationships/table" Target="../tables/table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34" Type="http://schemas.openxmlformats.org/officeDocument/2006/relationships/ctrlProp" Target="../ctrlProps/ctrlProp35.xml"/><Relationship Id="rId50" Type="http://schemas.openxmlformats.org/officeDocument/2006/relationships/table" Target="../tables/table5.xml"/><Relationship Id="rId55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0.xml"/><Relationship Id="rId12" Type="http://schemas.openxmlformats.org/officeDocument/2006/relationships/table" Target="../tables/table31.xml"/><Relationship Id="rId2" Type="http://schemas.openxmlformats.org/officeDocument/2006/relationships/drawing" Target="../drawings/drawing4.xml"/><Relationship Id="rId16" Type="http://schemas.openxmlformats.org/officeDocument/2006/relationships/table" Target="../tables/table3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9.xml"/><Relationship Id="rId11" Type="http://schemas.openxmlformats.org/officeDocument/2006/relationships/table" Target="../tables/table30.xml"/><Relationship Id="rId5" Type="http://schemas.openxmlformats.org/officeDocument/2006/relationships/ctrlProp" Target="../ctrlProps/ctrlProp48.xml"/><Relationship Id="rId15" Type="http://schemas.openxmlformats.org/officeDocument/2006/relationships/table" Target="../tables/table3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47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table" Target="../tables/table40.xml"/><Relationship Id="rId2" Type="http://schemas.openxmlformats.org/officeDocument/2006/relationships/drawing" Target="../drawings/drawing5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5" Type="http://schemas.openxmlformats.org/officeDocument/2006/relationships/table" Target="../tables/table38.xml"/><Relationship Id="rId10" Type="http://schemas.openxmlformats.org/officeDocument/2006/relationships/ctrlProp" Target="../ctrlProps/ctrlProp57.xml"/><Relationship Id="rId19" Type="http://schemas.openxmlformats.org/officeDocument/2006/relationships/table" Target="../tables/table42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2:D62"/>
  <sheetViews>
    <sheetView showGridLines="0" tabSelected="1" topLeftCell="A20" zoomScale="70" zoomScaleNormal="70" workbookViewId="0">
      <selection activeCell="M33" sqref="M33"/>
    </sheetView>
  </sheetViews>
  <sheetFormatPr baseColWidth="10" defaultRowHeight="15"/>
  <cols>
    <col min="2" max="2" width="39.28515625" customWidth="1"/>
    <col min="3" max="3" width="42.7109375" customWidth="1"/>
    <col min="4" max="4" width="139.85546875" customWidth="1"/>
  </cols>
  <sheetData>
    <row r="2" spans="2:4" ht="21">
      <c r="B2" s="88" t="s">
        <v>388</v>
      </c>
    </row>
    <row r="3" spans="2:4" ht="15.75" thickBot="1"/>
    <row r="4" spans="2:4" ht="18.75">
      <c r="B4" s="118" t="s">
        <v>334</v>
      </c>
      <c r="C4" s="113" t="s">
        <v>316</v>
      </c>
      <c r="D4" s="114" t="s">
        <v>321</v>
      </c>
    </row>
    <row r="5" spans="2:4">
      <c r="B5" s="119"/>
      <c r="D5" s="57"/>
    </row>
    <row r="6" spans="2:4">
      <c r="B6" s="119"/>
      <c r="D6" s="57" t="s">
        <v>332</v>
      </c>
    </row>
    <row r="7" spans="2:4" ht="15.75" thickBot="1">
      <c r="B7" s="120"/>
      <c r="C7" s="67"/>
      <c r="D7" s="68"/>
    </row>
    <row r="8" spans="2:4" ht="18.75">
      <c r="B8" s="118" t="s">
        <v>328</v>
      </c>
      <c r="C8" s="113" t="s">
        <v>317</v>
      </c>
      <c r="D8" s="114" t="s">
        <v>322</v>
      </c>
    </row>
    <row r="9" spans="2:4">
      <c r="B9" s="119"/>
      <c r="C9" s="58" t="s">
        <v>330</v>
      </c>
      <c r="D9" s="57"/>
    </row>
    <row r="10" spans="2:4">
      <c r="B10" s="119"/>
      <c r="C10" s="115" t="s">
        <v>318</v>
      </c>
      <c r="D10" s="116" t="s">
        <v>323</v>
      </c>
    </row>
    <row r="11" spans="2:4">
      <c r="B11" s="119"/>
      <c r="D11" s="57"/>
    </row>
    <row r="12" spans="2:4" ht="15.75" thickBot="1">
      <c r="B12" s="119"/>
      <c r="D12" s="57" t="s">
        <v>333</v>
      </c>
    </row>
    <row r="13" spans="2:4" ht="15.75" thickBot="1">
      <c r="B13" s="119"/>
      <c r="C13" s="117" t="s">
        <v>326</v>
      </c>
      <c r="D13" s="266" t="s">
        <v>327</v>
      </c>
    </row>
    <row r="14" spans="2:4" ht="15.75" thickBot="1">
      <c r="B14" s="120"/>
      <c r="C14" s="67"/>
      <c r="D14" s="68"/>
    </row>
    <row r="15" spans="2:4" ht="18.75">
      <c r="B15" s="118" t="s">
        <v>319</v>
      </c>
      <c r="C15" s="63"/>
      <c r="D15" s="65" t="s">
        <v>324</v>
      </c>
    </row>
    <row r="16" spans="2:4">
      <c r="B16" s="119"/>
      <c r="C16" s="56"/>
      <c r="D16" s="57"/>
    </row>
    <row r="17" spans="2:4">
      <c r="B17" s="119"/>
      <c r="C17" s="56"/>
      <c r="D17" s="57"/>
    </row>
    <row r="18" spans="2:4">
      <c r="B18" s="119"/>
      <c r="C18" s="56"/>
      <c r="D18" s="57"/>
    </row>
    <row r="19" spans="2:4">
      <c r="B19" s="119"/>
      <c r="C19" s="56"/>
      <c r="D19" s="57"/>
    </row>
    <row r="20" spans="2:4">
      <c r="B20" s="119"/>
      <c r="C20" s="56"/>
      <c r="D20" s="57"/>
    </row>
    <row r="21" spans="2:4">
      <c r="B21" s="119"/>
      <c r="C21" s="56"/>
      <c r="D21" s="57"/>
    </row>
    <row r="22" spans="2:4">
      <c r="B22" s="119"/>
      <c r="C22" s="56"/>
      <c r="D22" s="57"/>
    </row>
    <row r="23" spans="2:4">
      <c r="B23" s="119"/>
      <c r="C23" s="56"/>
      <c r="D23" s="57"/>
    </row>
    <row r="24" spans="2:4">
      <c r="B24" s="119"/>
      <c r="C24" s="56"/>
      <c r="D24" s="57"/>
    </row>
    <row r="25" spans="2:4">
      <c r="B25" s="119"/>
      <c r="C25" s="56"/>
      <c r="D25" s="57"/>
    </row>
    <row r="26" spans="2:4">
      <c r="B26" s="119"/>
      <c r="C26" s="56"/>
      <c r="D26" s="57"/>
    </row>
    <row r="27" spans="2:4">
      <c r="B27" s="119"/>
      <c r="C27" s="56"/>
      <c r="D27" s="57"/>
    </row>
    <row r="28" spans="2:4">
      <c r="B28" s="119"/>
      <c r="C28" s="56"/>
      <c r="D28" s="57"/>
    </row>
    <row r="29" spans="2:4">
      <c r="B29" s="119"/>
      <c r="C29" s="56"/>
      <c r="D29" s="57"/>
    </row>
    <row r="30" spans="2:4">
      <c r="B30" s="119"/>
      <c r="C30" s="56"/>
      <c r="D30" s="57"/>
    </row>
    <row r="31" spans="2:4">
      <c r="B31" s="119"/>
      <c r="C31" s="56"/>
      <c r="D31" s="57"/>
    </row>
    <row r="32" spans="2:4" ht="15.75" thickBot="1">
      <c r="B32" s="120"/>
      <c r="C32" s="66"/>
      <c r="D32" s="68"/>
    </row>
    <row r="33" spans="2:4" ht="18.75">
      <c r="B33" s="118" t="s">
        <v>320</v>
      </c>
      <c r="C33" s="64"/>
      <c r="D33" s="65" t="s">
        <v>325</v>
      </c>
    </row>
    <row r="34" spans="2:4">
      <c r="B34" s="119"/>
      <c r="D34" s="57" t="s">
        <v>329</v>
      </c>
    </row>
    <row r="35" spans="2:4">
      <c r="B35" s="119"/>
      <c r="D35" s="57"/>
    </row>
    <row r="36" spans="2:4">
      <c r="B36" s="119"/>
      <c r="D36" s="57"/>
    </row>
    <row r="37" spans="2:4">
      <c r="B37" s="119"/>
      <c r="D37" s="57"/>
    </row>
    <row r="38" spans="2:4">
      <c r="B38" s="119"/>
      <c r="D38" s="57"/>
    </row>
    <row r="39" spans="2:4">
      <c r="B39" s="119"/>
      <c r="D39" s="57"/>
    </row>
    <row r="40" spans="2:4">
      <c r="B40" s="119"/>
      <c r="D40" s="57"/>
    </row>
    <row r="41" spans="2:4">
      <c r="B41" s="119"/>
      <c r="D41" s="57"/>
    </row>
    <row r="42" spans="2:4">
      <c r="B42" s="119"/>
      <c r="D42" s="57"/>
    </row>
    <row r="43" spans="2:4">
      <c r="B43" s="119"/>
      <c r="D43" s="57"/>
    </row>
    <row r="44" spans="2:4" ht="15.75" thickBot="1">
      <c r="B44" s="120"/>
      <c r="C44" s="67"/>
      <c r="D44" s="68"/>
    </row>
    <row r="47" spans="2:4" ht="21">
      <c r="B47" s="88" t="s">
        <v>391</v>
      </c>
    </row>
    <row r="48" spans="2:4" ht="15.75" thickBot="1"/>
    <row r="49" spans="2:4" ht="18.75">
      <c r="B49" s="291" t="s">
        <v>389</v>
      </c>
      <c r="C49" s="64"/>
      <c r="D49" s="65"/>
    </row>
    <row r="50" spans="2:4">
      <c r="B50" s="292"/>
      <c r="C50" s="286" t="s">
        <v>382</v>
      </c>
      <c r="D50" s="57"/>
    </row>
    <row r="51" spans="2:4">
      <c r="B51" s="292"/>
      <c r="C51" s="287" t="s">
        <v>382</v>
      </c>
      <c r="D51" s="57"/>
    </row>
    <row r="52" spans="2:4">
      <c r="B52" s="292"/>
      <c r="C52" s="288" t="s">
        <v>383</v>
      </c>
      <c r="D52" s="57"/>
    </row>
    <row r="53" spans="2:4">
      <c r="B53" s="292"/>
      <c r="C53" s="289" t="s">
        <v>383</v>
      </c>
      <c r="D53" s="57"/>
    </row>
    <row r="54" spans="2:4">
      <c r="B54" s="292"/>
      <c r="C54" s="76"/>
      <c r="D54" s="57"/>
    </row>
    <row r="55" spans="2:4">
      <c r="B55" s="292"/>
      <c r="C55" s="273" t="s">
        <v>395</v>
      </c>
      <c r="D55" s="57"/>
    </row>
    <row r="56" spans="2:4" ht="15.75" thickBot="1">
      <c r="B56" s="292"/>
      <c r="D56" s="57"/>
    </row>
    <row r="57" spans="2:4">
      <c r="B57" s="293" t="s">
        <v>390</v>
      </c>
      <c r="C57" s="290" t="s">
        <v>385</v>
      </c>
      <c r="D57" s="267" t="b">
        <v>1</v>
      </c>
    </row>
    <row r="58" spans="2:4">
      <c r="B58" s="292"/>
      <c r="D58" s="268"/>
    </row>
    <row r="59" spans="2:4">
      <c r="B59" s="292"/>
      <c r="D59" s="268"/>
    </row>
    <row r="60" spans="2:4">
      <c r="B60" s="292"/>
      <c r="D60" s="268"/>
    </row>
    <row r="61" spans="2:4">
      <c r="B61" s="292"/>
      <c r="D61" s="268"/>
    </row>
    <row r="62" spans="2:4" ht="15.75" thickBot="1">
      <c r="B62" s="294"/>
      <c r="C62" s="269"/>
      <c r="D62" s="270"/>
    </row>
  </sheetData>
  <hyperlinks>
    <hyperlink ref="D4" r:id="rId1" display="https://www.python.org/downloads/windows/" xr:uid="{186286B4-A626-477F-B359-EC7C6DF0E213}"/>
    <hyperlink ref="D8" r:id="rId2" display="https://github.com/J-B-O-Offshore/GeometrieConverter" xr:uid="{22B87AB2-848F-4804-9B83-1BF2B3DCFAAC}"/>
  </hyperlinks>
  <pageMargins left="0.7" right="0.7" top="0.78740157499999996" bottom="0.78740157499999996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="70" zoomScaleNormal="70" workbookViewId="0">
      <selection activeCell="J28" sqref="J28"/>
    </sheetView>
  </sheetViews>
  <sheetFormatPr baseColWidth="10" defaultRowHeight="1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75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.75" thickBot="1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>
      <c r="A4" s="41"/>
      <c r="B4" s="295" t="s">
        <v>42</v>
      </c>
      <c r="C4" s="296"/>
      <c r="D4" s="297"/>
      <c r="E4" s="40"/>
      <c r="F4" s="298" t="s">
        <v>26</v>
      </c>
      <c r="G4" s="299"/>
      <c r="H4" s="299"/>
      <c r="I4" s="300"/>
      <c r="J4" s="40"/>
      <c r="K4" s="301" t="s">
        <v>43</v>
      </c>
      <c r="L4" s="302"/>
      <c r="M4" s="303"/>
      <c r="N4" s="40"/>
      <c r="O4" s="41"/>
      <c r="P4" s="40"/>
      <c r="Q4" s="40"/>
      <c r="R4" s="39"/>
    </row>
    <row r="5" spans="1:24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.75" thickBot="1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.75" thickBot="1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.75" thickBot="1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>
      <c r="A22" s="41"/>
      <c r="B22" s="48"/>
      <c r="C22" s="1" t="s">
        <v>331</v>
      </c>
      <c r="D22" s="1" t="s">
        <v>331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.75" thickBot="1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EN894"/>
  <sheetViews>
    <sheetView showGridLines="0" zoomScale="55" zoomScaleNormal="55" workbookViewId="0">
      <selection activeCell="I1" sqref="I1"/>
    </sheetView>
  </sheetViews>
  <sheetFormatPr baseColWidth="10" defaultColWidth="22.85546875" defaultRowHeight="18" customHeight="1" outlineLevelRow="1"/>
  <cols>
    <col min="1" max="1" width="24.5703125" style="70" customWidth="1"/>
    <col min="2" max="2" width="22.28515625" style="59" customWidth="1"/>
    <col min="3" max="3" width="21" style="59" customWidth="1"/>
    <col min="4" max="4" width="26.42578125" style="59" customWidth="1"/>
    <col min="5" max="5" width="50.7109375" style="83" customWidth="1"/>
    <col min="6" max="6" width="22.7109375" style="53" customWidth="1"/>
    <col min="7" max="7" width="25.7109375" style="53" customWidth="1"/>
    <col min="8" max="8" width="40.7109375" style="53" customWidth="1"/>
    <col min="9" max="9" width="29.42578125" style="53" customWidth="1"/>
    <col min="10" max="10" width="30" style="52" customWidth="1"/>
    <col min="11" max="11" width="22.7109375" style="84" customWidth="1"/>
    <col min="12" max="12" width="15.7109375" customWidth="1"/>
    <col min="13" max="13" width="14" customWidth="1"/>
    <col min="14" max="14" width="9.7109375" style="78" customWidth="1"/>
    <col min="15" max="15" width="11.140625" customWidth="1"/>
    <col min="16" max="16" width="50.7109375" customWidth="1"/>
    <col min="17" max="17" width="19.28515625" customWidth="1"/>
    <col min="18" max="18" width="23.28515625" customWidth="1"/>
    <col min="19" max="19" width="21.7109375" customWidth="1"/>
    <col min="20" max="20" width="24.85546875" customWidth="1"/>
    <col min="21" max="21" width="26.28515625" customWidth="1"/>
    <col min="22" max="22" width="35.28515625" customWidth="1"/>
    <col min="23" max="23" width="35.7109375" customWidth="1"/>
    <col min="24" max="24" width="36.28515625" style="57" customWidth="1"/>
    <col min="25" max="29" width="22.85546875" hidden="1" customWidth="1"/>
    <col min="30" max="30" width="25.140625" hidden="1" customWidth="1"/>
    <col min="31" max="31" width="21.140625" hidden="1" customWidth="1"/>
    <col min="32" max="32" width="18.28515625" hidden="1" customWidth="1"/>
    <col min="33" max="33" width="18.5703125" hidden="1" customWidth="1" collapsed="1"/>
    <col min="34" max="34" width="25.28515625" hidden="1" customWidth="1"/>
    <col min="35" max="35" width="20.7109375" hidden="1" customWidth="1"/>
    <col min="36" max="36" width="16.5703125" hidden="1" customWidth="1"/>
    <col min="37" max="37" width="20.7109375" hidden="1" customWidth="1"/>
    <col min="38" max="38" width="13.28515625" hidden="1" customWidth="1"/>
    <col min="39" max="40" width="22.85546875" hidden="1" customWidth="1"/>
    <col min="41" max="41" width="6.42578125" hidden="1" customWidth="1"/>
    <col min="42" max="42" width="50.7109375" style="83" hidden="1" customWidth="1"/>
    <col min="43" max="43" width="22.7109375" style="53" hidden="1" customWidth="1"/>
    <col min="44" max="44" width="25.7109375" style="53" hidden="1" customWidth="1"/>
    <col min="45" max="45" width="40.7109375" style="53" hidden="1" customWidth="1"/>
    <col min="46" max="46" width="29.42578125" style="53" hidden="1" customWidth="1"/>
    <col min="47" max="47" width="30" style="52" hidden="1" customWidth="1"/>
    <col min="48" max="48" width="22.7109375" style="84" hidden="1" customWidth="1"/>
    <col min="49" max="49" width="15.7109375" hidden="1" customWidth="1"/>
    <col min="50" max="50" width="14" hidden="1" customWidth="1"/>
    <col min="51" max="51" width="9.7109375" style="78" hidden="1" customWidth="1"/>
    <col min="52" max="52" width="11.140625" hidden="1" customWidth="1"/>
    <col min="53" max="53" width="50.7109375" hidden="1" customWidth="1"/>
    <col min="54" max="54" width="19.28515625" hidden="1" customWidth="1"/>
    <col min="55" max="55" width="23.28515625" hidden="1" customWidth="1"/>
    <col min="56" max="56" width="21.7109375" hidden="1" customWidth="1"/>
    <col min="57" max="57" width="24.85546875" hidden="1" customWidth="1"/>
    <col min="58" max="58" width="26.28515625" hidden="1" customWidth="1"/>
    <col min="59" max="59" width="35.28515625" hidden="1" customWidth="1"/>
    <col min="60" max="60" width="35.7109375" hidden="1" customWidth="1"/>
    <col min="61" max="61" width="36.28515625" style="57" hidden="1" customWidth="1"/>
    <col min="62" max="66" width="22.85546875" hidden="1" customWidth="1"/>
    <col min="67" max="67" width="25.140625" hidden="1" customWidth="1"/>
    <col min="68" max="69" width="21.140625" hidden="1" customWidth="1"/>
    <col min="70" max="72" width="18.28515625" hidden="1" customWidth="1"/>
    <col min="73" max="73" width="18.5703125" hidden="1" customWidth="1" collapsed="1"/>
    <col min="74" max="74" width="25.28515625" hidden="1" customWidth="1"/>
    <col min="75" max="75" width="20.7109375" hidden="1" customWidth="1"/>
    <col min="76" max="76" width="16.5703125" hidden="1" customWidth="1"/>
    <col min="77" max="77" width="22.85546875" hidden="1" customWidth="1" collapsed="1"/>
    <col min="78" max="78" width="22.85546875" hidden="1" customWidth="1"/>
    <col min="79" max="79" width="21.5703125" hidden="1" customWidth="1"/>
    <col min="80" max="80" width="50.7109375" style="83" hidden="1" customWidth="1"/>
    <col min="81" max="81" width="22.7109375" style="53" hidden="1" customWidth="1"/>
    <col min="82" max="82" width="25.7109375" style="53" hidden="1" customWidth="1"/>
    <col min="83" max="83" width="40.7109375" style="53" hidden="1" customWidth="1"/>
    <col min="84" max="84" width="29.42578125" style="53" hidden="1" customWidth="1"/>
    <col min="85" max="85" width="30" style="52" hidden="1" customWidth="1"/>
    <col min="86" max="86" width="22.7109375" style="218" hidden="1" customWidth="1"/>
    <col min="87" max="87" width="15.7109375" style="51" hidden="1" customWidth="1"/>
    <col min="88" max="88" width="14" style="51" hidden="1" customWidth="1"/>
    <col min="89" max="89" width="9.7109375" style="221" hidden="1" customWidth="1"/>
    <col min="90" max="90" width="11.140625" hidden="1" customWidth="1"/>
    <col min="91" max="91" width="50.7109375" hidden="1" customWidth="1"/>
    <col min="92" max="92" width="16.28515625" hidden="1" customWidth="1"/>
    <col min="93" max="93" width="19.7109375" hidden="1" customWidth="1"/>
    <col min="94" max="94" width="18.28515625" hidden="1" customWidth="1"/>
    <col min="95" max="95" width="21.7109375" hidden="1" customWidth="1"/>
    <col min="96" max="96" width="23.28515625" hidden="1" customWidth="1"/>
    <col min="97" max="97" width="31.140625" hidden="1" customWidth="1"/>
    <col min="98" max="98" width="33" hidden="1" customWidth="1"/>
    <col min="99" max="99" width="33.28515625" style="57" hidden="1" customWidth="1"/>
    <col min="100" max="104" width="22.85546875" hidden="1" customWidth="1"/>
    <col min="105" max="105" width="25.140625" hidden="1" customWidth="1"/>
    <col min="106" max="107" width="21.140625" hidden="1" customWidth="1"/>
    <col min="108" max="110" width="18.28515625" hidden="1" customWidth="1"/>
    <col min="111" max="111" width="18.5703125" hidden="1" customWidth="1" collapsed="1"/>
    <col min="112" max="112" width="25.28515625" hidden="1" customWidth="1"/>
    <col min="113" max="113" width="20.7109375" hidden="1" customWidth="1"/>
    <col min="114" max="114" width="16.5703125" hidden="1" customWidth="1"/>
    <col min="115" max="115" width="22.85546875" hidden="1" customWidth="1" collapsed="1"/>
    <col min="116" max="117" width="22.85546875" hidden="1" customWidth="1"/>
    <col min="118" max="118" width="50.7109375" style="56" hidden="1" customWidth="1"/>
    <col min="119" max="119" width="22.7109375" hidden="1" customWidth="1"/>
    <col min="120" max="120" width="25.28515625" hidden="1" customWidth="1"/>
    <col min="121" max="121" width="23.5703125" hidden="1" customWidth="1"/>
    <col min="122" max="122" width="47.28515625" style="187" hidden="1" customWidth="1"/>
    <col min="123" max="123" width="49.140625" style="187" hidden="1" customWidth="1"/>
    <col min="124" max="124" width="35.7109375" hidden="1" customWidth="1"/>
    <col min="125" max="125" width="35.28515625" hidden="1" customWidth="1"/>
    <col min="126" max="126" width="30.5703125" hidden="1" customWidth="1"/>
    <col min="127" max="127" width="22.85546875" hidden="1" customWidth="1"/>
    <col min="128" max="128" width="22.85546875" style="57" hidden="1" customWidth="1"/>
    <col min="129" max="137" width="22.85546875" hidden="1" customWidth="1"/>
    <col min="138" max="138" width="22.85546875" hidden="1" customWidth="1" collapsed="1"/>
    <col min="139" max="143" width="22.85546875" hidden="1" customWidth="1"/>
    <col min="144" max="144" width="22.85546875" style="57" hidden="1" customWidth="1"/>
    <col min="145" max="145" width="22.85546875" customWidth="1"/>
  </cols>
  <sheetData>
    <row r="1" spans="1:137" ht="200.45" customHeight="1" thickBot="1">
      <c r="A1" s="124"/>
      <c r="B1" s="125"/>
      <c r="C1" s="125"/>
      <c r="D1" s="126"/>
      <c r="E1" s="136" t="s">
        <v>338</v>
      </c>
      <c r="K1"/>
      <c r="N1"/>
      <c r="AP1" s="137" t="s">
        <v>339</v>
      </c>
      <c r="AV1"/>
      <c r="AY1"/>
      <c r="CB1" s="127" t="s">
        <v>340</v>
      </c>
      <c r="CH1" s="51"/>
      <c r="CK1" s="51"/>
      <c r="DN1" s="138" t="s">
        <v>337</v>
      </c>
    </row>
    <row r="2" spans="1:137" ht="18" customHeight="1">
      <c r="E2" s="150"/>
      <c r="F2" s="151"/>
      <c r="G2" s="151"/>
      <c r="H2" s="151"/>
      <c r="I2" s="151"/>
      <c r="J2" s="152"/>
      <c r="K2" s="82"/>
      <c r="L2" s="63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5"/>
      <c r="AO2" s="64"/>
      <c r="AP2" s="150"/>
      <c r="AQ2" s="151"/>
      <c r="AR2" s="151"/>
      <c r="AS2" s="151"/>
      <c r="AT2" s="151"/>
      <c r="AU2" s="152"/>
      <c r="AV2" s="82"/>
      <c r="AW2" s="63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5"/>
      <c r="CA2" s="64"/>
      <c r="CB2" s="150"/>
      <c r="CC2" s="151"/>
      <c r="CD2" s="151"/>
      <c r="CE2" s="151"/>
      <c r="CF2" s="151"/>
      <c r="CG2" s="152"/>
      <c r="CH2" s="211"/>
      <c r="CI2" s="212"/>
      <c r="CJ2" s="167"/>
      <c r="CK2" s="167"/>
      <c r="CL2" s="64"/>
      <c r="CM2" s="64"/>
      <c r="CN2" s="64"/>
      <c r="CO2" s="64"/>
      <c r="CP2" s="64"/>
      <c r="CQ2" s="64"/>
      <c r="CR2" s="64"/>
      <c r="CS2" s="64"/>
      <c r="CT2" s="64"/>
      <c r="CU2" s="65"/>
      <c r="DN2" s="81"/>
      <c r="DO2" s="82"/>
      <c r="DP2" s="82"/>
      <c r="DQ2" s="82"/>
      <c r="DR2" s="188"/>
      <c r="DS2" s="188"/>
      <c r="DT2" s="82"/>
      <c r="DU2" s="82"/>
      <c r="DV2" s="82"/>
      <c r="DW2" s="82"/>
      <c r="DX2" s="123"/>
    </row>
    <row r="3" spans="1:137" ht="43.5" customHeight="1">
      <c r="E3" s="155" t="s">
        <v>69</v>
      </c>
      <c r="F3" s="153"/>
      <c r="G3" s="153"/>
      <c r="H3" s="153"/>
      <c r="I3" s="153"/>
      <c r="J3" s="154"/>
      <c r="K3" s="59"/>
      <c r="L3" s="56"/>
      <c r="N3"/>
      <c r="AP3" s="155" t="s">
        <v>83</v>
      </c>
      <c r="AQ3" s="153"/>
      <c r="AR3" s="153"/>
      <c r="AS3" s="153"/>
      <c r="AT3" s="153"/>
      <c r="AU3" s="154"/>
      <c r="AV3" s="59"/>
      <c r="AW3" s="56"/>
      <c r="AY3"/>
      <c r="CB3" s="156" t="s">
        <v>71</v>
      </c>
      <c r="CC3" s="153"/>
      <c r="CD3" s="153"/>
      <c r="CE3" s="153"/>
      <c r="CF3" s="153"/>
      <c r="CG3" s="154"/>
      <c r="CH3" s="159"/>
      <c r="CI3" s="80"/>
      <c r="CK3" s="51"/>
      <c r="DN3" s="155" t="s">
        <v>108</v>
      </c>
      <c r="DO3" s="153"/>
      <c r="DP3" s="153"/>
      <c r="DQ3" s="153"/>
      <c r="DR3" s="154"/>
      <c r="DS3" s="154"/>
      <c r="DT3" s="154"/>
      <c r="DU3" s="59"/>
      <c r="DV3" s="59"/>
      <c r="DW3" s="59"/>
      <c r="DX3" s="106"/>
    </row>
    <row r="4" spans="1:137" ht="18" customHeight="1">
      <c r="E4" s="70"/>
      <c r="F4" s="59"/>
      <c r="G4" s="59"/>
      <c r="H4" s="59"/>
      <c r="I4" s="59"/>
      <c r="J4" s="59"/>
      <c r="K4" s="59"/>
      <c r="L4" s="56"/>
      <c r="N4"/>
      <c r="AP4" s="70"/>
      <c r="AQ4" s="59"/>
      <c r="AR4" s="59"/>
      <c r="AS4" s="59"/>
      <c r="AT4" s="59"/>
      <c r="AU4" s="59"/>
      <c r="AV4" s="59"/>
      <c r="AW4" s="56"/>
      <c r="AY4"/>
      <c r="BY4" s="58"/>
      <c r="BZ4" s="58"/>
      <c r="CB4" s="70"/>
      <c r="CC4" s="59"/>
      <c r="CD4" s="59"/>
      <c r="CE4" s="59"/>
      <c r="CF4" s="59"/>
      <c r="CG4" s="59"/>
      <c r="CH4" s="159"/>
      <c r="CI4" s="80"/>
      <c r="CK4" s="51"/>
      <c r="DK4" s="58"/>
      <c r="DL4" s="58"/>
      <c r="DM4" s="58"/>
      <c r="DN4" s="70"/>
      <c r="DO4" s="59"/>
      <c r="DP4" s="59"/>
      <c r="DQ4" s="59"/>
      <c r="DR4" s="189"/>
      <c r="DS4" s="189"/>
      <c r="DT4" s="59"/>
      <c r="DU4" s="59"/>
      <c r="DV4" s="59"/>
      <c r="DW4" s="59"/>
      <c r="DX4" s="106"/>
    </row>
    <row r="5" spans="1:137" ht="19.5" customHeight="1" thickBot="1">
      <c r="A5" s="121"/>
      <c r="B5" s="122"/>
      <c r="C5" s="122"/>
      <c r="D5" s="122"/>
      <c r="E5" s="86" t="s">
        <v>248</v>
      </c>
      <c r="F5" s="69"/>
      <c r="G5" s="69"/>
      <c r="H5" s="69"/>
      <c r="I5" s="69"/>
      <c r="J5"/>
      <c r="K5"/>
      <c r="L5" s="56"/>
      <c r="N5"/>
      <c r="AP5" s="86" t="s">
        <v>248</v>
      </c>
      <c r="AQ5" s="69"/>
      <c r="AR5" s="69"/>
      <c r="AS5" s="69"/>
      <c r="AT5" s="69"/>
      <c r="AU5"/>
      <c r="AV5"/>
      <c r="AW5" s="56"/>
      <c r="AY5"/>
      <c r="CB5" s="86" t="s">
        <v>248</v>
      </c>
      <c r="CC5" s="69"/>
      <c r="CD5" s="69"/>
      <c r="CE5" s="69"/>
      <c r="CF5" s="69"/>
      <c r="CG5"/>
      <c r="CH5" s="51"/>
      <c r="CI5" s="80"/>
      <c r="CK5" s="51"/>
      <c r="DN5" s="86" t="s">
        <v>248</v>
      </c>
      <c r="DO5" s="69"/>
      <c r="DP5" s="69"/>
      <c r="DQ5" s="69"/>
      <c r="DR5" s="190"/>
      <c r="DS5" s="190"/>
    </row>
    <row r="6" spans="1:137" ht="18" customHeight="1">
      <c r="A6" s="121"/>
      <c r="B6" s="122"/>
      <c r="C6" s="122"/>
      <c r="D6" s="122"/>
      <c r="E6" s="178"/>
      <c r="F6" s="79" t="s">
        <v>245</v>
      </c>
      <c r="G6" s="75"/>
      <c r="H6" s="75"/>
      <c r="I6" s="75"/>
      <c r="J6" s="75"/>
      <c r="K6" s="75"/>
      <c r="L6" s="56"/>
      <c r="N6" s="71"/>
      <c r="AP6" s="252"/>
      <c r="AQ6" s="253" t="s">
        <v>245</v>
      </c>
      <c r="AR6" s="254"/>
      <c r="AS6" s="254"/>
      <c r="AT6" s="254"/>
      <c r="AU6" s="254"/>
      <c r="AV6" s="255"/>
      <c r="AY6" s="71"/>
      <c r="CB6" s="178"/>
      <c r="CC6" s="79" t="s">
        <v>245</v>
      </c>
      <c r="CD6" s="75"/>
      <c r="CE6" s="75"/>
      <c r="CF6" s="75"/>
      <c r="CG6" s="75"/>
      <c r="CH6" s="213"/>
      <c r="CI6" s="80"/>
      <c r="CK6" s="219"/>
      <c r="DN6" s="178"/>
      <c r="DO6" s="79" t="s">
        <v>245</v>
      </c>
      <c r="DP6" s="79"/>
      <c r="DQ6" s="75"/>
      <c r="DR6" s="191"/>
      <c r="DS6" s="191"/>
      <c r="DT6" s="75"/>
      <c r="DU6" s="95"/>
    </row>
    <row r="7" spans="1:137" ht="18" customHeight="1" thickBot="1">
      <c r="A7" s="121"/>
      <c r="B7" s="122"/>
      <c r="C7" s="122"/>
      <c r="D7" s="122"/>
      <c r="E7" s="201"/>
      <c r="F7" s="199" t="s">
        <v>81</v>
      </c>
      <c r="G7" s="194"/>
      <c r="H7" s="194"/>
      <c r="I7" s="194"/>
      <c r="J7" s="194"/>
      <c r="K7" s="194"/>
      <c r="L7" s="56"/>
      <c r="N7"/>
      <c r="AP7" s="256"/>
      <c r="AQ7" s="245" t="s">
        <v>345</v>
      </c>
      <c r="AR7" s="246"/>
      <c r="AS7" s="246"/>
      <c r="AT7" s="246"/>
      <c r="AU7" s="246"/>
      <c r="AV7" s="257"/>
      <c r="AY7"/>
      <c r="CB7" s="179"/>
      <c r="CC7" s="199" t="s">
        <v>258</v>
      </c>
      <c r="CD7" s="194"/>
      <c r="CE7" s="194"/>
      <c r="CF7" s="194"/>
      <c r="CG7" s="194"/>
      <c r="CH7" s="195"/>
      <c r="CI7" s="80"/>
      <c r="CK7" s="51"/>
      <c r="DN7" s="180"/>
      <c r="DO7" s="203" t="s">
        <v>359</v>
      </c>
      <c r="DP7" s="203"/>
      <c r="DQ7" s="204"/>
      <c r="DR7" s="205"/>
      <c r="DS7" s="205"/>
      <c r="DT7" s="204"/>
      <c r="DU7" s="206"/>
    </row>
    <row r="8" spans="1:137" ht="18" customHeight="1">
      <c r="A8" s="121"/>
      <c r="B8" s="122"/>
      <c r="C8" s="122"/>
      <c r="D8" s="122"/>
      <c r="E8" s="306" t="s">
        <v>361</v>
      </c>
      <c r="F8" s="76"/>
      <c r="G8" s="76"/>
      <c r="H8" s="76"/>
      <c r="I8" s="76"/>
      <c r="J8" s="76"/>
      <c r="K8" s="76"/>
      <c r="L8" s="56"/>
      <c r="N8"/>
      <c r="AP8" s="304" t="s">
        <v>361</v>
      </c>
      <c r="AQ8" s="76"/>
      <c r="AR8" s="76"/>
      <c r="AS8" s="76"/>
      <c r="AT8" s="76"/>
      <c r="AU8" s="76"/>
      <c r="AV8" s="258"/>
      <c r="AY8"/>
      <c r="CB8" s="306" t="s">
        <v>361</v>
      </c>
      <c r="CC8" s="76"/>
      <c r="CD8" s="76"/>
      <c r="CE8" s="76"/>
      <c r="CF8" s="76"/>
      <c r="CG8" s="76"/>
      <c r="CH8" s="214"/>
      <c r="CI8" s="80"/>
      <c r="CK8" s="51"/>
      <c r="DO8" s="76"/>
      <c r="DP8" s="76"/>
      <c r="DQ8" s="76"/>
      <c r="DR8" s="202"/>
      <c r="DS8" s="202"/>
      <c r="DT8" s="76"/>
      <c r="DU8" s="76"/>
    </row>
    <row r="9" spans="1:137" ht="18" customHeight="1" thickBot="1">
      <c r="A9" s="121"/>
      <c r="B9" s="122"/>
      <c r="C9" s="122"/>
      <c r="D9" s="122"/>
      <c r="E9" s="307"/>
      <c r="F9" s="77"/>
      <c r="G9" s="77"/>
      <c r="H9" s="77"/>
      <c r="I9" s="77"/>
      <c r="J9" s="77"/>
      <c r="K9" s="77"/>
      <c r="L9" s="56"/>
      <c r="N9"/>
      <c r="AP9" s="305"/>
      <c r="AQ9" s="259"/>
      <c r="AR9" s="259"/>
      <c r="AS9" s="259"/>
      <c r="AT9" s="259"/>
      <c r="AU9" s="259"/>
      <c r="AV9" s="260"/>
      <c r="AY9"/>
      <c r="CB9" s="307"/>
      <c r="CC9" s="77"/>
      <c r="CD9"/>
      <c r="CE9" s="77"/>
      <c r="CF9" s="77"/>
      <c r="CG9" s="77"/>
      <c r="CH9" s="215"/>
      <c r="CI9" s="80"/>
      <c r="CK9" s="51"/>
      <c r="DO9" s="76"/>
      <c r="DP9" s="76"/>
      <c r="DQ9" s="76"/>
      <c r="DR9" s="202"/>
      <c r="DS9" s="202"/>
      <c r="DT9" s="76"/>
      <c r="DU9" s="76"/>
    </row>
    <row r="10" spans="1:137" ht="18" customHeight="1">
      <c r="A10" s="121"/>
      <c r="B10" s="122"/>
      <c r="C10" s="122"/>
      <c r="D10" s="122"/>
      <c r="F10"/>
      <c r="G10"/>
      <c r="H10"/>
      <c r="I10"/>
      <c r="J10"/>
      <c r="K10"/>
      <c r="L10" s="56"/>
      <c r="N10"/>
      <c r="AP10" s="56"/>
      <c r="AQ10"/>
      <c r="AR10"/>
      <c r="AS10"/>
      <c r="AT10"/>
      <c r="AU10"/>
      <c r="AV10"/>
      <c r="AW10" s="56"/>
      <c r="AY10"/>
      <c r="CB10" s="56"/>
      <c r="CC10"/>
      <c r="CE10"/>
      <c r="CF10"/>
      <c r="CG10"/>
      <c r="CH10" s="51"/>
      <c r="CI10" s="80"/>
      <c r="CK10" s="51"/>
    </row>
    <row r="11" spans="1:137" ht="18" customHeight="1">
      <c r="A11" s="121"/>
      <c r="B11" s="122"/>
      <c r="C11" s="122"/>
      <c r="D11" s="122"/>
      <c r="E11" s="56"/>
      <c r="F11"/>
      <c r="G11"/>
      <c r="H11"/>
      <c r="I11"/>
      <c r="K11"/>
      <c r="L11" s="56"/>
      <c r="N11"/>
      <c r="AP11" s="56"/>
      <c r="AQ11"/>
      <c r="AR11"/>
      <c r="AS11"/>
      <c r="AT11"/>
      <c r="AU11"/>
      <c r="AV11"/>
      <c r="AW11" s="56"/>
      <c r="AY11"/>
      <c r="CB11" s="56"/>
      <c r="CC11"/>
      <c r="CD11"/>
      <c r="CE11"/>
      <c r="CF11"/>
      <c r="CG11"/>
      <c r="CH11" s="51"/>
      <c r="CI11" s="80"/>
      <c r="CK11" s="51"/>
    </row>
    <row r="12" spans="1:137" ht="18" customHeight="1">
      <c r="A12" s="121"/>
      <c r="B12" s="122"/>
      <c r="C12" s="122"/>
      <c r="D12" s="122"/>
      <c r="E12" s="86" t="s">
        <v>249</v>
      </c>
      <c r="F12"/>
      <c r="G12"/>
      <c r="H12"/>
      <c r="I12"/>
      <c r="J12"/>
      <c r="K12"/>
      <c r="L12" s="56"/>
      <c r="N12"/>
      <c r="Y12" t="s">
        <v>73</v>
      </c>
      <c r="Z12" t="s">
        <v>74</v>
      </c>
      <c r="AA12" t="s">
        <v>72</v>
      </c>
      <c r="AB12" t="s">
        <v>75</v>
      </c>
      <c r="AC12" t="s">
        <v>116</v>
      </c>
      <c r="AD12" t="s">
        <v>112</v>
      </c>
      <c r="AE12" t="s">
        <v>117</v>
      </c>
      <c r="AP12" s="86" t="s">
        <v>249</v>
      </c>
      <c r="AQ12"/>
      <c r="AR12"/>
      <c r="AS12"/>
      <c r="AT12"/>
      <c r="AU12"/>
      <c r="AV12"/>
      <c r="AW12" s="56"/>
      <c r="AY12"/>
      <c r="BJ12" t="s">
        <v>73</v>
      </c>
      <c r="BK12" t="s">
        <v>74</v>
      </c>
      <c r="BL12" t="s">
        <v>72</v>
      </c>
      <c r="BM12" t="s">
        <v>75</v>
      </c>
      <c r="BN12" t="s">
        <v>116</v>
      </c>
      <c r="BO12" t="s">
        <v>112</v>
      </c>
      <c r="BP12" t="s">
        <v>117</v>
      </c>
      <c r="CB12" s="86" t="s">
        <v>249</v>
      </c>
      <c r="CC12"/>
      <c r="CD12"/>
      <c r="CE12"/>
      <c r="CF12"/>
      <c r="CG12"/>
      <c r="CH12" s="51"/>
      <c r="CI12" s="80"/>
      <c r="CK12" s="51"/>
      <c r="CV12" t="s">
        <v>73</v>
      </c>
      <c r="CW12" t="s">
        <v>74</v>
      </c>
      <c r="CX12" t="s">
        <v>72</v>
      </c>
      <c r="CY12" t="s">
        <v>75</v>
      </c>
      <c r="CZ12" t="s">
        <v>116</v>
      </c>
      <c r="DA12" t="s">
        <v>112</v>
      </c>
      <c r="DB12" t="s">
        <v>117</v>
      </c>
      <c r="DY12" t="s">
        <v>73</v>
      </c>
      <c r="DZ12" t="s">
        <v>120</v>
      </c>
      <c r="EA12" t="s">
        <v>121</v>
      </c>
      <c r="EB12" t="s">
        <v>194</v>
      </c>
      <c r="EC12" t="s">
        <v>203</v>
      </c>
      <c r="ED12" t="s">
        <v>204</v>
      </c>
      <c r="EE12" t="s">
        <v>195</v>
      </c>
      <c r="EF12" t="s">
        <v>196</v>
      </c>
      <c r="EG12" t="s">
        <v>19</v>
      </c>
    </row>
    <row r="13" spans="1:137" ht="18" customHeight="1">
      <c r="A13" s="121"/>
      <c r="B13" s="122"/>
      <c r="C13" s="122"/>
      <c r="D13" s="122"/>
      <c r="E13" s="80" t="s">
        <v>73</v>
      </c>
      <c r="F13" s="51" t="s">
        <v>74</v>
      </c>
      <c r="G13" s="51" t="s">
        <v>72</v>
      </c>
      <c r="H13" s="51" t="s">
        <v>75</v>
      </c>
      <c r="I13" s="51" t="s">
        <v>116</v>
      </c>
      <c r="J13" s="51" t="s">
        <v>112</v>
      </c>
      <c r="K13" s="51" t="s">
        <v>117</v>
      </c>
      <c r="L13" s="56"/>
      <c r="N13"/>
      <c r="Y13" s="310"/>
      <c r="Z13" s="310"/>
      <c r="AA13" s="310"/>
      <c r="AB13" s="310"/>
      <c r="AC13" s="310"/>
      <c r="AD13" s="310"/>
      <c r="AE13" s="310"/>
      <c r="AP13" s="80" t="s">
        <v>73</v>
      </c>
      <c r="AQ13" s="51" t="s">
        <v>74</v>
      </c>
      <c r="AR13" s="51" t="s">
        <v>72</v>
      </c>
      <c r="AS13" s="51" t="s">
        <v>75</v>
      </c>
      <c r="AT13" s="51" t="s">
        <v>116</v>
      </c>
      <c r="AU13" s="51" t="s">
        <v>112</v>
      </c>
      <c r="AV13" s="51" t="s">
        <v>117</v>
      </c>
      <c r="AW13" s="56"/>
      <c r="AY13"/>
      <c r="BJ13" s="310"/>
      <c r="BK13" s="310"/>
      <c r="BL13" s="310"/>
      <c r="BM13" s="310"/>
      <c r="BN13" s="310"/>
      <c r="BO13" s="310"/>
      <c r="BP13" s="310"/>
      <c r="CB13" s="80" t="s">
        <v>73</v>
      </c>
      <c r="CC13" s="51" t="s">
        <v>74</v>
      </c>
      <c r="CD13" s="51" t="s">
        <v>72</v>
      </c>
      <c r="CE13" s="51" t="s">
        <v>75</v>
      </c>
      <c r="CF13" s="51" t="s">
        <v>116</v>
      </c>
      <c r="CG13" s="51" t="s">
        <v>112</v>
      </c>
      <c r="CH13" s="51" t="s">
        <v>117</v>
      </c>
      <c r="CI13" s="80"/>
      <c r="CK13" s="51"/>
      <c r="CV13" s="310"/>
      <c r="CW13" s="310"/>
      <c r="CX13" s="310"/>
      <c r="CY13" s="310"/>
      <c r="CZ13" s="310"/>
      <c r="DA13" s="310"/>
      <c r="DB13" s="310"/>
      <c r="DY13" s="312" t="s">
        <v>256</v>
      </c>
      <c r="DZ13" s="312">
        <v>10</v>
      </c>
      <c r="EA13" s="310">
        <v>200</v>
      </c>
      <c r="EB13" s="310">
        <v>300000</v>
      </c>
      <c r="EC13" s="312">
        <v>20000000</v>
      </c>
      <c r="ED13" s="312">
        <v>20000000</v>
      </c>
      <c r="EE13" s="312">
        <v>2</v>
      </c>
      <c r="EF13" s="310">
        <v>3</v>
      </c>
      <c r="EG13" s="310" t="s">
        <v>257</v>
      </c>
    </row>
    <row r="14" spans="1:137" ht="18" customHeight="1">
      <c r="A14" s="121"/>
      <c r="B14" s="122"/>
      <c r="C14" s="122"/>
      <c r="D14" s="122"/>
      <c r="E14" s="308"/>
      <c r="F14" s="309"/>
      <c r="G14" s="309"/>
      <c r="H14" s="309"/>
      <c r="I14" s="309"/>
      <c r="J14" s="309"/>
      <c r="K14" s="309"/>
      <c r="N14"/>
      <c r="Y14" s="60"/>
      <c r="Z14" s="60"/>
      <c r="AA14" s="60"/>
      <c r="AB14" s="60"/>
      <c r="AC14" s="60"/>
      <c r="AD14" s="60"/>
      <c r="AP14" s="311"/>
      <c r="AQ14" s="312"/>
      <c r="AR14" s="312"/>
      <c r="AS14" s="312"/>
      <c r="AT14" s="312"/>
      <c r="AU14" s="312"/>
      <c r="AV14" s="312"/>
      <c r="AW14" s="56"/>
      <c r="AY14"/>
      <c r="BJ14" s="60"/>
      <c r="BK14" s="60"/>
      <c r="BL14" s="60"/>
      <c r="BM14" s="60"/>
      <c r="BN14" s="60"/>
      <c r="BO14" s="60"/>
      <c r="CB14" s="311"/>
      <c r="CC14" s="312"/>
      <c r="CD14" s="312"/>
      <c r="CE14" s="312"/>
      <c r="CF14" s="312"/>
      <c r="CG14" s="312"/>
      <c r="CH14" s="312"/>
      <c r="CI14" s="80"/>
      <c r="CK14" s="51"/>
      <c r="CV14" s="60"/>
      <c r="CW14" s="60"/>
      <c r="CX14" s="60"/>
      <c r="CY14" s="60"/>
      <c r="CZ14" s="60"/>
      <c r="DA14" s="60"/>
      <c r="DY14" s="207" t="s">
        <v>124</v>
      </c>
      <c r="DZ14" s="207">
        <v>3.6</v>
      </c>
      <c r="EA14" s="60">
        <v>120</v>
      </c>
      <c r="EB14" s="60">
        <v>237804</v>
      </c>
      <c r="EC14" s="207">
        <v>20595330</v>
      </c>
      <c r="ED14" s="207">
        <v>20595330</v>
      </c>
      <c r="EE14" s="207">
        <v>2.2000000000000002</v>
      </c>
      <c r="EF14" s="60">
        <v>2.2000000000000002</v>
      </c>
      <c r="EG14" s="60" t="s">
        <v>135</v>
      </c>
    </row>
    <row r="15" spans="1:137" ht="18" customHeight="1">
      <c r="A15" s="121"/>
      <c r="B15" s="122"/>
      <c r="C15" s="122"/>
      <c r="D15" s="122"/>
      <c r="E15" s="56"/>
      <c r="F15"/>
      <c r="G15"/>
      <c r="H15"/>
      <c r="I15"/>
      <c r="J15"/>
      <c r="K15"/>
      <c r="L15" s="56"/>
      <c r="N15"/>
      <c r="AP15" s="56"/>
      <c r="AQ15"/>
      <c r="AR15"/>
      <c r="AS15"/>
      <c r="AT15"/>
      <c r="AU15"/>
      <c r="AV15"/>
      <c r="AW15" s="56"/>
      <c r="AY15"/>
      <c r="CB15" s="56"/>
      <c r="CC15"/>
      <c r="CD15"/>
      <c r="CE15"/>
      <c r="CF15"/>
      <c r="CG15"/>
      <c r="CH15" s="51"/>
      <c r="CI15" s="80"/>
      <c r="CK15" s="51"/>
      <c r="DY15" s="207" t="s">
        <v>125</v>
      </c>
      <c r="DZ15" s="207">
        <v>5</v>
      </c>
      <c r="EA15" s="60">
        <v>122</v>
      </c>
      <c r="EB15" s="60">
        <v>427397</v>
      </c>
      <c r="EC15" s="207">
        <v>37230240</v>
      </c>
      <c r="ED15" s="207">
        <v>37230240</v>
      </c>
      <c r="EE15" s="207">
        <v>3.2</v>
      </c>
      <c r="EF15" s="60">
        <v>3.2</v>
      </c>
      <c r="EG15" s="60" t="s">
        <v>135</v>
      </c>
    </row>
    <row r="16" spans="1:137" ht="18" customHeight="1">
      <c r="A16" s="121"/>
      <c r="B16" s="122"/>
      <c r="C16" s="122"/>
      <c r="D16" s="122"/>
      <c r="K16"/>
      <c r="L16" s="56"/>
      <c r="N16"/>
      <c r="Y16" s="58" t="s">
        <v>70</v>
      </c>
      <c r="AV16"/>
      <c r="AW16" s="56"/>
      <c r="AY16"/>
      <c r="BJ16" s="58" t="s">
        <v>70</v>
      </c>
      <c r="CH16" s="51"/>
      <c r="CI16" s="80"/>
      <c r="CK16" s="51"/>
      <c r="CV16" s="58" t="s">
        <v>70</v>
      </c>
      <c r="DY16" s="207" t="s">
        <v>126</v>
      </c>
      <c r="DZ16" s="207">
        <v>4</v>
      </c>
      <c r="EA16" s="60">
        <v>130</v>
      </c>
      <c r="EB16" s="60">
        <v>239664</v>
      </c>
      <c r="EC16" s="207">
        <v>23265890</v>
      </c>
      <c r="ED16" s="207">
        <v>23265890</v>
      </c>
      <c r="EE16" s="207">
        <v>2.2000000000000002</v>
      </c>
      <c r="EF16" s="60">
        <v>2.2000000000000002</v>
      </c>
      <c r="EG16" s="60" t="s">
        <v>135</v>
      </c>
    </row>
    <row r="17" spans="1:137" ht="18" customHeight="1">
      <c r="A17" s="121"/>
      <c r="B17" s="122"/>
      <c r="C17" s="122"/>
      <c r="D17" s="122"/>
      <c r="E17" s="86" t="s">
        <v>250</v>
      </c>
      <c r="F17"/>
      <c r="G17"/>
      <c r="H17"/>
      <c r="I17"/>
      <c r="J17"/>
      <c r="K17"/>
      <c r="L17" s="56"/>
      <c r="N17"/>
      <c r="AP17" s="86" t="s">
        <v>250</v>
      </c>
      <c r="AQ17"/>
      <c r="AR17"/>
      <c r="AS17"/>
      <c r="AT17"/>
      <c r="AU17"/>
      <c r="AV17"/>
      <c r="AW17" s="56"/>
      <c r="AY17"/>
      <c r="CB17" s="86" t="s">
        <v>250</v>
      </c>
      <c r="CC17"/>
      <c r="CD17"/>
      <c r="CE17"/>
      <c r="CF17"/>
      <c r="CG17"/>
      <c r="CH17" s="51"/>
      <c r="CI17" s="80"/>
      <c r="CK17" s="51"/>
      <c r="DY17" s="207" t="s">
        <v>127</v>
      </c>
      <c r="DZ17" s="207">
        <v>6</v>
      </c>
      <c r="EA17" s="60">
        <v>142</v>
      </c>
      <c r="EB17" s="60">
        <v>312142</v>
      </c>
      <c r="EC17" s="207">
        <v>59416040</v>
      </c>
      <c r="ED17" s="207">
        <v>59416040</v>
      </c>
      <c r="EE17" s="207">
        <v>2.85</v>
      </c>
      <c r="EF17" s="60">
        <v>2.85</v>
      </c>
      <c r="EG17" s="60" t="s">
        <v>135</v>
      </c>
    </row>
    <row r="18" spans="1:137" ht="18" customHeight="1" thickBot="1">
      <c r="A18" s="121"/>
      <c r="B18" s="122"/>
      <c r="C18" s="122"/>
      <c r="D18" s="122"/>
      <c r="E18" s="80" t="s">
        <v>73</v>
      </c>
      <c r="F18" s="51" t="s">
        <v>74</v>
      </c>
      <c r="G18" s="51" t="s">
        <v>72</v>
      </c>
      <c r="H18" s="51" t="s">
        <v>75</v>
      </c>
      <c r="I18" s="51" t="s">
        <v>116</v>
      </c>
      <c r="J18" s="51" t="s">
        <v>112</v>
      </c>
      <c r="K18" s="51" t="s">
        <v>117</v>
      </c>
      <c r="L18" s="56"/>
      <c r="N18"/>
      <c r="Y18" t="s">
        <v>1</v>
      </c>
      <c r="Z18" t="s">
        <v>89</v>
      </c>
      <c r="AA18" t="s">
        <v>88</v>
      </c>
      <c r="AB18" t="s">
        <v>78</v>
      </c>
      <c r="AC18" t="s">
        <v>79</v>
      </c>
      <c r="AD18" t="s">
        <v>80</v>
      </c>
      <c r="AF18" s="61" t="s">
        <v>230</v>
      </c>
      <c r="AG18" t="s">
        <v>89</v>
      </c>
      <c r="AH18" t="s">
        <v>88</v>
      </c>
      <c r="AI18" t="s">
        <v>86</v>
      </c>
      <c r="AJ18" t="s">
        <v>215</v>
      </c>
      <c r="AK18" t="s">
        <v>216</v>
      </c>
      <c r="AL18" t="s">
        <v>217</v>
      </c>
      <c r="AM18" t="s">
        <v>219</v>
      </c>
      <c r="AN18" t="s">
        <v>218</v>
      </c>
      <c r="AP18" s="80" t="s">
        <v>73</v>
      </c>
      <c r="AQ18" s="51" t="s">
        <v>74</v>
      </c>
      <c r="AR18" s="51" t="s">
        <v>72</v>
      </c>
      <c r="AS18" s="51" t="s">
        <v>75</v>
      </c>
      <c r="AT18" s="51" t="s">
        <v>116</v>
      </c>
      <c r="AU18" s="51" t="s">
        <v>112</v>
      </c>
      <c r="AV18" s="51" t="s">
        <v>117</v>
      </c>
      <c r="AW18" s="56"/>
      <c r="AY18"/>
      <c r="BJ18" t="s">
        <v>1</v>
      </c>
      <c r="BK18" t="s">
        <v>89</v>
      </c>
      <c r="BL18" t="s">
        <v>88</v>
      </c>
      <c r="BM18" t="s">
        <v>78</v>
      </c>
      <c r="BN18" t="s">
        <v>79</v>
      </c>
      <c r="BO18" t="s">
        <v>80</v>
      </c>
      <c r="BQ18" s="61" t="s">
        <v>230</v>
      </c>
      <c r="BR18" t="s">
        <v>89</v>
      </c>
      <c r="BS18" t="s">
        <v>88</v>
      </c>
      <c r="BT18" t="s">
        <v>86</v>
      </c>
      <c r="BU18" t="s">
        <v>215</v>
      </c>
      <c r="BV18" t="s">
        <v>216</v>
      </c>
      <c r="BW18" t="s">
        <v>217</v>
      </c>
      <c r="BX18" t="s">
        <v>219</v>
      </c>
      <c r="BY18" t="s">
        <v>218</v>
      </c>
      <c r="CB18" s="80" t="s">
        <v>73</v>
      </c>
      <c r="CC18" s="51" t="s">
        <v>74</v>
      </c>
      <c r="CD18" s="51" t="s">
        <v>72</v>
      </c>
      <c r="CE18" s="51" t="s">
        <v>75</v>
      </c>
      <c r="CF18" s="51" t="s">
        <v>116</v>
      </c>
      <c r="CG18" s="51" t="s">
        <v>112</v>
      </c>
      <c r="CH18" s="51" t="s">
        <v>117</v>
      </c>
      <c r="CI18" s="80"/>
      <c r="CK18" s="51"/>
      <c r="CV18" t="s">
        <v>1</v>
      </c>
      <c r="CW18" t="s">
        <v>89</v>
      </c>
      <c r="CX18" t="s">
        <v>88</v>
      </c>
      <c r="CY18" t="s">
        <v>78</v>
      </c>
      <c r="CZ18" t="s">
        <v>79</v>
      </c>
      <c r="DA18" t="s">
        <v>80</v>
      </c>
      <c r="DC18" s="61" t="s">
        <v>230</v>
      </c>
      <c r="DD18" t="s">
        <v>89</v>
      </c>
      <c r="DE18" t="s">
        <v>88</v>
      </c>
      <c r="DF18" t="s">
        <v>86</v>
      </c>
      <c r="DG18" t="s">
        <v>215</v>
      </c>
      <c r="DH18" t="s">
        <v>216</v>
      </c>
      <c r="DI18" t="s">
        <v>217</v>
      </c>
      <c r="DJ18" t="s">
        <v>219</v>
      </c>
      <c r="DK18" t="s">
        <v>218</v>
      </c>
      <c r="DY18" s="207" t="s">
        <v>128</v>
      </c>
      <c r="DZ18" s="207">
        <v>8</v>
      </c>
      <c r="EA18" s="60">
        <v>164</v>
      </c>
      <c r="EB18" s="60">
        <v>450972</v>
      </c>
      <c r="EC18" s="207">
        <v>72350120</v>
      </c>
      <c r="ED18" s="207">
        <v>72350120</v>
      </c>
      <c r="EE18" s="207">
        <v>2.29</v>
      </c>
      <c r="EF18" s="60">
        <v>2.29</v>
      </c>
      <c r="EG18" s="60" t="s">
        <v>135</v>
      </c>
    </row>
    <row r="19" spans="1:137" ht="18" customHeight="1">
      <c r="A19" s="81"/>
      <c r="B19" s="82"/>
      <c r="C19" s="81"/>
      <c r="D19" s="82"/>
      <c r="E19" s="273"/>
      <c r="F19" s="274"/>
      <c r="G19" s="274"/>
      <c r="H19" s="274"/>
      <c r="I19" s="274"/>
      <c r="J19" s="274"/>
      <c r="K19" s="274"/>
      <c r="N19"/>
      <c r="AP19" s="227"/>
      <c r="AQ19" s="60"/>
      <c r="AR19" s="60"/>
      <c r="AS19" s="60"/>
      <c r="AT19" s="60"/>
      <c r="AU19" s="60"/>
      <c r="AV19" s="60"/>
      <c r="AW19" s="56"/>
      <c r="AY19"/>
      <c r="CB19" s="227"/>
      <c r="CC19" s="60"/>
      <c r="CD19" s="60"/>
      <c r="CE19" s="60"/>
      <c r="CF19" s="60"/>
      <c r="CG19" s="60"/>
      <c r="CH19" s="207"/>
      <c r="CI19" s="80"/>
      <c r="CK19" s="51"/>
      <c r="CV19" s="310"/>
      <c r="CW19" s="310"/>
      <c r="CX19" s="310"/>
      <c r="CY19" s="310"/>
      <c r="CZ19" s="310"/>
      <c r="DA19" s="310"/>
      <c r="DY19" s="60" t="s">
        <v>129</v>
      </c>
      <c r="DZ19" s="60">
        <v>9.5</v>
      </c>
      <c r="EA19" s="60">
        <v>174</v>
      </c>
      <c r="EB19" s="60">
        <v>484588</v>
      </c>
      <c r="EC19" s="60">
        <v>83636270</v>
      </c>
      <c r="ED19" s="60">
        <v>83636270</v>
      </c>
      <c r="EE19" s="60">
        <v>3.5</v>
      </c>
      <c r="EF19" s="60">
        <v>3.5</v>
      </c>
      <c r="EG19" s="60" t="s">
        <v>135</v>
      </c>
    </row>
    <row r="20" spans="1:137" ht="18" customHeight="1">
      <c r="C20" s="70"/>
      <c r="D20" s="106"/>
      <c r="E20" s="52"/>
      <c r="K20"/>
      <c r="L20" s="56"/>
      <c r="N20"/>
      <c r="AV20"/>
      <c r="AW20" s="56"/>
      <c r="AY20"/>
      <c r="CH20" s="51"/>
      <c r="CI20" s="80"/>
      <c r="CK20" s="51"/>
      <c r="CW20" s="99"/>
      <c r="CX20" s="99"/>
      <c r="DY20" s="60" t="s">
        <v>130</v>
      </c>
      <c r="DZ20" s="60">
        <v>10</v>
      </c>
      <c r="EA20" s="60">
        <v>180</v>
      </c>
      <c r="EB20" s="60">
        <v>673916</v>
      </c>
      <c r="EC20" s="60">
        <v>102240300</v>
      </c>
      <c r="ED20" s="60">
        <v>102240300</v>
      </c>
      <c r="EE20" s="60">
        <v>3.5</v>
      </c>
      <c r="EF20" s="60">
        <v>3.5</v>
      </c>
      <c r="EG20" s="60" t="s">
        <v>135</v>
      </c>
    </row>
    <row r="21" spans="1:137" ht="18" customHeight="1">
      <c r="C21" s="70"/>
      <c r="D21" s="106"/>
      <c r="E21" s="52"/>
      <c r="K21"/>
      <c r="L21" s="56"/>
      <c r="N21"/>
      <c r="AV21"/>
      <c r="AW21" s="56"/>
      <c r="AY21"/>
      <c r="CH21" s="51"/>
      <c r="CI21" s="80"/>
      <c r="CK21" s="51"/>
      <c r="CW21" s="99"/>
      <c r="CX21" s="99"/>
      <c r="DY21" s="60" t="s">
        <v>109</v>
      </c>
      <c r="DZ21" s="60">
        <v>13</v>
      </c>
      <c r="EA21" s="60">
        <v>210</v>
      </c>
      <c r="EB21" s="60">
        <v>777534</v>
      </c>
      <c r="EC21" s="60">
        <v>197394400</v>
      </c>
      <c r="ED21" s="60">
        <v>197394400</v>
      </c>
      <c r="EE21" s="60">
        <v>3.4</v>
      </c>
      <c r="EF21" s="60">
        <v>3.4</v>
      </c>
      <c r="EG21" s="60" t="s">
        <v>135</v>
      </c>
    </row>
    <row r="22" spans="1:137" ht="18" customHeight="1" thickBot="1">
      <c r="C22" s="70"/>
      <c r="D22" s="106"/>
      <c r="E22" s="88" t="s">
        <v>251</v>
      </c>
      <c r="F22"/>
      <c r="G22"/>
      <c r="H22" s="74"/>
      <c r="I22"/>
      <c r="J22"/>
      <c r="K22"/>
      <c r="L22" s="56"/>
      <c r="N22"/>
      <c r="AP22" s="86" t="s">
        <v>251</v>
      </c>
      <c r="AQ22"/>
      <c r="AR22"/>
      <c r="AS22" s="74"/>
      <c r="AT22"/>
      <c r="AU22"/>
      <c r="AV22"/>
      <c r="AW22" s="56"/>
      <c r="AY22"/>
      <c r="CB22" s="86" t="s">
        <v>251</v>
      </c>
      <c r="CC22"/>
      <c r="CD22"/>
      <c r="CE22" s="74"/>
      <c r="CF22"/>
      <c r="CG22"/>
      <c r="CH22" s="51"/>
      <c r="CI22" s="80"/>
      <c r="CK22" s="51"/>
      <c r="CW22" s="99"/>
      <c r="CX22" s="99"/>
      <c r="DY22" s="60" t="s">
        <v>131</v>
      </c>
      <c r="DZ22" s="60">
        <v>12</v>
      </c>
      <c r="EA22" s="60">
        <v>220</v>
      </c>
      <c r="EB22" s="60">
        <v>775567</v>
      </c>
      <c r="EC22" s="60">
        <v>198819700</v>
      </c>
      <c r="ED22" s="60">
        <v>198819700</v>
      </c>
      <c r="EE22" s="60">
        <v>3.4</v>
      </c>
      <c r="EF22" s="60">
        <v>3.4</v>
      </c>
      <c r="EG22" s="60" t="s">
        <v>135</v>
      </c>
    </row>
    <row r="23" spans="1:137" ht="18" customHeight="1">
      <c r="A23" s="129" t="b">
        <v>0</v>
      </c>
      <c r="B23" s="128" t="b">
        <v>0</v>
      </c>
      <c r="C23" s="129" t="b">
        <v>1</v>
      </c>
      <c r="D23" s="130" t="b">
        <v>0</v>
      </c>
      <c r="E23" s="182"/>
      <c r="F23" s="91" t="s">
        <v>246</v>
      </c>
      <c r="G23"/>
      <c r="H23"/>
      <c r="I23"/>
      <c r="J23"/>
      <c r="K23"/>
      <c r="L23" s="56"/>
      <c r="N23"/>
      <c r="O23" t="str">
        <f>IFERROR((MP_DATA[[#This Row],[D, bottom '[m']]]+#REF!)/(2*#REF!/1000),"")</f>
        <v/>
      </c>
      <c r="AP23" s="248"/>
      <c r="AQ23" s="249" t="s">
        <v>246</v>
      </c>
      <c r="AR23"/>
      <c r="AS23"/>
      <c r="AT23"/>
      <c r="AU23"/>
      <c r="AV23"/>
      <c r="AW23" s="56"/>
      <c r="AY23"/>
      <c r="AZ23" t="str">
        <f>IFERROR((TP_DATA[[#This Row],[D, bottom '[m']]]+#REF!)/(2*#REF!/1000),"")</f>
        <v/>
      </c>
      <c r="BK23" s="99"/>
      <c r="BL23" s="99"/>
      <c r="CB23" s="63"/>
      <c r="CC23" s="91" t="s">
        <v>246</v>
      </c>
      <c r="CD23"/>
      <c r="CE23"/>
      <c r="CF23"/>
      <c r="CG23"/>
      <c r="CH23" s="51"/>
      <c r="CI23" s="80"/>
      <c r="CK23" s="51"/>
      <c r="CL23" t="str">
        <f>IFERROR((TOWER_DATA[[#This Row],[D, bottom '[m']]]+#REF!)/(2*#REF!/1000),"")</f>
        <v/>
      </c>
      <c r="CW23" s="99"/>
      <c r="CX23" s="99"/>
      <c r="DN23" s="86" t="s">
        <v>358</v>
      </c>
      <c r="DY23" s="60" t="s">
        <v>132</v>
      </c>
      <c r="DZ23" s="60">
        <v>15</v>
      </c>
      <c r="EA23" s="60">
        <v>220</v>
      </c>
      <c r="EB23" s="60">
        <v>1166238</v>
      </c>
      <c r="EC23" s="60">
        <v>205031400</v>
      </c>
      <c r="ED23" s="60">
        <v>205031400</v>
      </c>
      <c r="EE23" s="60">
        <v>3.4</v>
      </c>
      <c r="EF23" s="60">
        <v>3.4</v>
      </c>
      <c r="EG23" s="60" t="s">
        <v>135</v>
      </c>
    </row>
    <row r="24" spans="1:137" ht="18" customHeight="1" thickBot="1">
      <c r="B24" s="128"/>
      <c r="C24" s="129" t="b">
        <v>0</v>
      </c>
      <c r="D24" s="130"/>
      <c r="E24" s="184"/>
      <c r="F24" s="200"/>
      <c r="G24"/>
      <c r="H24"/>
      <c r="I24"/>
      <c r="J24"/>
      <c r="K24"/>
      <c r="L24" s="56"/>
      <c r="N24"/>
      <c r="O24" t="str">
        <f>IFERROR((MP_DATA[[#This Row],[D, bottom '[m']]]+#REF!)/(2*#REF!/1000),"")</f>
        <v/>
      </c>
      <c r="AP24" s="250"/>
      <c r="AQ24" s="251"/>
      <c r="AR24"/>
      <c r="AS24"/>
      <c r="AT24"/>
      <c r="AU24"/>
      <c r="AV24"/>
      <c r="AW24" s="56"/>
      <c r="AY24"/>
      <c r="AZ24" t="str">
        <f>IFERROR((TP_DATA[[#This Row],[D, bottom '[m']]]+#REF!)/(2*#REF!/1000),"")</f>
        <v/>
      </c>
      <c r="BK24" s="99"/>
      <c r="BL24" s="99"/>
      <c r="CB24" s="66"/>
      <c r="CC24" s="200"/>
      <c r="CD24"/>
      <c r="CE24"/>
      <c r="CF24"/>
      <c r="CG24"/>
      <c r="CH24" s="51"/>
      <c r="CI24" s="80"/>
      <c r="CK24" s="51"/>
      <c r="CL24" t="str">
        <f>IFERROR((TOWER_DATA[[#This Row],[D, bottom '[m']]]+#REF!)/(2*#REF!/1000),"")</f>
        <v/>
      </c>
      <c r="CW24" s="99"/>
      <c r="CX24" s="99"/>
      <c r="DY24" s="60" t="s">
        <v>133</v>
      </c>
      <c r="DZ24" s="310"/>
      <c r="EA24" s="60">
        <v>236</v>
      </c>
      <c r="EB24" s="60">
        <v>565481</v>
      </c>
      <c r="EC24" s="60">
        <v>241746700</v>
      </c>
      <c r="ED24" s="60">
        <v>241746700</v>
      </c>
      <c r="EE24" s="60">
        <v>3.5</v>
      </c>
      <c r="EF24" s="60">
        <v>3.5</v>
      </c>
      <c r="EG24" s="60" t="s">
        <v>135</v>
      </c>
    </row>
    <row r="25" spans="1:137" ht="21.6" customHeight="1">
      <c r="A25" s="276" t="s">
        <v>360</v>
      </c>
      <c r="B25" s="277"/>
      <c r="C25" s="277"/>
      <c r="D25" s="278"/>
      <c r="E25" s="52"/>
      <c r="K25"/>
      <c r="L25" s="56"/>
      <c r="N25"/>
      <c r="O25" t="str">
        <f>IFERROR((MP_DATA[[#This Row],[D, bottom '[m']]]+#REF!)/(2*#REF!/1000),"")</f>
        <v/>
      </c>
      <c r="AV25"/>
      <c r="AW25" s="56"/>
      <c r="AY25"/>
      <c r="AZ25" t="str">
        <f>IFERROR((TP_DATA[[#This Row],[D, bottom '[m']]]+#REF!)/(2*#REF!/1000),"")</f>
        <v/>
      </c>
      <c r="BK25" s="99"/>
      <c r="BL25" s="99"/>
      <c r="CH25" s="51"/>
      <c r="CI25" s="80"/>
      <c r="CK25" s="51"/>
      <c r="CL25" t="str">
        <f>IFERROR((TOWER_DATA[[#This Row],[D, bottom '[m']]]+#REF!)/(2*#REF!/1000),"")</f>
        <v/>
      </c>
      <c r="CW25" s="99"/>
      <c r="CX25" s="99"/>
      <c r="DY25" s="60" t="s">
        <v>134</v>
      </c>
      <c r="DZ25" s="60">
        <v>15</v>
      </c>
      <c r="EA25" s="60">
        <v>240</v>
      </c>
      <c r="EB25" s="60">
        <v>1102065</v>
      </c>
      <c r="EC25" s="60">
        <v>276287200</v>
      </c>
      <c r="ED25" s="60">
        <v>276287200</v>
      </c>
      <c r="EE25" s="60">
        <v>3.4</v>
      </c>
      <c r="EF25" s="60">
        <v>3.4</v>
      </c>
      <c r="EG25" s="60" t="s">
        <v>135</v>
      </c>
    </row>
    <row r="26" spans="1:137" ht="20.45" customHeight="1" thickBot="1">
      <c r="A26" s="279" t="s">
        <v>335</v>
      </c>
      <c r="D26" s="280"/>
      <c r="E26" s="275" t="s">
        <v>252</v>
      </c>
      <c r="K26"/>
      <c r="L26" s="66"/>
      <c r="M26" s="67"/>
      <c r="N26" s="67"/>
      <c r="O26" s="67" t="str">
        <f>IFERROR((MP_DATA[[#This Row],[D, bottom '[m']]]+#REF!)/(2*#REF!/1000),"")</f>
        <v/>
      </c>
      <c r="P26" s="67"/>
      <c r="Q26" s="67"/>
      <c r="R26" s="67"/>
      <c r="S26" s="67"/>
      <c r="T26" s="67"/>
      <c r="U26" s="67"/>
      <c r="V26" s="67"/>
      <c r="W26" s="67"/>
      <c r="X26" s="68"/>
      <c r="AP26" s="87" t="s">
        <v>252</v>
      </c>
      <c r="AV26"/>
      <c r="AW26" s="66"/>
      <c r="AX26" s="67"/>
      <c r="AY26" s="67"/>
      <c r="AZ26" s="67" t="str">
        <f>IFERROR((TP_DATA[[#This Row],[D, bottom '[m']]]+#REF!)/(2*#REF!/1000),"")</f>
        <v/>
      </c>
      <c r="BA26" s="67"/>
      <c r="BB26" s="67"/>
      <c r="BC26" s="67"/>
      <c r="BD26" s="67"/>
      <c r="BE26" s="67"/>
      <c r="BF26" s="67"/>
      <c r="BG26" s="67"/>
      <c r="BH26" s="67"/>
      <c r="BI26" s="68"/>
      <c r="CB26" s="87" t="s">
        <v>252</v>
      </c>
      <c r="CH26" s="51"/>
      <c r="CI26" s="216"/>
      <c r="CJ26" s="168"/>
      <c r="CK26" s="168"/>
      <c r="CL26" s="67" t="str">
        <f>IFERROR((TOWER_DATA[[#This Row],[D, bottom '[m']]]+#REF!)/(2*#REF!/1000),"")</f>
        <v/>
      </c>
      <c r="CM26" s="67"/>
      <c r="CN26" s="67"/>
      <c r="CO26" s="67"/>
      <c r="CP26" s="67"/>
      <c r="CQ26" s="67"/>
      <c r="CR26" s="67"/>
      <c r="CS26" s="67"/>
      <c r="CT26" s="67"/>
      <c r="CU26" s="68"/>
      <c r="CW26" s="99"/>
      <c r="CX26" s="99"/>
      <c r="DY26" s="207" t="s">
        <v>223</v>
      </c>
      <c r="DZ26" s="207" t="s">
        <v>135</v>
      </c>
      <c r="EA26" s="60" t="s">
        <v>135</v>
      </c>
      <c r="EB26" s="60">
        <v>1394251</v>
      </c>
      <c r="EC26" s="207">
        <v>382420000</v>
      </c>
      <c r="ED26" s="207">
        <v>639730000</v>
      </c>
      <c r="EE26" s="60">
        <v>6.59</v>
      </c>
      <c r="EF26" s="60">
        <v>5.74</v>
      </c>
      <c r="EG26" s="60" t="s">
        <v>228</v>
      </c>
    </row>
    <row r="27" spans="1:137" ht="18" hidden="1" customHeight="1" outlineLevel="1">
      <c r="A27" s="271"/>
      <c r="D27" s="280"/>
      <c r="E27" t="s">
        <v>73</v>
      </c>
      <c r="F27" t="s">
        <v>74</v>
      </c>
      <c r="G27" t="s">
        <v>72</v>
      </c>
      <c r="H27" t="s">
        <v>75</v>
      </c>
      <c r="I27" t="s">
        <v>116</v>
      </c>
      <c r="J27" t="s">
        <v>112</v>
      </c>
      <c r="K27" t="s">
        <v>117</v>
      </c>
      <c r="N27"/>
      <c r="O27" t="str">
        <f>IFERROR((MP_DATA[[#This Row],[D, bottom '[m']]]+#REF!)/(2*#REF!/1000),"")</f>
        <v/>
      </c>
      <c r="Z27" s="99"/>
      <c r="AA27" s="99"/>
      <c r="AP27" s="56" t="s">
        <v>73</v>
      </c>
      <c r="AQ27" t="s">
        <v>74</v>
      </c>
      <c r="AR27" t="s">
        <v>72</v>
      </c>
      <c r="AS27" t="s">
        <v>75</v>
      </c>
      <c r="AT27" t="s">
        <v>116</v>
      </c>
      <c r="AU27" t="s">
        <v>112</v>
      </c>
      <c r="AV27" t="s">
        <v>117</v>
      </c>
      <c r="AY27"/>
      <c r="AZ27" t="str">
        <f>IFERROR((TP_DATA[[#This Row],[D, bottom '[m']]]+#REF!)/(2*#REF!/1000),"")</f>
        <v/>
      </c>
      <c r="BJ27" s="60"/>
      <c r="BK27" s="62"/>
      <c r="BL27" s="62"/>
      <c r="BM27" s="60"/>
      <c r="BN27" s="60"/>
      <c r="BO27" s="60"/>
      <c r="CB27" s="56" t="s">
        <v>73</v>
      </c>
      <c r="CC27" t="s">
        <v>74</v>
      </c>
      <c r="CD27" t="s">
        <v>72</v>
      </c>
      <c r="CE27" t="s">
        <v>75</v>
      </c>
      <c r="CF27" t="s">
        <v>116</v>
      </c>
      <c r="CG27" t="s">
        <v>112</v>
      </c>
      <c r="CH27" s="51" t="s">
        <v>117</v>
      </c>
      <c r="CK27" s="51"/>
      <c r="CL27" t="str">
        <f>IFERROR((TOWER_DATA[[#This Row],[D, bottom '[m']]]+#REF!)/(2*#REF!/1000),"")</f>
        <v/>
      </c>
      <c r="CW27" s="99"/>
      <c r="CX27" s="99"/>
    </row>
    <row r="28" spans="1:137" ht="18" hidden="1" customHeight="1" outlineLevel="1">
      <c r="A28" s="271"/>
      <c r="D28" s="280"/>
      <c r="E28" t="s">
        <v>227</v>
      </c>
      <c r="F28" t="s">
        <v>225</v>
      </c>
      <c r="G28" t="s">
        <v>76</v>
      </c>
      <c r="H28" t="s">
        <v>226</v>
      </c>
      <c r="I28">
        <v>43.5</v>
      </c>
      <c r="J28" t="s">
        <v>49</v>
      </c>
      <c r="K28" t="s">
        <v>224</v>
      </c>
      <c r="N28"/>
      <c r="O28" t="str">
        <f>IFERROR((MP_DATA[[#This Row],[D, bottom '[m']]]+#REF!)/(2*#REF!/1000),"")</f>
        <v/>
      </c>
      <c r="Z28" s="99"/>
      <c r="AA28" s="99"/>
      <c r="AP28" s="56" t="s">
        <v>227</v>
      </c>
      <c r="AQ28" t="s">
        <v>225</v>
      </c>
      <c r="AR28" t="s">
        <v>76</v>
      </c>
      <c r="AS28" t="s">
        <v>226</v>
      </c>
      <c r="AT28" t="s">
        <v>365</v>
      </c>
      <c r="AU28" t="s">
        <v>49</v>
      </c>
      <c r="AV28"/>
      <c r="AY28"/>
      <c r="AZ28" t="str">
        <f>IFERROR((TP_DATA[[#This Row],[D, bottom '[m']]]+#REF!)/(2*#REF!/1000),"")</f>
        <v/>
      </c>
      <c r="BJ28" s="60"/>
      <c r="BK28" s="62"/>
      <c r="BL28" s="62"/>
      <c r="BM28" s="60"/>
      <c r="BN28" s="60"/>
      <c r="BO28" s="60"/>
      <c r="BZ28" s="60"/>
      <c r="CB28" s="56" t="s">
        <v>259</v>
      </c>
      <c r="CC28" t="s">
        <v>225</v>
      </c>
      <c r="CD28" t="s">
        <v>76</v>
      </c>
      <c r="CE28" t="s">
        <v>260</v>
      </c>
      <c r="CF28">
        <v>43.5</v>
      </c>
      <c r="CG28" t="s">
        <v>49</v>
      </c>
      <c r="CH28" s="51"/>
      <c r="CK28" s="51"/>
      <c r="CL28" t="str">
        <f>IFERROR((TOWER_DATA[[#This Row],[D, bottom '[m']]]+#REF!)/(2*#REF!/1000),"")</f>
        <v/>
      </c>
      <c r="CW28" s="99"/>
      <c r="CX28" s="99"/>
      <c r="DL28" s="60"/>
    </row>
    <row r="29" spans="1:137" ht="18" hidden="1" customHeight="1" outlineLevel="1">
      <c r="A29" s="271"/>
      <c r="D29" s="280"/>
      <c r="E29" t="s">
        <v>231</v>
      </c>
      <c r="F29" t="s">
        <v>232</v>
      </c>
      <c r="G29" t="s">
        <v>233</v>
      </c>
      <c r="H29" t="s">
        <v>234</v>
      </c>
      <c r="I29">
        <v>23.1</v>
      </c>
      <c r="J29" t="s">
        <v>49</v>
      </c>
      <c r="K29"/>
      <c r="N29"/>
      <c r="O29" t="str">
        <f>IFERROR((MP_DATA[[#This Row],[D, bottom '[m']]]+#REF!)/(2*#REF!/1000),"")</f>
        <v/>
      </c>
      <c r="Z29" s="99"/>
      <c r="AA29" s="99"/>
      <c r="AP29" s="56" t="s">
        <v>231</v>
      </c>
      <c r="AQ29" t="s">
        <v>232</v>
      </c>
      <c r="AR29" t="s">
        <v>233</v>
      </c>
      <c r="AS29" t="s">
        <v>234</v>
      </c>
      <c r="AT29">
        <v>23.1</v>
      </c>
      <c r="AU29" t="s">
        <v>49</v>
      </c>
      <c r="AV29"/>
      <c r="AY29"/>
      <c r="AZ29" t="str">
        <f>IFERROR((TP_DATA[[#This Row],[D, bottom '[m']]]+#REF!)/(2*#REF!/1000),"")</f>
        <v/>
      </c>
      <c r="BJ29" s="60"/>
      <c r="BK29" s="62"/>
      <c r="BL29" s="62"/>
      <c r="BM29" s="60"/>
      <c r="BN29" s="60"/>
      <c r="BO29" s="60"/>
      <c r="BZ29" s="60"/>
      <c r="CB29" s="56" t="s">
        <v>231</v>
      </c>
      <c r="CC29" t="s">
        <v>232</v>
      </c>
      <c r="CD29" t="s">
        <v>233</v>
      </c>
      <c r="CE29" t="s">
        <v>234</v>
      </c>
      <c r="CF29">
        <v>23.1</v>
      </c>
      <c r="CG29" t="s">
        <v>49</v>
      </c>
      <c r="CH29" s="51"/>
      <c r="CK29" s="51"/>
      <c r="CL29" t="str">
        <f>IFERROR((TOWER_DATA[[#This Row],[D, bottom '[m']]]+#REF!)/(2*#REF!/1000),"")</f>
        <v/>
      </c>
      <c r="CW29" s="99"/>
      <c r="CX29" s="99"/>
      <c r="DL29" s="60"/>
    </row>
    <row r="30" spans="1:137" ht="18" hidden="1" customHeight="1" outlineLevel="1">
      <c r="A30" s="271"/>
      <c r="D30" s="280"/>
      <c r="E30" t="s">
        <v>235</v>
      </c>
      <c r="F30" t="s">
        <v>236</v>
      </c>
      <c r="G30" t="s">
        <v>237</v>
      </c>
      <c r="H30" t="s">
        <v>238</v>
      </c>
      <c r="I30">
        <v>38.9</v>
      </c>
      <c r="J30" t="s">
        <v>49</v>
      </c>
      <c r="K30" t="s">
        <v>384</v>
      </c>
      <c r="N30"/>
      <c r="O30" t="str">
        <f>IFERROR((MP_DATA[[#This Row],[D, bottom '[m']]]+#REF!)/(2*#REF!/1000),"")</f>
        <v/>
      </c>
      <c r="Z30" s="99"/>
      <c r="AA30" s="99"/>
      <c r="AP30" s="56" t="s">
        <v>235</v>
      </c>
      <c r="AQ30" t="s">
        <v>236</v>
      </c>
      <c r="AR30" t="s">
        <v>237</v>
      </c>
      <c r="AS30" t="s">
        <v>238</v>
      </c>
      <c r="AT30">
        <v>38.9</v>
      </c>
      <c r="AU30" t="s">
        <v>49</v>
      </c>
      <c r="AV30"/>
      <c r="AY30"/>
      <c r="AZ30" t="str">
        <f>IFERROR((TP_DATA[[#This Row],[D, bottom '[m']]]+#REF!)/(2*#REF!/1000),"")</f>
        <v/>
      </c>
      <c r="BJ30" s="60"/>
      <c r="BK30" s="62"/>
      <c r="BL30" s="62"/>
      <c r="BM30" s="60"/>
      <c r="BN30" s="60"/>
      <c r="BO30" s="60"/>
      <c r="BZ30" s="60"/>
      <c r="CB30" s="56" t="s">
        <v>261</v>
      </c>
      <c r="CC30" t="s">
        <v>262</v>
      </c>
      <c r="CD30" t="s">
        <v>263</v>
      </c>
      <c r="CE30" t="s">
        <v>262</v>
      </c>
      <c r="CF30">
        <v>0</v>
      </c>
      <c r="CG30" t="s">
        <v>49</v>
      </c>
      <c r="CH30" s="51"/>
      <c r="CK30" s="51"/>
      <c r="CL30" t="str">
        <f>IFERROR((TOWER_DATA[[#This Row],[D, bottom '[m']]]+#REF!)/(2*#REF!/1000),"")</f>
        <v/>
      </c>
      <c r="CW30" s="99"/>
      <c r="CX30" s="99"/>
      <c r="DL30" s="60"/>
    </row>
    <row r="31" spans="1:137" ht="18" hidden="1" customHeight="1" outlineLevel="1">
      <c r="A31" s="271"/>
      <c r="D31" s="280"/>
      <c r="E31" t="s">
        <v>239</v>
      </c>
      <c r="F31" t="s">
        <v>236</v>
      </c>
      <c r="G31" t="s">
        <v>237</v>
      </c>
      <c r="H31" t="s">
        <v>240</v>
      </c>
      <c r="I31">
        <v>38.9</v>
      </c>
      <c r="J31" t="s">
        <v>49</v>
      </c>
      <c r="K31"/>
      <c r="N31"/>
      <c r="O31" t="str">
        <f>IFERROR((MP_DATA[[#This Row],[D, bottom '[m']]]+#REF!)/(2*#REF!/1000),"")</f>
        <v/>
      </c>
      <c r="Z31" s="99"/>
      <c r="AA31" s="99"/>
      <c r="AP31" s="56" t="s">
        <v>239</v>
      </c>
      <c r="AQ31" t="s">
        <v>236</v>
      </c>
      <c r="AR31" t="s">
        <v>237</v>
      </c>
      <c r="AS31" t="s">
        <v>240</v>
      </c>
      <c r="AT31">
        <v>38.9</v>
      </c>
      <c r="AU31" t="s">
        <v>49</v>
      </c>
      <c r="AV31" t="s">
        <v>254</v>
      </c>
      <c r="AY31"/>
      <c r="AZ31" t="str">
        <f>IFERROR((TP_DATA[[#This Row],[D, bottom '[m']]]+#REF!)/(2*#REF!/1000),"")</f>
        <v/>
      </c>
      <c r="BJ31" s="60"/>
      <c r="BK31" s="62"/>
      <c r="BL31" s="62"/>
      <c r="BM31" s="60"/>
      <c r="BN31" s="60"/>
      <c r="BO31" s="60"/>
      <c r="BZ31" s="60"/>
      <c r="CB31" s="56"/>
      <c r="CC31"/>
      <c r="CD31"/>
      <c r="CE31"/>
      <c r="CF31"/>
      <c r="CG31"/>
      <c r="CH31" s="51"/>
      <c r="CK31" s="51"/>
      <c r="CL31" t="str">
        <f>IFERROR((TOWER_DATA[[#This Row],[D, bottom '[m']]]+#REF!)/(2*#REF!/1000),"")</f>
        <v/>
      </c>
      <c r="CW31" s="99"/>
      <c r="CX31" s="99"/>
      <c r="DL31" s="60"/>
    </row>
    <row r="32" spans="1:137" ht="18" hidden="1" customHeight="1" outlineLevel="1">
      <c r="A32" s="271"/>
      <c r="D32" s="280"/>
      <c r="E32" t="s">
        <v>241</v>
      </c>
      <c r="F32" t="s">
        <v>236</v>
      </c>
      <c r="G32" t="s">
        <v>237</v>
      </c>
      <c r="H32" t="s">
        <v>242</v>
      </c>
      <c r="I32">
        <v>38.9</v>
      </c>
      <c r="J32" t="s">
        <v>49</v>
      </c>
      <c r="K32"/>
      <c r="N32"/>
      <c r="O32" t="str">
        <f>IFERROR((MP_DATA[[#This Row],[D, bottom '[m']]]+#REF!)/(2*#REF!/1000),"")</f>
        <v/>
      </c>
      <c r="Z32" s="99"/>
      <c r="AA32" s="99"/>
      <c r="AP32" s="56" t="s">
        <v>241</v>
      </c>
      <c r="AQ32" t="s">
        <v>236</v>
      </c>
      <c r="AR32" t="s">
        <v>237</v>
      </c>
      <c r="AS32" t="s">
        <v>242</v>
      </c>
      <c r="AT32">
        <v>38.9</v>
      </c>
      <c r="AU32" t="s">
        <v>49</v>
      </c>
      <c r="AV32" t="s">
        <v>255</v>
      </c>
      <c r="AY32"/>
      <c r="AZ32" t="str">
        <f>IFERROR((TP_DATA[[#This Row],[D, bottom '[m']]]+#REF!)/(2*#REF!/1000),"")</f>
        <v/>
      </c>
      <c r="BJ32" s="60"/>
      <c r="BK32" s="62"/>
      <c r="BL32" s="62"/>
      <c r="BM32" s="60"/>
      <c r="BN32" s="60"/>
      <c r="BO32" s="60"/>
      <c r="BZ32" s="60"/>
      <c r="CB32" s="56"/>
      <c r="CC32"/>
      <c r="CD32"/>
      <c r="CE32"/>
      <c r="CF32"/>
      <c r="CG32"/>
      <c r="CH32" s="51"/>
      <c r="CK32" s="51"/>
      <c r="CL32" t="str">
        <f>IFERROR((TOWER_DATA[[#This Row],[D, bottom '[m']]]+#REF!)/(2*#REF!/1000),"")</f>
        <v/>
      </c>
      <c r="CW32" s="99"/>
      <c r="CX32" s="99"/>
      <c r="DL32" s="60"/>
    </row>
    <row r="33" spans="1:116" ht="18" hidden="1" customHeight="1" outlineLevel="1">
      <c r="A33" s="271"/>
      <c r="D33" s="280"/>
      <c r="E33" s="52"/>
      <c r="K33"/>
      <c r="N33"/>
      <c r="O33" s="73" t="str">
        <f>IFERROR((MP_DATA[[#This Row],[D, bottom '[m']]]+#REF!)/(2*#REF!/1000),"")</f>
        <v/>
      </c>
      <c r="Z33" s="99"/>
      <c r="AA33" s="99"/>
      <c r="AV33"/>
      <c r="AY33"/>
      <c r="AZ33" s="73" t="str">
        <f>IFERROR((TP_DATA[[#This Row],[D, bottom '[m']]]+#REF!)/(2*#REF!/1000),"")</f>
        <v/>
      </c>
      <c r="BJ33" s="60"/>
      <c r="BK33" s="62"/>
      <c r="BL33" s="62"/>
      <c r="BM33" s="60"/>
      <c r="BN33" s="60"/>
      <c r="BO33" s="60"/>
      <c r="BZ33" s="60"/>
      <c r="CH33" s="51"/>
      <c r="CK33" s="51"/>
      <c r="CL33" s="73" t="str">
        <f>IFERROR((TOWER_DATA[[#This Row],[D, bottom '[m']]]+#REF!)/(2*#REF!/1000),"")</f>
        <v/>
      </c>
      <c r="CW33" s="99"/>
      <c r="CX33" s="99"/>
      <c r="DL33" s="60"/>
    </row>
    <row r="34" spans="1:116" ht="18" hidden="1" customHeight="1" outlineLevel="1">
      <c r="A34" s="271"/>
      <c r="D34" s="280"/>
      <c r="E34" s="52"/>
      <c r="K34"/>
      <c r="N34"/>
      <c r="O34" s="73" t="str">
        <f>IFERROR((MP_DATA[[#This Row],[D, bottom '[m']]]+#REF!)/(2*#REF!/1000),"")</f>
        <v/>
      </c>
      <c r="Z34" s="99"/>
      <c r="AA34" s="99"/>
      <c r="AV34"/>
      <c r="AY34"/>
      <c r="AZ34" s="73" t="str">
        <f>IFERROR((TP_DATA[[#This Row],[D, bottom '[m']]]+#REF!)/(2*#REF!/1000),"")</f>
        <v/>
      </c>
      <c r="BJ34" s="60"/>
      <c r="BK34" s="62"/>
      <c r="BL34" s="62"/>
      <c r="BM34" s="60"/>
      <c r="BN34" s="60"/>
      <c r="BO34" s="60"/>
      <c r="BZ34" s="60"/>
      <c r="CH34" s="51"/>
      <c r="CK34" s="51"/>
      <c r="CL34" s="73" t="str">
        <f>IFERROR((TOWER_DATA[[#This Row],[D, bottom '[m']]]+#REF!)/(2*#REF!/1000),"")</f>
        <v/>
      </c>
      <c r="CW34" s="99"/>
      <c r="CX34" s="99"/>
      <c r="DL34" s="60"/>
    </row>
    <row r="35" spans="1:116" ht="18" hidden="1" customHeight="1" outlineLevel="1">
      <c r="A35" s="271"/>
      <c r="D35" s="280"/>
      <c r="E35" s="52"/>
      <c r="K35"/>
      <c r="N35"/>
      <c r="O35" s="73" t="str">
        <f>IFERROR((MP_DATA[[#This Row],[D, bottom '[m']]]+#REF!)/(2*#REF!/1000),"")</f>
        <v/>
      </c>
      <c r="Z35" s="99"/>
      <c r="AA35" s="99"/>
      <c r="AV35"/>
      <c r="AY35"/>
      <c r="AZ35" s="73" t="str">
        <f>IFERROR((TP_DATA[[#This Row],[D, bottom '[m']]]+#REF!)/(2*#REF!/1000),"")</f>
        <v/>
      </c>
      <c r="BJ35" s="60"/>
      <c r="BK35" s="62"/>
      <c r="BL35" s="62"/>
      <c r="BM35" s="60"/>
      <c r="BN35" s="60"/>
      <c r="BO35" s="60"/>
      <c r="CH35" s="51"/>
      <c r="CK35" s="51"/>
      <c r="CL35" s="73" t="str">
        <f>IFERROR((TOWER_DATA[[#This Row],[D, bottom '[m']]]+#REF!)/(2*#REF!/1000),"")</f>
        <v/>
      </c>
      <c r="CW35" s="99"/>
      <c r="CX35" s="99"/>
    </row>
    <row r="36" spans="1:116" ht="18" hidden="1" customHeight="1" outlineLevel="1">
      <c r="A36" s="271"/>
      <c r="D36" s="280"/>
      <c r="E36" s="52"/>
      <c r="K36"/>
      <c r="N36"/>
      <c r="O36" s="73" t="str">
        <f>IFERROR((MP_DATA[[#This Row],[D, bottom '[m']]]+#REF!)/(2*#REF!/1000),"")</f>
        <v/>
      </c>
      <c r="Z36" s="99"/>
      <c r="AA36" s="99"/>
      <c r="AV36"/>
      <c r="AY36"/>
      <c r="AZ36" s="73" t="str">
        <f>IFERROR((TP_DATA[[#This Row],[D, bottom '[m']]]+#REF!)/(2*#REF!/1000),"")</f>
        <v/>
      </c>
      <c r="BJ36" s="60"/>
      <c r="BK36" s="62"/>
      <c r="BL36" s="62"/>
      <c r="BM36" s="60"/>
      <c r="BN36" s="60"/>
      <c r="BO36" s="60"/>
      <c r="CH36" s="51"/>
      <c r="CK36" s="51"/>
      <c r="CL36" s="73" t="str">
        <f>IFERROR((TOWER_DATA[[#This Row],[D, bottom '[m']]]+#REF!)/(2*#REF!/1000),"")</f>
        <v/>
      </c>
      <c r="CW36" s="99"/>
      <c r="CX36" s="99"/>
    </row>
    <row r="37" spans="1:116" ht="18" hidden="1" customHeight="1" outlineLevel="1">
      <c r="A37" s="271"/>
      <c r="D37" s="280"/>
      <c r="E37" s="52"/>
      <c r="K37"/>
      <c r="N37"/>
      <c r="O37" s="73" t="str">
        <f>IFERROR((MP_DATA[[#This Row],[D, bottom '[m']]]+#REF!)/(2*#REF!/1000),"")</f>
        <v/>
      </c>
      <c r="Z37" s="99"/>
      <c r="AA37" s="99"/>
      <c r="AV37"/>
      <c r="AY37"/>
      <c r="AZ37" s="73" t="str">
        <f>IFERROR((TP_DATA[[#This Row],[D, bottom '[m']]]+#REF!)/(2*#REF!/1000),"")</f>
        <v/>
      </c>
      <c r="BJ37" s="60"/>
      <c r="BK37" s="62"/>
      <c r="BL37" s="62"/>
      <c r="BM37" s="60"/>
      <c r="BN37" s="60"/>
      <c r="BO37" s="60"/>
      <c r="CH37" s="51"/>
      <c r="CK37" s="51"/>
      <c r="CL37" s="73" t="str">
        <f>IFERROR((TOWER_DATA[[#This Row],[D, bottom '[m']]]+#REF!)/(2*#REF!/1000),"")</f>
        <v/>
      </c>
      <c r="CW37" s="99"/>
      <c r="CX37" s="99"/>
    </row>
    <row r="38" spans="1:116" ht="18" hidden="1" customHeight="1" outlineLevel="1">
      <c r="A38" s="271"/>
      <c r="D38" s="280"/>
      <c r="E38" s="52"/>
      <c r="K38"/>
      <c r="N38"/>
      <c r="Z38" s="99"/>
      <c r="AA38" s="99"/>
      <c r="AV38"/>
      <c r="AY38"/>
      <c r="BJ38" s="60"/>
      <c r="BK38" s="62"/>
      <c r="BL38" s="62"/>
      <c r="BM38" s="60"/>
      <c r="BN38" s="60"/>
      <c r="BO38" s="60"/>
      <c r="CH38" s="51"/>
      <c r="CK38" s="51"/>
      <c r="CW38" s="99"/>
      <c r="CX38" s="99"/>
    </row>
    <row r="39" spans="1:116" ht="18" hidden="1" customHeight="1" outlineLevel="1">
      <c r="A39" s="271"/>
      <c r="D39" s="280"/>
      <c r="E39" s="52"/>
      <c r="K39"/>
      <c r="N39"/>
      <c r="Z39" s="99"/>
      <c r="AA39" s="99"/>
      <c r="AV39"/>
      <c r="AY39"/>
      <c r="BJ39" s="60"/>
      <c r="BK39" s="62"/>
      <c r="BL39" s="62"/>
      <c r="BM39" s="60"/>
      <c r="BN39" s="60"/>
      <c r="BO39" s="60"/>
      <c r="CH39" s="51"/>
      <c r="CK39" s="51"/>
      <c r="CW39" s="99"/>
      <c r="CX39" s="99"/>
    </row>
    <row r="40" spans="1:116" ht="18" hidden="1" customHeight="1" outlineLevel="1">
      <c r="A40" s="271"/>
      <c r="D40" s="280"/>
      <c r="E40" s="52"/>
      <c r="K40"/>
      <c r="N40"/>
      <c r="Z40" s="99"/>
      <c r="AA40" s="99"/>
      <c r="AV40"/>
      <c r="AY40"/>
      <c r="BJ40" s="60"/>
      <c r="BK40" s="62"/>
      <c r="BL40" s="62"/>
      <c r="BM40" s="60"/>
      <c r="BN40" s="60"/>
      <c r="BO40" s="60"/>
      <c r="CH40" s="51"/>
      <c r="CK40" s="51"/>
      <c r="CW40" s="99"/>
      <c r="CX40" s="99"/>
    </row>
    <row r="41" spans="1:116" ht="18" hidden="1" customHeight="1" outlineLevel="1">
      <c r="A41" s="271"/>
      <c r="D41" s="280"/>
      <c r="E41" s="52"/>
      <c r="K41"/>
      <c r="N41"/>
      <c r="Z41" s="99"/>
      <c r="AA41" s="99"/>
      <c r="AV41"/>
      <c r="AY41"/>
      <c r="BJ41" s="60"/>
      <c r="BK41" s="62"/>
      <c r="BL41" s="62"/>
      <c r="BM41" s="60"/>
      <c r="BN41" s="60"/>
      <c r="BO41" s="60"/>
      <c r="CH41" s="51"/>
      <c r="CK41" s="51"/>
      <c r="CW41" s="99"/>
      <c r="CX41" s="99"/>
    </row>
    <row r="42" spans="1:116" ht="18" hidden="1" customHeight="1" outlineLevel="1">
      <c r="A42" s="271"/>
      <c r="D42" s="280"/>
      <c r="E42" s="52"/>
      <c r="K42"/>
      <c r="N42"/>
      <c r="O42" s="73" t="str">
        <f>IFERROR((MP_DATA[[#This Row],[D, bottom '[m']]]+#REF!)/(2*#REF!/1000),"")</f>
        <v/>
      </c>
      <c r="Y42" s="60"/>
      <c r="Z42" s="62"/>
      <c r="AA42" s="62"/>
      <c r="AB42" s="60"/>
      <c r="AC42" s="60"/>
      <c r="AD42" s="60"/>
      <c r="AV42"/>
      <c r="AY42"/>
      <c r="AZ42" s="73" t="str">
        <f>IFERROR((TP_DATA[[#This Row],[D, bottom '[m']]]+#REF!)/(2*#REF!/1000),"")</f>
        <v/>
      </c>
      <c r="BJ42" s="60"/>
      <c r="BK42" s="62"/>
      <c r="BL42" s="62"/>
      <c r="BM42" s="60"/>
      <c r="BN42" s="60"/>
      <c r="BO42" s="60"/>
      <c r="CH42" s="51"/>
      <c r="CK42" s="51"/>
      <c r="CL42" s="73" t="str">
        <f>IFERROR((TOWER_DATA[[#This Row],[D, bottom '[m']]]+#REF!)/(2*#REF!/1000),"")</f>
        <v/>
      </c>
      <c r="CW42" s="99"/>
      <c r="CX42" s="99"/>
    </row>
    <row r="43" spans="1:116" ht="18" hidden="1" customHeight="1" outlineLevel="1">
      <c r="A43" s="271"/>
      <c r="D43" s="280"/>
      <c r="E43" s="52"/>
      <c r="K43"/>
      <c r="N43"/>
      <c r="O43" s="73" t="str">
        <f>IFERROR((MP_DATA[[#This Row],[D, bottom '[m']]]+#REF!)/(2*#REF!/1000),"")</f>
        <v/>
      </c>
      <c r="Y43" s="60"/>
      <c r="Z43" s="62"/>
      <c r="AA43" s="62"/>
      <c r="AB43" s="60"/>
      <c r="AC43" s="60"/>
      <c r="AD43" s="60"/>
      <c r="AV43"/>
      <c r="AY43"/>
      <c r="AZ43" s="73" t="str">
        <f>IFERROR((TP_DATA[[#This Row],[D, bottom '[m']]]+#REF!)/(2*#REF!/1000),"")</f>
        <v/>
      </c>
      <c r="BJ43" s="60"/>
      <c r="BK43" s="62"/>
      <c r="BL43" s="62"/>
      <c r="BM43" s="60"/>
      <c r="BN43" s="60"/>
      <c r="BO43" s="60"/>
      <c r="CH43" s="51"/>
      <c r="CK43" s="51"/>
      <c r="CL43" s="73" t="str">
        <f>IFERROR((TOWER_DATA[[#This Row],[D, bottom '[m']]]+#REF!)/(2*#REF!/1000),"")</f>
        <v/>
      </c>
      <c r="CW43" s="99"/>
      <c r="CX43" s="99"/>
    </row>
    <row r="44" spans="1:116" ht="18" hidden="1" customHeight="1" outlineLevel="1">
      <c r="A44" s="271"/>
      <c r="D44" s="280"/>
      <c r="E44" s="52"/>
      <c r="K44"/>
      <c r="N44"/>
      <c r="O44" s="73" t="str">
        <f>IFERROR((MP_DATA[[#This Row],[D, bottom '[m']]]+#REF!)/(2*#REF!/1000),"")</f>
        <v/>
      </c>
      <c r="AV44"/>
      <c r="AY44"/>
      <c r="AZ44" s="73" t="str">
        <f>IFERROR((TP_DATA[[#This Row],[D, bottom '[m']]]+#REF!)/(2*#REF!/1000),"")</f>
        <v/>
      </c>
      <c r="CH44" s="51"/>
      <c r="CK44" s="51"/>
      <c r="CL44" s="73" t="str">
        <f>IFERROR((TOWER_DATA[[#This Row],[D, bottom '[m']]]+#REF!)/(2*#REF!/1000),"")</f>
        <v/>
      </c>
      <c r="CW44" s="99"/>
      <c r="CX44" s="99"/>
    </row>
    <row r="45" spans="1:116" ht="18" hidden="1" customHeight="1" outlineLevel="1">
      <c r="A45" s="271"/>
      <c r="D45" s="280"/>
      <c r="E45" s="52"/>
      <c r="K45"/>
      <c r="N45"/>
      <c r="O45" s="73" t="str">
        <f>IFERROR((MP_DATA[[#This Row],[D, bottom '[m']]]+#REF!)/(2*#REF!/1000),"")</f>
        <v/>
      </c>
      <c r="AV45"/>
      <c r="AY45"/>
      <c r="AZ45" s="73" t="str">
        <f>IFERROR((TP_DATA[[#This Row],[D, bottom '[m']]]+#REF!)/(2*#REF!/1000),"")</f>
        <v/>
      </c>
      <c r="CH45" s="51"/>
      <c r="CK45" s="51"/>
      <c r="CL45" s="73" t="str">
        <f>IFERROR((TOWER_DATA[[#This Row],[D, bottom '[m']]]+#REF!)/(2*#REF!/1000),"")</f>
        <v/>
      </c>
      <c r="CW45" s="99"/>
      <c r="CX45" s="99"/>
    </row>
    <row r="46" spans="1:116" ht="18" hidden="1" customHeight="1" outlineLevel="1">
      <c r="A46" s="271"/>
      <c r="D46" s="280"/>
      <c r="E46" s="52"/>
      <c r="K46"/>
      <c r="N46"/>
      <c r="O46" s="73" t="str">
        <f>IFERROR((MP_DATA[[#This Row],[D, bottom '[m']]]+#REF!)/(2*#REF!/1000),"")</f>
        <v/>
      </c>
      <c r="AV46"/>
      <c r="AY46"/>
      <c r="AZ46" s="73" t="str">
        <f>IFERROR((TP_DATA[[#This Row],[D, bottom '[m']]]+#REF!)/(2*#REF!/1000),"")</f>
        <v/>
      </c>
      <c r="CH46" s="51"/>
      <c r="CK46" s="51"/>
      <c r="CL46" s="73" t="str">
        <f>IFERROR((TOWER_DATA[[#This Row],[D, bottom '[m']]]+#REF!)/(2*#REF!/1000),"")</f>
        <v/>
      </c>
      <c r="CW46" s="99"/>
      <c r="CX46" s="99"/>
    </row>
    <row r="47" spans="1:116" ht="18" hidden="1" customHeight="1" outlineLevel="1">
      <c r="A47" s="271"/>
      <c r="D47" s="280"/>
      <c r="E47" s="52"/>
      <c r="K47"/>
      <c r="N47"/>
      <c r="O47" s="73" t="str">
        <f>IFERROR((MP_DATA[[#This Row],[D, bottom '[m']]]+#REF!)/(2*#REF!/1000),"")</f>
        <v/>
      </c>
      <c r="AV47"/>
      <c r="AY47"/>
      <c r="AZ47" s="73" t="str">
        <f>IFERROR((TP_DATA[[#This Row],[D, bottom '[m']]]+#REF!)/(2*#REF!/1000),"")</f>
        <v/>
      </c>
      <c r="CH47" s="51"/>
      <c r="CK47" s="51"/>
      <c r="CL47" s="73" t="str">
        <f>IFERROR((TOWER_DATA[[#This Row],[D, bottom '[m']]]+#REF!)/(2*#REF!/1000),"")</f>
        <v/>
      </c>
      <c r="CW47" s="99"/>
      <c r="CX47" s="99"/>
    </row>
    <row r="48" spans="1:116" ht="18" hidden="1" customHeight="1" outlineLevel="1">
      <c r="A48" s="271"/>
      <c r="D48" s="280"/>
      <c r="E48" s="52"/>
      <c r="K48"/>
      <c r="N48"/>
      <c r="O48" s="73"/>
      <c r="AV48"/>
      <c r="AY48"/>
      <c r="AZ48" s="73"/>
      <c r="CH48" s="51"/>
      <c r="CK48" s="51"/>
      <c r="CL48" s="73"/>
      <c r="CW48" s="99"/>
      <c r="CX48" s="99"/>
    </row>
    <row r="49" spans="1:102" ht="18" hidden="1" customHeight="1" outlineLevel="1">
      <c r="A49" s="271"/>
      <c r="D49" s="280"/>
      <c r="E49" s="52"/>
      <c r="K49"/>
      <c r="N49"/>
      <c r="O49" s="73"/>
      <c r="AV49"/>
      <c r="AY49"/>
      <c r="AZ49" s="73"/>
      <c r="CH49" s="51"/>
      <c r="CK49" s="51"/>
      <c r="CL49" s="73"/>
      <c r="CW49" s="99"/>
      <c r="CX49" s="99"/>
    </row>
    <row r="50" spans="1:102" ht="18" hidden="1" customHeight="1" outlineLevel="1">
      <c r="A50" s="271"/>
      <c r="D50" s="280"/>
      <c r="E50" s="52"/>
      <c r="K50"/>
      <c r="N50"/>
      <c r="O50" s="73"/>
      <c r="AV50"/>
      <c r="AY50"/>
      <c r="AZ50" s="73"/>
      <c r="CH50" s="51"/>
      <c r="CK50" s="51"/>
      <c r="CL50" s="73"/>
      <c r="CW50" s="99"/>
      <c r="CX50" s="99"/>
    </row>
    <row r="51" spans="1:102" ht="18" hidden="1" customHeight="1" outlineLevel="1">
      <c r="A51" s="271"/>
      <c r="D51" s="280"/>
      <c r="E51" s="52"/>
      <c r="K51"/>
      <c r="N51"/>
      <c r="O51" s="73"/>
      <c r="AV51"/>
      <c r="AY51"/>
      <c r="AZ51" s="73"/>
      <c r="CH51" s="51"/>
      <c r="CK51" s="51"/>
      <c r="CL51" s="73"/>
      <c r="CW51" s="99"/>
      <c r="CX51" s="99"/>
    </row>
    <row r="52" spans="1:102" ht="18" hidden="1" customHeight="1" outlineLevel="1">
      <c r="A52" s="271"/>
      <c r="D52" s="280"/>
      <c r="E52" s="52"/>
      <c r="K52"/>
      <c r="N52"/>
      <c r="O52" s="73"/>
      <c r="AV52"/>
      <c r="AY52"/>
      <c r="AZ52" s="73"/>
      <c r="CH52" s="51"/>
      <c r="CK52" s="51"/>
      <c r="CL52" s="73"/>
      <c r="CW52" s="99"/>
      <c r="CX52" s="99"/>
    </row>
    <row r="53" spans="1:102" ht="18" hidden="1" customHeight="1" outlineLevel="1">
      <c r="A53" s="271"/>
      <c r="D53" s="280"/>
      <c r="E53" s="52"/>
      <c r="K53"/>
      <c r="N53"/>
      <c r="O53" s="73"/>
      <c r="AV53"/>
      <c r="AY53"/>
      <c r="AZ53" s="73"/>
      <c r="CH53" s="51"/>
      <c r="CK53" s="51"/>
      <c r="CL53" s="73"/>
      <c r="CW53" s="99"/>
      <c r="CX53" s="99"/>
    </row>
    <row r="54" spans="1:102" ht="18" hidden="1" customHeight="1" outlineLevel="1">
      <c r="A54" s="271"/>
      <c r="D54" s="280"/>
      <c r="E54" s="52"/>
      <c r="K54"/>
      <c r="N54"/>
      <c r="O54" s="73"/>
      <c r="AV54"/>
      <c r="AY54"/>
      <c r="AZ54" s="73"/>
      <c r="CH54" s="51"/>
      <c r="CK54" s="51"/>
      <c r="CL54" s="73"/>
      <c r="CW54" s="99"/>
      <c r="CX54" s="99"/>
    </row>
    <row r="55" spans="1:102" ht="18" hidden="1" customHeight="1" outlineLevel="1">
      <c r="A55" s="271"/>
      <c r="D55" s="280"/>
      <c r="E55" s="52"/>
      <c r="K55"/>
      <c r="N55"/>
      <c r="O55" s="73"/>
      <c r="AV55"/>
      <c r="AY55"/>
      <c r="AZ55" s="73"/>
      <c r="CH55" s="51"/>
      <c r="CK55" s="51"/>
      <c r="CL55" s="73"/>
      <c r="CW55" s="99"/>
      <c r="CX55" s="99"/>
    </row>
    <row r="56" spans="1:102" ht="18" hidden="1" customHeight="1" outlineLevel="1">
      <c r="A56" s="271"/>
      <c r="D56" s="280"/>
      <c r="E56" s="52"/>
      <c r="K56"/>
      <c r="N56"/>
      <c r="O56" s="73"/>
      <c r="AV56"/>
      <c r="AY56"/>
      <c r="AZ56" s="73"/>
      <c r="CH56" s="51"/>
      <c r="CK56" s="51"/>
      <c r="CL56" s="73"/>
      <c r="CW56" s="99"/>
      <c r="CX56" s="99"/>
    </row>
    <row r="57" spans="1:102" ht="18" hidden="1" customHeight="1" outlineLevel="1">
      <c r="A57" s="271"/>
      <c r="D57" s="280"/>
      <c r="E57" s="52"/>
      <c r="K57"/>
      <c r="N57"/>
      <c r="O57" s="73"/>
      <c r="AV57"/>
      <c r="AY57"/>
      <c r="AZ57" s="73"/>
      <c r="CH57" s="51"/>
      <c r="CK57" s="51"/>
      <c r="CL57" s="73"/>
      <c r="CW57" s="99"/>
      <c r="CX57" s="99"/>
    </row>
    <row r="58" spans="1:102" ht="18" hidden="1" customHeight="1" outlineLevel="1">
      <c r="A58" s="271"/>
      <c r="D58" s="280"/>
      <c r="E58" s="52"/>
      <c r="K58"/>
      <c r="N58"/>
      <c r="O58" s="73"/>
      <c r="AV58"/>
      <c r="AY58"/>
      <c r="AZ58" s="73"/>
      <c r="CH58" s="51"/>
      <c r="CK58" s="51"/>
      <c r="CL58" s="73"/>
      <c r="CW58" s="99"/>
      <c r="CX58" s="99"/>
    </row>
    <row r="59" spans="1:102" ht="18" hidden="1" customHeight="1" outlineLevel="1">
      <c r="A59" s="271"/>
      <c r="D59" s="280"/>
      <c r="E59" s="52"/>
      <c r="K59"/>
      <c r="N59"/>
      <c r="O59" s="73"/>
      <c r="AV59"/>
      <c r="AY59"/>
      <c r="AZ59" s="73"/>
      <c r="CH59" s="51"/>
      <c r="CK59" s="51"/>
      <c r="CL59" s="73"/>
      <c r="CW59" s="99"/>
      <c r="CX59" s="99"/>
    </row>
    <row r="60" spans="1:102" ht="18" hidden="1" customHeight="1" outlineLevel="1">
      <c r="A60" s="271"/>
      <c r="D60" s="280"/>
      <c r="E60" s="52"/>
      <c r="K60"/>
      <c r="N60"/>
      <c r="O60" s="73" t="str">
        <f>IFERROR((MP_DATA[[#This Row],[D, bottom '[m']]]+#REF!)/(2*#REF!/1000),"")</f>
        <v/>
      </c>
      <c r="AV60"/>
      <c r="AY60"/>
      <c r="AZ60" s="73" t="str">
        <f>IFERROR((TP_DATA[[#This Row],[D, bottom '[m']]]+#REF!)/(2*#REF!/1000),"")</f>
        <v/>
      </c>
      <c r="CH60" s="51"/>
      <c r="CK60" s="51"/>
      <c r="CL60" s="73" t="str">
        <f>IFERROR((TOWER_DATA[[#This Row],[D, bottom '[m']]]+#REF!)/(2*#REF!/1000),"")</f>
        <v/>
      </c>
      <c r="CW60" s="99"/>
      <c r="CX60" s="99"/>
    </row>
    <row r="61" spans="1:102" ht="18" hidden="1" customHeight="1" outlineLevel="1">
      <c r="A61" s="271"/>
      <c r="D61" s="280"/>
      <c r="E61" s="52"/>
      <c r="K61"/>
      <c r="N61"/>
      <c r="O61" s="73" t="str">
        <f>IFERROR((MP_DATA[[#This Row],[D, bottom '[m']]]+#REF!)/(2*#REF!/1000),"")</f>
        <v/>
      </c>
      <c r="AV61"/>
      <c r="AY61"/>
      <c r="AZ61" s="73" t="str">
        <f>IFERROR((TP_DATA[[#This Row],[D, bottom '[m']]]+#REF!)/(2*#REF!/1000),"")</f>
        <v/>
      </c>
      <c r="CH61" s="51"/>
      <c r="CK61" s="51"/>
      <c r="CL61" s="73" t="str">
        <f>IFERROR((TOWER_DATA[[#This Row],[D, bottom '[m']]]+#REF!)/(2*#REF!/1000),"")</f>
        <v/>
      </c>
      <c r="CW61" s="99"/>
      <c r="CX61" s="99"/>
    </row>
    <row r="62" spans="1:102" ht="18" hidden="1" customHeight="1" outlineLevel="1">
      <c r="A62" s="271"/>
      <c r="D62" s="280"/>
      <c r="E62" s="52"/>
      <c r="K62"/>
      <c r="N62"/>
      <c r="O62" s="73" t="str">
        <f>IFERROR((MP_DATA[[#This Row],[D, bottom '[m']]]+#REF!)/(2*#REF!/1000),"")</f>
        <v/>
      </c>
      <c r="AV62"/>
      <c r="AY62"/>
      <c r="AZ62" s="73" t="str">
        <f>IFERROR((TP_DATA[[#This Row],[D, bottom '[m']]]+#REF!)/(2*#REF!/1000),"")</f>
        <v/>
      </c>
      <c r="CH62" s="51"/>
      <c r="CK62" s="51"/>
      <c r="CL62" s="73" t="str">
        <f>IFERROR((TOWER_DATA[[#This Row],[D, bottom '[m']]]+#REF!)/(2*#REF!/1000),"")</f>
        <v/>
      </c>
      <c r="CW62" s="99"/>
      <c r="CX62" s="99"/>
    </row>
    <row r="63" spans="1:102" ht="18" hidden="1" customHeight="1" outlineLevel="1">
      <c r="A63" s="271"/>
      <c r="D63" s="280"/>
      <c r="E63" s="52"/>
      <c r="K63"/>
      <c r="N63"/>
      <c r="O63" s="73" t="str">
        <f>IFERROR((MP_DATA[[#This Row],[D, bottom '[m']]]+#REF!)/(2*#REF!/1000),"")</f>
        <v/>
      </c>
      <c r="AV63"/>
      <c r="AY63"/>
      <c r="AZ63" s="73" t="str">
        <f>IFERROR((TP_DATA[[#This Row],[D, bottom '[m']]]+#REF!)/(2*#REF!/1000),"")</f>
        <v/>
      </c>
      <c r="CH63" s="51"/>
      <c r="CK63" s="51"/>
      <c r="CL63" s="73" t="str">
        <f>IFERROR((TOWER_DATA[[#This Row],[D, bottom '[m']]]+#REF!)/(2*#REF!/1000),"")</f>
        <v/>
      </c>
      <c r="CW63" s="99"/>
      <c r="CX63" s="99"/>
    </row>
    <row r="64" spans="1:102" ht="18" hidden="1" customHeight="1" outlineLevel="1">
      <c r="A64" s="271"/>
      <c r="D64" s="280"/>
      <c r="E64" s="52"/>
      <c r="K64"/>
      <c r="N64"/>
      <c r="O64" s="73" t="str">
        <f>IFERROR((MP_DATA[[#This Row],[D, bottom '[m']]]+#REF!)/(2*#REF!/1000),"")</f>
        <v/>
      </c>
      <c r="AV64"/>
      <c r="AY64"/>
      <c r="AZ64" s="73" t="str">
        <f>IFERROR((TP_DATA[[#This Row],[D, bottom '[m']]]+#REF!)/(2*#REF!/1000),"")</f>
        <v/>
      </c>
      <c r="CH64" s="51"/>
      <c r="CK64" s="51"/>
      <c r="CL64" s="73" t="str">
        <f>IFERROR((TOWER_DATA[[#This Row],[D, bottom '[m']]]+#REF!)/(2*#REF!/1000),"")</f>
        <v/>
      </c>
      <c r="CW64" s="99"/>
      <c r="CX64" s="99"/>
    </row>
    <row r="65" spans="1:102" ht="18" hidden="1" customHeight="1" outlineLevel="1">
      <c r="A65" s="271"/>
      <c r="D65" s="280"/>
      <c r="E65" s="52"/>
      <c r="K65"/>
      <c r="N65"/>
      <c r="O65" s="73" t="str">
        <f>IFERROR((MP_DATA[[#This Row],[D, bottom '[m']]]+#REF!)/(2*#REF!/1000),"")</f>
        <v/>
      </c>
      <c r="AV65"/>
      <c r="AY65"/>
      <c r="AZ65" s="73" t="str">
        <f>IFERROR((TP_DATA[[#This Row],[D, bottom '[m']]]+#REF!)/(2*#REF!/1000),"")</f>
        <v/>
      </c>
      <c r="CH65" s="51"/>
      <c r="CK65" s="51"/>
      <c r="CL65" s="73" t="str">
        <f>IFERROR((TOWER_DATA[[#This Row],[D, bottom '[m']]]+#REF!)/(2*#REF!/1000),"")</f>
        <v/>
      </c>
      <c r="CW65" s="99"/>
      <c r="CX65" s="99"/>
    </row>
    <row r="66" spans="1:102" ht="18" hidden="1" customHeight="1" outlineLevel="1">
      <c r="A66" s="271"/>
      <c r="D66" s="280"/>
      <c r="E66" s="52"/>
      <c r="K66"/>
      <c r="N66"/>
      <c r="O66" s="73" t="str">
        <f>IFERROR((MP_DATA[[#This Row],[D, bottom '[m']]]+#REF!)/(2*#REF!/1000),"")</f>
        <v/>
      </c>
      <c r="AV66"/>
      <c r="AY66"/>
      <c r="AZ66" s="73" t="str">
        <f>IFERROR((TP_DATA[[#This Row],[D, bottom '[m']]]+#REF!)/(2*#REF!/1000),"")</f>
        <v/>
      </c>
      <c r="CH66" s="51"/>
      <c r="CK66" s="51"/>
      <c r="CL66" s="73" t="str">
        <f>IFERROR((TOWER_DATA[[#This Row],[D, bottom '[m']]]+#REF!)/(2*#REF!/1000),"")</f>
        <v/>
      </c>
      <c r="CW66" s="99"/>
      <c r="CX66" s="99"/>
    </row>
    <row r="67" spans="1:102" ht="18" hidden="1" customHeight="1" outlineLevel="1">
      <c r="A67" s="271"/>
      <c r="D67" s="280"/>
      <c r="E67" s="52"/>
      <c r="K67"/>
      <c r="N67"/>
      <c r="O67" s="73" t="str">
        <f>IFERROR((MP_DATA[[#This Row],[D, bottom '[m']]]+#REF!)/(2*#REF!/1000),"")</f>
        <v/>
      </c>
      <c r="AV67"/>
      <c r="AY67"/>
      <c r="AZ67" s="73" t="str">
        <f>IFERROR((TP_DATA[[#This Row],[D, bottom '[m']]]+#REF!)/(2*#REF!/1000),"")</f>
        <v/>
      </c>
      <c r="CH67" s="51"/>
      <c r="CK67" s="51"/>
      <c r="CL67" s="73" t="str">
        <f>IFERROR((TOWER_DATA[[#This Row],[D, bottom '[m']]]+#REF!)/(2*#REF!/1000),"")</f>
        <v/>
      </c>
      <c r="CW67" s="99"/>
      <c r="CX67" s="99"/>
    </row>
    <row r="68" spans="1:102" ht="18" hidden="1" customHeight="1" outlineLevel="1">
      <c r="A68" s="271"/>
      <c r="D68" s="280"/>
      <c r="E68" s="52"/>
      <c r="K68"/>
      <c r="N68"/>
      <c r="O68" s="73" t="str">
        <f>IFERROR((MP_DATA[[#This Row],[D, bottom '[m']]]+#REF!)/(2*#REF!/1000),"")</f>
        <v/>
      </c>
      <c r="AV68"/>
      <c r="AY68"/>
      <c r="AZ68" s="73" t="str">
        <f>IFERROR((TP_DATA[[#This Row],[D, bottom '[m']]]+#REF!)/(2*#REF!/1000),"")</f>
        <v/>
      </c>
      <c r="CH68" s="51"/>
      <c r="CK68" s="51"/>
      <c r="CL68" s="73" t="str">
        <f>IFERROR((TOWER_DATA[[#This Row],[D, bottom '[m']]]+#REF!)/(2*#REF!/1000),"")</f>
        <v/>
      </c>
      <c r="CW68" s="99"/>
      <c r="CX68" s="99"/>
    </row>
    <row r="69" spans="1:102" ht="18" hidden="1" customHeight="1" outlineLevel="1">
      <c r="A69" s="271"/>
      <c r="D69" s="280"/>
      <c r="E69" s="52"/>
      <c r="K69"/>
      <c r="N69"/>
      <c r="O69" s="73" t="str">
        <f>IFERROR((MP_DATA[[#This Row],[D, bottom '[m']]]+#REF!)/(2*#REF!/1000),"")</f>
        <v/>
      </c>
      <c r="AV69"/>
      <c r="AY69"/>
      <c r="AZ69" s="73" t="str">
        <f>IFERROR((TP_DATA[[#This Row],[D, bottom '[m']]]+#REF!)/(2*#REF!/1000),"")</f>
        <v/>
      </c>
      <c r="CH69" s="51"/>
      <c r="CK69" s="51"/>
      <c r="CL69" s="73" t="str">
        <f>IFERROR((TOWER_DATA[[#This Row],[D, bottom '[m']]]+#REF!)/(2*#REF!/1000),"")</f>
        <v/>
      </c>
      <c r="CW69" s="99"/>
      <c r="CX69" s="99"/>
    </row>
    <row r="70" spans="1:102" ht="18" hidden="1" customHeight="1" outlineLevel="1">
      <c r="A70" s="271"/>
      <c r="D70" s="280"/>
      <c r="E70" s="52"/>
      <c r="K70"/>
      <c r="N70"/>
      <c r="O70" s="73" t="str">
        <f>IFERROR((MP_DATA[[#This Row],[D, bottom '[m']]]+#REF!)/(2*#REF!/1000),"")</f>
        <v/>
      </c>
      <c r="AV70"/>
      <c r="AY70"/>
      <c r="AZ70" s="73" t="str">
        <f>IFERROR((TP_DATA[[#This Row],[D, bottom '[m']]]+#REF!)/(2*#REF!/1000),"")</f>
        <v/>
      </c>
      <c r="CH70" s="51"/>
      <c r="CK70" s="51"/>
      <c r="CL70" s="73" t="str">
        <f>IFERROR((TOWER_DATA[[#This Row],[D, bottom '[m']]]+#REF!)/(2*#REF!/1000),"")</f>
        <v/>
      </c>
      <c r="CW70" s="99"/>
      <c r="CX70" s="99"/>
    </row>
    <row r="71" spans="1:102" ht="18" hidden="1" customHeight="1" outlineLevel="1">
      <c r="A71" s="271"/>
      <c r="D71" s="280"/>
      <c r="E71" s="52"/>
      <c r="K71"/>
      <c r="N71"/>
      <c r="O71" s="73" t="str">
        <f>IFERROR((MP_DATA[[#This Row],[D, bottom '[m']]]+#REF!)/(2*#REF!/1000),"")</f>
        <v/>
      </c>
      <c r="AV71"/>
      <c r="AY71"/>
      <c r="AZ71" s="73" t="str">
        <f>IFERROR((TP_DATA[[#This Row],[D, bottom '[m']]]+#REF!)/(2*#REF!/1000),"")</f>
        <v/>
      </c>
      <c r="CH71" s="51"/>
      <c r="CK71" s="51"/>
      <c r="CL71" s="73" t="str">
        <f>IFERROR((TOWER_DATA[[#This Row],[D, bottom '[m']]]+#REF!)/(2*#REF!/1000),"")</f>
        <v/>
      </c>
      <c r="CW71" s="99"/>
      <c r="CX71" s="99"/>
    </row>
    <row r="72" spans="1:102" ht="18" hidden="1" customHeight="1" outlineLevel="1">
      <c r="A72" s="271"/>
      <c r="D72" s="280"/>
      <c r="E72" s="52"/>
      <c r="K72"/>
      <c r="N72"/>
      <c r="O72" s="73" t="str">
        <f>IFERROR((MP_DATA[[#This Row],[D, bottom '[m']]]+#REF!)/(2*#REF!/1000),"")</f>
        <v/>
      </c>
      <c r="AV72"/>
      <c r="AY72"/>
      <c r="AZ72" s="73" t="str">
        <f>IFERROR((TP_DATA[[#This Row],[D, bottom '[m']]]+#REF!)/(2*#REF!/1000),"")</f>
        <v/>
      </c>
      <c r="CH72" s="51"/>
      <c r="CK72" s="51"/>
      <c r="CL72" s="73" t="str">
        <f>IFERROR((TOWER_DATA[[#This Row],[D, bottom '[m']]]+#REF!)/(2*#REF!/1000),"")</f>
        <v/>
      </c>
      <c r="CW72" s="99"/>
      <c r="CX72" s="99"/>
    </row>
    <row r="73" spans="1:102" ht="18" hidden="1" customHeight="1" outlineLevel="1">
      <c r="A73" s="271"/>
      <c r="D73" s="280"/>
      <c r="E73" s="52"/>
      <c r="K73"/>
      <c r="N73"/>
      <c r="O73" s="73" t="str">
        <f>IFERROR((MP_DATA[[#This Row],[D, bottom '[m']]]+#REF!)/(2*#REF!/1000),"")</f>
        <v/>
      </c>
      <c r="AV73"/>
      <c r="AY73"/>
      <c r="AZ73" s="73" t="str">
        <f>IFERROR((TP_DATA[[#This Row],[D, bottom '[m']]]+#REF!)/(2*#REF!/1000),"")</f>
        <v/>
      </c>
      <c r="CH73" s="51"/>
      <c r="CK73" s="51"/>
      <c r="CL73" s="73" t="str">
        <f>IFERROR((TOWER_DATA[[#This Row],[D, bottom '[m']]]+#REF!)/(2*#REF!/1000),"")</f>
        <v/>
      </c>
      <c r="CW73" s="99"/>
      <c r="CX73" s="99"/>
    </row>
    <row r="74" spans="1:102" ht="18" hidden="1" customHeight="1" outlineLevel="1">
      <c r="A74" s="271"/>
      <c r="D74" s="280"/>
      <c r="E74" s="52"/>
      <c r="K74"/>
      <c r="N74"/>
      <c r="O74" s="73" t="str">
        <f>IFERROR((MP_DATA[[#This Row],[D, bottom '[m']]]+#REF!)/(2*#REF!/1000),"")</f>
        <v/>
      </c>
      <c r="AV74"/>
      <c r="AY74"/>
      <c r="AZ74" s="73" t="str">
        <f>IFERROR((TP_DATA[[#This Row],[D, bottom '[m']]]+#REF!)/(2*#REF!/1000),"")</f>
        <v/>
      </c>
      <c r="CH74" s="51"/>
      <c r="CK74" s="51"/>
      <c r="CL74" s="73" t="str">
        <f>IFERROR((TOWER_DATA[[#This Row],[D, bottom '[m']]]+#REF!)/(2*#REF!/1000),"")</f>
        <v/>
      </c>
      <c r="CW74" s="99"/>
      <c r="CX74" s="99"/>
    </row>
    <row r="75" spans="1:102" ht="18" hidden="1" customHeight="1" outlineLevel="1">
      <c r="A75" s="271"/>
      <c r="D75" s="280"/>
      <c r="E75" s="52"/>
      <c r="K75"/>
      <c r="N75"/>
      <c r="O75" s="73" t="str">
        <f>IFERROR((MP_DATA[[#This Row],[D, bottom '[m']]]+#REF!)/(2*#REF!/1000),"")</f>
        <v/>
      </c>
      <c r="AV75"/>
      <c r="AY75"/>
      <c r="AZ75" s="73" t="str">
        <f>IFERROR((TP_DATA[[#This Row],[D, bottom '[m']]]+#REF!)/(2*#REF!/1000),"")</f>
        <v/>
      </c>
      <c r="CH75" s="51"/>
      <c r="CK75" s="51"/>
      <c r="CL75" s="73" t="str">
        <f>IFERROR((TOWER_DATA[[#This Row],[D, bottom '[m']]]+#REF!)/(2*#REF!/1000),"")</f>
        <v/>
      </c>
      <c r="CW75" s="99"/>
      <c r="CX75" s="99"/>
    </row>
    <row r="76" spans="1:102" ht="18" hidden="1" customHeight="1" outlineLevel="1">
      <c r="A76" s="271"/>
      <c r="D76" s="280"/>
      <c r="E76" s="52"/>
      <c r="K76"/>
      <c r="N76"/>
      <c r="O76" s="73" t="str">
        <f>IFERROR((MP_DATA[[#This Row],[D, bottom '[m']]]+#REF!)/(2*#REF!/1000),"")</f>
        <v/>
      </c>
      <c r="AV76"/>
      <c r="AY76"/>
      <c r="AZ76" s="73" t="str">
        <f>IFERROR((TP_DATA[[#This Row],[D, bottom '[m']]]+#REF!)/(2*#REF!/1000),"")</f>
        <v/>
      </c>
      <c r="CH76" s="51"/>
      <c r="CK76" s="51"/>
      <c r="CL76" s="73" t="str">
        <f>IFERROR((TOWER_DATA[[#This Row],[D, bottom '[m']]]+#REF!)/(2*#REF!/1000),"")</f>
        <v/>
      </c>
      <c r="CW76" s="99"/>
      <c r="CX76" s="99"/>
    </row>
    <row r="77" spans="1:102" ht="18" hidden="1" customHeight="1" outlineLevel="1">
      <c r="A77" s="271"/>
      <c r="D77" s="280"/>
      <c r="E77" s="52"/>
      <c r="K77"/>
      <c r="N77"/>
      <c r="O77" s="73" t="str">
        <f>IFERROR((MP_DATA[[#This Row],[D, bottom '[m']]]+#REF!)/(2*#REF!/1000),"")</f>
        <v/>
      </c>
      <c r="AV77"/>
      <c r="AY77"/>
      <c r="AZ77" s="73" t="str">
        <f>IFERROR((TP_DATA[[#This Row],[D, bottom '[m']]]+#REF!)/(2*#REF!/1000),"")</f>
        <v/>
      </c>
      <c r="CH77" s="51"/>
      <c r="CK77" s="51"/>
      <c r="CL77" s="73" t="str">
        <f>IFERROR((TOWER_DATA[[#This Row],[D, bottom '[m']]]+#REF!)/(2*#REF!/1000),"")</f>
        <v/>
      </c>
      <c r="CW77" s="99"/>
      <c r="CX77" s="99"/>
    </row>
    <row r="78" spans="1:102" ht="18" hidden="1" customHeight="1" outlineLevel="1">
      <c r="A78" s="271"/>
      <c r="D78" s="280"/>
      <c r="E78" s="52"/>
      <c r="K78"/>
      <c r="N78"/>
      <c r="O78" s="73" t="str">
        <f>IFERROR((MP_DATA[[#This Row],[D, bottom '[m']]]+#REF!)/(2*#REF!/1000),"")</f>
        <v/>
      </c>
      <c r="AV78"/>
      <c r="AY78"/>
      <c r="AZ78" s="73" t="str">
        <f>IFERROR((TP_DATA[[#This Row],[D, bottom '[m']]]+#REF!)/(2*#REF!/1000),"")</f>
        <v/>
      </c>
      <c r="CH78" s="51"/>
      <c r="CK78" s="51"/>
      <c r="CL78" s="73" t="str">
        <f>IFERROR((TOWER_DATA[[#This Row],[D, bottom '[m']]]+#REF!)/(2*#REF!/1000),"")</f>
        <v/>
      </c>
      <c r="CW78" s="99"/>
      <c r="CX78" s="99"/>
    </row>
    <row r="79" spans="1:102" ht="18" hidden="1" customHeight="1" outlineLevel="1">
      <c r="A79" s="271"/>
      <c r="D79" s="280"/>
      <c r="E79" s="52"/>
      <c r="K79"/>
      <c r="N79"/>
      <c r="O79" s="73" t="str">
        <f>IFERROR((MP_DATA[[#This Row],[D, bottom '[m']]]+#REF!)/(2*#REF!/1000),"")</f>
        <v/>
      </c>
      <c r="AV79"/>
      <c r="AY79"/>
      <c r="AZ79" s="73" t="str">
        <f>IFERROR((TP_DATA[[#This Row],[D, bottom '[m']]]+#REF!)/(2*#REF!/1000),"")</f>
        <v/>
      </c>
      <c r="CH79" s="51"/>
      <c r="CK79" s="51"/>
      <c r="CL79" s="73" t="str">
        <f>IFERROR((TOWER_DATA[[#This Row],[D, bottom '[m']]]+#REF!)/(2*#REF!/1000),"")</f>
        <v/>
      </c>
      <c r="CW79" s="99"/>
      <c r="CX79" s="99"/>
    </row>
    <row r="80" spans="1:102" ht="18" hidden="1" customHeight="1" outlineLevel="1">
      <c r="A80" s="271"/>
      <c r="D80" s="280"/>
      <c r="E80" s="52"/>
      <c r="K80"/>
      <c r="N80"/>
      <c r="O80" s="73" t="str">
        <f>IFERROR((MP_DATA[[#This Row],[D, bottom '[m']]]+#REF!)/(2*#REF!/1000),"")</f>
        <v/>
      </c>
      <c r="AV80"/>
      <c r="AY80"/>
      <c r="AZ80" s="73" t="str">
        <f>IFERROR((TP_DATA[[#This Row],[D, bottom '[m']]]+#REF!)/(2*#REF!/1000),"")</f>
        <v/>
      </c>
      <c r="CH80" s="51"/>
      <c r="CK80" s="51"/>
      <c r="CL80" s="73" t="str">
        <f>IFERROR((TOWER_DATA[[#This Row],[D, bottom '[m']]]+#REF!)/(2*#REF!/1000),"")</f>
        <v/>
      </c>
      <c r="CW80" s="99"/>
      <c r="CX80" s="99"/>
    </row>
    <row r="81" spans="1:126" ht="18" hidden="1" customHeight="1" outlineLevel="1">
      <c r="A81" s="271"/>
      <c r="D81" s="280"/>
      <c r="E81" s="52"/>
      <c r="K81"/>
      <c r="N81"/>
      <c r="O81" s="73" t="str">
        <f>IFERROR((MP_DATA[[#This Row],[D, bottom '[m']]]+#REF!)/(2*#REF!/1000),"")</f>
        <v/>
      </c>
      <c r="AV81"/>
      <c r="AY81"/>
      <c r="AZ81" s="73" t="str">
        <f>IFERROR((TP_DATA[[#This Row],[D, bottom '[m']]]+#REF!)/(2*#REF!/1000),"")</f>
        <v/>
      </c>
      <c r="CH81" s="51"/>
      <c r="CK81" s="51"/>
      <c r="CL81" s="73" t="str">
        <f>IFERROR((TOWER_DATA[[#This Row],[D, bottom '[m']]]+#REF!)/(2*#REF!/1000),"")</f>
        <v/>
      </c>
      <c r="CW81" s="99"/>
      <c r="CX81" s="99"/>
    </row>
    <row r="82" spans="1:126" ht="18" hidden="1" customHeight="1" outlineLevel="1">
      <c r="A82" s="271"/>
      <c r="D82" s="280"/>
      <c r="E82" s="52"/>
      <c r="K82" s="73" t="str">
        <f>IFERROR(MP_DATA[[#This Row],[Bottom '[m']]]-MP_DATA[[#This Row],[D, top '[m']]], "")</f>
        <v/>
      </c>
      <c r="L82" t="str">
        <f>IFERROR(-(MP_DATA[[#This Row],[D, bottom '[m']]]-MP_DATA[[#This Row],[D, top '[m']]])/(MP_DATA[[#This Row],[Bottom '[m']]]-MP_DATA[[#This Row],[Top '[m']]]),"")</f>
        <v/>
      </c>
      <c r="M82" s="73" t="str">
        <f t="shared" ref="M82:M110" si="0">IF(7850/1000*(1/3)*PI()*ABS(F141-G141)*((H141/2)^2+(H141/2)*(I141/2)+(I141/2)^2-(H141/2-J141/1000)^2-(H141/2-J141/1000)*(I141/2-J141/1000)-(I141/2-J141/1000)^2)=0,"",7850/1000*(1/3)*PI()*ABS(F141-G141)*((H141/2)^2+(H141/2)*(I141/2)+(I141/2)^2-(H141/2-J141/1000)^2-(H141/2-J141/1000)*(I141/2-J141/1000)-(I141/2-J141/1000)^2))</f>
        <v/>
      </c>
      <c r="N82" s="73" t="str">
        <f>IFERROR((MP_DATA[[#This Row],[D, bottom '[m']]]+MP_DATA[[#This Row],[D, top '[m']]])/(2*MP_DATA[[#This Row],[t '[mm']]]/1000),"")</f>
        <v/>
      </c>
      <c r="O82" s="73" t="str">
        <f>IFERROR((MP_DATA[[#This Row],[D, bottom '[m']]]+#REF!)/(2*#REF!/1000),"")</f>
        <v/>
      </c>
      <c r="AV82" s="73" t="str">
        <f>IFERROR(TP_DATA[[#This Row],[Bottom '[m']]]-TP_DATA[[#This Row],[D, top '[m']]], "")</f>
        <v/>
      </c>
      <c r="AW82" t="str">
        <f>IFERROR(-(TP_DATA[[#This Row],[D, bottom '[m']]]-TP_DATA[[#This Row],[D, top '[m']]])/(TP_DATA[[#This Row],[Bottom '[m']]]-TP_DATA[[#This Row],[Top '[m']]]),"")</f>
        <v/>
      </c>
      <c r="AX82" s="73" t="str">
        <f>IF(7850/1000*(1/3)*PI()*ABS(AQ144-AR144)*((AS144/2)^2+(AS144/2)*(AT144/2)+(AT144/2)^2-(AS144/2-AU144/1000)^2-(AS144/2-AU144/1000)*(AT144/2-AU144/1000)-(AT144/2-AU144/1000)^2)=0,"",7850/1000*(1/3)*PI()*ABS(AQ144-AR144)*((AS144/2)^2+(AS144/2)*(AT144/2)+(AT144/2)^2-(AS144/2-AU144/1000)^2-(AS144/2-AU144/1000)*(AT144/2-AU144/1000)-(AT144/2-AU144/1000)^2))</f>
        <v/>
      </c>
      <c r="AY82" s="73" t="str">
        <f>IFERROR((TP_DATA[[#This Row],[D, bottom '[m']]]+TP_DATA[[#This Row],[D, top '[m']]])/(2*TP_DATA[[#This Row],[t '[mm']]]/1000),"")</f>
        <v/>
      </c>
      <c r="AZ82" s="73" t="str">
        <f>IFERROR((TP_DATA[[#This Row],[D, bottom '[m']]]+#REF!)/(2*#REF!/1000),"")</f>
        <v/>
      </c>
      <c r="CH82" s="54" t="str">
        <f>IFERROR(TOWER_DATA[[#This Row],[Bottom '[m']]]-TOWER_DATA[[#This Row],[D, top '[m']]], "")</f>
        <v/>
      </c>
      <c r="CI82" s="51" t="str">
        <f>IFERROR(-(TOWER_DATA[[#This Row],[D, bottom '[m']]]-TOWER_DATA[[#This Row],[D, top '[m']]])/(TOWER_DATA[[#This Row],[Bottom '[m']]]-TOWER_DATA[[#This Row],[Top '[m']]]),"")</f>
        <v/>
      </c>
      <c r="CJ82" s="54" t="str">
        <f t="shared" ref="CJ82:CJ84" si="1">IF(7850/1000*(1/3)*PI()*ABS(CC141-CD141)*((CE141/2)^2+(CE141/2)*(CF141/2)+(CF141/2)^2-(CE141/2-CG141/1000)^2-(CE141/2-CG141/1000)*(CF141/2-CG141/1000)-(CF141/2-CG141/1000)^2)=0,"",7850/1000*(1/3)*PI()*ABS(CC141-CD141)*((CE141/2)^2+(CE141/2)*(CF141/2)+(CF141/2)^2-(CE141/2-CG141/1000)^2-(CE141/2-CG141/1000)*(CF141/2-CG141/1000)-(CF141/2-CG141/1000)^2))</f>
        <v/>
      </c>
      <c r="CK82" s="54" t="str">
        <f>IFERROR((TOWER_DATA[[#This Row],[D, bottom '[m']]]+TOWER_DATA[[#This Row],[D, top '[m']]])/(2*TOWER_DATA[[#This Row],[t '[mm']]]/1000),"")</f>
        <v/>
      </c>
      <c r="CL82" s="73" t="str">
        <f>IFERROR((TOWER_DATA[[#This Row],[D, bottom '[m']]]+#REF!)/(2*#REF!/1000),"")</f>
        <v/>
      </c>
      <c r="CW82" s="99"/>
      <c r="CX82" s="99"/>
    </row>
    <row r="83" spans="1:126" ht="18" hidden="1" customHeight="1" outlineLevel="1">
      <c r="A83" s="271"/>
      <c r="D83" s="280"/>
      <c r="E83" s="52"/>
      <c r="K83" s="73" t="str">
        <f>IFERROR(MP_DATA[[#This Row],[Bottom '[m']]]-MP_DATA[[#This Row],[D, top '[m']]], "")</f>
        <v/>
      </c>
      <c r="L83" t="str">
        <f>IFERROR(-(MP_DATA[[#This Row],[D, bottom '[m']]]-MP_DATA[[#This Row],[D, top '[m']]])/(MP_DATA[[#This Row],[Bottom '[m']]]-MP_DATA[[#This Row],[Top '[m']]]),"")</f>
        <v/>
      </c>
      <c r="M83" s="73" t="str">
        <f t="shared" si="0"/>
        <v/>
      </c>
      <c r="N83" s="73" t="str">
        <f>IFERROR((MP_DATA[[#This Row],[D, bottom '[m']]]+MP_DATA[[#This Row],[D, top '[m']]])/(2*MP_DATA[[#This Row],[t '[mm']]]/1000),"")</f>
        <v/>
      </c>
      <c r="O83" s="73" t="str">
        <f>IFERROR((MP_DATA[[#This Row],[D, bottom '[m']]]+#REF!)/(2*#REF!/1000),"")</f>
        <v/>
      </c>
      <c r="AV83" s="73" t="str">
        <f>IFERROR(TP_DATA[[#This Row],[Bottom '[m']]]-TP_DATA[[#This Row],[D, top '[m']]], "")</f>
        <v/>
      </c>
      <c r="AW83" t="str">
        <f>IFERROR(-(TP_DATA[[#This Row],[D, bottom '[m']]]-TP_DATA[[#This Row],[D, top '[m']]])/(TP_DATA[[#This Row],[Bottom '[m']]]-TP_DATA[[#This Row],[Top '[m']]]),"")</f>
        <v/>
      </c>
      <c r="AX83" s="73" t="str">
        <f>IF(7850/1000*(1/3)*PI()*ABS(AQ145-AR145)*((AS145/2)^2+(AS145/2)*(AT145/2)+(AT145/2)^2-(AS145/2-AU145/1000)^2-(AS145/2-AU145/1000)*(AT145/2-AU145/1000)-(AT145/2-AU145/1000)^2)=0,"",7850/1000*(1/3)*PI()*ABS(AQ145-AR145)*((AS145/2)^2+(AS145/2)*(AT145/2)+(AT145/2)^2-(AS145/2-AU145/1000)^2-(AS145/2-AU145/1000)*(AT145/2-AU145/1000)-(AT145/2-AU145/1000)^2))</f>
        <v/>
      </c>
      <c r="AY83" s="73" t="str">
        <f>IFERROR((TP_DATA[[#This Row],[D, bottom '[m']]]+TP_DATA[[#This Row],[D, top '[m']]])/(2*TP_DATA[[#This Row],[t '[mm']]]/1000),"")</f>
        <v/>
      </c>
      <c r="AZ83" s="73" t="str">
        <f>IFERROR((TP_DATA[[#This Row],[D, bottom '[m']]]+#REF!)/(2*#REF!/1000),"")</f>
        <v/>
      </c>
      <c r="CH83" s="54" t="str">
        <f>IFERROR(TOWER_DATA[[#This Row],[Bottom '[m']]]-TOWER_DATA[[#This Row],[D, top '[m']]], "")</f>
        <v/>
      </c>
      <c r="CI83" s="51" t="str">
        <f>IFERROR(-(TOWER_DATA[[#This Row],[D, bottom '[m']]]-TOWER_DATA[[#This Row],[D, top '[m']]])/(TOWER_DATA[[#This Row],[Bottom '[m']]]-TOWER_DATA[[#This Row],[Top '[m']]]),"")</f>
        <v/>
      </c>
      <c r="CJ83" s="54" t="str">
        <f t="shared" si="1"/>
        <v/>
      </c>
      <c r="CK83" s="54" t="str">
        <f>IFERROR((TOWER_DATA[[#This Row],[D, bottom '[m']]]+TOWER_DATA[[#This Row],[D, top '[m']]])/(2*TOWER_DATA[[#This Row],[t '[mm']]]/1000),"")</f>
        <v/>
      </c>
      <c r="CL83" s="73" t="str">
        <f>IFERROR((TOWER_DATA[[#This Row],[D, bottom '[m']]]+#REF!)/(2*#REF!/1000),"")</f>
        <v/>
      </c>
      <c r="CW83" s="99"/>
      <c r="CX83" s="99"/>
    </row>
    <row r="84" spans="1:126" ht="18" hidden="1" customHeight="1" outlineLevel="1">
      <c r="A84" s="271"/>
      <c r="D84" s="280"/>
      <c r="E84" s="52"/>
      <c r="K84" s="73" t="str">
        <f>IFERROR(MP_DATA[[#This Row],[Bottom '[m']]]-MP_DATA[[#This Row],[D, top '[m']]], "")</f>
        <v/>
      </c>
      <c r="L84" s="73" t="str">
        <f>IFERROR(-(MP_DATA[[#This Row],[D, bottom '[m']]]-MP_DATA[[#This Row],[D, top '[m']]])/(MP_DATA[[#This Row],[Bottom '[m']]]-MP_DATA[[#This Row],[Top '[m']]]),"")</f>
        <v/>
      </c>
      <c r="M84" s="73" t="str">
        <f t="shared" si="0"/>
        <v/>
      </c>
      <c r="N84" s="73" t="str">
        <f>IFERROR((MP_DATA[[#This Row],[D, bottom '[m']]]+MP_DATA[[#This Row],[D, top '[m']]])/(2*MP_DATA[[#This Row],[t '[mm']]]/1000),"")</f>
        <v/>
      </c>
      <c r="O84" s="73" t="str">
        <f>IFERROR((MP_DATA[[#This Row],[D, bottom '[m']]]+#REF!)/(2*#REF!/1000),"")</f>
        <v/>
      </c>
      <c r="AV84" s="73" t="str">
        <f>IFERROR(TP_DATA[[#This Row],[Bottom '[m']]]-TP_DATA[[#This Row],[D, top '[m']]], "")</f>
        <v/>
      </c>
      <c r="AW84" s="73" t="str">
        <f>IFERROR(-(TP_DATA[[#This Row],[D, bottom '[m']]]-TP_DATA[[#This Row],[D, top '[m']]])/(TP_DATA[[#This Row],[Bottom '[m']]]-TP_DATA[[#This Row],[Top '[m']]]),"")</f>
        <v/>
      </c>
      <c r="AX84" s="73" t="str">
        <f>IF(7850/1000*(1/3)*PI()*ABS(AQ146-AR146)*((AS146/2)^2+(AS146/2)*(AT146/2)+(AT146/2)^2-(AS146/2-AU146/1000)^2-(AS146/2-AU146/1000)*(AT146/2-AU146/1000)-(AT146/2-AU146/1000)^2)=0,"",7850/1000*(1/3)*PI()*ABS(AQ146-AR146)*((AS146/2)^2+(AS146/2)*(AT146/2)+(AT146/2)^2-(AS146/2-AU146/1000)^2-(AS146/2-AU146/1000)*(AT146/2-AU146/1000)-(AT146/2-AU146/1000)^2))</f>
        <v/>
      </c>
      <c r="AY84" s="73" t="str">
        <f>IFERROR((TP_DATA[[#This Row],[D, bottom '[m']]]+TP_DATA[[#This Row],[D, top '[m']]])/(2*TP_DATA[[#This Row],[t '[mm']]]/1000),"")</f>
        <v/>
      </c>
      <c r="AZ84" s="73" t="str">
        <f>IFERROR((TP_DATA[[#This Row],[D, bottom '[m']]]+#REF!)/(2*#REF!/1000),"")</f>
        <v/>
      </c>
      <c r="CH84" s="54" t="str">
        <f>IFERROR(TOWER_DATA[[#This Row],[Bottom '[m']]]-TOWER_DATA[[#This Row],[D, top '[m']]], "")</f>
        <v/>
      </c>
      <c r="CI84" s="54" t="str">
        <f>IFERROR(-(TOWER_DATA[[#This Row],[D, bottom '[m']]]-TOWER_DATA[[#This Row],[D, top '[m']]])/(TOWER_DATA[[#This Row],[Bottom '[m']]]-TOWER_DATA[[#This Row],[Top '[m']]]),"")</f>
        <v/>
      </c>
      <c r="CJ84" s="54" t="str">
        <f t="shared" si="1"/>
        <v/>
      </c>
      <c r="CK84" s="54" t="str">
        <f>IFERROR((TOWER_DATA[[#This Row],[D, bottom '[m']]]+TOWER_DATA[[#This Row],[D, top '[m']]])/(2*TOWER_DATA[[#This Row],[t '[mm']]]/1000),"")</f>
        <v/>
      </c>
      <c r="CL84" s="73" t="str">
        <f>IFERROR((TOWER_DATA[[#This Row],[D, bottom '[m']]]+#REF!)/(2*#REF!/1000),"")</f>
        <v/>
      </c>
      <c r="CW84" s="99"/>
      <c r="CX84" s="99"/>
    </row>
    <row r="85" spans="1:126" ht="18" hidden="1" customHeight="1" outlineLevel="1">
      <c r="A85" s="271"/>
      <c r="D85" s="280"/>
      <c r="E85" s="52"/>
      <c r="K85"/>
      <c r="N85"/>
      <c r="O85" s="73" t="str">
        <f>IFERROR((MP_DATA[[#This Row],[D, bottom '[m']]]+#REF!)/(2*#REF!/1000),"")</f>
        <v/>
      </c>
      <c r="AV85"/>
      <c r="AY85"/>
      <c r="AZ85" s="73" t="str">
        <f>IFERROR((TP_DATA[[#This Row],[D, bottom '[m']]]+#REF!)/(2*#REF!/1000),"")</f>
        <v/>
      </c>
      <c r="CH85" s="51"/>
      <c r="CK85" s="51"/>
      <c r="CL85" s="73" t="str">
        <f>IFERROR((TOWER_DATA[[#This Row],[D, bottom '[m']]]+#REF!)/(2*#REF!/1000),"")</f>
        <v/>
      </c>
      <c r="CW85" s="99"/>
      <c r="CX85" s="99"/>
    </row>
    <row r="86" spans="1:126" ht="18" hidden="1" customHeight="1" outlineLevel="1">
      <c r="A86" s="271"/>
      <c r="D86" s="280"/>
      <c r="E86" s="52"/>
      <c r="K86"/>
      <c r="N86"/>
      <c r="O86" s="73" t="str">
        <f>IFERROR((MP_DATA[[#This Row],[D, bottom '[m']]]+#REF!)/(2*#REF!/1000),"")</f>
        <v/>
      </c>
      <c r="AV86"/>
      <c r="AY86"/>
      <c r="AZ86" s="73" t="str">
        <f>IFERROR((TP_DATA[[#This Row],[D, bottom '[m']]]+#REF!)/(2*#REF!/1000),"")</f>
        <v/>
      </c>
      <c r="CH86" s="51"/>
      <c r="CK86" s="51"/>
      <c r="CL86" s="73" t="str">
        <f>IFERROR((TOWER_DATA[[#This Row],[D, bottom '[m']]]+#REF!)/(2*#REF!/1000),"")</f>
        <v/>
      </c>
      <c r="CW86" s="99"/>
      <c r="CX86" s="99"/>
    </row>
    <row r="87" spans="1:126" ht="18" hidden="1" customHeight="1" outlineLevel="1">
      <c r="A87" s="271"/>
      <c r="D87" s="280"/>
      <c r="E87" s="52"/>
      <c r="K87"/>
      <c r="N87"/>
      <c r="O87" s="73" t="str">
        <f>IFERROR((MP_DATA[[#This Row],[D, bottom '[m']]]+#REF!)/(2*#REF!/1000),"")</f>
        <v/>
      </c>
      <c r="AV87"/>
      <c r="AY87"/>
      <c r="AZ87" s="73" t="str">
        <f>IFERROR((TP_DATA[[#This Row],[D, bottom '[m']]]+#REF!)/(2*#REF!/1000),"")</f>
        <v/>
      </c>
      <c r="CH87" s="51"/>
      <c r="CK87" s="51"/>
      <c r="CL87" s="73" t="str">
        <f>IFERROR((TOWER_DATA[[#This Row],[D, bottom '[m']]]+#REF!)/(2*#REF!/1000),"")</f>
        <v/>
      </c>
      <c r="CW87" s="99"/>
      <c r="CX87" s="99"/>
    </row>
    <row r="88" spans="1:126" ht="18" hidden="1" customHeight="1" outlineLevel="1">
      <c r="A88" s="271"/>
      <c r="D88" s="280"/>
      <c r="E88" s="52"/>
      <c r="K88"/>
      <c r="N88"/>
      <c r="O88" s="73" t="str">
        <f>IFERROR((MP_DATA[[#This Row],[D, bottom '[m']]]+#REF!)/(2*#REF!/1000),"")</f>
        <v/>
      </c>
      <c r="AV88"/>
      <c r="AY88"/>
      <c r="AZ88" s="73" t="str">
        <f>IFERROR((TP_DATA[[#This Row],[D, bottom '[m']]]+#REF!)/(2*#REF!/1000),"")</f>
        <v/>
      </c>
      <c r="CH88" s="51"/>
      <c r="CK88" s="51"/>
      <c r="CL88" s="73" t="str">
        <f>IFERROR((TOWER_DATA[[#This Row],[D, bottom '[m']]]+#REF!)/(2*#REF!/1000),"")</f>
        <v/>
      </c>
      <c r="CW88" s="99"/>
      <c r="CX88" s="99"/>
      <c r="DV88" t="str">
        <f>IF(7850/1000*(1/3)*PI()*ABS(DO88-DQ88)*((DR88/2)^2+(DR88/2)*(DS88/2)+(DS88/2)^2-(DR88/2-DU88/1000)^2-(DR88/2-DU88/1000)*(DS88/2-DU88/1000)-(DS88/2-DU88/1000)^2)=0,"",7850/1000*(1/3)*PI()*ABS(DO88-DQ88)*((DR88/2)^2+(DR88/2)*(DS88/2)+(DS88/2)^2-(DR88/2-DU88/1000)^2-(DR88/2-DU88/1000)*(DS88/2-DU88/1000)-(DS88/2-DU88/1000)^2))</f>
        <v/>
      </c>
    </row>
    <row r="89" spans="1:126" ht="18" hidden="1" customHeight="1" outlineLevel="1">
      <c r="A89" s="271"/>
      <c r="D89" s="280"/>
      <c r="E89" s="52"/>
      <c r="K89"/>
      <c r="N89"/>
      <c r="O89" s="73" t="str">
        <f>IFERROR((MP_DATA[[#This Row],[D, bottom '[m']]]+#REF!)/(2*#REF!/1000),"")</f>
        <v/>
      </c>
      <c r="AV89"/>
      <c r="AY89"/>
      <c r="AZ89" s="73" t="str">
        <f>IFERROR((TP_DATA[[#This Row],[D, bottom '[m']]]+#REF!)/(2*#REF!/1000),"")</f>
        <v/>
      </c>
      <c r="CH89" s="51"/>
      <c r="CK89" s="51"/>
      <c r="CL89" s="73" t="str">
        <f>IFERROR((TOWER_DATA[[#This Row],[D, bottom '[m']]]+#REF!)/(2*#REF!/1000),"")</f>
        <v/>
      </c>
      <c r="CW89" s="99"/>
      <c r="CX89" s="99"/>
      <c r="DV89" t="str">
        <f>IF(7850/1000*(1/3)*PI()*ABS(DO89-DQ89)*((DR89/2)^2+(DR89/2)*(DS89/2)+(DS89/2)^2-(DR89/2-DU89/1000)^2-(DR89/2-DU89/1000)*(DS89/2-DU89/1000)-(DS89/2-DU89/1000)^2)=0,"",7850/1000*(1/3)*PI()*ABS(DO89-DQ89)*((DR89/2)^2+(DR89/2)*(DS89/2)+(DS89/2)^2-(DR89/2-DU89/1000)^2-(DR89/2-DU89/1000)*(DS89/2-DU89/1000)-(DS89/2-DU89/1000)^2))</f>
        <v/>
      </c>
    </row>
    <row r="90" spans="1:126" ht="18" hidden="1" customHeight="1" outlineLevel="1">
      <c r="A90" s="271"/>
      <c r="D90" s="280"/>
      <c r="E90" s="52"/>
      <c r="K90"/>
      <c r="N90"/>
      <c r="O90" s="73" t="str">
        <f>IFERROR((MP_DATA[[#This Row],[D, bottom '[m']]]+#REF!)/(2*#REF!/1000),"")</f>
        <v/>
      </c>
      <c r="AV90"/>
      <c r="AY90"/>
      <c r="AZ90" s="73" t="str">
        <f>IFERROR((TP_DATA[[#This Row],[D, bottom '[m']]]+#REF!)/(2*#REF!/1000),"")</f>
        <v/>
      </c>
      <c r="CH90" s="51"/>
      <c r="CK90" s="51"/>
      <c r="CL90" s="73" t="str">
        <f>IFERROR((TOWER_DATA[[#This Row],[D, bottom '[m']]]+#REF!)/(2*#REF!/1000),"")</f>
        <v/>
      </c>
      <c r="CW90" s="99"/>
      <c r="CX90" s="99"/>
      <c r="DV90" t="str">
        <f>IF(7850/1000*(1/3)*PI()*ABS(DO90-DQ90)*((DR90/2)^2+(DR90/2)*(DS90/2)+(DS90/2)^2-(DR90/2-DU90/1000)^2-(DR90/2-DU90/1000)*(DS90/2-DU90/1000)-(DS90/2-DU90/1000)^2)=0,"",7850/1000*(1/3)*PI()*ABS(DO90-DQ90)*((DR90/2)^2+(DR90/2)*(DS90/2)+(DS90/2)^2-(DR90/2-DU90/1000)^2-(DR90/2-DU90/1000)*(DS90/2-DU90/1000)-(DS90/2-DU90/1000)^2))</f>
        <v/>
      </c>
    </row>
    <row r="91" spans="1:126" ht="18" hidden="1" customHeight="1" outlineLevel="1">
      <c r="A91" s="271"/>
      <c r="D91" s="280"/>
      <c r="E91" s="52"/>
      <c r="K91"/>
      <c r="N91"/>
      <c r="O91" s="73" t="str">
        <f>IFERROR((MP_DATA[[#This Row],[D, bottom '[m']]]+#REF!)/(2*#REF!/1000),"")</f>
        <v/>
      </c>
      <c r="AV91"/>
      <c r="AY91"/>
      <c r="AZ91" s="73" t="str">
        <f>IFERROR((TP_DATA[[#This Row],[D, bottom '[m']]]+#REF!)/(2*#REF!/1000),"")</f>
        <v/>
      </c>
      <c r="CH91" s="51"/>
      <c r="CK91" s="51"/>
      <c r="CL91" s="73" t="str">
        <f>IFERROR((TOWER_DATA[[#This Row],[D, bottom '[m']]]+#REF!)/(2*#REF!/1000),"")</f>
        <v/>
      </c>
      <c r="CW91" s="99"/>
      <c r="CX91" s="99"/>
      <c r="DV91" t="str">
        <f t="shared" ref="DV91:DV110" si="2">IF(7850/1000*(1/3)*PI()*ABS(DO91-DQ91)*((DR91/2)^2+(DR91/2)*(DS91/2)+(DS91/2)^2-(DR91/2-DU91/1000)^2-(DR91/2-DU91/1000)*(DS91/2-DU91/1000)-(DS91/2-DU91/1000)^2)=0,"",7850/1000*(1/3)*PI()*ABS(DO91-DQ91)*((DR91/2)^2+(DR91/2)*(DS91/2)+(DS91/2)^2-(DR91/2-DU91/1000)^2-(DR91/2-DU91/1000)*(DS91/2-DU91/1000)-(DS91/2-DU91/1000)^2))</f>
        <v/>
      </c>
    </row>
    <row r="92" spans="1:126" ht="18" hidden="1" customHeight="1" outlineLevel="1">
      <c r="A92" s="271"/>
      <c r="D92" s="280"/>
      <c r="E92" s="52"/>
      <c r="K92"/>
      <c r="N92"/>
      <c r="O92" s="73" t="str">
        <f>IFERROR((MP_DATA[[#This Row],[D, bottom '[m']]]+#REF!)/(2*#REF!/1000),"")</f>
        <v/>
      </c>
      <c r="AV92"/>
      <c r="AY92"/>
      <c r="AZ92" s="73" t="str">
        <f>IFERROR((TP_DATA[[#This Row],[D, bottom '[m']]]+#REF!)/(2*#REF!/1000),"")</f>
        <v/>
      </c>
      <c r="CH92" s="51"/>
      <c r="CK92" s="51"/>
      <c r="CL92" s="73" t="str">
        <f>IFERROR((TOWER_DATA[[#This Row],[D, bottom '[m']]]+#REF!)/(2*#REF!/1000),"")</f>
        <v/>
      </c>
      <c r="CW92" s="99"/>
      <c r="CX92" s="99"/>
      <c r="DV92" t="str">
        <f t="shared" si="2"/>
        <v/>
      </c>
    </row>
    <row r="93" spans="1:126" ht="18" hidden="1" customHeight="1" outlineLevel="1">
      <c r="A93" s="271"/>
      <c r="D93" s="280"/>
      <c r="E93" s="52"/>
      <c r="K93"/>
      <c r="N93"/>
      <c r="O93" s="73" t="str">
        <f>IFERROR((MP_DATA[[#This Row],[D, bottom '[m']]]+#REF!)/(2*#REF!/1000),"")</f>
        <v/>
      </c>
      <c r="AV93"/>
      <c r="AY93"/>
      <c r="AZ93" s="73" t="str">
        <f>IFERROR((TP_DATA[[#This Row],[D, bottom '[m']]]+#REF!)/(2*#REF!/1000),"")</f>
        <v/>
      </c>
      <c r="CH93" s="51"/>
      <c r="CK93" s="51"/>
      <c r="CL93" s="73" t="str">
        <f>IFERROR((TOWER_DATA[[#This Row],[D, bottom '[m']]]+#REF!)/(2*#REF!/1000),"")</f>
        <v/>
      </c>
      <c r="CW93" s="99"/>
      <c r="CX93" s="99"/>
      <c r="DV93" t="str">
        <f t="shared" si="2"/>
        <v/>
      </c>
    </row>
    <row r="94" spans="1:126" ht="18" hidden="1" customHeight="1" outlineLevel="1">
      <c r="A94" s="271"/>
      <c r="D94" s="280"/>
      <c r="E94" s="52"/>
      <c r="K94"/>
      <c r="N94"/>
      <c r="O94" s="73" t="str">
        <f>IFERROR((MP_DATA[[#This Row],[D, bottom '[m']]]+#REF!)/(2*#REF!/1000),"")</f>
        <v/>
      </c>
      <c r="AV94"/>
      <c r="AY94"/>
      <c r="AZ94" s="73" t="str">
        <f>IFERROR((TP_DATA[[#This Row],[D, bottom '[m']]]+#REF!)/(2*#REF!/1000),"")</f>
        <v/>
      </c>
      <c r="CH94" s="51"/>
      <c r="CK94" s="51"/>
      <c r="CL94" s="73" t="str">
        <f>IFERROR((TOWER_DATA[[#This Row],[D, bottom '[m']]]+#REF!)/(2*#REF!/1000),"")</f>
        <v/>
      </c>
      <c r="CW94" s="99"/>
      <c r="CX94" s="99"/>
      <c r="DV94" t="str">
        <f t="shared" si="2"/>
        <v/>
      </c>
    </row>
    <row r="95" spans="1:126" ht="18" hidden="1" customHeight="1" outlineLevel="1">
      <c r="A95" s="271"/>
      <c r="D95" s="280"/>
      <c r="E95" s="52"/>
      <c r="K95"/>
      <c r="N95"/>
      <c r="O95" s="73" t="str">
        <f>IFERROR((MP_DATA[[#This Row],[D, bottom '[m']]]+#REF!)/(2*#REF!/1000),"")</f>
        <v/>
      </c>
      <c r="AV95"/>
      <c r="AY95"/>
      <c r="AZ95" s="73" t="str">
        <f>IFERROR((TP_DATA[[#This Row],[D, bottom '[m']]]+#REF!)/(2*#REF!/1000),"")</f>
        <v/>
      </c>
      <c r="CH95" s="51"/>
      <c r="CK95" s="51"/>
      <c r="CL95" s="73" t="str">
        <f>IFERROR((TOWER_DATA[[#This Row],[D, bottom '[m']]]+#REF!)/(2*#REF!/1000),"")</f>
        <v/>
      </c>
      <c r="CW95" s="99"/>
      <c r="CX95" s="99"/>
      <c r="DV95" t="str">
        <f t="shared" si="2"/>
        <v/>
      </c>
    </row>
    <row r="96" spans="1:126" ht="18" hidden="1" customHeight="1" outlineLevel="1">
      <c r="A96" s="271"/>
      <c r="D96" s="280"/>
      <c r="E96" s="52"/>
      <c r="K96"/>
      <c r="N96"/>
      <c r="O96" s="73" t="str">
        <f>IFERROR((MP_DATA[[#This Row],[D, bottom '[m']]]+#REF!)/(2*#REF!/1000),"")</f>
        <v/>
      </c>
      <c r="AV96"/>
      <c r="AY96"/>
      <c r="AZ96" s="73" t="str">
        <f>IFERROR((TP_DATA[[#This Row],[D, bottom '[m']]]+#REF!)/(2*#REF!/1000),"")</f>
        <v/>
      </c>
      <c r="CH96" s="51"/>
      <c r="CK96" s="51"/>
      <c r="CL96" s="73" t="str">
        <f>IFERROR((TOWER_DATA[[#This Row],[D, bottom '[m']]]+#REF!)/(2*#REF!/1000),"")</f>
        <v/>
      </c>
      <c r="CW96" s="99"/>
      <c r="CX96" s="99"/>
      <c r="DV96" t="str">
        <f t="shared" si="2"/>
        <v/>
      </c>
    </row>
    <row r="97" spans="1:127" ht="18" hidden="1" customHeight="1" outlineLevel="1">
      <c r="A97" s="271"/>
      <c r="D97" s="280"/>
      <c r="E97" s="52"/>
      <c r="K97"/>
      <c r="N97"/>
      <c r="O97" s="73" t="str">
        <f>IFERROR((MP_DATA[[#This Row],[D, bottom '[m']]]+#REF!)/(2*#REF!/1000),"")</f>
        <v/>
      </c>
      <c r="AV97"/>
      <c r="AY97"/>
      <c r="AZ97" s="73" t="str">
        <f>IFERROR((TP_DATA[[#This Row],[D, bottom '[m']]]+#REF!)/(2*#REF!/1000),"")</f>
        <v/>
      </c>
      <c r="CH97" s="51"/>
      <c r="CK97" s="51"/>
      <c r="CL97" s="73" t="str">
        <f>IFERROR((TOWER_DATA[[#This Row],[D, bottom '[m']]]+#REF!)/(2*#REF!/1000),"")</f>
        <v/>
      </c>
      <c r="CW97" s="99"/>
      <c r="CX97" s="99"/>
      <c r="DV97" t="str">
        <f t="shared" si="2"/>
        <v/>
      </c>
    </row>
    <row r="98" spans="1:127" ht="18" hidden="1" customHeight="1" outlineLevel="1">
      <c r="A98" s="271"/>
      <c r="D98" s="280"/>
      <c r="E98" s="52"/>
      <c r="K98"/>
      <c r="N98"/>
      <c r="O98" s="73" t="str">
        <f>IFERROR((MP_DATA[[#This Row],[D, bottom '[m']]]+#REF!)/(2*#REF!/1000),"")</f>
        <v/>
      </c>
      <c r="AV98"/>
      <c r="AY98"/>
      <c r="AZ98" s="73" t="str">
        <f>IFERROR((TP_DATA[[#This Row],[D, bottom '[m']]]+#REF!)/(2*#REF!/1000),"")</f>
        <v/>
      </c>
      <c r="CH98" s="51"/>
      <c r="CK98" s="51"/>
      <c r="CL98" s="73" t="str">
        <f>IFERROR((TOWER_DATA[[#This Row],[D, bottom '[m']]]+#REF!)/(2*#REF!/1000),"")</f>
        <v/>
      </c>
      <c r="CW98" s="99"/>
      <c r="CX98" s="99"/>
      <c r="DV98" t="str">
        <f t="shared" si="2"/>
        <v/>
      </c>
    </row>
    <row r="99" spans="1:127" ht="18" hidden="1" customHeight="1" outlineLevel="1">
      <c r="A99" s="271"/>
      <c r="D99" s="280"/>
      <c r="E99" s="52"/>
      <c r="K99"/>
      <c r="N99"/>
      <c r="O99" s="73" t="str">
        <f>IFERROR((MP_DATA[[#This Row],[D, bottom '[m']]]+#REF!)/(2*#REF!/1000),"")</f>
        <v/>
      </c>
      <c r="AV99"/>
      <c r="AY99"/>
      <c r="AZ99" s="73" t="str">
        <f>IFERROR((TP_DATA[[#This Row],[D, bottom '[m']]]+#REF!)/(2*#REF!/1000),"")</f>
        <v/>
      </c>
      <c r="CH99" s="51"/>
      <c r="CK99" s="51"/>
      <c r="CL99" s="73" t="str">
        <f>IFERROR((TOWER_DATA[[#This Row],[D, bottom '[m']]]+#REF!)/(2*#REF!/1000),"")</f>
        <v/>
      </c>
      <c r="CW99" s="99"/>
      <c r="CX99" s="99"/>
      <c r="DV99" t="str">
        <f t="shared" si="2"/>
        <v/>
      </c>
    </row>
    <row r="100" spans="1:127" ht="18" hidden="1" customHeight="1" outlineLevel="1">
      <c r="A100" s="271"/>
      <c r="D100" s="280"/>
      <c r="E100" s="52"/>
      <c r="K100"/>
      <c r="N100"/>
      <c r="O100" s="73" t="str">
        <f>IFERROR((MP_DATA[[#This Row],[D, bottom '[m']]]+#REF!)/(2*#REF!/1000),"")</f>
        <v/>
      </c>
      <c r="AV100"/>
      <c r="AY100"/>
      <c r="AZ100" s="73" t="str">
        <f>IFERROR((TP_DATA[[#This Row],[D, bottom '[m']]]+#REF!)/(2*#REF!/1000),"")</f>
        <v/>
      </c>
      <c r="CH100" s="51"/>
      <c r="CK100" s="51"/>
      <c r="CL100" s="73" t="str">
        <f>IFERROR((TOWER_DATA[[#This Row],[D, bottom '[m']]]+#REF!)/(2*#REF!/1000),"")</f>
        <v/>
      </c>
      <c r="CW100" s="99"/>
      <c r="CX100" s="99"/>
      <c r="DV100" t="str">
        <f t="shared" si="2"/>
        <v/>
      </c>
    </row>
    <row r="101" spans="1:127" ht="18" hidden="1" customHeight="1" outlineLevel="1">
      <c r="A101" s="271"/>
      <c r="D101" s="280"/>
      <c r="E101" s="52"/>
      <c r="K101"/>
      <c r="N101"/>
      <c r="O101" s="73" t="str">
        <f>IFERROR((MP_DATA[[#This Row],[D, bottom '[m']]]+#REF!)/(2*#REF!/1000),"")</f>
        <v/>
      </c>
      <c r="AV101"/>
      <c r="AY101"/>
      <c r="AZ101" s="73" t="str">
        <f>IFERROR((TP_DATA[[#This Row],[D, bottom '[m']]]+#REF!)/(2*#REF!/1000),"")</f>
        <v/>
      </c>
      <c r="CH101" s="51"/>
      <c r="CK101" s="51"/>
      <c r="CL101" s="73" t="str">
        <f>IFERROR((TOWER_DATA[[#This Row],[D, bottom '[m']]]+#REF!)/(2*#REF!/1000),"")</f>
        <v/>
      </c>
      <c r="CW101" s="99"/>
      <c r="CX101" s="99"/>
      <c r="DV101" t="str">
        <f t="shared" si="2"/>
        <v/>
      </c>
    </row>
    <row r="102" spans="1:127" ht="18" hidden="1" customHeight="1" outlineLevel="1">
      <c r="A102" s="271"/>
      <c r="D102" s="280"/>
      <c r="E102" s="52"/>
      <c r="K102"/>
      <c r="N102"/>
      <c r="O102" s="73" t="str">
        <f>IFERROR((MP_DATA[[#This Row],[D, bottom '[m']]]+#REF!)/(2*#REF!/1000),"")</f>
        <v/>
      </c>
      <c r="AV102"/>
      <c r="AY102"/>
      <c r="AZ102" s="73" t="str">
        <f>IFERROR((TP_DATA[[#This Row],[D, bottom '[m']]]+#REF!)/(2*#REF!/1000),"")</f>
        <v/>
      </c>
      <c r="CH102" s="51"/>
      <c r="CK102" s="51"/>
      <c r="CL102" s="73" t="str">
        <f>IFERROR((TOWER_DATA[[#This Row],[D, bottom '[m']]]+#REF!)/(2*#REF!/1000),"")</f>
        <v/>
      </c>
      <c r="CW102" s="99"/>
      <c r="CX102" s="99"/>
      <c r="DV102" t="str">
        <f t="shared" si="2"/>
        <v/>
      </c>
    </row>
    <row r="103" spans="1:127" ht="18" hidden="1" customHeight="1" outlineLevel="1">
      <c r="A103" s="271"/>
      <c r="D103" s="280"/>
      <c r="E103" s="52"/>
      <c r="K103"/>
      <c r="N103"/>
      <c r="O103" s="73" t="str">
        <f>IFERROR((MP_DATA[[#This Row],[D, bottom '[m']]]+#REF!)/(2*#REF!/1000),"")</f>
        <v/>
      </c>
      <c r="AV103"/>
      <c r="AY103"/>
      <c r="AZ103" s="73" t="str">
        <f>IFERROR((TP_DATA[[#This Row],[D, bottom '[m']]]+#REF!)/(2*#REF!/1000),"")</f>
        <v/>
      </c>
      <c r="CH103" s="51"/>
      <c r="CK103" s="51"/>
      <c r="CL103" s="73" t="str">
        <f>IFERROR((TOWER_DATA[[#This Row],[D, bottom '[m']]]+#REF!)/(2*#REF!/1000),"")</f>
        <v/>
      </c>
      <c r="CW103" s="99"/>
      <c r="CX103" s="99"/>
      <c r="DV103" t="str">
        <f t="shared" si="2"/>
        <v/>
      </c>
    </row>
    <row r="104" spans="1:127" ht="18" hidden="1" customHeight="1" outlineLevel="1">
      <c r="A104" s="271"/>
      <c r="D104" s="280"/>
      <c r="E104" s="52"/>
      <c r="K104"/>
      <c r="N104"/>
      <c r="O104" s="73" t="str">
        <f>IFERROR((MP_DATA[[#This Row],[D, bottom '[m']]]+#REF!)/(2*#REF!/1000),"")</f>
        <v/>
      </c>
      <c r="AV104"/>
      <c r="AY104"/>
      <c r="AZ104" s="73" t="str">
        <f>IFERROR((TP_DATA[[#This Row],[D, bottom '[m']]]+#REF!)/(2*#REF!/1000),"")</f>
        <v/>
      </c>
      <c r="CH104" s="51"/>
      <c r="CK104" s="51"/>
      <c r="CL104" s="73" t="str">
        <f>IFERROR((TOWER_DATA[[#This Row],[D, bottom '[m']]]+#REF!)/(2*#REF!/1000),"")</f>
        <v/>
      </c>
      <c r="CW104" s="99"/>
      <c r="CX104" s="99"/>
      <c r="DV104" t="str">
        <f t="shared" si="2"/>
        <v/>
      </c>
    </row>
    <row r="105" spans="1:127" ht="18" hidden="1" customHeight="1" outlineLevel="1">
      <c r="A105" s="271"/>
      <c r="D105" s="280"/>
      <c r="E105" s="52"/>
      <c r="K105"/>
      <c r="N105"/>
      <c r="O105" s="73" t="str">
        <f>IFERROR((MP_DATA[[#This Row],[D, bottom '[m']]]+#REF!)/(2*#REF!/1000),"")</f>
        <v/>
      </c>
      <c r="AV105"/>
      <c r="AY105"/>
      <c r="AZ105" s="73" t="str">
        <f>IFERROR((TP_DATA[[#This Row],[D, bottom '[m']]]+#REF!)/(2*#REF!/1000),"")</f>
        <v/>
      </c>
      <c r="CH105" s="51"/>
      <c r="CK105" s="51"/>
      <c r="CL105" s="73" t="str">
        <f>IFERROR((TOWER_DATA[[#This Row],[D, bottom '[m']]]+#REF!)/(2*#REF!/1000),"")</f>
        <v/>
      </c>
      <c r="CW105" s="99"/>
      <c r="CX105" s="99"/>
      <c r="DV105" t="str">
        <f t="shared" si="2"/>
        <v/>
      </c>
    </row>
    <row r="106" spans="1:127" ht="18" hidden="1" customHeight="1" outlineLevel="1">
      <c r="A106" s="271"/>
      <c r="D106" s="280"/>
      <c r="E106" s="52"/>
      <c r="K106"/>
      <c r="N106"/>
      <c r="O106" s="73" t="str">
        <f>IFERROR((MP_DATA[[#This Row],[D, bottom '[m']]]+#REF!)/(2*#REF!/1000),"")</f>
        <v/>
      </c>
      <c r="AV106"/>
      <c r="AY106"/>
      <c r="AZ106" s="73" t="str">
        <f>IFERROR((TP_DATA[[#This Row],[D, bottom '[m']]]+#REF!)/(2*#REF!/1000),"")</f>
        <v/>
      </c>
      <c r="CH106" s="51"/>
      <c r="CK106" s="51"/>
      <c r="CL106" s="73" t="str">
        <f>IFERROR((TOWER_DATA[[#This Row],[D, bottom '[m']]]+#REF!)/(2*#REF!/1000),"")</f>
        <v/>
      </c>
      <c r="CW106" s="99"/>
      <c r="CX106" s="99"/>
      <c r="DV106" t="str">
        <f t="shared" si="2"/>
        <v/>
      </c>
    </row>
    <row r="107" spans="1:127" ht="18" hidden="1" customHeight="1" outlineLevel="1">
      <c r="A107" s="271"/>
      <c r="D107" s="280"/>
      <c r="E107" s="52"/>
      <c r="K107"/>
      <c r="N107"/>
      <c r="O107" t="str">
        <f>IFERROR((MP_DATA[[#This Row],[D, bottom '[m']]]+#REF!)/(2*#REF!/1000),"")</f>
        <v/>
      </c>
      <c r="AV107"/>
      <c r="AY107"/>
      <c r="AZ107" t="str">
        <f>IFERROR((TP_DATA[[#This Row],[D, bottom '[m']]]+#REF!)/(2*#REF!/1000),"")</f>
        <v/>
      </c>
      <c r="CH107" s="51"/>
      <c r="CK107" s="51"/>
      <c r="CL107" t="str">
        <f>IFERROR((TOWER_DATA[[#This Row],[D, bottom '[m']]]+#REF!)/(2*#REF!/1000),"")</f>
        <v/>
      </c>
      <c r="CW107" s="99"/>
      <c r="CX107" s="99"/>
      <c r="DV107" t="str">
        <f t="shared" si="2"/>
        <v/>
      </c>
    </row>
    <row r="108" spans="1:127" ht="18" hidden="1" customHeight="1" outlineLevel="1">
      <c r="A108" s="271"/>
      <c r="D108" s="280"/>
      <c r="E108" s="52"/>
      <c r="K108"/>
      <c r="N108"/>
      <c r="O108" t="str">
        <f>IFERROR((MP_DATA[[#This Row],[D, bottom '[m']]]+#REF!)/(2*#REF!/1000),"")</f>
        <v/>
      </c>
      <c r="AV108"/>
      <c r="AY108"/>
      <c r="AZ108" t="str">
        <f>IFERROR((TP_DATA[[#This Row],[D, bottom '[m']]]+#REF!)/(2*#REF!/1000),"")</f>
        <v/>
      </c>
      <c r="CH108" s="51"/>
      <c r="CK108" s="51"/>
      <c r="CL108" t="str">
        <f>IFERROR((TOWER_DATA[[#This Row],[D, bottom '[m']]]+#REF!)/(2*#REF!/1000),"")</f>
        <v/>
      </c>
      <c r="CW108" s="99"/>
      <c r="CX108" s="99"/>
      <c r="DV108" t="str">
        <f t="shared" si="2"/>
        <v/>
      </c>
    </row>
    <row r="109" spans="1:127" ht="18" hidden="1" customHeight="1" outlineLevel="1">
      <c r="A109" s="271"/>
      <c r="D109" s="280"/>
      <c r="E109" s="52"/>
      <c r="K109" s="73" t="str">
        <f>IFERROR(MP_DATA[[#This Row],[Bottom '[m']]]-MP_DATA[[#This Row],[D, top '[m']]], "")</f>
        <v/>
      </c>
      <c r="L109" t="str">
        <f>IFERROR(-(MP_DATA[[#This Row],[D, bottom '[m']]]-MP_DATA[[#This Row],[D, top '[m']]])/(MP_DATA[[#This Row],[Bottom '[m']]]-MP_DATA[[#This Row],[Top '[m']]]),"")</f>
        <v/>
      </c>
      <c r="M109" s="73" t="str">
        <f t="shared" si="0"/>
        <v/>
      </c>
      <c r="N109" s="73" t="str">
        <f>IFERROR((MP_DATA[[#This Row],[D, bottom '[m']]]+MP_DATA[[#This Row],[D, top '[m']]])/(2*MP_DATA[[#This Row],[t '[mm']]]/1000),"")</f>
        <v/>
      </c>
      <c r="O109" t="str">
        <f>IFERROR((MP_DATA[[#This Row],[D, bottom '[m']]]+#REF!)/(2*#REF!/1000),"")</f>
        <v/>
      </c>
      <c r="AV109" s="73" t="str">
        <f>IFERROR(TP_DATA[[#This Row],[Bottom '[m']]]-TP_DATA[[#This Row],[D, top '[m']]], "")</f>
        <v/>
      </c>
      <c r="AW109" t="str">
        <f>IFERROR(-(TP_DATA[[#This Row],[D, bottom '[m']]]-TP_DATA[[#This Row],[D, top '[m']]])/(TP_DATA[[#This Row],[Bottom '[m']]]-TP_DATA[[#This Row],[Top '[m']]]),"")</f>
        <v/>
      </c>
      <c r="AX109" s="73" t="str">
        <f>IF(7850/1000*(1/3)*PI()*ABS(AQ171-AR171)*((AS171/2)^2+(AS171/2)*(AT171/2)+(AT171/2)^2-(AS171/2-AU171/1000)^2-(AS171/2-AU171/1000)*(AT171/2-AU171/1000)-(AT171/2-AU171/1000)^2)=0,"",7850/1000*(1/3)*PI()*ABS(AQ171-AR171)*((AS171/2)^2+(AS171/2)*(AT171/2)+(AT171/2)^2-(AS171/2-AU171/1000)^2-(AS171/2-AU171/1000)*(AT171/2-AU171/1000)-(AT171/2-AU171/1000)^2))</f>
        <v/>
      </c>
      <c r="AY109" s="73" t="str">
        <f>IFERROR((TP_DATA[[#This Row],[D, bottom '[m']]]+TP_DATA[[#This Row],[D, top '[m']]])/(2*TP_DATA[[#This Row],[t '[mm']]]/1000),"")</f>
        <v/>
      </c>
      <c r="AZ109" t="str">
        <f>IFERROR((TP_DATA[[#This Row],[D, bottom '[m']]]+#REF!)/(2*#REF!/1000),"")</f>
        <v/>
      </c>
      <c r="CH109" s="54" t="str">
        <f>IFERROR(TOWER_DATA[[#This Row],[Bottom '[m']]]-TOWER_DATA[[#This Row],[D, top '[m']]], "")</f>
        <v/>
      </c>
      <c r="CI109" s="51" t="str">
        <f>IFERROR(-(TOWER_DATA[[#This Row],[D, bottom '[m']]]-TOWER_DATA[[#This Row],[D, top '[m']]])/(TOWER_DATA[[#This Row],[Bottom '[m']]]-TOWER_DATA[[#This Row],[Top '[m']]]),"")</f>
        <v/>
      </c>
      <c r="CJ109" s="54" t="str">
        <f t="shared" ref="CJ109" si="3">IF(7850/1000*(1/3)*PI()*ABS(CC168-CD168)*((CE168/2)^2+(CE168/2)*(CF168/2)+(CF168/2)^2-(CE168/2-CG168/1000)^2-(CE168/2-CG168/1000)*(CF168/2-CG168/1000)-(CF168/2-CG168/1000)^2)=0,"",7850/1000*(1/3)*PI()*ABS(CC168-CD168)*((CE168/2)^2+(CE168/2)*(CF168/2)+(CF168/2)^2-(CE168/2-CG168/1000)^2-(CE168/2-CG168/1000)*(CF168/2-CG168/1000)-(CF168/2-CG168/1000)^2))</f>
        <v/>
      </c>
      <c r="CK109" s="54" t="str">
        <f>IFERROR((TOWER_DATA[[#This Row],[D, bottom '[m']]]+TOWER_DATA[[#This Row],[D, top '[m']]])/(2*TOWER_DATA[[#This Row],[t '[mm']]]/1000),"")</f>
        <v/>
      </c>
      <c r="CL109" t="str">
        <f>IFERROR((TOWER_DATA[[#This Row],[D, bottom '[m']]]+#REF!)/(2*#REF!/1000),"")</f>
        <v/>
      </c>
      <c r="DV109" t="str">
        <f t="shared" si="2"/>
        <v/>
      </c>
    </row>
    <row r="110" spans="1:127" ht="18" customHeight="1" collapsed="1">
      <c r="A110" s="271"/>
      <c r="D110" s="280"/>
      <c r="E110" s="52"/>
      <c r="K110" s="73" t="str">
        <f>IFERROR(MP_DATA[[#This Row],[Bottom '[m']]]-MP_DATA[[#This Row],[D, top '[m']]], "")</f>
        <v/>
      </c>
      <c r="L110" s="73" t="str">
        <f>IFERROR(-(MP_DATA[[#This Row],[D, bottom '[m']]]-MP_DATA[[#This Row],[D, top '[m']]])/(MP_DATA[[#This Row],[Bottom '[m']]]-MP_DATA[[#This Row],[Top '[m']]]),"")</f>
        <v/>
      </c>
      <c r="M110" s="73" t="str">
        <f t="shared" si="0"/>
        <v/>
      </c>
      <c r="N110" s="73" t="str">
        <f>IFERROR((MP_DATA[[#This Row],[D, bottom '[m']]]+MP_DATA[[#This Row],[D, top '[m']]])/(2*MP_DATA[[#This Row],[t '[mm']]]/1000),"")</f>
        <v/>
      </c>
      <c r="O110" t="str">
        <f>IFERROR((MP_DATA[[#This Row],[D, bottom '[m']]]+#REF!)/(2*#REF!/1000),"")</f>
        <v/>
      </c>
      <c r="AV110" s="73" t="str">
        <f>IFERROR(TP_DATA[[#This Row],[Bottom '[m']]]-TP_DATA[[#This Row],[D, top '[m']]], "")</f>
        <v/>
      </c>
      <c r="AW110" s="73" t="str">
        <f>IFERROR(-(TP_DATA[[#This Row],[D, bottom '[m']]]-TP_DATA[[#This Row],[D, top '[m']]])/(TP_DATA[[#This Row],[Bottom '[m']]]-TP_DATA[[#This Row],[Top '[m']]]),"")</f>
        <v/>
      </c>
      <c r="AX110" s="73" t="str">
        <f>IF(7850/1000*(1/3)*PI()*ABS(AQ172-AR172)*((AS172/2)^2+(AS172/2)*(AT172/2)+(AT172/2)^2-(AS172/2-AU172/1000)^2-(AS172/2-AU172/1000)*(AT172/2-AU172/1000)-(AT172/2-AU172/1000)^2)=0,"",7850/1000*(1/3)*PI()*ABS(AQ172-AR172)*((AS172/2)^2+(AS172/2)*(AT172/2)+(AT172/2)^2-(AS172/2-AU172/1000)^2-(AS172/2-AU172/1000)*(AT172/2-AU172/1000)-(AT172/2-AU172/1000)^2))</f>
        <v/>
      </c>
      <c r="AY110" s="73" t="str">
        <f>IFERROR((TP_DATA[[#This Row],[D, bottom '[m']]]+TP_DATA[[#This Row],[D, top '[m']]])/(2*TP_DATA[[#This Row],[t '[mm']]]/1000),"")</f>
        <v/>
      </c>
      <c r="AZ110" t="str">
        <f>IFERROR((TP_DATA[[#This Row],[D, bottom '[m']]]+#REF!)/(2*#REF!/1000),"")</f>
        <v/>
      </c>
      <c r="CH110" s="54" t="str">
        <f>IFERROR(TOWER_DATA[[#This Row],[Bottom '[m']]]-TOWER_DATA[[#This Row],[D, top '[m']]], "")</f>
        <v/>
      </c>
      <c r="CI110" s="54" t="str">
        <f>IFERROR(-(TOWER_DATA[[#This Row],[D, bottom '[m']]]-TOWER_DATA[[#This Row],[D, top '[m']]])/(TOWER_DATA[[#This Row],[Bottom '[m']]]-TOWER_DATA[[#This Row],[Top '[m']]]),"")</f>
        <v/>
      </c>
      <c r="CJ110" s="54"/>
      <c r="CK110" s="54" t="str">
        <f>IFERROR((TOWER_DATA[[#This Row],[D, bottom '[m']]]+TOWER_DATA[[#This Row],[D, top '[m']]])/(2*TOWER_DATA[[#This Row],[t '[mm']]]/1000),"")</f>
        <v/>
      </c>
      <c r="CL110" t="str">
        <f>IFERROR((TOWER_DATA[[#This Row],[D, bottom '[m']]]+#REF!)/(2*#REF!/1000),"")</f>
        <v/>
      </c>
      <c r="DV110" t="str">
        <f t="shared" si="2"/>
        <v/>
      </c>
    </row>
    <row r="111" spans="1:127" ht="18" customHeight="1">
      <c r="A111" s="271"/>
      <c r="D111" s="280"/>
      <c r="E111" s="88" t="s">
        <v>253</v>
      </c>
      <c r="F111"/>
      <c r="G111"/>
      <c r="H111"/>
      <c r="I111"/>
      <c r="J111"/>
      <c r="K111" s="72" t="s">
        <v>247</v>
      </c>
      <c r="N111"/>
      <c r="O111" t="str">
        <f>IFERROR((MP_DATA[[#This Row],[D, bottom '[m']]]+#REF!)/(2*#REF!/1000),"")</f>
        <v/>
      </c>
      <c r="P111" s="88" t="s">
        <v>392</v>
      </c>
      <c r="AP111" s="86" t="s">
        <v>253</v>
      </c>
      <c r="AQ111"/>
      <c r="AR111"/>
      <c r="AS111"/>
      <c r="AT111"/>
      <c r="AU111"/>
      <c r="AV111" s="72" t="s">
        <v>247</v>
      </c>
      <c r="AY111"/>
      <c r="AZ111" t="str">
        <f>IFERROR((TP_DATA[[#This Row],[D, bottom '[m']]]+#REF!)/(2*#REF!/1000),"")</f>
        <v/>
      </c>
      <c r="BA111" s="88" t="s">
        <v>393</v>
      </c>
      <c r="CB111" s="86" t="s">
        <v>253</v>
      </c>
      <c r="CC111"/>
      <c r="CD111"/>
      <c r="CE111"/>
      <c r="CF111"/>
      <c r="CG111"/>
      <c r="CH111" s="285" t="s">
        <v>247</v>
      </c>
      <c r="CK111" s="51"/>
      <c r="CL111" t="str">
        <f>IFERROR((TOWER_DATA[[#This Row],[D, bottom '[m']]]+#REF!)/(2*#REF!/1000),"")</f>
        <v/>
      </c>
      <c r="CM111" s="88" t="s">
        <v>394</v>
      </c>
      <c r="DN111" s="186" t="s">
        <v>73</v>
      </c>
      <c r="DO111" s="185" t="s">
        <v>120</v>
      </c>
      <c r="DP111" s="185" t="s">
        <v>121</v>
      </c>
      <c r="DQ111" s="192" t="s">
        <v>194</v>
      </c>
      <c r="DR111" s="192" t="s">
        <v>203</v>
      </c>
      <c r="DS111" s="185" t="s">
        <v>204</v>
      </c>
      <c r="DT111" s="185" t="s">
        <v>211</v>
      </c>
      <c r="DU111" s="185" t="s">
        <v>212</v>
      </c>
      <c r="DV111" s="185" t="s">
        <v>19</v>
      </c>
    </row>
    <row r="112" spans="1:127" ht="18" customHeight="1">
      <c r="A112" s="271"/>
      <c r="D112" s="280"/>
      <c r="E112" s="51" t="s">
        <v>1</v>
      </c>
      <c r="F112" s="51" t="s">
        <v>89</v>
      </c>
      <c r="G112" s="51" t="s">
        <v>88</v>
      </c>
      <c r="H112" s="51" t="s">
        <v>78</v>
      </c>
      <c r="I112" s="51" t="s">
        <v>79</v>
      </c>
      <c r="J112" s="51" t="s">
        <v>80</v>
      </c>
      <c r="K112" s="222" t="s">
        <v>265</v>
      </c>
      <c r="L112" s="222" t="s">
        <v>243</v>
      </c>
      <c r="M112" s="222" t="s">
        <v>84</v>
      </c>
      <c r="N112" s="228" t="s">
        <v>244</v>
      </c>
      <c r="O112" t="str">
        <f>IFERROR((MP_DATA[[#This Row],[D, bottom '[m']]]+#REF!)/(2*#REF!/1000),"")</f>
        <v/>
      </c>
      <c r="P112" s="89" t="s">
        <v>230</v>
      </c>
      <c r="Q112" s="51" t="s">
        <v>89</v>
      </c>
      <c r="R112" s="51" t="s">
        <v>88</v>
      </c>
      <c r="S112" s="51" t="s">
        <v>86</v>
      </c>
      <c r="T112" s="51" t="s">
        <v>215</v>
      </c>
      <c r="U112" s="51" t="s">
        <v>216</v>
      </c>
      <c r="V112" s="51" t="s">
        <v>217</v>
      </c>
      <c r="W112" s="51" t="s">
        <v>219</v>
      </c>
      <c r="X112" s="90" t="s">
        <v>218</v>
      </c>
      <c r="AO112" s="51"/>
      <c r="AP112" s="80" t="s">
        <v>1</v>
      </c>
      <c r="AQ112" s="51" t="s">
        <v>89</v>
      </c>
      <c r="AR112" s="51" t="s">
        <v>88</v>
      </c>
      <c r="AS112" s="51" t="s">
        <v>78</v>
      </c>
      <c r="AT112" s="51" t="s">
        <v>79</v>
      </c>
      <c r="AU112" s="51" t="s">
        <v>80</v>
      </c>
      <c r="AV112" s="98" t="s">
        <v>265</v>
      </c>
      <c r="AW112" s="222" t="s">
        <v>243</v>
      </c>
      <c r="AX112" s="222" t="s">
        <v>84</v>
      </c>
      <c r="AY112" s="228" t="s">
        <v>244</v>
      </c>
      <c r="AZ112" t="str">
        <f>IFERROR((TP_DATA[[#This Row],[D, bottom '[m']]]+#REF!)/(2*#REF!/1000),"")</f>
        <v/>
      </c>
      <c r="BA112" s="89" t="s">
        <v>230</v>
      </c>
      <c r="BB112" s="51" t="s">
        <v>89</v>
      </c>
      <c r="BC112" s="51" t="s">
        <v>88</v>
      </c>
      <c r="BD112" s="51" t="s">
        <v>86</v>
      </c>
      <c r="BE112" s="51" t="s">
        <v>215</v>
      </c>
      <c r="BF112" s="51" t="s">
        <v>216</v>
      </c>
      <c r="BG112" s="51" t="s">
        <v>217</v>
      </c>
      <c r="BH112" s="51" t="s">
        <v>219</v>
      </c>
      <c r="BI112" s="90" t="s">
        <v>218</v>
      </c>
      <c r="CA112" s="51"/>
      <c r="CB112" s="80" t="s">
        <v>1</v>
      </c>
      <c r="CC112" s="51" t="s">
        <v>89</v>
      </c>
      <c r="CD112" s="51" t="s">
        <v>88</v>
      </c>
      <c r="CE112" s="51" t="s">
        <v>78</v>
      </c>
      <c r="CF112" s="51" t="s">
        <v>79</v>
      </c>
      <c r="CG112" s="51" t="s">
        <v>80</v>
      </c>
      <c r="CH112" s="98" t="s">
        <v>265</v>
      </c>
      <c r="CI112" s="222" t="s">
        <v>243</v>
      </c>
      <c r="CJ112" s="222" t="s">
        <v>84</v>
      </c>
      <c r="CK112" s="228" t="s">
        <v>244</v>
      </c>
      <c r="CL112" t="str">
        <f>IFERROR((TOWER_DATA[[#This Row],[D, bottom '[m']]]+#REF!)/(2*#REF!/1000),"")</f>
        <v/>
      </c>
      <c r="CM112" s="89" t="s">
        <v>230</v>
      </c>
      <c r="CN112" s="51" t="s">
        <v>89</v>
      </c>
      <c r="CO112" s="51" t="s">
        <v>88</v>
      </c>
      <c r="CP112" s="51" t="s">
        <v>86</v>
      </c>
      <c r="CQ112" s="51" t="s">
        <v>215</v>
      </c>
      <c r="CR112" s="51" t="s">
        <v>216</v>
      </c>
      <c r="CS112" s="51" t="s">
        <v>217</v>
      </c>
      <c r="CT112" s="51" t="s">
        <v>219</v>
      </c>
      <c r="CU112" s="90" t="s">
        <v>218</v>
      </c>
      <c r="DN112" s="316" t="s">
        <v>256</v>
      </c>
      <c r="DO112" s="317">
        <v>10</v>
      </c>
      <c r="DP112" s="317">
        <v>200</v>
      </c>
      <c r="DQ112" s="318">
        <v>300000</v>
      </c>
      <c r="DR112" s="318">
        <v>20000000</v>
      </c>
      <c r="DS112" s="318">
        <v>20000000</v>
      </c>
      <c r="DT112" s="319">
        <v>2</v>
      </c>
      <c r="DU112" s="319">
        <v>3</v>
      </c>
      <c r="DV112" s="319" t="s">
        <v>257</v>
      </c>
      <c r="DW112" s="53"/>
    </row>
    <row r="113" spans="1:127" ht="18" customHeight="1">
      <c r="A113" s="271"/>
      <c r="D113" s="280"/>
      <c r="E113" s="263"/>
      <c r="F113" s="93"/>
      <c r="G113" s="93"/>
      <c r="H113" s="93"/>
      <c r="I113" s="93"/>
      <c r="J113" s="94"/>
      <c r="K113" s="247">
        <f>IFERROR(MP_DATA[[#This Row],[Top '[m']]]-MP_DATA[[#This Row],[Bottom '[m']]], "")</f>
        <v>0</v>
      </c>
      <c r="L113" s="230" t="str">
        <f>IFERROR(-(MP_DATA[[#This Row],[D, bottom '[m']]]-MP_DATA[[#This Row],[D, top '[m']]])/(MP_DATA[[#This Row],[Bottom '[m']]]-MP_DATA[[#This Row],[Top '[m']]]),"")</f>
        <v/>
      </c>
      <c r="M113" s="231" t="str">
        <f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/>
      </c>
      <c r="N113" s="232" t="str">
        <f>IFERROR((MP_DATA[[#This Row],[D, bottom '[m']]]+MP_DATA[[#This Row],[D, top '[m']]])/(2*MP_DATA[[#This Row],[t '[mm']]]/1000),"")</f>
        <v/>
      </c>
      <c r="P113" s="55"/>
      <c r="Q113" s="145"/>
      <c r="R113" s="145"/>
      <c r="S113" s="52"/>
      <c r="T113" s="51"/>
      <c r="U113" s="51"/>
      <c r="V113" s="51"/>
      <c r="W113" s="51"/>
      <c r="X113" s="51"/>
      <c r="AO113" s="51"/>
      <c r="AP113" s="263"/>
      <c r="AQ113" s="93"/>
      <c r="AR113" s="93"/>
      <c r="AS113" s="93"/>
      <c r="AT113" s="93"/>
      <c r="AU113" s="94"/>
      <c r="AV113" s="247">
        <f>IFERROR(TP_DATA[[#This Row],[Top '[m']]]-TP_DATA[[#This Row],[Bottom '[m']]], "")</f>
        <v>0</v>
      </c>
      <c r="AW113" s="230" t="str">
        <f>IFERROR(-(TP_DATA[[#This Row],[D, bottom '[m']]]-TP_DATA[[#This Row],[D, top '[m']]])/(TP_DATA[[#This Row],[Bottom '[m']]]-TP_DATA[[#This Row],[Top '[m']]]),"")</f>
        <v/>
      </c>
      <c r="AX113" s="231" t="str">
        <f>IF(7850/1000*(1/3)*PI()*ABS(AQ113-AR113)*((AS113/2)^2+(AS113/2)*(AT113/2)+(AT113/2)^2-(AS113/2-AU113/1000)^2-(AS113/2-AU113/1000)*(AT113/2-AU113/1000)-(AT113/2-AU113/1000)^2)=0,"",7850/1000*(1/3)*PI()*ABS(AQ113-AR113)*((AS113/2)^2+(AS113/2)*(AT113/2)+(AT113/2)^2-(AS113/2-AU113/1000)^2-(AS113/2-AU113/1000)*(AT113/2-AU113/1000)-(AT113/2-AU113/1000)^2))</f>
        <v/>
      </c>
      <c r="AY113" s="232" t="str">
        <f>IFERROR((TP_DATA[[#This Row],[D, bottom '[m']]]+TP_DATA[[#This Row],[D, top '[m']]])/(2*TP_DATA[[#This Row],[t '[mm']]]/1000),"")</f>
        <v/>
      </c>
      <c r="BA113" s="55"/>
      <c r="BB113" s="53"/>
      <c r="BC113" s="53"/>
      <c r="BD113" s="52"/>
      <c r="BE113" s="51"/>
      <c r="BF113" s="51"/>
      <c r="BG113" s="51"/>
      <c r="BH113" s="51"/>
      <c r="BI113" s="90"/>
      <c r="CA113" s="51"/>
      <c r="CB113" s="313"/>
      <c r="CC113" s="314"/>
      <c r="CD113" s="314"/>
      <c r="CE113" s="314"/>
      <c r="CF113" s="314"/>
      <c r="CG113" s="315"/>
      <c r="CH113" s="229">
        <f>IFERROR(TOWER_DATA[[#This Row],[Top '[m']]]-TOWER_DATA[[#This Row],[Bottom '[m']]], "")</f>
        <v>0</v>
      </c>
      <c r="CI113" s="230" t="str">
        <f>IFERROR(-(TOWER_DATA[[#This Row],[D, bottom '[m']]]-TOWER_DATA[[#This Row],[D, top '[m']]])/(TOWER_DATA[[#This Row],[Bottom '[m']]]-TOWER_DATA[[#This Row],[Top '[m']]]),"")</f>
        <v/>
      </c>
      <c r="CJ113" s="231" t="str">
        <f t="shared" ref="CJ113:CJ176" si="4">IF(7850/1000*(1/3)*PI()*ABS(CC113-CD113)*((CE113/2)^2+(CE113/2)*(CF113/2)+(CF113/2)^2-(CE113/2-CG113/1000)^2-(CE113/2-CG113/1000)*(CF113/2-CG113/1000)-(CF113/2-CG113/1000)^2)=0,"",7850/1000*(1/3)*PI()*ABS(CC113-CD113)*((CE113/2)^2+(CE113/2)*(CF113/2)+(CF113/2)^2-(CE113/2-CG113/1000)^2-(CE113/2-CG113/1000)*(CF113/2-CG113/1000)-(CF113/2-CG113/1000)^2))</f>
        <v/>
      </c>
      <c r="CK113" s="232" t="str">
        <f>IFERROR((TOWER_DATA[[#This Row],[D, bottom '[m']]]+TOWER_DATA[[#This Row],[D, top '[m']]])/(2*TOWER_DATA[[#This Row],[t '[mm']]]/1000),"")</f>
        <v/>
      </c>
      <c r="CM113" s="51"/>
      <c r="CN113" s="51"/>
      <c r="CO113" s="51"/>
      <c r="CP113" s="51"/>
      <c r="CQ113" s="51"/>
      <c r="CR113" s="51"/>
      <c r="CS113" s="51"/>
      <c r="CT113" s="51"/>
      <c r="CU113" s="90"/>
      <c r="DN113" s="316" t="s">
        <v>124</v>
      </c>
      <c r="DO113" s="317">
        <v>3.6</v>
      </c>
      <c r="DP113" s="317">
        <v>120</v>
      </c>
      <c r="DQ113" s="318">
        <v>237804</v>
      </c>
      <c r="DR113" s="318">
        <v>20595330</v>
      </c>
      <c r="DS113" s="318">
        <v>20595330</v>
      </c>
      <c r="DT113" s="319">
        <v>2.2000000000000002</v>
      </c>
      <c r="DU113" s="319">
        <v>2.2000000000000002</v>
      </c>
      <c r="DV113" s="319" t="s">
        <v>135</v>
      </c>
      <c r="DW113" s="53"/>
    </row>
    <row r="114" spans="1:127" ht="18" customHeight="1">
      <c r="A114" s="271"/>
      <c r="D114" s="280"/>
      <c r="E114" s="263"/>
      <c r="F114" s="93"/>
      <c r="G114" s="93"/>
      <c r="H114" s="93"/>
      <c r="I114" s="93"/>
      <c r="J114" s="94"/>
      <c r="K114" s="53" t="str">
        <f>IFERROR(MP_DATA[[#This Row],[Top '[m']]]-MP_DATA[[#This Row],[Bottom '[m']]], "")</f>
        <v/>
      </c>
      <c r="L114" s="217" t="str">
        <f>IFERROR(-(MP_DATA[[#This Row],[D, bottom '[m']]]-MP_DATA[[#This Row],[D, top '[m']]])/(MP_DATA[[#This Row],[Bottom '[m']]]-MP_DATA[[#This Row],[Top '[m']]]),"")</f>
        <v/>
      </c>
      <c r="M114" s="145" t="str">
        <f t="shared" ref="M114:M177" si="5">IF(7850/1000*(1/3)*PI()*ABS(F114-G114)*((H114/2)^2+(H114/2)*(I114/2)+(I114/2)^2-(H114/2-J114/1000)^2-(H114/2-J114/1000)*(I114/2-J114/1000)-(I114/2-J114/1000)^2)=0,"",7850/1000*(1/3)*PI()*ABS(F114-G114)*((H114/2)^2+(H114/2)*(I114/2)+(I114/2)^2-(H114/2-J114/1000)^2-(H114/2-J114/1000)*(I114/2-J114/1000)-(I114/2-J114/1000)^2))</f>
        <v/>
      </c>
      <c r="N114" s="234" t="str">
        <f>IFERROR((MP_DATA[[#This Row],[D, bottom '[m']]]+MP_DATA[[#This Row],[D, top '[m']]])/(2*MP_DATA[[#This Row],[t '[mm']]]/1000),"")</f>
        <v/>
      </c>
      <c r="P114" s="55"/>
      <c r="Q114" s="145"/>
      <c r="R114" s="145"/>
      <c r="S114" s="52"/>
      <c r="T114" s="51"/>
      <c r="U114" s="51"/>
      <c r="V114" s="51"/>
      <c r="W114" s="51"/>
      <c r="X114" s="51"/>
      <c r="AO114" s="51"/>
      <c r="AP114" s="263"/>
      <c r="AQ114" s="93"/>
      <c r="AR114" s="93"/>
      <c r="AS114" s="93"/>
      <c r="AT114" s="93"/>
      <c r="AU114" s="94"/>
      <c r="AV114" s="53" t="str">
        <f>IFERROR(TP_DATA[[#This Row],[Top '[m']]]-TP_DATA[[#This Row],[Bottom '[m']]], "")</f>
        <v/>
      </c>
      <c r="AW114" s="217" t="str">
        <f>IFERROR(-(TP_DATA[[#This Row],[D, bottom '[m']]]-TP_DATA[[#This Row],[D, top '[m']]])/(TP_DATA[[#This Row],[Bottom '[m']]]-TP_DATA[[#This Row],[Top '[m']]]),"")</f>
        <v/>
      </c>
      <c r="AX114" s="145" t="str">
        <f t="shared" ref="AX114:AX116" si="6">IF(7850/1000*(1/3)*PI()*ABS(AQ114-AR114)*((AS114/2)^2+(AS114/2)*(AT114/2)+(AT114/2)^2-(AS114/2-AU114/1000)^2-(AS114/2-AU114/1000)*(AT114/2-AU114/1000)-(AT114/2-AU114/1000)^2)=0,"",7850/1000*(1/3)*PI()*ABS(AQ114-AR114)*((AS114/2)^2+(AS114/2)*(AT114/2)+(AT114/2)^2-(AS114/2-AU114/1000)^2-(AS114/2-AU114/1000)*(AT114/2-AU114/1000)-(AT114/2-AU114/1000)^2))</f>
        <v/>
      </c>
      <c r="AY114" s="234" t="str">
        <f>IFERROR((TP_DATA[[#This Row],[D, bottom '[m']]]+TP_DATA[[#This Row],[D, top '[m']]])/(2*TP_DATA[[#This Row],[t '[mm']]]/1000),"")</f>
        <v/>
      </c>
      <c r="BA114" s="55"/>
      <c r="BB114" s="53"/>
      <c r="BC114" s="53"/>
      <c r="BD114" s="52"/>
      <c r="BE114" s="51"/>
      <c r="BF114" s="51"/>
      <c r="BG114" s="51"/>
      <c r="BH114" s="51"/>
      <c r="BI114" s="90"/>
      <c r="CA114" s="51"/>
      <c r="CB114" s="92"/>
      <c r="CC114" s="93"/>
      <c r="CD114" s="93"/>
      <c r="CE114" s="93"/>
      <c r="CF114" s="93"/>
      <c r="CG114" s="94"/>
      <c r="CH114" s="233" t="str">
        <f>IFERROR(TOWER_DATA[[#This Row],[Top '[m']]]-TOWER_DATA[[#This Row],[Bottom '[m']]], "")</f>
        <v/>
      </c>
      <c r="CI114" s="217" t="str">
        <f>IFERROR(-(TOWER_DATA[[#This Row],[D, bottom '[m']]]-TOWER_DATA[[#This Row],[D, top '[m']]])/(TOWER_DATA[[#This Row],[Bottom '[m']]]-TOWER_DATA[[#This Row],[Top '[m']]]),"")</f>
        <v/>
      </c>
      <c r="CJ114" s="145" t="str">
        <f t="shared" si="4"/>
        <v/>
      </c>
      <c r="CK114" s="234" t="str">
        <f>IFERROR((TOWER_DATA[[#This Row],[D, bottom '[m']]]+TOWER_DATA[[#This Row],[D, top '[m']]])/(2*TOWER_DATA[[#This Row],[t '[mm']]]/1000),"")</f>
        <v/>
      </c>
      <c r="CM114" s="51"/>
      <c r="CN114" s="51"/>
      <c r="CO114" s="51"/>
      <c r="CP114" s="51"/>
      <c r="CQ114" s="51"/>
      <c r="CR114" s="51"/>
      <c r="CS114" s="51"/>
      <c r="CT114" s="51"/>
      <c r="CU114" s="90"/>
      <c r="DN114" s="316" t="s">
        <v>125</v>
      </c>
      <c r="DO114" s="317">
        <v>5</v>
      </c>
      <c r="DP114" s="317">
        <v>122</v>
      </c>
      <c r="DQ114" s="318">
        <v>427397</v>
      </c>
      <c r="DR114" s="318">
        <v>37230240</v>
      </c>
      <c r="DS114" s="318">
        <v>37230240</v>
      </c>
      <c r="DT114" s="319">
        <v>3.2</v>
      </c>
      <c r="DU114" s="319">
        <v>3.2</v>
      </c>
      <c r="DV114" s="319" t="s">
        <v>135</v>
      </c>
      <c r="DW114" s="53"/>
    </row>
    <row r="115" spans="1:127" ht="18" customHeight="1">
      <c r="A115" s="271"/>
      <c r="D115" s="280"/>
      <c r="E115" s="263"/>
      <c r="F115" s="93"/>
      <c r="G115" s="93"/>
      <c r="H115" s="93"/>
      <c r="I115" s="93"/>
      <c r="J115" s="94"/>
      <c r="K115" s="53" t="str">
        <f>IFERROR(MP_DATA[[#This Row],[Top '[m']]]-MP_DATA[[#This Row],[Bottom '[m']]], "")</f>
        <v/>
      </c>
      <c r="L115" s="217" t="str">
        <f>IFERROR(-(MP_DATA[[#This Row],[D, bottom '[m']]]-MP_DATA[[#This Row],[D, top '[m']]])/(MP_DATA[[#This Row],[Bottom '[m']]]-MP_DATA[[#This Row],[Top '[m']]]),"")</f>
        <v/>
      </c>
      <c r="M115" s="145" t="str">
        <f t="shared" si="5"/>
        <v/>
      </c>
      <c r="N115" s="234" t="str">
        <f>IFERROR((MP_DATA[[#This Row],[D, bottom '[m']]]+MP_DATA[[#This Row],[D, top '[m']]])/(2*MP_DATA[[#This Row],[t '[mm']]]/1000),"")</f>
        <v/>
      </c>
      <c r="P115" s="55"/>
      <c r="Q115" s="145"/>
      <c r="R115" s="145"/>
      <c r="S115" s="52"/>
      <c r="T115" s="51"/>
      <c r="U115" s="51"/>
      <c r="V115" s="51"/>
      <c r="W115" s="51"/>
      <c r="X115" s="90"/>
      <c r="AO115" s="51"/>
      <c r="AP115" s="263"/>
      <c r="AQ115" s="93"/>
      <c r="AR115" s="93"/>
      <c r="AS115" s="93"/>
      <c r="AT115" s="93"/>
      <c r="AU115" s="94"/>
      <c r="AV115" s="53" t="str">
        <f>IFERROR(TP_DATA[[#This Row],[Top '[m']]]-TP_DATA[[#This Row],[Bottom '[m']]], "")</f>
        <v/>
      </c>
      <c r="AW115" s="217" t="str">
        <f>IFERROR(-(TP_DATA[[#This Row],[D, bottom '[m']]]-TP_DATA[[#This Row],[D, top '[m']]])/(TP_DATA[[#This Row],[Bottom '[m']]]-TP_DATA[[#This Row],[Top '[m']]]),"")</f>
        <v/>
      </c>
      <c r="AX115" s="145" t="str">
        <f t="shared" si="6"/>
        <v/>
      </c>
      <c r="AY115" s="234" t="str">
        <f>IFERROR((TP_DATA[[#This Row],[D, bottom '[m']]]+TP_DATA[[#This Row],[D, top '[m']]])/(2*TP_DATA[[#This Row],[t '[mm']]]/1000),"")</f>
        <v/>
      </c>
      <c r="BA115" s="55"/>
      <c r="BB115" s="53"/>
      <c r="BC115" s="53"/>
      <c r="BD115" s="52"/>
      <c r="BE115" s="51"/>
      <c r="BF115" s="51"/>
      <c r="BG115" s="51"/>
      <c r="BH115" s="51"/>
      <c r="BI115" s="90"/>
      <c r="CA115" s="51"/>
      <c r="CB115" s="92"/>
      <c r="CC115" s="93"/>
      <c r="CD115" s="93"/>
      <c r="CE115" s="93"/>
      <c r="CF115" s="93"/>
      <c r="CG115" s="94"/>
      <c r="CH115" s="233" t="str">
        <f>IFERROR(TOWER_DATA[[#This Row],[Top '[m']]]-TOWER_DATA[[#This Row],[Bottom '[m']]], "")</f>
        <v/>
      </c>
      <c r="CI115" s="217" t="str">
        <f>IFERROR(-(TOWER_DATA[[#This Row],[D, bottom '[m']]]-TOWER_DATA[[#This Row],[D, top '[m']]])/(TOWER_DATA[[#This Row],[Bottom '[m']]]-TOWER_DATA[[#This Row],[Top '[m']]]),"")</f>
        <v/>
      </c>
      <c r="CJ115" s="145" t="str">
        <f t="shared" si="4"/>
        <v/>
      </c>
      <c r="CK115" s="234" t="str">
        <f>IFERROR((TOWER_DATA[[#This Row],[D, bottom '[m']]]+TOWER_DATA[[#This Row],[D, top '[m']]])/(2*TOWER_DATA[[#This Row],[t '[mm']]]/1000),"")</f>
        <v/>
      </c>
      <c r="CM115" s="51"/>
      <c r="CN115" s="51"/>
      <c r="CO115" s="51"/>
      <c r="CP115" s="51"/>
      <c r="CQ115" s="51"/>
      <c r="CR115" s="51"/>
      <c r="CS115" s="51"/>
      <c r="CT115" s="51"/>
      <c r="CU115" s="90"/>
      <c r="DN115" s="316" t="s">
        <v>126</v>
      </c>
      <c r="DO115" s="317">
        <v>4</v>
      </c>
      <c r="DP115" s="317">
        <v>130</v>
      </c>
      <c r="DQ115" s="318">
        <v>239664</v>
      </c>
      <c r="DR115" s="318">
        <v>23265890</v>
      </c>
      <c r="DS115" s="318">
        <v>23265890</v>
      </c>
      <c r="DT115" s="319">
        <v>2.2000000000000002</v>
      </c>
      <c r="DU115" s="319">
        <v>2.2000000000000002</v>
      </c>
      <c r="DV115" s="319" t="s">
        <v>135</v>
      </c>
      <c r="DW115" s="53"/>
    </row>
    <row r="116" spans="1:127" ht="18" customHeight="1">
      <c r="A116" s="271"/>
      <c r="D116" s="280"/>
      <c r="E116" s="263"/>
      <c r="F116" s="93"/>
      <c r="G116" s="93"/>
      <c r="H116" s="93"/>
      <c r="I116" s="93"/>
      <c r="J116" s="94"/>
      <c r="K116" s="53" t="str">
        <f>IFERROR(MP_DATA[[#This Row],[Top '[m']]]-MP_DATA[[#This Row],[Bottom '[m']]], "")</f>
        <v/>
      </c>
      <c r="L116" s="217" t="str">
        <f>IFERROR(-(MP_DATA[[#This Row],[D, bottom '[m']]]-MP_DATA[[#This Row],[D, top '[m']]])/(MP_DATA[[#This Row],[Bottom '[m']]]-MP_DATA[[#This Row],[Top '[m']]]),"")</f>
        <v/>
      </c>
      <c r="M116" s="145" t="str">
        <f t="shared" si="5"/>
        <v/>
      </c>
      <c r="N116" s="234" t="str">
        <f>IFERROR((MP_DATA[[#This Row],[D, bottom '[m']]]+MP_DATA[[#This Row],[D, top '[m']]])/(2*MP_DATA[[#This Row],[t '[mm']]]/1000),"")</f>
        <v/>
      </c>
      <c r="P116" s="51"/>
      <c r="Q116" s="145"/>
      <c r="R116" s="145"/>
      <c r="S116" s="52"/>
      <c r="T116" s="51"/>
      <c r="U116" s="51"/>
      <c r="V116" s="51"/>
      <c r="W116" s="51"/>
      <c r="X116" s="90"/>
      <c r="AO116" s="51"/>
      <c r="AP116" s="263"/>
      <c r="AQ116" s="93"/>
      <c r="AR116" s="93"/>
      <c r="AS116" s="93"/>
      <c r="AT116" s="93"/>
      <c r="AU116" s="94"/>
      <c r="AV116" s="53" t="str">
        <f>IFERROR(TP_DATA[[#This Row],[Top '[m']]]-TP_DATA[[#This Row],[Bottom '[m']]], "")</f>
        <v/>
      </c>
      <c r="AW116" s="217" t="str">
        <f>IFERROR(-(TP_DATA[[#This Row],[D, bottom '[m']]]-TP_DATA[[#This Row],[D, top '[m']]])/(TP_DATA[[#This Row],[Bottom '[m']]]-TP_DATA[[#This Row],[Top '[m']]]),"")</f>
        <v/>
      </c>
      <c r="AX116" s="145" t="str">
        <f t="shared" si="6"/>
        <v/>
      </c>
      <c r="AY116" s="234" t="str">
        <f>IFERROR((TP_DATA[[#This Row],[D, bottom '[m']]]+TP_DATA[[#This Row],[D, top '[m']]])/(2*TP_DATA[[#This Row],[t '[mm']]]/1000),"")</f>
        <v/>
      </c>
      <c r="BA116" s="55"/>
      <c r="BB116" s="53"/>
      <c r="BC116" s="53"/>
      <c r="BD116" s="52"/>
      <c r="BE116" s="51"/>
      <c r="BF116" s="51"/>
      <c r="BG116" s="51"/>
      <c r="BH116" s="51"/>
      <c r="BI116" s="90"/>
      <c r="CA116" s="51"/>
      <c r="CB116" s="92"/>
      <c r="CC116" s="93"/>
      <c r="CD116" s="93"/>
      <c r="CE116" s="93"/>
      <c r="CF116" s="93"/>
      <c r="CG116" s="94"/>
      <c r="CH116" s="233" t="str">
        <f>IFERROR(TOWER_DATA[[#This Row],[Top '[m']]]-TOWER_DATA[[#This Row],[Bottom '[m']]], "")</f>
        <v/>
      </c>
      <c r="CI116" s="217" t="str">
        <f>IFERROR(-(TOWER_DATA[[#This Row],[D, bottom '[m']]]-TOWER_DATA[[#This Row],[D, top '[m']]])/(TOWER_DATA[[#This Row],[Bottom '[m']]]-TOWER_DATA[[#This Row],[Top '[m']]]),"")</f>
        <v/>
      </c>
      <c r="CJ116" s="145" t="str">
        <f t="shared" si="4"/>
        <v/>
      </c>
      <c r="CK116" s="234" t="str">
        <f>IFERROR((TOWER_DATA[[#This Row],[D, bottom '[m']]]+TOWER_DATA[[#This Row],[D, top '[m']]])/(2*TOWER_DATA[[#This Row],[t '[mm']]]/1000),"")</f>
        <v/>
      </c>
      <c r="CM116" s="51"/>
      <c r="CN116" s="51"/>
      <c r="CO116" s="51"/>
      <c r="CP116" s="51"/>
      <c r="CQ116" s="51"/>
      <c r="CR116" s="51"/>
      <c r="CS116" s="51"/>
      <c r="CT116" s="51"/>
      <c r="CU116" s="90"/>
      <c r="DN116" s="316" t="s">
        <v>127</v>
      </c>
      <c r="DO116" s="317">
        <v>6</v>
      </c>
      <c r="DP116" s="317">
        <v>142</v>
      </c>
      <c r="DQ116" s="318">
        <v>312142</v>
      </c>
      <c r="DR116" s="318">
        <v>59416040</v>
      </c>
      <c r="DS116" s="318">
        <v>59416040</v>
      </c>
      <c r="DT116" s="319">
        <v>2.85</v>
      </c>
      <c r="DU116" s="319">
        <v>2.85</v>
      </c>
      <c r="DV116" s="319" t="s">
        <v>135</v>
      </c>
      <c r="DW116" s="53"/>
    </row>
    <row r="117" spans="1:127" ht="18" customHeight="1">
      <c r="A117" s="271"/>
      <c r="D117" s="280"/>
      <c r="E117" s="263"/>
      <c r="F117" s="93"/>
      <c r="G117" s="93"/>
      <c r="H117" s="93"/>
      <c r="I117" s="93"/>
      <c r="J117" s="94"/>
      <c r="K117" s="53" t="str">
        <f>IFERROR(MP_DATA[[#This Row],[Top '[m']]]-MP_DATA[[#This Row],[Bottom '[m']]], "")</f>
        <v/>
      </c>
      <c r="L117" s="217" t="str">
        <f>IFERROR(-(MP_DATA[[#This Row],[D, bottom '[m']]]-MP_DATA[[#This Row],[D, top '[m']]])/(MP_DATA[[#This Row],[Bottom '[m']]]-MP_DATA[[#This Row],[Top '[m']]]),"")</f>
        <v/>
      </c>
      <c r="M117" s="145" t="str">
        <f t="shared" si="5"/>
        <v/>
      </c>
      <c r="N117" s="234" t="str">
        <f>IFERROR((MP_DATA[[#This Row],[D, bottom '[m']]]+MP_DATA[[#This Row],[D, top '[m']]])/(2*MP_DATA[[#This Row],[t '[mm']]]/1000),"")</f>
        <v/>
      </c>
      <c r="P117" s="51"/>
      <c r="Q117" s="145"/>
      <c r="R117" s="145"/>
      <c r="S117" s="52"/>
      <c r="T117" s="51"/>
      <c r="U117" s="51"/>
      <c r="V117" s="51"/>
      <c r="W117" s="51"/>
      <c r="X117" s="90"/>
      <c r="AO117" s="51"/>
      <c r="AP117" s="92"/>
      <c r="AQ117" s="93"/>
      <c r="AR117" s="93"/>
      <c r="AS117" s="93"/>
      <c r="AT117" s="93"/>
      <c r="AU117" s="94"/>
      <c r="AV117" s="233" t="str">
        <f>IFERROR(TP_DATA[[#This Row],[Top '[m']]]-TP_DATA[[#This Row],[Bottom '[m']]], "")</f>
        <v/>
      </c>
      <c r="AW117" s="217"/>
      <c r="AX117" s="145"/>
      <c r="AY117" s="234"/>
      <c r="BA117" s="55"/>
      <c r="BB117" s="53"/>
      <c r="BC117" s="53"/>
      <c r="BD117" s="52"/>
      <c r="BE117" s="51"/>
      <c r="BF117" s="51"/>
      <c r="BG117" s="51"/>
      <c r="BH117" s="51"/>
      <c r="BI117" s="90"/>
      <c r="CA117" s="51"/>
      <c r="CB117" s="92"/>
      <c r="CC117" s="93"/>
      <c r="CD117" s="93"/>
      <c r="CE117" s="93"/>
      <c r="CF117" s="93"/>
      <c r="CG117" s="94"/>
      <c r="CH117" s="233" t="str">
        <f>IFERROR(TOWER_DATA[[#This Row],[Top '[m']]]-TOWER_DATA[[#This Row],[Bottom '[m']]], "")</f>
        <v/>
      </c>
      <c r="CI117" s="217" t="str">
        <f>IFERROR(-(TOWER_DATA[[#This Row],[D, bottom '[m']]]-TOWER_DATA[[#This Row],[D, top '[m']]])/(TOWER_DATA[[#This Row],[Bottom '[m']]]-TOWER_DATA[[#This Row],[Top '[m']]]),"")</f>
        <v/>
      </c>
      <c r="CJ117" s="145" t="str">
        <f t="shared" si="4"/>
        <v/>
      </c>
      <c r="CK117" s="234" t="str">
        <f>IFERROR((TOWER_DATA[[#This Row],[D, bottom '[m']]]+TOWER_DATA[[#This Row],[D, top '[m']]])/(2*TOWER_DATA[[#This Row],[t '[mm']]]/1000),"")</f>
        <v/>
      </c>
      <c r="CM117" s="51"/>
      <c r="CN117" s="51"/>
      <c r="CO117" s="51"/>
      <c r="CP117" s="51"/>
      <c r="CQ117" s="51"/>
      <c r="CR117" s="51"/>
      <c r="CS117" s="51"/>
      <c r="CT117" s="51"/>
      <c r="CU117" s="90"/>
      <c r="DN117" s="316" t="s">
        <v>128</v>
      </c>
      <c r="DO117" s="317">
        <v>8</v>
      </c>
      <c r="DP117" s="317">
        <v>164</v>
      </c>
      <c r="DQ117" s="318">
        <v>450972</v>
      </c>
      <c r="DR117" s="318">
        <v>72350120</v>
      </c>
      <c r="DS117" s="318">
        <v>72350120</v>
      </c>
      <c r="DT117" s="319">
        <v>2.29</v>
      </c>
      <c r="DU117" s="319">
        <v>2.29</v>
      </c>
      <c r="DV117" s="319" t="s">
        <v>135</v>
      </c>
      <c r="DW117" s="53"/>
    </row>
    <row r="118" spans="1:127" ht="18" customHeight="1">
      <c r="A118" s="271"/>
      <c r="D118" s="280"/>
      <c r="E118" s="263"/>
      <c r="F118" s="93"/>
      <c r="G118" s="93"/>
      <c r="H118" s="93"/>
      <c r="I118" s="93"/>
      <c r="J118" s="94"/>
      <c r="K118" s="53" t="str">
        <f>IFERROR(MP_DATA[[#This Row],[Top '[m']]]-MP_DATA[[#This Row],[Bottom '[m']]], "")</f>
        <v/>
      </c>
      <c r="L118" s="217" t="str">
        <f>IFERROR(-(MP_DATA[[#This Row],[D, bottom '[m']]]-MP_DATA[[#This Row],[D, top '[m']]])/(MP_DATA[[#This Row],[Bottom '[m']]]-MP_DATA[[#This Row],[Top '[m']]]),"")</f>
        <v/>
      </c>
      <c r="M118" s="145" t="str">
        <f t="shared" si="5"/>
        <v/>
      </c>
      <c r="N118" s="234"/>
      <c r="P118" s="51"/>
      <c r="Q118" s="145"/>
      <c r="R118" s="145"/>
      <c r="S118" s="52"/>
      <c r="T118" s="51"/>
      <c r="U118" s="51"/>
      <c r="V118" s="51"/>
      <c r="W118" s="51"/>
      <c r="X118" s="90"/>
      <c r="AO118" s="51"/>
      <c r="AP118" s="92"/>
      <c r="AQ118" s="93"/>
      <c r="AR118" s="93"/>
      <c r="AS118" s="93"/>
      <c r="AT118" s="93"/>
      <c r="AU118" s="94"/>
      <c r="AV118" s="233" t="str">
        <f>IFERROR(TP_DATA[[#This Row],[Top '[m']]]-TP_DATA[[#This Row],[Bottom '[m']]], "")</f>
        <v/>
      </c>
      <c r="AW118" s="217"/>
      <c r="AX118" s="145"/>
      <c r="AY118" s="234"/>
      <c r="BA118" s="55"/>
      <c r="BB118" s="53"/>
      <c r="BC118" s="53"/>
      <c r="BD118" s="52"/>
      <c r="BE118" s="51"/>
      <c r="BF118" s="51"/>
      <c r="BG118" s="51"/>
      <c r="BH118" s="51"/>
      <c r="BI118" s="90"/>
      <c r="CA118" s="51"/>
      <c r="CB118" s="92"/>
      <c r="CC118" s="93"/>
      <c r="CD118" s="93"/>
      <c r="CE118" s="93"/>
      <c r="CF118" s="93"/>
      <c r="CG118" s="94"/>
      <c r="CH118" s="233" t="str">
        <f>IFERROR(TOWER_DATA[[#This Row],[Top '[m']]]-TOWER_DATA[[#This Row],[Bottom '[m']]], "")</f>
        <v/>
      </c>
      <c r="CI118" s="217" t="str">
        <f>IFERROR(-(TOWER_DATA[[#This Row],[D, bottom '[m']]]-TOWER_DATA[[#This Row],[D, top '[m']]])/(TOWER_DATA[[#This Row],[Bottom '[m']]]-TOWER_DATA[[#This Row],[Top '[m']]]),"")</f>
        <v/>
      </c>
      <c r="CJ118" s="145" t="str">
        <f t="shared" si="4"/>
        <v/>
      </c>
      <c r="CK118" s="234" t="str">
        <f>IFERROR((TOWER_DATA[[#This Row],[D, bottom '[m']]]+TOWER_DATA[[#This Row],[D, top '[m']]])/(2*TOWER_DATA[[#This Row],[t '[mm']]]/1000),"")</f>
        <v/>
      </c>
      <c r="CM118" s="51"/>
      <c r="CN118" s="51"/>
      <c r="CO118" s="51"/>
      <c r="CP118" s="51"/>
      <c r="CQ118" s="51"/>
      <c r="CR118" s="51"/>
      <c r="CS118" s="51"/>
      <c r="CT118" s="51"/>
      <c r="CU118" s="90"/>
      <c r="DN118" s="320" t="s">
        <v>129</v>
      </c>
      <c r="DO118" s="317">
        <v>9.5</v>
      </c>
      <c r="DP118" s="317">
        <v>174</v>
      </c>
      <c r="DQ118" s="318">
        <v>484588</v>
      </c>
      <c r="DR118" s="318">
        <v>83636270</v>
      </c>
      <c r="DS118" s="318">
        <v>83636270</v>
      </c>
      <c r="DT118" s="319">
        <v>3.5</v>
      </c>
      <c r="DU118" s="319">
        <v>3.5</v>
      </c>
      <c r="DV118" s="312" t="s">
        <v>135</v>
      </c>
      <c r="DW118" s="51"/>
    </row>
    <row r="119" spans="1:127" ht="18" customHeight="1">
      <c r="A119" s="271"/>
      <c r="D119" s="280"/>
      <c r="E119" s="263"/>
      <c r="F119" s="93"/>
      <c r="G119" s="93"/>
      <c r="H119" s="93"/>
      <c r="I119" s="93"/>
      <c r="J119" s="94"/>
      <c r="K119" s="53" t="str">
        <f>IFERROR(MP_DATA[[#This Row],[Top '[m']]]-MP_DATA[[#This Row],[Bottom '[m']]], "")</f>
        <v/>
      </c>
      <c r="L119" s="217" t="str">
        <f>IFERROR(-(MP_DATA[[#This Row],[D, bottom '[m']]]-MP_DATA[[#This Row],[D, top '[m']]])/(MP_DATA[[#This Row],[Bottom '[m']]]-MP_DATA[[#This Row],[Top '[m']]]),"")</f>
        <v/>
      </c>
      <c r="M119" s="145" t="str">
        <f t="shared" si="5"/>
        <v/>
      </c>
      <c r="N119" s="234" t="str">
        <f>IFERROR((MP_DATA[[#This Row],[D, bottom '[m']]]+MP_DATA[[#This Row],[D, top '[m']]])/(2*MP_DATA[[#This Row],[t '[mm']]]/1000),"")</f>
        <v/>
      </c>
      <c r="Q119" s="209"/>
      <c r="R119" s="209"/>
      <c r="S119" s="187"/>
      <c r="AP119" s="92"/>
      <c r="AQ119" s="93"/>
      <c r="AR119" s="93"/>
      <c r="AS119" s="93"/>
      <c r="AT119" s="93"/>
      <c r="AU119" s="94"/>
      <c r="AV119" s="233" t="str">
        <f>IFERROR(TP_DATA[[#This Row],[Top '[m']]]-TP_DATA[[#This Row],[Bottom '[m']]], "")</f>
        <v/>
      </c>
      <c r="AW119" s="217"/>
      <c r="AX119" s="145"/>
      <c r="AY119" s="234"/>
      <c r="BA119" s="55"/>
      <c r="BB119" s="53"/>
      <c r="BC119" s="53"/>
      <c r="BD119" s="52"/>
      <c r="BE119" s="51"/>
      <c r="BF119" s="51"/>
      <c r="BG119" s="51"/>
      <c r="BH119" s="51"/>
      <c r="BI119" s="90"/>
      <c r="CB119" s="92"/>
      <c r="CC119" s="93"/>
      <c r="CD119" s="93"/>
      <c r="CE119" s="93"/>
      <c r="CF119" s="93"/>
      <c r="CG119" s="94"/>
      <c r="CH119" s="233" t="str">
        <f>IFERROR(TOWER_DATA[[#This Row],[Top '[m']]]-TOWER_DATA[[#This Row],[Bottom '[m']]], "")</f>
        <v/>
      </c>
      <c r="CI119" s="217" t="str">
        <f>IFERROR(-(TOWER_DATA[[#This Row],[D, bottom '[m']]]-TOWER_DATA[[#This Row],[D, top '[m']]])/(TOWER_DATA[[#This Row],[Bottom '[m']]]-TOWER_DATA[[#This Row],[Top '[m']]]),"")</f>
        <v/>
      </c>
      <c r="CJ119" s="145" t="str">
        <f t="shared" si="4"/>
        <v/>
      </c>
      <c r="CK119" s="234" t="str">
        <f>IFERROR((TOWER_DATA[[#This Row],[D, bottom '[m']]]+TOWER_DATA[[#This Row],[D, top '[m']]])/(2*TOWER_DATA[[#This Row],[t '[mm']]]/1000),"")</f>
        <v/>
      </c>
      <c r="CM119" s="51"/>
      <c r="CN119" s="51"/>
      <c r="CO119" s="51"/>
      <c r="CP119" s="51"/>
      <c r="CQ119" s="51"/>
      <c r="CR119" s="51"/>
      <c r="CS119" s="51"/>
      <c r="CT119" s="51"/>
      <c r="CU119" s="90"/>
      <c r="DN119" s="320" t="s">
        <v>130</v>
      </c>
      <c r="DO119" s="317">
        <v>10</v>
      </c>
      <c r="DP119" s="317">
        <v>180</v>
      </c>
      <c r="DQ119" s="318">
        <v>673916</v>
      </c>
      <c r="DR119" s="318">
        <v>102240300</v>
      </c>
      <c r="DS119" s="318">
        <v>102240300</v>
      </c>
      <c r="DT119" s="319">
        <v>3.5</v>
      </c>
      <c r="DU119" s="319">
        <v>3.5</v>
      </c>
      <c r="DV119" s="312" t="s">
        <v>135</v>
      </c>
      <c r="DW119" s="51"/>
    </row>
    <row r="120" spans="1:127" ht="18" customHeight="1">
      <c r="A120" s="271"/>
      <c r="D120" s="280"/>
      <c r="E120" s="263"/>
      <c r="F120" s="93"/>
      <c r="G120" s="93"/>
      <c r="H120" s="93"/>
      <c r="I120" s="93"/>
      <c r="J120" s="94"/>
      <c r="K120" s="53" t="str">
        <f>IFERROR(MP_DATA[[#This Row],[Top '[m']]]-MP_DATA[[#This Row],[Bottom '[m']]], "")</f>
        <v/>
      </c>
      <c r="L120" s="217" t="str">
        <f>IFERROR(-(MP_DATA[[#This Row],[D, bottom '[m']]]-MP_DATA[[#This Row],[D, top '[m']]])/(MP_DATA[[#This Row],[Bottom '[m']]]-MP_DATA[[#This Row],[Top '[m']]]),"")</f>
        <v/>
      </c>
      <c r="M120" s="145" t="str">
        <f t="shared" si="5"/>
        <v/>
      </c>
      <c r="N120" s="234" t="str">
        <f>IFERROR((MP_DATA[[#This Row],[D, bottom '[m']]]+MP_DATA[[#This Row],[D, top '[m']]])/(2*MP_DATA[[#This Row],[t '[mm']]]/1000),"")</f>
        <v/>
      </c>
      <c r="Q120" s="209"/>
      <c r="R120" s="209"/>
      <c r="S120" s="187"/>
      <c r="AP120" s="92"/>
      <c r="AQ120" s="93"/>
      <c r="AR120" s="93"/>
      <c r="AS120" s="93"/>
      <c r="AT120" s="93"/>
      <c r="AU120" s="94"/>
      <c r="AV120" s="233" t="str">
        <f>IFERROR(TP_DATA[[#This Row],[Top '[m']]]-TP_DATA[[#This Row],[Bottom '[m']]], "")</f>
        <v/>
      </c>
      <c r="AW120" s="217"/>
      <c r="AX120" s="145"/>
      <c r="AY120" s="234"/>
      <c r="BA120" s="55"/>
      <c r="BB120" s="53"/>
      <c r="BC120" s="53"/>
      <c r="BD120" s="52"/>
      <c r="BE120" s="51"/>
      <c r="BF120" s="51"/>
      <c r="BG120" s="51"/>
      <c r="BH120" s="51"/>
      <c r="BI120" s="90"/>
      <c r="CB120" s="92"/>
      <c r="CC120" s="93"/>
      <c r="CD120" s="93"/>
      <c r="CE120" s="93"/>
      <c r="CF120" s="93"/>
      <c r="CG120" s="94"/>
      <c r="CH120" s="233" t="str">
        <f>IFERROR(TOWER_DATA[[#This Row],[Top '[m']]]-TOWER_DATA[[#This Row],[Bottom '[m']]], "")</f>
        <v/>
      </c>
      <c r="CI120" s="217" t="str">
        <f>IFERROR(-(TOWER_DATA[[#This Row],[D, bottom '[m']]]-TOWER_DATA[[#This Row],[D, top '[m']]])/(TOWER_DATA[[#This Row],[Bottom '[m']]]-TOWER_DATA[[#This Row],[Top '[m']]]),"")</f>
        <v/>
      </c>
      <c r="CJ120" s="145" t="str">
        <f t="shared" si="4"/>
        <v/>
      </c>
      <c r="CK120" s="234" t="str">
        <f>IFERROR((TOWER_DATA[[#This Row],[D, bottom '[m']]]+TOWER_DATA[[#This Row],[D, top '[m']]])/(2*TOWER_DATA[[#This Row],[t '[mm']]]/1000),"")</f>
        <v/>
      </c>
      <c r="CM120" s="51"/>
      <c r="CN120" s="51"/>
      <c r="CO120" s="51"/>
      <c r="CP120" s="51"/>
      <c r="CQ120" s="51"/>
      <c r="CR120" s="51"/>
      <c r="CS120" s="51"/>
      <c r="CT120" s="51"/>
      <c r="CU120" s="90"/>
      <c r="DN120" s="320" t="s">
        <v>109</v>
      </c>
      <c r="DO120" s="317">
        <v>13</v>
      </c>
      <c r="DP120" s="317">
        <v>210</v>
      </c>
      <c r="DQ120" s="318">
        <v>777534</v>
      </c>
      <c r="DR120" s="318">
        <v>197394400</v>
      </c>
      <c r="DS120" s="318">
        <v>197394400</v>
      </c>
      <c r="DT120" s="319">
        <v>3.4</v>
      </c>
      <c r="DU120" s="319">
        <v>3.4</v>
      </c>
      <c r="DV120" s="312" t="s">
        <v>135</v>
      </c>
      <c r="DW120" s="51"/>
    </row>
    <row r="121" spans="1:127" ht="18" customHeight="1">
      <c r="A121" s="271"/>
      <c r="D121" s="280"/>
      <c r="E121" s="263"/>
      <c r="F121" s="93"/>
      <c r="G121" s="93"/>
      <c r="H121" s="93"/>
      <c r="I121" s="93"/>
      <c r="J121" s="94"/>
      <c r="K121" s="53" t="str">
        <f>IFERROR(MP_DATA[[#This Row],[Top '[m']]]-MP_DATA[[#This Row],[Bottom '[m']]], "")</f>
        <v/>
      </c>
      <c r="L121" s="217" t="str">
        <f>IFERROR(-(MP_DATA[[#This Row],[D, bottom '[m']]]-MP_DATA[[#This Row],[D, top '[m']]])/(MP_DATA[[#This Row],[Bottom '[m']]]-MP_DATA[[#This Row],[Top '[m']]]),"")</f>
        <v/>
      </c>
      <c r="M121" s="145" t="str">
        <f t="shared" si="5"/>
        <v/>
      </c>
      <c r="N121" s="234" t="str">
        <f>IFERROR((MP_DATA[[#This Row],[D, bottom '[m']]]+MP_DATA[[#This Row],[D, top '[m']]])/(2*MP_DATA[[#This Row],[t '[mm']]]/1000),"")</f>
        <v/>
      </c>
      <c r="Q121" s="209"/>
      <c r="R121" s="209"/>
      <c r="S121" s="187"/>
      <c r="AP121" s="181"/>
      <c r="AQ121" s="93"/>
      <c r="AR121" s="93"/>
      <c r="AS121" s="93"/>
      <c r="AT121" s="93"/>
      <c r="AU121" s="94"/>
      <c r="AV121" s="233" t="str">
        <f>IFERROR(TP_DATA[[#This Row],[Top '[m']]]-TP_DATA[[#This Row],[Bottom '[m']]], "")</f>
        <v/>
      </c>
      <c r="AW121" s="217"/>
      <c r="AX121" s="145"/>
      <c r="AY121" s="234"/>
      <c r="BA121" s="55"/>
      <c r="BB121" s="53"/>
      <c r="BC121" s="53"/>
      <c r="BD121" s="52"/>
      <c r="BE121" s="51"/>
      <c r="BF121" s="51"/>
      <c r="BG121" s="51"/>
      <c r="BH121" s="51"/>
      <c r="BI121" s="90"/>
      <c r="CB121" s="92"/>
      <c r="CC121" s="93"/>
      <c r="CD121" s="93"/>
      <c r="CE121" s="93"/>
      <c r="CF121" s="93"/>
      <c r="CG121" s="94"/>
      <c r="CH121" s="233" t="str">
        <f>IFERROR(TOWER_DATA[[#This Row],[Top '[m']]]-TOWER_DATA[[#This Row],[Bottom '[m']]], "")</f>
        <v/>
      </c>
      <c r="CI121" s="217" t="str">
        <f>IFERROR(-(TOWER_DATA[[#This Row],[D, bottom '[m']]]-TOWER_DATA[[#This Row],[D, top '[m']]])/(TOWER_DATA[[#This Row],[Bottom '[m']]]-TOWER_DATA[[#This Row],[Top '[m']]]),"")</f>
        <v/>
      </c>
      <c r="CJ121" s="145" t="str">
        <f t="shared" si="4"/>
        <v/>
      </c>
      <c r="CK121" s="234" t="str">
        <f>IFERROR((TOWER_DATA[[#This Row],[D, bottom '[m']]]+TOWER_DATA[[#This Row],[D, top '[m']]])/(2*TOWER_DATA[[#This Row],[t '[mm']]]/1000),"")</f>
        <v/>
      </c>
      <c r="CM121" s="51"/>
      <c r="CN121" s="51"/>
      <c r="CO121" s="51"/>
      <c r="CP121" s="51"/>
      <c r="CQ121" s="51"/>
      <c r="CR121" s="51"/>
      <c r="CS121" s="51"/>
      <c r="CT121" s="51"/>
      <c r="CU121" s="90"/>
      <c r="DN121" s="320" t="s">
        <v>131</v>
      </c>
      <c r="DO121" s="317">
        <v>12</v>
      </c>
      <c r="DP121" s="317">
        <v>220</v>
      </c>
      <c r="DQ121" s="318">
        <v>775567</v>
      </c>
      <c r="DR121" s="318">
        <v>198819700</v>
      </c>
      <c r="DS121" s="318">
        <v>198819700</v>
      </c>
      <c r="DT121" s="319">
        <v>3.4</v>
      </c>
      <c r="DU121" s="319">
        <v>3.4</v>
      </c>
      <c r="DV121" s="312" t="s">
        <v>135</v>
      </c>
      <c r="DW121" s="51"/>
    </row>
    <row r="122" spans="1:127" ht="18" customHeight="1">
      <c r="A122" s="271"/>
      <c r="D122" s="280"/>
      <c r="E122" s="263"/>
      <c r="F122" s="93"/>
      <c r="G122" s="93"/>
      <c r="H122" s="93"/>
      <c r="I122" s="93"/>
      <c r="J122" s="94"/>
      <c r="K122" s="53" t="str">
        <f>IFERROR(MP_DATA[[#This Row],[Top '[m']]]-MP_DATA[[#This Row],[Bottom '[m']]], "")</f>
        <v/>
      </c>
      <c r="L122" s="217" t="str">
        <f>IFERROR(-(MP_DATA[[#This Row],[D, bottom '[m']]]-MP_DATA[[#This Row],[D, top '[m']]])/(MP_DATA[[#This Row],[Bottom '[m']]]-MP_DATA[[#This Row],[Top '[m']]]),"")</f>
        <v/>
      </c>
      <c r="M122" s="145" t="str">
        <f t="shared" si="5"/>
        <v/>
      </c>
      <c r="N122" s="234" t="str">
        <f>IFERROR((MP_DATA[[#This Row],[D, bottom '[m']]]+MP_DATA[[#This Row],[D, top '[m']]])/(2*MP_DATA[[#This Row],[t '[mm']]]/1000),"")</f>
        <v/>
      </c>
      <c r="Q122" s="209"/>
      <c r="R122" s="209"/>
      <c r="S122" s="187"/>
      <c r="AP122" s="181"/>
      <c r="AQ122" s="93"/>
      <c r="AR122" s="93"/>
      <c r="AS122" s="93"/>
      <c r="AT122" s="93"/>
      <c r="AU122" s="94"/>
      <c r="AV122" s="233" t="str">
        <f>IFERROR(TP_DATA[[#This Row],[Top '[m']]]-TP_DATA[[#This Row],[Bottom '[m']]], "")</f>
        <v/>
      </c>
      <c r="AW122" s="217" t="str">
        <f>IFERROR(-(TP_DATA[[#This Row],[D, bottom '[m']]]-TP_DATA[[#This Row],[D, top '[m']]])/(TP_DATA[[#This Row],[Bottom '[m']]]-TP_DATA[[#This Row],[Top '[m']]]),"")</f>
        <v/>
      </c>
      <c r="AX122" s="145" t="str">
        <f t="shared" ref="AX122:AX138" si="7">IF(7850/1000*(1/3)*PI()*ABS(AQ125-AR125)*((AS125/2)^2+(AS125/2)*(AT125/2)+(AT125/2)^2-(AS125/2-AU125/1000)^2-(AS125/2-AU125/1000)*(AT125/2-AU125/1000)-(AT125/2-AU125/1000)^2)=0,"",7850/1000*(1/3)*PI()*ABS(AQ125-AR125)*((AS125/2)^2+(AS125/2)*(AT125/2)+(AT125/2)^2-(AS125/2-AU125/1000)^2-(AS125/2-AU125/1000)*(AT125/2-AU125/1000)-(AT125/2-AU125/1000)^2))</f>
        <v/>
      </c>
      <c r="AY122" s="234" t="str">
        <f>IFERROR((TP_DATA[[#This Row],[D, bottom '[m']]]+TP_DATA[[#This Row],[D, top '[m']]])/(2*TP_DATA[[#This Row],[t '[mm']]]/1000),"")</f>
        <v/>
      </c>
      <c r="BA122" s="55"/>
      <c r="BB122" s="53"/>
      <c r="BC122" s="53"/>
      <c r="BD122" s="52"/>
      <c r="BE122" s="51"/>
      <c r="BF122" s="51"/>
      <c r="BG122" s="51"/>
      <c r="BH122" s="51"/>
      <c r="BI122" s="90"/>
      <c r="CB122" s="92"/>
      <c r="CC122" s="93"/>
      <c r="CD122" s="93"/>
      <c r="CE122" s="93"/>
      <c r="CF122" s="93"/>
      <c r="CG122" s="94"/>
      <c r="CH122" s="233" t="str">
        <f>IFERROR(TOWER_DATA[[#This Row],[Top '[m']]]-TOWER_DATA[[#This Row],[Bottom '[m']]], "")</f>
        <v/>
      </c>
      <c r="CI122" s="217" t="str">
        <f>IFERROR(-(TOWER_DATA[[#This Row],[D, bottom '[m']]]-TOWER_DATA[[#This Row],[D, top '[m']]])/(TOWER_DATA[[#This Row],[Bottom '[m']]]-TOWER_DATA[[#This Row],[Top '[m']]]),"")</f>
        <v/>
      </c>
      <c r="CJ122" s="145" t="str">
        <f t="shared" si="4"/>
        <v/>
      </c>
      <c r="CK122" s="234" t="str">
        <f>IFERROR((TOWER_DATA[[#This Row],[D, bottom '[m']]]+TOWER_DATA[[#This Row],[D, top '[m']]])/(2*TOWER_DATA[[#This Row],[t '[mm']]]/1000),"")</f>
        <v/>
      </c>
      <c r="CM122" s="51"/>
      <c r="CN122" s="51"/>
      <c r="CO122" s="51"/>
      <c r="CP122" s="51"/>
      <c r="CQ122" s="51"/>
      <c r="CR122" s="51"/>
      <c r="CS122" s="51"/>
      <c r="CT122" s="51"/>
      <c r="CU122" s="90"/>
      <c r="DN122" s="320" t="s">
        <v>132</v>
      </c>
      <c r="DO122" s="317">
        <v>15</v>
      </c>
      <c r="DP122" s="317">
        <v>220</v>
      </c>
      <c r="DQ122" s="318">
        <v>1166238</v>
      </c>
      <c r="DR122" s="318">
        <v>205031400</v>
      </c>
      <c r="DS122" s="318">
        <v>205031400</v>
      </c>
      <c r="DT122" s="319">
        <v>3.4</v>
      </c>
      <c r="DU122" s="319">
        <v>3.4</v>
      </c>
      <c r="DV122" s="312" t="s">
        <v>135</v>
      </c>
      <c r="DW122" s="51"/>
    </row>
    <row r="123" spans="1:127" ht="18" customHeight="1">
      <c r="A123" s="271"/>
      <c r="D123" s="280"/>
      <c r="E123" s="263"/>
      <c r="F123" s="93"/>
      <c r="G123" s="93"/>
      <c r="H123" s="93"/>
      <c r="I123" s="93"/>
      <c r="J123" s="94"/>
      <c r="K123" s="53" t="str">
        <f>IFERROR(MP_DATA[[#This Row],[Top '[m']]]-MP_DATA[[#This Row],[Bottom '[m']]], "")</f>
        <v/>
      </c>
      <c r="L123" s="217" t="str">
        <f>IFERROR(-(MP_DATA[[#This Row],[D, bottom '[m']]]-MP_DATA[[#This Row],[D, top '[m']]])/(MP_DATA[[#This Row],[Bottom '[m']]]-MP_DATA[[#This Row],[Top '[m']]]),"")</f>
        <v/>
      </c>
      <c r="M123" s="145" t="str">
        <f t="shared" si="5"/>
        <v/>
      </c>
      <c r="N123" s="234" t="str">
        <f>IFERROR((MP_DATA[[#This Row],[D, bottom '[m']]]+MP_DATA[[#This Row],[D, top '[m']]])/(2*MP_DATA[[#This Row],[t '[mm']]]/1000),"")</f>
        <v/>
      </c>
      <c r="Q123" s="209"/>
      <c r="R123" s="209"/>
      <c r="S123" s="187"/>
      <c r="AP123" s="181"/>
      <c r="AQ123" s="93"/>
      <c r="AR123" s="93"/>
      <c r="AS123" s="93"/>
      <c r="AT123" s="93"/>
      <c r="AU123" s="94"/>
      <c r="AV123" s="233" t="str">
        <f>IFERROR(TP_DATA[[#This Row],[Top '[m']]]-TP_DATA[[#This Row],[Bottom '[m']]], "")</f>
        <v/>
      </c>
      <c r="AW123" s="217" t="str">
        <f>IFERROR(-(TP_DATA[[#This Row],[D, bottom '[m']]]-TP_DATA[[#This Row],[D, top '[m']]])/(TP_DATA[[#This Row],[Bottom '[m']]]-TP_DATA[[#This Row],[Top '[m']]]),"")</f>
        <v/>
      </c>
      <c r="AX123" s="145" t="str">
        <f t="shared" si="7"/>
        <v/>
      </c>
      <c r="AY123" s="234" t="str">
        <f>IFERROR((TP_DATA[[#This Row],[D, bottom '[m']]]+TP_DATA[[#This Row],[D, top '[m']]])/(2*TP_DATA[[#This Row],[t '[mm']]]/1000),"")</f>
        <v/>
      </c>
      <c r="BA123" s="55"/>
      <c r="BB123" s="53"/>
      <c r="BC123" s="53"/>
      <c r="BD123" s="52"/>
      <c r="BE123" s="51"/>
      <c r="BF123" s="51"/>
      <c r="BG123" s="51"/>
      <c r="BH123" s="51"/>
      <c r="BI123" s="90"/>
      <c r="CB123" s="92"/>
      <c r="CC123" s="93"/>
      <c r="CD123" s="93"/>
      <c r="CE123" s="93"/>
      <c r="CF123" s="93"/>
      <c r="CG123" s="94"/>
      <c r="CH123" s="233" t="str">
        <f>IFERROR(TOWER_DATA[[#This Row],[Top '[m']]]-TOWER_DATA[[#This Row],[Bottom '[m']]], "")</f>
        <v/>
      </c>
      <c r="CI123" s="217" t="str">
        <f>IFERROR(-(TOWER_DATA[[#This Row],[D, bottom '[m']]]-TOWER_DATA[[#This Row],[D, top '[m']]])/(TOWER_DATA[[#This Row],[Bottom '[m']]]-TOWER_DATA[[#This Row],[Top '[m']]]),"")</f>
        <v/>
      </c>
      <c r="CJ123" s="145" t="str">
        <f t="shared" si="4"/>
        <v/>
      </c>
      <c r="CK123" s="234" t="str">
        <f>IFERROR((TOWER_DATA[[#This Row],[D, bottom '[m']]]+TOWER_DATA[[#This Row],[D, top '[m']]])/(2*TOWER_DATA[[#This Row],[t '[mm']]]/1000),"")</f>
        <v/>
      </c>
      <c r="CM123" s="51"/>
      <c r="CN123" s="51"/>
      <c r="CO123" s="51"/>
      <c r="CP123" s="51"/>
      <c r="CQ123" s="51"/>
      <c r="CR123" s="51"/>
      <c r="CS123" s="51"/>
      <c r="CT123" s="51"/>
      <c r="CU123" s="90"/>
      <c r="DN123" s="320" t="s">
        <v>133</v>
      </c>
      <c r="DO123" s="317"/>
      <c r="DP123" s="317">
        <v>236</v>
      </c>
      <c r="DQ123" s="318">
        <v>565481</v>
      </c>
      <c r="DR123" s="318">
        <v>241746700</v>
      </c>
      <c r="DS123" s="318">
        <v>241746700</v>
      </c>
      <c r="DT123" s="319">
        <v>3.5</v>
      </c>
      <c r="DU123" s="319">
        <v>3.5</v>
      </c>
      <c r="DV123" s="312" t="s">
        <v>135</v>
      </c>
      <c r="DW123" s="51"/>
    </row>
    <row r="124" spans="1:127" ht="18" customHeight="1">
      <c r="A124" s="271"/>
      <c r="D124" s="280"/>
      <c r="E124" s="263"/>
      <c r="F124" s="93"/>
      <c r="G124" s="93"/>
      <c r="H124" s="93"/>
      <c r="I124" s="93"/>
      <c r="J124" s="94"/>
      <c r="K124" s="53" t="str">
        <f>IFERROR(MP_DATA[[#This Row],[Top '[m']]]-MP_DATA[[#This Row],[Bottom '[m']]], "")</f>
        <v/>
      </c>
      <c r="L124" s="217" t="str">
        <f>IFERROR(-(MP_DATA[[#This Row],[D, bottom '[m']]]-MP_DATA[[#This Row],[D, top '[m']]])/(MP_DATA[[#This Row],[Bottom '[m']]]-MP_DATA[[#This Row],[Top '[m']]]),"")</f>
        <v/>
      </c>
      <c r="M124" s="145" t="str">
        <f t="shared" si="5"/>
        <v/>
      </c>
      <c r="N124" s="234" t="str">
        <f>IFERROR((MP_DATA[[#This Row],[D, bottom '[m']]]+MP_DATA[[#This Row],[D, top '[m']]])/(2*MP_DATA[[#This Row],[t '[mm']]]/1000),"")</f>
        <v/>
      </c>
      <c r="Q124" s="209"/>
      <c r="R124" s="209"/>
      <c r="S124" s="187"/>
      <c r="AP124" s="92"/>
      <c r="AQ124" s="93"/>
      <c r="AR124" s="93"/>
      <c r="AS124" s="93"/>
      <c r="AT124" s="93"/>
      <c r="AU124" s="94"/>
      <c r="AV124" s="233" t="str">
        <f>IFERROR(TP_DATA[[#This Row],[Top '[m']]]-TP_DATA[[#This Row],[Bottom '[m']]], "")</f>
        <v/>
      </c>
      <c r="AW124" s="217" t="str">
        <f>IFERROR(-(TP_DATA[[#This Row],[D, bottom '[m']]]-TP_DATA[[#This Row],[D, top '[m']]])/(TP_DATA[[#This Row],[Bottom '[m']]]-TP_DATA[[#This Row],[Top '[m']]]),"")</f>
        <v/>
      </c>
      <c r="AX124" s="145" t="str">
        <f t="shared" si="7"/>
        <v/>
      </c>
      <c r="AY124" s="234" t="str">
        <f>IFERROR((TP_DATA[[#This Row],[D, bottom '[m']]]+TP_DATA[[#This Row],[D, top '[m']]])/(2*TP_DATA[[#This Row],[t '[mm']]]/1000),"")</f>
        <v/>
      </c>
      <c r="BA124" s="55"/>
      <c r="BB124" s="53"/>
      <c r="BC124" s="53"/>
      <c r="BD124" s="52"/>
      <c r="BE124" s="51"/>
      <c r="BF124" s="51"/>
      <c r="BG124" s="51"/>
      <c r="BH124" s="51"/>
      <c r="BI124" s="90"/>
      <c r="CB124" s="92"/>
      <c r="CC124" s="93"/>
      <c r="CD124" s="93"/>
      <c r="CE124" s="93"/>
      <c r="CF124" s="93"/>
      <c r="CG124" s="94"/>
      <c r="CH124" s="233" t="str">
        <f>IFERROR(TOWER_DATA[[#This Row],[Top '[m']]]-TOWER_DATA[[#This Row],[Bottom '[m']]], "")</f>
        <v/>
      </c>
      <c r="CI124" s="217" t="str">
        <f>IFERROR(-(TOWER_DATA[[#This Row],[D, bottom '[m']]]-TOWER_DATA[[#This Row],[D, top '[m']]])/(TOWER_DATA[[#This Row],[Bottom '[m']]]-TOWER_DATA[[#This Row],[Top '[m']]]),"")</f>
        <v/>
      </c>
      <c r="CJ124" s="145" t="str">
        <f t="shared" si="4"/>
        <v/>
      </c>
      <c r="CK124" s="234" t="str">
        <f>IFERROR((TOWER_DATA[[#This Row],[D, bottom '[m']]]+TOWER_DATA[[#This Row],[D, top '[m']]])/(2*TOWER_DATA[[#This Row],[t '[mm']]]/1000),"")</f>
        <v/>
      </c>
      <c r="CM124" s="51"/>
      <c r="CN124" s="51"/>
      <c r="CO124" s="51"/>
      <c r="CP124" s="51"/>
      <c r="CQ124" s="51"/>
      <c r="CR124" s="51"/>
      <c r="CS124" s="51"/>
      <c r="CT124" s="51"/>
      <c r="CU124" s="90"/>
      <c r="DN124" s="320" t="s">
        <v>134</v>
      </c>
      <c r="DO124" s="317">
        <v>15</v>
      </c>
      <c r="DP124" s="317">
        <v>240</v>
      </c>
      <c r="DQ124" s="318">
        <v>1102065</v>
      </c>
      <c r="DR124" s="318">
        <v>276287200</v>
      </c>
      <c r="DS124" s="318">
        <v>276287200</v>
      </c>
      <c r="DT124" s="319">
        <v>3.4</v>
      </c>
      <c r="DU124" s="319">
        <v>3.4</v>
      </c>
      <c r="DV124" s="321" t="s">
        <v>135</v>
      </c>
      <c r="DW124" s="54"/>
    </row>
    <row r="125" spans="1:127" ht="18" customHeight="1">
      <c r="A125" s="271"/>
      <c r="D125" s="280"/>
      <c r="E125" s="263"/>
      <c r="F125" s="93"/>
      <c r="G125" s="93"/>
      <c r="H125" s="93"/>
      <c r="I125" s="93"/>
      <c r="J125" s="94"/>
      <c r="K125" s="53" t="str">
        <f>IFERROR(MP_DATA[[#This Row],[Top '[m']]]-MP_DATA[[#This Row],[Bottom '[m']]], "")</f>
        <v/>
      </c>
      <c r="L125" s="217" t="str">
        <f>IFERROR(-(MP_DATA[[#This Row],[D, bottom '[m']]]-MP_DATA[[#This Row],[D, top '[m']]])/(MP_DATA[[#This Row],[Bottom '[m']]]-MP_DATA[[#This Row],[Top '[m']]]),"")</f>
        <v/>
      </c>
      <c r="M125" s="145" t="str">
        <f t="shared" si="5"/>
        <v/>
      </c>
      <c r="N125" s="234" t="str">
        <f>IFERROR((MP_DATA[[#This Row],[D, bottom '[m']]]+MP_DATA[[#This Row],[D, top '[m']]])/(2*MP_DATA[[#This Row],[t '[mm']]]/1000),"")</f>
        <v/>
      </c>
      <c r="Q125" s="209"/>
      <c r="R125" s="209"/>
      <c r="S125" s="187"/>
      <c r="AP125" s="92"/>
      <c r="AQ125" s="93"/>
      <c r="AR125" s="93"/>
      <c r="AS125" s="93"/>
      <c r="AT125" s="93"/>
      <c r="AU125" s="94"/>
      <c r="AV125" s="233" t="str">
        <f>IFERROR(TP_DATA[[#This Row],[Top '[m']]]-TP_DATA[[#This Row],[Bottom '[m']]], "")</f>
        <v/>
      </c>
      <c r="AW125" s="217" t="str">
        <f>IFERROR(-(TP_DATA[[#This Row],[D, bottom '[m']]]-TP_DATA[[#This Row],[D, top '[m']]])/(TP_DATA[[#This Row],[Bottom '[m']]]-TP_DATA[[#This Row],[Top '[m']]]),"")</f>
        <v/>
      </c>
      <c r="AX125" s="145" t="str">
        <f t="shared" si="7"/>
        <v/>
      </c>
      <c r="AY125" s="234" t="str">
        <f>IFERROR((TP_DATA[[#This Row],[D, bottom '[m']]]+TP_DATA[[#This Row],[D, top '[m']]])/(2*TP_DATA[[#This Row],[t '[mm']]]/1000),"")</f>
        <v/>
      </c>
      <c r="BA125" s="55"/>
      <c r="BB125" s="53"/>
      <c r="BC125" s="53"/>
      <c r="BD125" s="52"/>
      <c r="BE125" s="51"/>
      <c r="BF125" s="51"/>
      <c r="BG125" s="51"/>
      <c r="BH125" s="51"/>
      <c r="BI125" s="90"/>
      <c r="CB125" s="92"/>
      <c r="CC125" s="93"/>
      <c r="CD125" s="93"/>
      <c r="CE125" s="93"/>
      <c r="CF125" s="93"/>
      <c r="CG125" s="94"/>
      <c r="CH125" s="233" t="str">
        <f>IFERROR(TOWER_DATA[[#This Row],[Top '[m']]]-TOWER_DATA[[#This Row],[Bottom '[m']]], "")</f>
        <v/>
      </c>
      <c r="CI125" s="217" t="str">
        <f>IFERROR(-(TOWER_DATA[[#This Row],[D, bottom '[m']]]-TOWER_DATA[[#This Row],[D, top '[m']]])/(TOWER_DATA[[#This Row],[Bottom '[m']]]-TOWER_DATA[[#This Row],[Top '[m']]]),"")</f>
        <v/>
      </c>
      <c r="CJ125" s="145" t="str">
        <f t="shared" si="4"/>
        <v/>
      </c>
      <c r="CK125" s="234" t="str">
        <f>IFERROR((TOWER_DATA[[#This Row],[D, bottom '[m']]]+TOWER_DATA[[#This Row],[D, top '[m']]])/(2*TOWER_DATA[[#This Row],[t '[mm']]]/1000),"")</f>
        <v/>
      </c>
      <c r="CM125" s="51"/>
      <c r="CN125" s="51"/>
      <c r="CO125" s="51"/>
      <c r="CP125" s="51"/>
      <c r="CQ125" s="51"/>
      <c r="CR125" s="51"/>
      <c r="CS125" s="51"/>
      <c r="CT125" s="51"/>
      <c r="CU125" s="90"/>
      <c r="DN125" s="320" t="s">
        <v>223</v>
      </c>
      <c r="DO125" s="317" t="s">
        <v>135</v>
      </c>
      <c r="DP125" s="317" t="s">
        <v>135</v>
      </c>
      <c r="DQ125" s="318">
        <v>1394251</v>
      </c>
      <c r="DR125" s="318">
        <v>382420000</v>
      </c>
      <c r="DS125" s="318">
        <v>639730000</v>
      </c>
      <c r="DT125" s="319">
        <v>6.59</v>
      </c>
      <c r="DU125" s="319">
        <v>5.74</v>
      </c>
      <c r="DV125" s="321" t="s">
        <v>228</v>
      </c>
      <c r="DW125" s="54"/>
    </row>
    <row r="126" spans="1:127" ht="18" customHeight="1">
      <c r="A126" s="271"/>
      <c r="D126" s="280"/>
      <c r="E126" s="263"/>
      <c r="F126" s="93"/>
      <c r="G126" s="93"/>
      <c r="H126" s="93"/>
      <c r="I126" s="93"/>
      <c r="J126" s="94"/>
      <c r="K126" s="53" t="str">
        <f>IFERROR(MP_DATA[[#This Row],[Top '[m']]]-MP_DATA[[#This Row],[Bottom '[m']]], "")</f>
        <v/>
      </c>
      <c r="L126" s="217" t="str">
        <f>IFERROR(-(MP_DATA[[#This Row],[D, bottom '[m']]]-MP_DATA[[#This Row],[D, top '[m']]])/(MP_DATA[[#This Row],[Bottom '[m']]]-MP_DATA[[#This Row],[Top '[m']]]),"")</f>
        <v/>
      </c>
      <c r="M126" s="145" t="str">
        <f t="shared" si="5"/>
        <v/>
      </c>
      <c r="N126" s="234" t="str">
        <f>IFERROR((MP_DATA[[#This Row],[D, bottom '[m']]]+MP_DATA[[#This Row],[D, top '[m']]])/(2*MP_DATA[[#This Row],[t '[mm']]]/1000),"")</f>
        <v/>
      </c>
      <c r="Q126" s="209"/>
      <c r="R126" s="209"/>
      <c r="S126" s="187"/>
      <c r="AP126" s="92"/>
      <c r="AQ126" s="93"/>
      <c r="AR126" s="93"/>
      <c r="AS126" s="93"/>
      <c r="AT126" s="93"/>
      <c r="AU126" s="94"/>
      <c r="AV126" s="233" t="str">
        <f>IFERROR(TP_DATA[[#This Row],[Top '[m']]]-TP_DATA[[#This Row],[Bottom '[m']]], "")</f>
        <v/>
      </c>
      <c r="AW126" s="217" t="str">
        <f>IFERROR(-(TP_DATA[[#This Row],[D, bottom '[m']]]-TP_DATA[[#This Row],[D, top '[m']]])/(TP_DATA[[#This Row],[Bottom '[m']]]-TP_DATA[[#This Row],[Top '[m']]]),"")</f>
        <v/>
      </c>
      <c r="AX126" s="145" t="str">
        <f t="shared" si="7"/>
        <v/>
      </c>
      <c r="AY126" s="234" t="str">
        <f>IFERROR((TP_DATA[[#This Row],[D, bottom '[m']]]+TP_DATA[[#This Row],[D, top '[m']]])/(2*TP_DATA[[#This Row],[t '[mm']]]/1000),"")</f>
        <v/>
      </c>
      <c r="BA126" s="55"/>
      <c r="BB126" s="53"/>
      <c r="BC126" s="53"/>
      <c r="BD126" s="52"/>
      <c r="BE126" s="51"/>
      <c r="BF126" s="51"/>
      <c r="BG126" s="51"/>
      <c r="BH126" s="51"/>
      <c r="BI126" s="90"/>
      <c r="CB126" s="92"/>
      <c r="CC126" s="93"/>
      <c r="CD126" s="93"/>
      <c r="CE126" s="93"/>
      <c r="CF126" s="93"/>
      <c r="CG126" s="94"/>
      <c r="CH126" s="233" t="str">
        <f>IFERROR(TOWER_DATA[[#This Row],[Top '[m']]]-TOWER_DATA[[#This Row],[Bottom '[m']]], "")</f>
        <v/>
      </c>
      <c r="CI126" s="217" t="str">
        <f>IFERROR(-(TOWER_DATA[[#This Row],[D, bottom '[m']]]-TOWER_DATA[[#This Row],[D, top '[m']]])/(TOWER_DATA[[#This Row],[Bottom '[m']]]-TOWER_DATA[[#This Row],[Top '[m']]]),"")</f>
        <v/>
      </c>
      <c r="CJ126" s="145" t="str">
        <f t="shared" si="4"/>
        <v/>
      </c>
      <c r="CK126" s="234" t="str">
        <f>IFERROR((TOWER_DATA[[#This Row],[D, bottom '[m']]]+TOWER_DATA[[#This Row],[D, top '[m']]])/(2*TOWER_DATA[[#This Row],[t '[mm']]]/1000),"")</f>
        <v/>
      </c>
      <c r="CM126" s="51"/>
      <c r="CN126" s="51"/>
      <c r="CO126" s="51"/>
      <c r="CP126" s="51"/>
      <c r="CQ126" s="51"/>
      <c r="CR126" s="51"/>
      <c r="CS126" s="51"/>
      <c r="CT126" s="51"/>
      <c r="CU126" s="90"/>
      <c r="DO126" s="209"/>
      <c r="DP126" s="209"/>
      <c r="DQ126" s="187"/>
      <c r="DT126" s="99"/>
      <c r="DU126" s="99"/>
      <c r="DV126" s="73" t="str">
        <f t="shared" ref="DV126:DV134" si="8">IF(7850/1000*(1/3)*PI()*ABS(DO126-DQ126)*((DR126/2)^2+(DR126/2)*(DS126/2)+(DS126/2)^2-(DR126/2-DU126/1000)^2-(DR126/2-DU126/1000)*(DS126/2-DU126/1000)-(DS126/2-DU126/1000)^2)=0,"",7850/1000*(1/3)*PI()*ABS(DO126-DQ126)*((DR126/2)^2+(DR126/2)*(DS126/2)+(DS126/2)^2-(DR126/2-DU126/1000)^2-(DR126/2-DU126/1000)*(DS126/2-DU126/1000)-(DS126/2-DU126/1000)^2))</f>
        <v/>
      </c>
      <c r="DW126" s="73"/>
    </row>
    <row r="127" spans="1:127" ht="18" customHeight="1">
      <c r="A127" s="271"/>
      <c r="D127" s="280"/>
      <c r="E127" s="263"/>
      <c r="F127" s="93"/>
      <c r="G127" s="93"/>
      <c r="H127" s="93"/>
      <c r="I127" s="93"/>
      <c r="J127" s="94"/>
      <c r="K127" s="53" t="str">
        <f>IFERROR(MP_DATA[[#This Row],[Top '[m']]]-MP_DATA[[#This Row],[Bottom '[m']]], "")</f>
        <v/>
      </c>
      <c r="L127" s="217" t="str">
        <f>IFERROR(-(MP_DATA[[#This Row],[D, bottom '[m']]]-MP_DATA[[#This Row],[D, top '[m']]])/(MP_DATA[[#This Row],[Bottom '[m']]]-MP_DATA[[#This Row],[Top '[m']]]),"")</f>
        <v/>
      </c>
      <c r="M127" s="145" t="str">
        <f t="shared" si="5"/>
        <v/>
      </c>
      <c r="N127" s="234" t="str">
        <f>IFERROR((MP_DATA[[#This Row],[D, bottom '[m']]]+MP_DATA[[#This Row],[D, top '[m']]])/(2*MP_DATA[[#This Row],[t '[mm']]]/1000),"")</f>
        <v/>
      </c>
      <c r="Q127" s="209"/>
      <c r="R127" s="209"/>
      <c r="S127" s="187"/>
      <c r="AP127" s="92"/>
      <c r="AQ127" s="93"/>
      <c r="AR127" s="93"/>
      <c r="AS127" s="93"/>
      <c r="AT127" s="93"/>
      <c r="AU127" s="94"/>
      <c r="AV127" s="233" t="str">
        <f>IFERROR(TP_DATA[[#This Row],[Top '[m']]]-TP_DATA[[#This Row],[Bottom '[m']]], "")</f>
        <v/>
      </c>
      <c r="AW127" s="217" t="str">
        <f>IFERROR(-(TP_DATA[[#This Row],[D, bottom '[m']]]-TP_DATA[[#This Row],[D, top '[m']]])/(TP_DATA[[#This Row],[Bottom '[m']]]-TP_DATA[[#This Row],[Top '[m']]]),"")</f>
        <v/>
      </c>
      <c r="AX127" s="145" t="str">
        <f t="shared" si="7"/>
        <v/>
      </c>
      <c r="AY127" s="234" t="str">
        <f>IFERROR((TP_DATA[[#This Row],[D, bottom '[m']]]+TP_DATA[[#This Row],[D, top '[m']]])/(2*TP_DATA[[#This Row],[t '[mm']]]/1000),"")</f>
        <v/>
      </c>
      <c r="BA127" s="55"/>
      <c r="BB127" s="53"/>
      <c r="BC127" s="53"/>
      <c r="BD127" s="52"/>
      <c r="BE127" s="51"/>
      <c r="BF127" s="51"/>
      <c r="BG127" s="51"/>
      <c r="BH127" s="51"/>
      <c r="BI127" s="90"/>
      <c r="CB127" s="92"/>
      <c r="CC127" s="93"/>
      <c r="CD127" s="93"/>
      <c r="CE127" s="93"/>
      <c r="CF127" s="93"/>
      <c r="CG127" s="94"/>
      <c r="CH127" s="233" t="str">
        <f>IFERROR(TOWER_DATA[[#This Row],[Top '[m']]]-TOWER_DATA[[#This Row],[Bottom '[m']]], "")</f>
        <v/>
      </c>
      <c r="CI127" s="217" t="str">
        <f>IFERROR(-(TOWER_DATA[[#This Row],[D, bottom '[m']]]-TOWER_DATA[[#This Row],[D, top '[m']]])/(TOWER_DATA[[#This Row],[Bottom '[m']]]-TOWER_DATA[[#This Row],[Top '[m']]]),"")</f>
        <v/>
      </c>
      <c r="CJ127" s="145" t="str">
        <f t="shared" si="4"/>
        <v/>
      </c>
      <c r="CK127" s="234" t="str">
        <f>IFERROR((TOWER_DATA[[#This Row],[D, bottom '[m']]]+TOWER_DATA[[#This Row],[D, top '[m']]])/(2*TOWER_DATA[[#This Row],[t '[mm']]]/1000),"")</f>
        <v/>
      </c>
      <c r="CM127" s="51"/>
      <c r="CN127" s="51"/>
      <c r="CO127" s="51"/>
      <c r="CP127" s="51"/>
      <c r="CQ127" s="51"/>
      <c r="CR127" s="51"/>
      <c r="CS127" s="51"/>
      <c r="CT127" s="51"/>
      <c r="CU127" s="90"/>
      <c r="DO127" s="209"/>
      <c r="DP127" s="209"/>
      <c r="DQ127" s="187"/>
      <c r="DT127" s="99"/>
      <c r="DU127" s="99"/>
      <c r="DV127" s="73" t="str">
        <f t="shared" si="8"/>
        <v/>
      </c>
      <c r="DW127" s="73"/>
    </row>
    <row r="128" spans="1:127" ht="18" customHeight="1">
      <c r="A128" s="271"/>
      <c r="D128" s="280"/>
      <c r="E128" s="263"/>
      <c r="F128" s="93"/>
      <c r="G128" s="93"/>
      <c r="H128" s="93"/>
      <c r="I128" s="93"/>
      <c r="J128" s="94"/>
      <c r="K128" s="53" t="str">
        <f>IFERROR(MP_DATA[[#This Row],[Top '[m']]]-MP_DATA[[#This Row],[Bottom '[m']]], "")</f>
        <v/>
      </c>
      <c r="L128" s="217" t="str">
        <f>IFERROR(-(MP_DATA[[#This Row],[D, bottom '[m']]]-MP_DATA[[#This Row],[D, top '[m']]])/(MP_DATA[[#This Row],[Bottom '[m']]]-MP_DATA[[#This Row],[Top '[m']]]),"")</f>
        <v/>
      </c>
      <c r="M128" s="145" t="str">
        <f t="shared" si="5"/>
        <v/>
      </c>
      <c r="N128" s="234" t="str">
        <f>IFERROR((MP_DATA[[#This Row],[D, bottom '[m']]]+MP_DATA[[#This Row],[D, top '[m']]])/(2*MP_DATA[[#This Row],[t '[mm']]]/1000),"")</f>
        <v/>
      </c>
      <c r="Q128" s="209"/>
      <c r="R128" s="209"/>
      <c r="S128" s="187"/>
      <c r="AP128" s="92"/>
      <c r="AQ128" s="93"/>
      <c r="AR128" s="93"/>
      <c r="AS128" s="93"/>
      <c r="AT128" s="93"/>
      <c r="AU128" s="94"/>
      <c r="AV128" s="233" t="str">
        <f>IFERROR(TP_DATA[[#This Row],[Top '[m']]]-TP_DATA[[#This Row],[Bottom '[m']]], "")</f>
        <v/>
      </c>
      <c r="AW128" s="217" t="str">
        <f>IFERROR(-(TP_DATA[[#This Row],[D, bottom '[m']]]-TP_DATA[[#This Row],[D, top '[m']]])/(TP_DATA[[#This Row],[Bottom '[m']]]-TP_DATA[[#This Row],[Top '[m']]]),"")</f>
        <v/>
      </c>
      <c r="AX128" s="145" t="str">
        <f t="shared" si="7"/>
        <v/>
      </c>
      <c r="AY128" s="234" t="str">
        <f>IFERROR((TP_DATA[[#This Row],[D, bottom '[m']]]+TP_DATA[[#This Row],[D, top '[m']]])/(2*TP_DATA[[#This Row],[t '[mm']]]/1000),"")</f>
        <v/>
      </c>
      <c r="BA128" s="55"/>
      <c r="BB128" s="53"/>
      <c r="BC128" s="53"/>
      <c r="BD128" s="52"/>
      <c r="BE128" s="51"/>
      <c r="BF128" s="51"/>
      <c r="BG128" s="51"/>
      <c r="BH128" s="51"/>
      <c r="BI128" s="90"/>
      <c r="CB128" s="92"/>
      <c r="CC128" s="93"/>
      <c r="CD128" s="93"/>
      <c r="CE128" s="93"/>
      <c r="CF128" s="93"/>
      <c r="CG128" s="94"/>
      <c r="CH128" s="233" t="str">
        <f>IFERROR(TOWER_DATA[[#This Row],[Top '[m']]]-TOWER_DATA[[#This Row],[Bottom '[m']]], "")</f>
        <v/>
      </c>
      <c r="CI128" s="217" t="str">
        <f>IFERROR(-(TOWER_DATA[[#This Row],[D, bottom '[m']]]-TOWER_DATA[[#This Row],[D, top '[m']]])/(TOWER_DATA[[#This Row],[Bottom '[m']]]-TOWER_DATA[[#This Row],[Top '[m']]]),"")</f>
        <v/>
      </c>
      <c r="CJ128" s="145" t="str">
        <f t="shared" si="4"/>
        <v/>
      </c>
      <c r="CK128" s="234" t="str">
        <f>IFERROR((TOWER_DATA[[#This Row],[D, bottom '[m']]]+TOWER_DATA[[#This Row],[D, top '[m']]])/(2*TOWER_DATA[[#This Row],[t '[mm']]]/1000),"")</f>
        <v/>
      </c>
      <c r="CM128" s="51"/>
      <c r="CN128" s="51"/>
      <c r="CO128" s="51"/>
      <c r="CP128" s="51"/>
      <c r="CQ128" s="51"/>
      <c r="CR128" s="51"/>
      <c r="CS128" s="51"/>
      <c r="CT128" s="51"/>
      <c r="CU128" s="90"/>
      <c r="DO128" s="209"/>
      <c r="DP128" s="209"/>
      <c r="DQ128" s="187"/>
      <c r="DT128" s="99"/>
      <c r="DU128" s="99"/>
      <c r="DV128" s="73" t="str">
        <f t="shared" si="8"/>
        <v/>
      </c>
      <c r="DW128" s="73"/>
    </row>
    <row r="129" spans="1:127" ht="18" customHeight="1">
      <c r="A129" s="271"/>
      <c r="D129" s="280"/>
      <c r="E129" s="263"/>
      <c r="F129" s="93"/>
      <c r="G129" s="93"/>
      <c r="H129" s="93"/>
      <c r="I129" s="93"/>
      <c r="J129" s="94"/>
      <c r="K129" s="53" t="str">
        <f>IFERROR(MP_DATA[[#This Row],[Top '[m']]]-MP_DATA[[#This Row],[Bottom '[m']]], "")</f>
        <v/>
      </c>
      <c r="L129" s="217" t="str">
        <f>IFERROR(-(MP_DATA[[#This Row],[D, bottom '[m']]]-MP_DATA[[#This Row],[D, top '[m']]])/(MP_DATA[[#This Row],[Bottom '[m']]]-MP_DATA[[#This Row],[Top '[m']]]),"")</f>
        <v/>
      </c>
      <c r="M129" s="145" t="str">
        <f t="shared" si="5"/>
        <v/>
      </c>
      <c r="N129" s="234" t="str">
        <f>IFERROR((MP_DATA[[#This Row],[D, bottom '[m']]]+MP_DATA[[#This Row],[D, top '[m']]])/(2*MP_DATA[[#This Row],[t '[mm']]]/1000),"")</f>
        <v/>
      </c>
      <c r="Q129" s="209"/>
      <c r="R129" s="209"/>
      <c r="S129" s="187"/>
      <c r="AP129" s="92"/>
      <c r="AQ129" s="93"/>
      <c r="AR129" s="93"/>
      <c r="AS129" s="93"/>
      <c r="AT129" s="93"/>
      <c r="AU129" s="94"/>
      <c r="AV129" s="233" t="str">
        <f>IFERROR(TP_DATA[[#This Row],[Top '[m']]]-TP_DATA[[#This Row],[Bottom '[m']]], "")</f>
        <v/>
      </c>
      <c r="AW129" s="217" t="str">
        <f>IFERROR(-(TP_DATA[[#This Row],[D, bottom '[m']]]-TP_DATA[[#This Row],[D, top '[m']]])/(TP_DATA[[#This Row],[Bottom '[m']]]-TP_DATA[[#This Row],[Top '[m']]]),"")</f>
        <v/>
      </c>
      <c r="AX129" s="145" t="str">
        <f t="shared" si="7"/>
        <v/>
      </c>
      <c r="AY129" s="234" t="str">
        <f>IFERROR((TP_DATA[[#This Row],[D, bottom '[m']]]+TP_DATA[[#This Row],[D, top '[m']]])/(2*TP_DATA[[#This Row],[t '[mm']]]/1000),"")</f>
        <v/>
      </c>
      <c r="BB129" s="99"/>
      <c r="BC129" s="99"/>
      <c r="BD129" s="187"/>
      <c r="CB129" s="92"/>
      <c r="CC129" s="93"/>
      <c r="CD129" s="93"/>
      <c r="CE129" s="93"/>
      <c r="CF129" s="93"/>
      <c r="CG129" s="94"/>
      <c r="CH129" s="233" t="str">
        <f>IFERROR(TOWER_DATA[[#This Row],[Top '[m']]]-TOWER_DATA[[#This Row],[Bottom '[m']]], "")</f>
        <v/>
      </c>
      <c r="CI129" s="217" t="str">
        <f>IFERROR(-(TOWER_DATA[[#This Row],[D, bottom '[m']]]-TOWER_DATA[[#This Row],[D, top '[m']]])/(TOWER_DATA[[#This Row],[Bottom '[m']]]-TOWER_DATA[[#This Row],[Top '[m']]]),"")</f>
        <v/>
      </c>
      <c r="CJ129" s="145" t="str">
        <f t="shared" si="4"/>
        <v/>
      </c>
      <c r="CK129" s="234" t="str">
        <f>IFERROR((TOWER_DATA[[#This Row],[D, bottom '[m']]]+TOWER_DATA[[#This Row],[D, top '[m']]])/(2*TOWER_DATA[[#This Row],[t '[mm']]]/1000),"")</f>
        <v/>
      </c>
      <c r="CM129" s="51"/>
      <c r="CN129" s="51"/>
      <c r="CO129" s="51"/>
      <c r="CP129" s="51"/>
      <c r="CQ129" s="51"/>
      <c r="CR129" s="51"/>
      <c r="CS129" s="51"/>
      <c r="CT129" s="51"/>
      <c r="CU129" s="90"/>
      <c r="DO129" s="209"/>
      <c r="DP129" s="209"/>
      <c r="DQ129" s="187"/>
      <c r="DT129" s="99"/>
      <c r="DU129" s="99"/>
      <c r="DV129" s="73" t="str">
        <f t="shared" si="8"/>
        <v/>
      </c>
      <c r="DW129" s="73"/>
    </row>
    <row r="130" spans="1:127" ht="18" customHeight="1">
      <c r="A130" s="271"/>
      <c r="D130" s="280"/>
      <c r="E130" s="263"/>
      <c r="F130" s="93"/>
      <c r="G130" s="93"/>
      <c r="H130" s="93"/>
      <c r="I130" s="93"/>
      <c r="J130" s="94"/>
      <c r="K130" s="53" t="str">
        <f>IFERROR(MP_DATA[[#This Row],[Top '[m']]]-MP_DATA[[#This Row],[Bottom '[m']]], "")</f>
        <v/>
      </c>
      <c r="L130" s="217" t="str">
        <f>IFERROR(-(MP_DATA[[#This Row],[D, bottom '[m']]]-MP_DATA[[#This Row],[D, top '[m']]])/(MP_DATA[[#This Row],[Bottom '[m']]]-MP_DATA[[#This Row],[Top '[m']]]),"")</f>
        <v/>
      </c>
      <c r="M130" s="145" t="str">
        <f t="shared" si="5"/>
        <v/>
      </c>
      <c r="N130" s="234" t="str">
        <f>IFERROR((MP_DATA[[#This Row],[D, bottom '[m']]]+MP_DATA[[#This Row],[D, top '[m']]])/(2*MP_DATA[[#This Row],[t '[mm']]]/1000),"")</f>
        <v/>
      </c>
      <c r="Q130" s="209"/>
      <c r="R130" s="209"/>
      <c r="S130" s="187"/>
      <c r="AP130" s="92"/>
      <c r="AQ130" s="93"/>
      <c r="AR130" s="93"/>
      <c r="AS130" s="93"/>
      <c r="AT130" s="93"/>
      <c r="AU130" s="94"/>
      <c r="AV130" s="233" t="str">
        <f>IFERROR(TP_DATA[[#This Row],[Top '[m']]]-TP_DATA[[#This Row],[Bottom '[m']]], "")</f>
        <v/>
      </c>
      <c r="AW130" s="217" t="str">
        <f>IFERROR(-(TP_DATA[[#This Row],[D, bottom '[m']]]-TP_DATA[[#This Row],[D, top '[m']]])/(TP_DATA[[#This Row],[Bottom '[m']]]-TP_DATA[[#This Row],[Top '[m']]]),"")</f>
        <v/>
      </c>
      <c r="AX130" s="145" t="str">
        <f t="shared" si="7"/>
        <v/>
      </c>
      <c r="AY130" s="234" t="str">
        <f>IFERROR((TP_DATA[[#This Row],[D, bottom '[m']]]+TP_DATA[[#This Row],[D, top '[m']]])/(2*TP_DATA[[#This Row],[t '[mm']]]/1000),"")</f>
        <v/>
      </c>
      <c r="BB130" s="99"/>
      <c r="BC130" s="99"/>
      <c r="BD130" s="187"/>
      <c r="CB130" s="92"/>
      <c r="CC130" s="93"/>
      <c r="CD130" s="93"/>
      <c r="CE130" s="93"/>
      <c r="CF130" s="93"/>
      <c r="CG130" s="94"/>
      <c r="CH130" s="233" t="str">
        <f>IFERROR(TOWER_DATA[[#This Row],[Top '[m']]]-TOWER_DATA[[#This Row],[Bottom '[m']]], "")</f>
        <v/>
      </c>
      <c r="CI130" s="217" t="str">
        <f>IFERROR(-(TOWER_DATA[[#This Row],[D, bottom '[m']]]-TOWER_DATA[[#This Row],[D, top '[m']]])/(TOWER_DATA[[#This Row],[Bottom '[m']]]-TOWER_DATA[[#This Row],[Top '[m']]]),"")</f>
        <v/>
      </c>
      <c r="CJ130" s="145" t="str">
        <f t="shared" si="4"/>
        <v/>
      </c>
      <c r="CK130" s="234" t="str">
        <f>IFERROR((TOWER_DATA[[#This Row],[D, bottom '[m']]]+TOWER_DATA[[#This Row],[D, top '[m']]])/(2*TOWER_DATA[[#This Row],[t '[mm']]]/1000),"")</f>
        <v/>
      </c>
      <c r="CM130" s="51"/>
      <c r="CN130" s="51"/>
      <c r="CO130" s="51"/>
      <c r="CP130" s="51"/>
      <c r="CQ130" s="51"/>
      <c r="CR130" s="51"/>
      <c r="CS130" s="51"/>
      <c r="CT130" s="51"/>
      <c r="CU130" s="90"/>
      <c r="DO130" s="209"/>
      <c r="DP130" s="209"/>
      <c r="DQ130" s="187"/>
      <c r="DT130" s="99"/>
      <c r="DU130" s="99"/>
      <c r="DV130" s="73" t="str">
        <f t="shared" si="8"/>
        <v/>
      </c>
      <c r="DW130" s="73"/>
    </row>
    <row r="131" spans="1:127" ht="18" customHeight="1">
      <c r="A131" s="271"/>
      <c r="D131" s="280"/>
      <c r="E131" s="263"/>
      <c r="F131" s="93"/>
      <c r="G131" s="93"/>
      <c r="H131" s="93"/>
      <c r="I131" s="93"/>
      <c r="J131" s="94"/>
      <c r="K131" s="53" t="str">
        <f>IFERROR(MP_DATA[[#This Row],[Top '[m']]]-MP_DATA[[#This Row],[Bottom '[m']]], "")</f>
        <v/>
      </c>
      <c r="L131" s="217" t="str">
        <f>IFERROR(-(MP_DATA[[#This Row],[D, bottom '[m']]]-MP_DATA[[#This Row],[D, top '[m']]])/(MP_DATA[[#This Row],[Bottom '[m']]]-MP_DATA[[#This Row],[Top '[m']]]),"")</f>
        <v/>
      </c>
      <c r="M131" s="145" t="str">
        <f t="shared" si="5"/>
        <v/>
      </c>
      <c r="N131" s="234" t="str">
        <f>IFERROR((MP_DATA[[#This Row],[D, bottom '[m']]]+MP_DATA[[#This Row],[D, top '[m']]])/(2*MP_DATA[[#This Row],[t '[mm']]]/1000),"")</f>
        <v/>
      </c>
      <c r="Q131" s="209"/>
      <c r="R131" s="209"/>
      <c r="S131" s="187"/>
      <c r="AP131" s="92"/>
      <c r="AQ131" s="93"/>
      <c r="AR131" s="93"/>
      <c r="AS131" s="93"/>
      <c r="AT131" s="93"/>
      <c r="AU131" s="94"/>
      <c r="AV131" s="233" t="str">
        <f>IFERROR(TP_DATA[[#This Row],[Top '[m']]]-TP_DATA[[#This Row],[Bottom '[m']]], "")</f>
        <v/>
      </c>
      <c r="AW131" s="217" t="str">
        <f>IFERROR(-(TP_DATA[[#This Row],[D, bottom '[m']]]-TP_DATA[[#This Row],[D, top '[m']]])/(TP_DATA[[#This Row],[Bottom '[m']]]-TP_DATA[[#This Row],[Top '[m']]]),"")</f>
        <v/>
      </c>
      <c r="AX131" s="145" t="str">
        <f t="shared" si="7"/>
        <v/>
      </c>
      <c r="AY131" s="234" t="str">
        <f>IFERROR((TP_DATA[[#This Row],[D, bottom '[m']]]+TP_DATA[[#This Row],[D, top '[m']]])/(2*TP_DATA[[#This Row],[t '[mm']]]/1000),"")</f>
        <v/>
      </c>
      <c r="BB131" s="99"/>
      <c r="BC131" s="99"/>
      <c r="BD131" s="187"/>
      <c r="CB131" s="92"/>
      <c r="CC131" s="93"/>
      <c r="CD131" s="93"/>
      <c r="CE131" s="93"/>
      <c r="CF131" s="93"/>
      <c r="CG131" s="94"/>
      <c r="CH131" s="233" t="str">
        <f>IFERROR(TOWER_DATA[[#This Row],[Top '[m']]]-TOWER_DATA[[#This Row],[Bottom '[m']]], "")</f>
        <v/>
      </c>
      <c r="CI131" s="217" t="str">
        <f>IFERROR(-(TOWER_DATA[[#This Row],[D, bottom '[m']]]-TOWER_DATA[[#This Row],[D, top '[m']]])/(TOWER_DATA[[#This Row],[Bottom '[m']]]-TOWER_DATA[[#This Row],[Top '[m']]]),"")</f>
        <v/>
      </c>
      <c r="CJ131" s="145" t="str">
        <f t="shared" si="4"/>
        <v/>
      </c>
      <c r="CK131" s="234" t="str">
        <f>IFERROR((TOWER_DATA[[#This Row],[D, bottom '[m']]]+TOWER_DATA[[#This Row],[D, top '[m']]])/(2*TOWER_DATA[[#This Row],[t '[mm']]]/1000),"")</f>
        <v/>
      </c>
      <c r="CM131" s="51"/>
      <c r="CN131" s="51"/>
      <c r="CO131" s="51"/>
      <c r="CP131" s="51"/>
      <c r="CQ131" s="51"/>
      <c r="CR131" s="51"/>
      <c r="CS131" s="51"/>
      <c r="CT131" s="51"/>
      <c r="CU131" s="90"/>
      <c r="DO131" s="209"/>
      <c r="DP131" s="209"/>
      <c r="DQ131" s="187"/>
      <c r="DT131" s="99"/>
      <c r="DU131" s="99"/>
      <c r="DV131" s="73" t="str">
        <f t="shared" si="8"/>
        <v/>
      </c>
      <c r="DW131" s="73"/>
    </row>
    <row r="132" spans="1:127" ht="18" customHeight="1">
      <c r="A132" s="271"/>
      <c r="D132" s="280"/>
      <c r="E132" s="263"/>
      <c r="F132" s="93"/>
      <c r="G132" s="93"/>
      <c r="H132" s="93"/>
      <c r="I132" s="93"/>
      <c r="J132" s="94"/>
      <c r="K132" s="53" t="str">
        <f>IFERROR(MP_DATA[[#This Row],[Top '[m']]]-MP_DATA[[#This Row],[Bottom '[m']]], "")</f>
        <v/>
      </c>
      <c r="L132" s="217" t="str">
        <f>IFERROR(-(MP_DATA[[#This Row],[D, bottom '[m']]]-MP_DATA[[#This Row],[D, top '[m']]])/(MP_DATA[[#This Row],[Bottom '[m']]]-MP_DATA[[#This Row],[Top '[m']]]),"")</f>
        <v/>
      </c>
      <c r="M132" s="145" t="str">
        <f t="shared" si="5"/>
        <v/>
      </c>
      <c r="N132" s="234" t="str">
        <f>IFERROR((MP_DATA[[#This Row],[D, bottom '[m']]]+MP_DATA[[#This Row],[D, top '[m']]])/(2*MP_DATA[[#This Row],[t '[mm']]]/1000),"")</f>
        <v/>
      </c>
      <c r="Q132" s="209"/>
      <c r="R132" s="209"/>
      <c r="S132" s="187"/>
      <c r="AP132" s="92"/>
      <c r="AQ132" s="93"/>
      <c r="AR132" s="93"/>
      <c r="AS132" s="93"/>
      <c r="AT132" s="93"/>
      <c r="AU132" s="94"/>
      <c r="AV132" s="233" t="str">
        <f>IFERROR(TP_DATA[[#This Row],[Top '[m']]]-TP_DATA[[#This Row],[Bottom '[m']]], "")</f>
        <v/>
      </c>
      <c r="AW132" s="217" t="str">
        <f>IFERROR(-(TP_DATA[[#This Row],[D, bottom '[m']]]-TP_DATA[[#This Row],[D, top '[m']]])/(TP_DATA[[#This Row],[Bottom '[m']]]-TP_DATA[[#This Row],[Top '[m']]]),"")</f>
        <v/>
      </c>
      <c r="AX132" s="145" t="str">
        <f t="shared" si="7"/>
        <v/>
      </c>
      <c r="AY132" s="234" t="str">
        <f>IFERROR((TP_DATA[[#This Row],[D, bottom '[m']]]+TP_DATA[[#This Row],[D, top '[m']]])/(2*TP_DATA[[#This Row],[t '[mm']]]/1000),"")</f>
        <v/>
      </c>
      <c r="BB132" s="99"/>
      <c r="BC132" s="99"/>
      <c r="BD132" s="187"/>
      <c r="CB132" s="92"/>
      <c r="CC132" s="93"/>
      <c r="CD132" s="93"/>
      <c r="CE132" s="93"/>
      <c r="CF132" s="93"/>
      <c r="CG132" s="94"/>
      <c r="CH132" s="233" t="str">
        <f>IFERROR(TOWER_DATA[[#This Row],[Top '[m']]]-TOWER_DATA[[#This Row],[Bottom '[m']]], "")</f>
        <v/>
      </c>
      <c r="CI132" s="217" t="str">
        <f>IFERROR(-(TOWER_DATA[[#This Row],[D, bottom '[m']]]-TOWER_DATA[[#This Row],[D, top '[m']]])/(TOWER_DATA[[#This Row],[Bottom '[m']]]-TOWER_DATA[[#This Row],[Top '[m']]]),"")</f>
        <v/>
      </c>
      <c r="CJ132" s="145" t="str">
        <f t="shared" si="4"/>
        <v/>
      </c>
      <c r="CK132" s="234" t="str">
        <f>IFERROR((TOWER_DATA[[#This Row],[D, bottom '[m']]]+TOWER_DATA[[#This Row],[D, top '[m']]])/(2*TOWER_DATA[[#This Row],[t '[mm']]]/1000),"")</f>
        <v/>
      </c>
      <c r="CM132" s="51"/>
      <c r="CN132" s="51"/>
      <c r="CO132" s="51"/>
      <c r="CP132" s="51"/>
      <c r="CQ132" s="51"/>
      <c r="CR132" s="51"/>
      <c r="CS132" s="51"/>
      <c r="CT132" s="51"/>
      <c r="CU132" s="90"/>
      <c r="DO132" s="209"/>
      <c r="DP132" s="209"/>
      <c r="DQ132" s="187"/>
      <c r="DT132" s="99"/>
      <c r="DU132" s="99"/>
      <c r="DV132" s="73" t="str">
        <f t="shared" si="8"/>
        <v/>
      </c>
      <c r="DW132" s="73"/>
    </row>
    <row r="133" spans="1:127" ht="18" customHeight="1">
      <c r="A133" s="271"/>
      <c r="D133" s="280"/>
      <c r="E133" s="263"/>
      <c r="F133" s="93"/>
      <c r="G133" s="93"/>
      <c r="H133" s="93"/>
      <c r="I133" s="93"/>
      <c r="J133" s="94"/>
      <c r="K133" s="53" t="str">
        <f>IFERROR(MP_DATA[[#This Row],[Top '[m']]]-MP_DATA[[#This Row],[Bottom '[m']]], "")</f>
        <v/>
      </c>
      <c r="L133" s="217" t="str">
        <f>IFERROR(-(MP_DATA[[#This Row],[D, bottom '[m']]]-MP_DATA[[#This Row],[D, top '[m']]])/(MP_DATA[[#This Row],[Bottom '[m']]]-MP_DATA[[#This Row],[Top '[m']]]),"")</f>
        <v/>
      </c>
      <c r="M133" s="145" t="str">
        <f t="shared" si="5"/>
        <v/>
      </c>
      <c r="N133" s="234" t="str">
        <f>IFERROR((MP_DATA[[#This Row],[D, bottom '[m']]]+MP_DATA[[#This Row],[D, top '[m']]])/(2*MP_DATA[[#This Row],[t '[mm']]]/1000),"")</f>
        <v/>
      </c>
      <c r="Q133" s="209"/>
      <c r="R133" s="209"/>
      <c r="S133" s="187"/>
      <c r="AP133" s="92"/>
      <c r="AQ133" s="93"/>
      <c r="AR133" s="93"/>
      <c r="AS133" s="93"/>
      <c r="AT133" s="93"/>
      <c r="AU133" s="94"/>
      <c r="AV133" s="233" t="str">
        <f>IFERROR(TP_DATA[[#This Row],[Top '[m']]]-TP_DATA[[#This Row],[Bottom '[m']]], "")</f>
        <v/>
      </c>
      <c r="AW133" s="217" t="str">
        <f>IFERROR(-(TP_DATA[[#This Row],[D, bottom '[m']]]-TP_DATA[[#This Row],[D, top '[m']]])/(TP_DATA[[#This Row],[Bottom '[m']]]-TP_DATA[[#This Row],[Top '[m']]]),"")</f>
        <v/>
      </c>
      <c r="AX133" s="145" t="str">
        <f t="shared" si="7"/>
        <v/>
      </c>
      <c r="AY133" s="234" t="str">
        <f>IFERROR((TP_DATA[[#This Row],[D, bottom '[m']]]+TP_DATA[[#This Row],[D, top '[m']]])/(2*TP_DATA[[#This Row],[t '[mm']]]/1000),"")</f>
        <v/>
      </c>
      <c r="BB133" s="99"/>
      <c r="BC133" s="99"/>
      <c r="BD133" s="187"/>
      <c r="CB133" s="92"/>
      <c r="CC133" s="93"/>
      <c r="CD133" s="93"/>
      <c r="CE133" s="93"/>
      <c r="CF133" s="93"/>
      <c r="CG133" s="94"/>
      <c r="CH133" s="233" t="str">
        <f>IFERROR(TOWER_DATA[[#This Row],[Top '[m']]]-TOWER_DATA[[#This Row],[Bottom '[m']]], "")</f>
        <v/>
      </c>
      <c r="CI133" s="217" t="str">
        <f>IFERROR(-(TOWER_DATA[[#This Row],[D, bottom '[m']]]-TOWER_DATA[[#This Row],[D, top '[m']]])/(TOWER_DATA[[#This Row],[Bottom '[m']]]-TOWER_DATA[[#This Row],[Top '[m']]]),"")</f>
        <v/>
      </c>
      <c r="CJ133" s="145" t="str">
        <f t="shared" si="4"/>
        <v/>
      </c>
      <c r="CK133" s="234" t="str">
        <f>IFERROR((TOWER_DATA[[#This Row],[D, bottom '[m']]]+TOWER_DATA[[#This Row],[D, top '[m']]])/(2*TOWER_DATA[[#This Row],[t '[mm']]]/1000),"")</f>
        <v/>
      </c>
      <c r="CM133" s="51"/>
      <c r="CN133" s="51"/>
      <c r="CO133" s="51"/>
      <c r="CP133" s="51"/>
      <c r="CQ133" s="51"/>
      <c r="CR133" s="51"/>
      <c r="CS133" s="51"/>
      <c r="CT133" s="51"/>
      <c r="CU133" s="90"/>
      <c r="DO133" s="209"/>
      <c r="DP133" s="209"/>
      <c r="DQ133" s="187"/>
      <c r="DT133" s="99"/>
      <c r="DU133" s="99"/>
      <c r="DV133" s="73" t="str">
        <f t="shared" si="8"/>
        <v/>
      </c>
      <c r="DW133" s="73"/>
    </row>
    <row r="134" spans="1:127" ht="18" customHeight="1">
      <c r="A134" s="271"/>
      <c r="D134" s="280"/>
      <c r="E134" s="263"/>
      <c r="F134" s="93"/>
      <c r="G134" s="93"/>
      <c r="H134" s="93"/>
      <c r="I134" s="93"/>
      <c r="J134" s="94"/>
      <c r="K134" s="53" t="str">
        <f>IFERROR(MP_DATA[[#This Row],[Top '[m']]]-MP_DATA[[#This Row],[Bottom '[m']]], "")</f>
        <v/>
      </c>
      <c r="L134" s="217" t="str">
        <f>IFERROR(-(MP_DATA[[#This Row],[D, bottom '[m']]]-MP_DATA[[#This Row],[D, top '[m']]])/(MP_DATA[[#This Row],[Bottom '[m']]]-MP_DATA[[#This Row],[Top '[m']]]),"")</f>
        <v/>
      </c>
      <c r="M134" s="145" t="str">
        <f t="shared" si="5"/>
        <v/>
      </c>
      <c r="N134" s="234" t="str">
        <f>IFERROR((MP_DATA[[#This Row],[D, bottom '[m']]]+MP_DATA[[#This Row],[D, top '[m']]])/(2*MP_DATA[[#This Row],[t '[mm']]]/1000),"")</f>
        <v/>
      </c>
      <c r="Q134" s="209"/>
      <c r="R134" s="209"/>
      <c r="S134" s="187"/>
      <c r="AP134" s="92"/>
      <c r="AQ134" s="93"/>
      <c r="AR134" s="93"/>
      <c r="AS134" s="93"/>
      <c r="AT134" s="93"/>
      <c r="AU134" s="94"/>
      <c r="AV134" s="233" t="str">
        <f>IFERROR(TP_DATA[[#This Row],[Top '[m']]]-TP_DATA[[#This Row],[Bottom '[m']]], "")</f>
        <v/>
      </c>
      <c r="AW134" s="217" t="str">
        <f>IFERROR(-(TP_DATA[[#This Row],[D, bottom '[m']]]-TP_DATA[[#This Row],[D, top '[m']]])/(TP_DATA[[#This Row],[Bottom '[m']]]-TP_DATA[[#This Row],[Top '[m']]]),"")</f>
        <v/>
      </c>
      <c r="AX134" s="145" t="str">
        <f t="shared" si="7"/>
        <v/>
      </c>
      <c r="AY134" s="234" t="str">
        <f>IFERROR((TP_DATA[[#This Row],[D, bottom '[m']]]+TP_DATA[[#This Row],[D, top '[m']]])/(2*TP_DATA[[#This Row],[t '[mm']]]/1000),"")</f>
        <v/>
      </c>
      <c r="BB134" s="99"/>
      <c r="BC134" s="99"/>
      <c r="BD134" s="187"/>
      <c r="CB134" s="92"/>
      <c r="CC134" s="93"/>
      <c r="CD134" s="93"/>
      <c r="CE134" s="93"/>
      <c r="CF134" s="93"/>
      <c r="CG134" s="94"/>
      <c r="CH134" s="233" t="str">
        <f>IFERROR(TOWER_DATA[[#This Row],[Top '[m']]]-TOWER_DATA[[#This Row],[Bottom '[m']]], "")</f>
        <v/>
      </c>
      <c r="CI134" s="217" t="str">
        <f>IFERROR(-(TOWER_DATA[[#This Row],[D, bottom '[m']]]-TOWER_DATA[[#This Row],[D, top '[m']]])/(TOWER_DATA[[#This Row],[Bottom '[m']]]-TOWER_DATA[[#This Row],[Top '[m']]]),"")</f>
        <v/>
      </c>
      <c r="CJ134" s="145" t="str">
        <f t="shared" si="4"/>
        <v/>
      </c>
      <c r="CK134" s="234" t="str">
        <f>IFERROR((TOWER_DATA[[#This Row],[D, bottom '[m']]]+TOWER_DATA[[#This Row],[D, top '[m']]])/(2*TOWER_DATA[[#This Row],[t '[mm']]]/1000),"")</f>
        <v/>
      </c>
      <c r="CM134" s="51"/>
      <c r="CN134" s="51"/>
      <c r="CO134" s="51"/>
      <c r="CP134" s="51"/>
      <c r="CQ134" s="51"/>
      <c r="CR134" s="51"/>
      <c r="CS134" s="51"/>
      <c r="CT134" s="51"/>
      <c r="CU134" s="90"/>
      <c r="DO134" s="209"/>
      <c r="DP134" s="209"/>
      <c r="DQ134" s="187"/>
      <c r="DT134" s="99"/>
      <c r="DU134" s="99"/>
      <c r="DV134" s="73" t="str">
        <f t="shared" si="8"/>
        <v/>
      </c>
      <c r="DW134" s="73"/>
    </row>
    <row r="135" spans="1:127" ht="18" customHeight="1">
      <c r="A135" s="271"/>
      <c r="D135" s="280"/>
      <c r="E135" s="263"/>
      <c r="F135" s="93"/>
      <c r="G135" s="93"/>
      <c r="H135" s="93"/>
      <c r="I135" s="93"/>
      <c r="J135" s="94"/>
      <c r="K135" s="53" t="str">
        <f>IFERROR(MP_DATA[[#This Row],[Top '[m']]]-MP_DATA[[#This Row],[Bottom '[m']]], "")</f>
        <v/>
      </c>
      <c r="L135" s="217" t="str">
        <f>IFERROR(-(MP_DATA[[#This Row],[D, bottom '[m']]]-MP_DATA[[#This Row],[D, top '[m']]])/(MP_DATA[[#This Row],[Bottom '[m']]]-MP_DATA[[#This Row],[Top '[m']]]),"")</f>
        <v/>
      </c>
      <c r="M135" s="145" t="str">
        <f t="shared" si="5"/>
        <v/>
      </c>
      <c r="N135" s="234" t="str">
        <f>IFERROR((MP_DATA[[#This Row],[D, bottom '[m']]]+MP_DATA[[#This Row],[D, top '[m']]])/(2*MP_DATA[[#This Row],[t '[mm']]]/1000),"")</f>
        <v/>
      </c>
      <c r="Q135" s="209"/>
      <c r="R135" s="209"/>
      <c r="S135" s="187"/>
      <c r="AP135" s="92"/>
      <c r="AQ135" s="93"/>
      <c r="AR135" s="93"/>
      <c r="AS135" s="93"/>
      <c r="AT135" s="93"/>
      <c r="AU135" s="94"/>
      <c r="AV135" s="233" t="str">
        <f>IFERROR(TP_DATA[[#This Row],[Top '[m']]]-TP_DATA[[#This Row],[Bottom '[m']]], "")</f>
        <v/>
      </c>
      <c r="AW135" s="217" t="str">
        <f>IFERROR(-(TP_DATA[[#This Row],[D, bottom '[m']]]-TP_DATA[[#This Row],[D, top '[m']]])/(TP_DATA[[#This Row],[Bottom '[m']]]-TP_DATA[[#This Row],[Top '[m']]]),"")</f>
        <v/>
      </c>
      <c r="AX135" s="145" t="str">
        <f t="shared" si="7"/>
        <v/>
      </c>
      <c r="AY135" s="234" t="str">
        <f>IFERROR((TP_DATA[[#This Row],[D, bottom '[m']]]+TP_DATA[[#This Row],[D, top '[m']]])/(2*TP_DATA[[#This Row],[t '[mm']]]/1000),"")</f>
        <v/>
      </c>
      <c r="BB135" s="99"/>
      <c r="BC135" s="99"/>
      <c r="BD135" s="187"/>
      <c r="CB135" s="92"/>
      <c r="CC135" s="93"/>
      <c r="CD135" s="93"/>
      <c r="CE135" s="93"/>
      <c r="CF135" s="93"/>
      <c r="CG135" s="94"/>
      <c r="CH135" s="233" t="str">
        <f>IFERROR(TOWER_DATA[[#This Row],[Top '[m']]]-TOWER_DATA[[#This Row],[Bottom '[m']]], "")</f>
        <v/>
      </c>
      <c r="CI135" s="217" t="str">
        <f>IFERROR(-(TOWER_DATA[[#This Row],[D, bottom '[m']]]-TOWER_DATA[[#This Row],[D, top '[m']]])/(TOWER_DATA[[#This Row],[Bottom '[m']]]-TOWER_DATA[[#This Row],[Top '[m']]]),"")</f>
        <v/>
      </c>
      <c r="CJ135" s="145" t="str">
        <f t="shared" si="4"/>
        <v/>
      </c>
      <c r="CK135" s="234" t="str">
        <f>IFERROR((TOWER_DATA[[#This Row],[D, bottom '[m']]]+TOWER_DATA[[#This Row],[D, top '[m']]])/(2*TOWER_DATA[[#This Row],[t '[mm']]]/1000),"")</f>
        <v/>
      </c>
      <c r="CM135" s="51"/>
      <c r="CN135" s="51"/>
      <c r="CO135" s="51"/>
      <c r="CP135" s="51"/>
      <c r="CQ135" s="51"/>
      <c r="CR135" s="51"/>
      <c r="CS135" s="51"/>
      <c r="CT135" s="51"/>
      <c r="CU135" s="90"/>
      <c r="DO135" s="209"/>
      <c r="DP135" s="209"/>
      <c r="DQ135" s="187"/>
      <c r="DT135" s="99"/>
      <c r="DU135" s="99"/>
    </row>
    <row r="136" spans="1:127" ht="18" customHeight="1">
      <c r="A136" s="271"/>
      <c r="D136" s="280"/>
      <c r="E136" s="263"/>
      <c r="F136" s="93"/>
      <c r="G136" s="93"/>
      <c r="H136" s="93"/>
      <c r="I136" s="93"/>
      <c r="J136" s="94"/>
      <c r="K136" s="233" t="str">
        <f>IFERROR(MP_DATA[[#This Row],[Top '[m']]]-MP_DATA[[#This Row],[Bottom '[m']]], "")</f>
        <v/>
      </c>
      <c r="L136" s="217" t="str">
        <f>IFERROR(-(MP_DATA[[#This Row],[D, bottom '[m']]]-MP_DATA[[#This Row],[D, top '[m']]])/(MP_DATA[[#This Row],[Bottom '[m']]]-MP_DATA[[#This Row],[Top '[m']]]),"")</f>
        <v/>
      </c>
      <c r="M136" s="145" t="str">
        <f t="shared" si="5"/>
        <v/>
      </c>
      <c r="N136" s="234" t="str">
        <f>IFERROR((MP_DATA[[#This Row],[D, bottom '[m']]]+MP_DATA[[#This Row],[D, top '[m']]])/(2*MP_DATA[[#This Row],[t '[mm']]]/1000),"")</f>
        <v/>
      </c>
      <c r="Q136" s="209"/>
      <c r="R136" s="209"/>
      <c r="S136" s="187"/>
      <c r="AP136" s="92"/>
      <c r="AQ136" s="93"/>
      <c r="AR136" s="93"/>
      <c r="AS136" s="93"/>
      <c r="AT136" s="93"/>
      <c r="AU136" s="94"/>
      <c r="AV136" s="233" t="str">
        <f>IFERROR(TP_DATA[[#This Row],[Top '[m']]]-TP_DATA[[#This Row],[Bottom '[m']]], "")</f>
        <v/>
      </c>
      <c r="AW136" s="208" t="str">
        <f>IFERROR(-(TP_DATA[[#This Row],[D, bottom '[m']]]-TP_DATA[[#This Row],[D, top '[m']]])/(TP_DATA[[#This Row],[Bottom '[m']]]-TP_DATA[[#This Row],[Top '[m']]]),"")</f>
        <v/>
      </c>
      <c r="AX136" s="145" t="str">
        <f t="shared" si="7"/>
        <v/>
      </c>
      <c r="AY136" s="240" t="str">
        <f>IFERROR((TP_DATA[[#This Row],[D, bottom '[m']]]+TP_DATA[[#This Row],[D, top '[m']]])/(2*TP_DATA[[#This Row],[t '[mm']]]/1000),"")</f>
        <v/>
      </c>
      <c r="BB136" s="99"/>
      <c r="BC136" s="99"/>
      <c r="BD136" s="187"/>
      <c r="CB136" s="92"/>
      <c r="CC136" s="93"/>
      <c r="CD136" s="93"/>
      <c r="CE136" s="93"/>
      <c r="CF136" s="93"/>
      <c r="CG136" s="94"/>
      <c r="CH136" s="233" t="str">
        <f>IFERROR(TOWER_DATA[[#This Row],[Top '[m']]]-TOWER_DATA[[#This Row],[Bottom '[m']]], "")</f>
        <v/>
      </c>
      <c r="CI136" s="217" t="str">
        <f>IFERROR(-(TOWER_DATA[[#This Row],[D, bottom '[m']]]-TOWER_DATA[[#This Row],[D, top '[m']]])/(TOWER_DATA[[#This Row],[Bottom '[m']]]-TOWER_DATA[[#This Row],[Top '[m']]]),"")</f>
        <v/>
      </c>
      <c r="CJ136" s="145" t="str">
        <f t="shared" si="4"/>
        <v/>
      </c>
      <c r="CK136" s="234" t="str">
        <f>IFERROR((TOWER_DATA[[#This Row],[D, bottom '[m']]]+TOWER_DATA[[#This Row],[D, top '[m']]])/(2*TOWER_DATA[[#This Row],[t '[mm']]]/1000),"")</f>
        <v/>
      </c>
      <c r="CM136" s="51"/>
      <c r="CN136" s="51"/>
      <c r="CO136" s="51"/>
      <c r="CP136" s="51"/>
      <c r="CQ136" s="51"/>
      <c r="CR136" s="51"/>
      <c r="CS136" s="51"/>
      <c r="CT136" s="51"/>
      <c r="CU136" s="90"/>
      <c r="DO136" s="209"/>
      <c r="DP136" s="209"/>
      <c r="DQ136" s="187"/>
      <c r="DT136" s="99"/>
      <c r="DU136" s="99"/>
    </row>
    <row r="137" spans="1:127" ht="18" customHeight="1">
      <c r="A137" s="271"/>
      <c r="D137" s="280"/>
      <c r="E137" s="263"/>
      <c r="F137" s="93"/>
      <c r="G137" s="93"/>
      <c r="H137" s="93"/>
      <c r="I137" s="93"/>
      <c r="J137" s="94"/>
      <c r="K137" s="233" t="str">
        <f>IFERROR(MP_DATA[[#This Row],[Top '[m']]]-MP_DATA[[#This Row],[Bottom '[m']]], "")</f>
        <v/>
      </c>
      <c r="L137" s="217" t="str">
        <f>IFERROR(-(MP_DATA[[#This Row],[D, bottom '[m']]]-MP_DATA[[#This Row],[D, top '[m']]])/(MP_DATA[[#This Row],[Bottom '[m']]]-MP_DATA[[#This Row],[Top '[m']]]),"")</f>
        <v/>
      </c>
      <c r="M137" s="145" t="str">
        <f t="shared" si="5"/>
        <v/>
      </c>
      <c r="N137" s="234" t="str">
        <f>IFERROR((MP_DATA[[#This Row],[D, bottom '[m']]]+MP_DATA[[#This Row],[D, top '[m']]])/(2*MP_DATA[[#This Row],[t '[mm']]]/1000),"")</f>
        <v/>
      </c>
      <c r="Q137" s="209"/>
      <c r="R137" s="209"/>
      <c r="S137" s="187"/>
      <c r="AP137" s="92"/>
      <c r="AQ137" s="93"/>
      <c r="AR137" s="93"/>
      <c r="AS137" s="93"/>
      <c r="AT137" s="93"/>
      <c r="AU137" s="94"/>
      <c r="AV137" s="233" t="str">
        <f>IFERROR(TP_DATA[[#This Row],[Top '[m']]]-TP_DATA[[#This Row],[Bottom '[m']]], "")</f>
        <v/>
      </c>
      <c r="AW137" s="208" t="str">
        <f>IFERROR(-(TP_DATA[[#This Row],[D, bottom '[m']]]-TP_DATA[[#This Row],[D, top '[m']]])/(TP_DATA[[#This Row],[Bottom '[m']]]-TP_DATA[[#This Row],[Top '[m']]]),"")</f>
        <v/>
      </c>
      <c r="AX137" s="145" t="str">
        <f t="shared" si="7"/>
        <v/>
      </c>
      <c r="AY137" s="240" t="str">
        <f>IFERROR((TP_DATA[[#This Row],[D, bottom '[m']]]+TP_DATA[[#This Row],[D, top '[m']]])/(2*TP_DATA[[#This Row],[t '[mm']]]/1000),"")</f>
        <v/>
      </c>
      <c r="BB137" s="99"/>
      <c r="BC137" s="99"/>
      <c r="BD137" s="187"/>
      <c r="CB137" s="92"/>
      <c r="CC137" s="93"/>
      <c r="CD137" s="93"/>
      <c r="CE137" s="93"/>
      <c r="CF137" s="93"/>
      <c r="CG137" s="94"/>
      <c r="CH137" s="233" t="str">
        <f>IFERROR(TOWER_DATA[[#This Row],[Top '[m']]]-TOWER_DATA[[#This Row],[Bottom '[m']]], "")</f>
        <v/>
      </c>
      <c r="CI137" s="217" t="str">
        <f>IFERROR(-(TOWER_DATA[[#This Row],[D, bottom '[m']]]-TOWER_DATA[[#This Row],[D, top '[m']]])/(TOWER_DATA[[#This Row],[Bottom '[m']]]-TOWER_DATA[[#This Row],[Top '[m']]]),"")</f>
        <v/>
      </c>
      <c r="CJ137" s="145" t="str">
        <f t="shared" si="4"/>
        <v/>
      </c>
      <c r="CK137" s="234" t="str">
        <f>IFERROR((TOWER_DATA[[#This Row],[D, bottom '[m']]]+TOWER_DATA[[#This Row],[D, top '[m']]])/(2*TOWER_DATA[[#This Row],[t '[mm']]]/1000),"")</f>
        <v/>
      </c>
      <c r="CM137" s="51"/>
      <c r="CN137" s="51"/>
      <c r="CO137" s="51"/>
      <c r="CP137" s="51"/>
      <c r="CQ137" s="51"/>
      <c r="CR137" s="51"/>
      <c r="CS137" s="51"/>
      <c r="CT137" s="51"/>
      <c r="CU137" s="90"/>
      <c r="DO137" s="209"/>
      <c r="DP137" s="209"/>
      <c r="DQ137" s="187"/>
      <c r="DT137" s="99"/>
      <c r="DU137" s="99"/>
    </row>
    <row r="138" spans="1:127" ht="18" customHeight="1">
      <c r="A138" s="271"/>
      <c r="D138" s="280"/>
      <c r="E138" s="263"/>
      <c r="F138" s="93"/>
      <c r="G138" s="93"/>
      <c r="H138" s="93"/>
      <c r="I138" s="93"/>
      <c r="J138" s="94"/>
      <c r="K138" s="233" t="str">
        <f>IFERROR(MP_DATA[[#This Row],[Top '[m']]]-MP_DATA[[#This Row],[Bottom '[m']]], "")</f>
        <v/>
      </c>
      <c r="L138" s="217" t="str">
        <f>IFERROR(-(MP_DATA[[#This Row],[D, bottom '[m']]]-MP_DATA[[#This Row],[D, top '[m']]])/(MP_DATA[[#This Row],[Bottom '[m']]]-MP_DATA[[#This Row],[Top '[m']]]),"")</f>
        <v/>
      </c>
      <c r="M138" s="145" t="str">
        <f t="shared" si="5"/>
        <v/>
      </c>
      <c r="N138" s="234" t="str">
        <f>IFERROR((MP_DATA[[#This Row],[D, bottom '[m']]]+MP_DATA[[#This Row],[D, top '[m']]])/(2*MP_DATA[[#This Row],[t '[mm']]]/1000),"")</f>
        <v/>
      </c>
      <c r="Q138" s="209"/>
      <c r="R138" s="209"/>
      <c r="S138" s="187"/>
      <c r="AP138" s="92"/>
      <c r="AQ138" s="93"/>
      <c r="AR138" s="93"/>
      <c r="AS138" s="93"/>
      <c r="AT138" s="93"/>
      <c r="AU138" s="94"/>
      <c r="AV138" s="233" t="str">
        <f>IFERROR(TP_DATA[[#This Row],[Top '[m']]]-TP_DATA[[#This Row],[Bottom '[m']]], "")</f>
        <v/>
      </c>
      <c r="AW138" s="208"/>
      <c r="AX138" s="145" t="str">
        <f t="shared" si="7"/>
        <v/>
      </c>
      <c r="AY138" s="240" t="str">
        <f>IFERROR((TP_DATA[[#This Row],[D, bottom '[m']]]+TP_DATA[[#This Row],[D, top '[m']]])/(2*TP_DATA[[#This Row],[t '[mm']]]/1000),"")</f>
        <v/>
      </c>
      <c r="BB138" s="99"/>
      <c r="BC138" s="99"/>
      <c r="BD138" s="187"/>
      <c r="CB138" s="92"/>
      <c r="CC138" s="93"/>
      <c r="CD138" s="93"/>
      <c r="CE138" s="93"/>
      <c r="CF138" s="93"/>
      <c r="CG138" s="94"/>
      <c r="CH138" s="233" t="str">
        <f>IFERROR(TOWER_DATA[[#This Row],[Top '[m']]]-TOWER_DATA[[#This Row],[Bottom '[m']]], "")</f>
        <v/>
      </c>
      <c r="CI138" s="217" t="str">
        <f>IFERROR(-(TOWER_DATA[[#This Row],[D, bottom '[m']]]-TOWER_DATA[[#This Row],[D, top '[m']]])/(TOWER_DATA[[#This Row],[Bottom '[m']]]-TOWER_DATA[[#This Row],[Top '[m']]]),"")</f>
        <v/>
      </c>
      <c r="CJ138" s="145" t="str">
        <f t="shared" si="4"/>
        <v/>
      </c>
      <c r="CK138" s="234" t="str">
        <f>IFERROR((TOWER_DATA[[#This Row],[D, bottom '[m']]]+TOWER_DATA[[#This Row],[D, top '[m']]])/(2*TOWER_DATA[[#This Row],[t '[mm']]]/1000),"")</f>
        <v/>
      </c>
      <c r="CM138" s="51"/>
      <c r="CN138" s="51"/>
      <c r="CO138" s="51"/>
      <c r="CP138" s="51"/>
      <c r="CQ138" s="51"/>
      <c r="CR138" s="51"/>
      <c r="CS138" s="51"/>
      <c r="CT138" s="51"/>
      <c r="CU138" s="90"/>
      <c r="DO138" s="209"/>
      <c r="DP138" s="209"/>
      <c r="DQ138" s="187"/>
      <c r="DT138" s="99"/>
      <c r="DU138" s="99"/>
    </row>
    <row r="139" spans="1:127" ht="18" customHeight="1">
      <c r="A139" s="271"/>
      <c r="D139" s="280"/>
      <c r="E139" s="263"/>
      <c r="F139" s="93"/>
      <c r="G139" s="93"/>
      <c r="H139" s="93"/>
      <c r="I139" s="93"/>
      <c r="J139" s="94"/>
      <c r="K139" s="233" t="str">
        <f>IFERROR(MP_DATA[[#This Row],[Top '[m']]]-MP_DATA[[#This Row],[Bottom '[m']]], "")</f>
        <v/>
      </c>
      <c r="L139" s="217" t="str">
        <f>IFERROR(-(MP_DATA[[#This Row],[D, bottom '[m']]]-MP_DATA[[#This Row],[D, top '[m']]])/(MP_DATA[[#This Row],[Bottom '[m']]]-MP_DATA[[#This Row],[Top '[m']]]),"")</f>
        <v/>
      </c>
      <c r="M139" s="145" t="str">
        <f t="shared" si="5"/>
        <v/>
      </c>
      <c r="N139" s="234" t="str">
        <f>IFERROR((MP_DATA[[#This Row],[D, bottom '[m']]]+MP_DATA[[#This Row],[D, top '[m']]])/(2*MP_DATA[[#This Row],[t '[mm']]]/1000),"")</f>
        <v/>
      </c>
      <c r="Q139" s="209"/>
      <c r="R139" s="209"/>
      <c r="S139" s="187"/>
      <c r="AV139" s="233" t="str">
        <f>IFERROR(TP_DATA[[#This Row],[Top '[m']]]-TP_DATA[[#This Row],[Bottom '[m']]], "")</f>
        <v/>
      </c>
      <c r="AW139" s="208"/>
      <c r="AX139" s="209"/>
      <c r="AY139" s="240"/>
      <c r="BB139" s="99"/>
      <c r="BC139" s="99"/>
      <c r="BD139" s="187"/>
      <c r="CB139" s="92"/>
      <c r="CC139" s="93"/>
      <c r="CD139" s="93"/>
      <c r="CE139" s="93"/>
      <c r="CF139" s="93"/>
      <c r="CG139" s="94"/>
      <c r="CH139" s="233" t="str">
        <f>IFERROR(TOWER_DATA[[#This Row],[Top '[m']]]-TOWER_DATA[[#This Row],[Bottom '[m']]], "")</f>
        <v/>
      </c>
      <c r="CI139" s="217" t="str">
        <f>IFERROR(-(TOWER_DATA[[#This Row],[D, bottom '[m']]]-TOWER_DATA[[#This Row],[D, top '[m']]])/(TOWER_DATA[[#This Row],[Bottom '[m']]]-TOWER_DATA[[#This Row],[Top '[m']]]),"")</f>
        <v/>
      </c>
      <c r="CJ139" s="145" t="str">
        <f t="shared" si="4"/>
        <v/>
      </c>
      <c r="CK139" s="234" t="str">
        <f>IFERROR((TOWER_DATA[[#This Row],[D, bottom '[m']]]+TOWER_DATA[[#This Row],[D, top '[m']]])/(2*TOWER_DATA[[#This Row],[t '[mm']]]/1000),"")</f>
        <v/>
      </c>
      <c r="CM139" s="51"/>
      <c r="CN139" s="51"/>
      <c r="CO139" s="51"/>
      <c r="CP139" s="51"/>
      <c r="CQ139" s="51"/>
      <c r="CR139" s="51"/>
      <c r="CS139" s="51"/>
      <c r="CT139" s="51"/>
      <c r="CU139" s="90"/>
      <c r="DO139" s="209"/>
      <c r="DP139" s="209"/>
      <c r="DQ139" s="187"/>
      <c r="DT139" s="99"/>
      <c r="DU139" s="99"/>
    </row>
    <row r="140" spans="1:127" ht="18" customHeight="1">
      <c r="A140" s="271"/>
      <c r="D140" s="280"/>
      <c r="E140" s="263"/>
      <c r="F140" s="93"/>
      <c r="G140" s="93"/>
      <c r="H140" s="93"/>
      <c r="I140" s="93"/>
      <c r="J140" s="94"/>
      <c r="K140" s="233" t="str">
        <f>IFERROR(MP_DATA[[#This Row],[Top '[m']]]-MP_DATA[[#This Row],[Bottom '[m']]], "")</f>
        <v/>
      </c>
      <c r="L140" s="217" t="str">
        <f>IFERROR(-(MP_DATA[[#This Row],[D, bottom '[m']]]-MP_DATA[[#This Row],[D, top '[m']]])/(MP_DATA[[#This Row],[Bottom '[m']]]-MP_DATA[[#This Row],[Top '[m']]]),"")</f>
        <v/>
      </c>
      <c r="M140" s="145" t="str">
        <f t="shared" si="5"/>
        <v/>
      </c>
      <c r="N140" s="234" t="str">
        <f>IFERROR((MP_DATA[[#This Row],[D, bottom '[m']]]+MP_DATA[[#This Row],[D, top '[m']]])/(2*MP_DATA[[#This Row],[t '[mm']]]/1000),"")</f>
        <v/>
      </c>
      <c r="Q140" s="209"/>
      <c r="R140" s="209"/>
      <c r="S140" s="187"/>
      <c r="AV140" s="233" t="str">
        <f>IFERROR(TP_DATA[[#This Row],[Top '[m']]]-TP_DATA[[#This Row],[Bottom '[m']]], "")</f>
        <v/>
      </c>
      <c r="AW140" s="208"/>
      <c r="AX140" s="209"/>
      <c r="AY140" s="240"/>
      <c r="BB140" s="99"/>
      <c r="BC140" s="99"/>
      <c r="BD140" s="187"/>
      <c r="CB140" s="92"/>
      <c r="CC140" s="93"/>
      <c r="CD140" s="93"/>
      <c r="CE140" s="93"/>
      <c r="CF140" s="93"/>
      <c r="CG140" s="94"/>
      <c r="CH140" s="233" t="str">
        <f>IFERROR(TOWER_DATA[[#This Row],[Top '[m']]]-TOWER_DATA[[#This Row],[Bottom '[m']]], "")</f>
        <v/>
      </c>
      <c r="CI140" s="217" t="str">
        <f>IFERROR(-(TOWER_DATA[[#This Row],[D, bottom '[m']]]-TOWER_DATA[[#This Row],[D, top '[m']]])/(TOWER_DATA[[#This Row],[Bottom '[m']]]-TOWER_DATA[[#This Row],[Top '[m']]]),"")</f>
        <v/>
      </c>
      <c r="CJ140" s="145" t="str">
        <f t="shared" si="4"/>
        <v/>
      </c>
      <c r="CK140" s="234" t="str">
        <f>IFERROR((TOWER_DATA[[#This Row],[D, bottom '[m']]]+TOWER_DATA[[#This Row],[D, top '[m']]])/(2*TOWER_DATA[[#This Row],[t '[mm']]]/1000),"")</f>
        <v/>
      </c>
      <c r="CM140" s="51"/>
      <c r="CN140" s="51"/>
      <c r="CO140" s="51"/>
      <c r="CP140" s="51"/>
      <c r="CQ140" s="51"/>
      <c r="CR140" s="51"/>
      <c r="CS140" s="51"/>
      <c r="CT140" s="51"/>
      <c r="CU140" s="90"/>
      <c r="DO140" s="209"/>
      <c r="DP140" s="209"/>
      <c r="DQ140" s="187"/>
      <c r="DT140" s="99"/>
      <c r="DU140" s="99"/>
    </row>
    <row r="141" spans="1:127" ht="18" customHeight="1">
      <c r="A141" s="271"/>
      <c r="D141" s="280"/>
      <c r="E141" s="52"/>
      <c r="K141" s="233" t="str">
        <f>IFERROR(MP_DATA[[#This Row],[Top '[m']]]-MP_DATA[[#This Row],[Bottom '[m']]], "")</f>
        <v/>
      </c>
      <c r="L141" s="217" t="str">
        <f>IFERROR(-(MP_DATA[[#This Row],[D, bottom '[m']]]-MP_DATA[[#This Row],[D, top '[m']]])/(MP_DATA[[#This Row],[Bottom '[m']]]-MP_DATA[[#This Row],[Top '[m']]]),"")</f>
        <v/>
      </c>
      <c r="M141" s="145" t="str">
        <f t="shared" si="5"/>
        <v/>
      </c>
      <c r="N141" s="234" t="str">
        <f>IFERROR((MP_DATA[[#This Row],[D, bottom '[m']]]+MP_DATA[[#This Row],[D, top '[m']]])/(2*MP_DATA[[#This Row],[t '[mm']]]/1000),"")</f>
        <v/>
      </c>
      <c r="Q141" s="209"/>
      <c r="R141" s="209"/>
      <c r="S141" s="187"/>
      <c r="AV141" s="233" t="str">
        <f>IFERROR(TP_DATA[[#This Row],[Top '[m']]]-TP_DATA[[#This Row],[Bottom '[m']]], "")</f>
        <v/>
      </c>
      <c r="AW141" s="208"/>
      <c r="AX141" s="209"/>
      <c r="AY141" s="240"/>
      <c r="BB141" s="99"/>
      <c r="BC141" s="99"/>
      <c r="BD141" s="187"/>
      <c r="CB141" s="92"/>
      <c r="CC141" s="93"/>
      <c r="CD141" s="93"/>
      <c r="CE141" s="93"/>
      <c r="CF141" s="93"/>
      <c r="CG141" s="94"/>
      <c r="CH141" s="233" t="str">
        <f>IFERROR(TOWER_DATA[[#This Row],[Top '[m']]]-TOWER_DATA[[#This Row],[Bottom '[m']]], "")</f>
        <v/>
      </c>
      <c r="CI141" s="217" t="str">
        <f>IFERROR(-(TOWER_DATA[[#This Row],[D, bottom '[m']]]-TOWER_DATA[[#This Row],[D, top '[m']]])/(TOWER_DATA[[#This Row],[Bottom '[m']]]-TOWER_DATA[[#This Row],[Top '[m']]]),"")</f>
        <v/>
      </c>
      <c r="CJ141" s="145" t="str">
        <f t="shared" si="4"/>
        <v/>
      </c>
      <c r="CK141" s="234" t="str">
        <f>IFERROR((TOWER_DATA[[#This Row],[D, bottom '[m']]]+TOWER_DATA[[#This Row],[D, top '[m']]])/(2*TOWER_DATA[[#This Row],[t '[mm']]]/1000),"")</f>
        <v/>
      </c>
      <c r="CM141" s="51"/>
      <c r="CN141" s="51"/>
      <c r="CO141" s="51"/>
      <c r="CP141" s="51"/>
      <c r="CQ141" s="51"/>
      <c r="CR141" s="51"/>
      <c r="CS141" s="51"/>
      <c r="CT141" s="51"/>
      <c r="CU141" s="90"/>
      <c r="DO141" s="209"/>
      <c r="DP141" s="209"/>
      <c r="DQ141" s="187"/>
      <c r="DT141" s="99"/>
      <c r="DU141" s="99"/>
    </row>
    <row r="142" spans="1:127" ht="18" customHeight="1">
      <c r="A142" s="271"/>
      <c r="D142" s="280"/>
      <c r="E142" s="52"/>
      <c r="K142" s="233" t="str">
        <f>IFERROR(MP_DATA[[#This Row],[Top '[m']]]-MP_DATA[[#This Row],[Bottom '[m']]], "")</f>
        <v/>
      </c>
      <c r="L142" s="217" t="str">
        <f>IFERROR(-(MP_DATA[[#This Row],[D, bottom '[m']]]-MP_DATA[[#This Row],[D, top '[m']]])/(MP_DATA[[#This Row],[Bottom '[m']]]-MP_DATA[[#This Row],[Top '[m']]]),"")</f>
        <v/>
      </c>
      <c r="M142" s="145" t="str">
        <f t="shared" si="5"/>
        <v/>
      </c>
      <c r="N142" s="234" t="str">
        <f>IFERROR((MP_DATA[[#This Row],[D, bottom '[m']]]+MP_DATA[[#This Row],[D, top '[m']]])/(2*MP_DATA[[#This Row],[t '[mm']]]/1000),"")</f>
        <v/>
      </c>
      <c r="Q142" s="209"/>
      <c r="R142" s="209"/>
      <c r="S142" s="187"/>
      <c r="AV142" s="233" t="str">
        <f>IFERROR(TP_DATA[[#This Row],[Top '[m']]]-TP_DATA[[#This Row],[Bottom '[m']]], "")</f>
        <v/>
      </c>
      <c r="AW142" s="208"/>
      <c r="AX142" s="209"/>
      <c r="AY142" s="240"/>
      <c r="BB142" s="99"/>
      <c r="BC142" s="99"/>
      <c r="BD142" s="187"/>
      <c r="CB142" s="92"/>
      <c r="CC142" s="93"/>
      <c r="CD142" s="93"/>
      <c r="CE142" s="93"/>
      <c r="CF142" s="93"/>
      <c r="CG142" s="94"/>
      <c r="CH142" s="233" t="str">
        <f>IFERROR(TOWER_DATA[[#This Row],[Top '[m']]]-TOWER_DATA[[#This Row],[Bottom '[m']]], "")</f>
        <v/>
      </c>
      <c r="CI142" s="217" t="str">
        <f>IFERROR(-(TOWER_DATA[[#This Row],[D, bottom '[m']]]-TOWER_DATA[[#This Row],[D, top '[m']]])/(TOWER_DATA[[#This Row],[Bottom '[m']]]-TOWER_DATA[[#This Row],[Top '[m']]]),"")</f>
        <v/>
      </c>
      <c r="CJ142" s="145" t="str">
        <f t="shared" si="4"/>
        <v/>
      </c>
      <c r="CK142" s="234" t="str">
        <f>IFERROR((TOWER_DATA[[#This Row],[D, bottom '[m']]]+TOWER_DATA[[#This Row],[D, top '[m']]])/(2*TOWER_DATA[[#This Row],[t '[mm']]]/1000),"")</f>
        <v/>
      </c>
      <c r="CM142" s="51"/>
      <c r="CN142" s="51"/>
      <c r="CO142" s="51"/>
      <c r="CP142" s="51"/>
      <c r="CQ142" s="51"/>
      <c r="CR142" s="51"/>
      <c r="CS142" s="51"/>
      <c r="CT142" s="51"/>
      <c r="CU142" s="90"/>
      <c r="DO142" s="209"/>
      <c r="DP142" s="209"/>
      <c r="DQ142" s="187"/>
      <c r="DT142" s="99"/>
      <c r="DU142" s="99"/>
    </row>
    <row r="143" spans="1:127" ht="18" customHeight="1">
      <c r="A143" s="271"/>
      <c r="D143" s="280"/>
      <c r="E143" s="52"/>
      <c r="K143" s="233" t="str">
        <f>IFERROR(MP_DATA[[#This Row],[Top '[m']]]-MP_DATA[[#This Row],[Bottom '[m']]], "")</f>
        <v/>
      </c>
      <c r="L143" s="217" t="str">
        <f>IFERROR(-(MP_DATA[[#This Row],[D, bottom '[m']]]-MP_DATA[[#This Row],[D, top '[m']]])/(MP_DATA[[#This Row],[Bottom '[m']]]-MP_DATA[[#This Row],[Top '[m']]]),"")</f>
        <v/>
      </c>
      <c r="M143" s="145" t="str">
        <f t="shared" si="5"/>
        <v/>
      </c>
      <c r="N143" s="234" t="str">
        <f>IFERROR((MP_DATA[[#This Row],[D, bottom '[m']]]+MP_DATA[[#This Row],[D, top '[m']]])/(2*MP_DATA[[#This Row],[t '[mm']]]/1000),"")</f>
        <v/>
      </c>
      <c r="Q143" s="209"/>
      <c r="R143" s="209"/>
      <c r="S143" s="187"/>
      <c r="AV143" s="233" t="str">
        <f>IFERROR(TP_DATA[[#This Row],[Top '[m']]]-TP_DATA[[#This Row],[Bottom '[m']]], "")</f>
        <v/>
      </c>
      <c r="AW143" s="208"/>
      <c r="AX143" s="209"/>
      <c r="AY143" s="240"/>
      <c r="BB143" s="99"/>
      <c r="BC143" s="99"/>
      <c r="BD143" s="187"/>
      <c r="CB143" s="92"/>
      <c r="CC143" s="93"/>
      <c r="CD143" s="93"/>
      <c r="CE143" s="93"/>
      <c r="CF143" s="93"/>
      <c r="CG143" s="94"/>
      <c r="CH143" s="233" t="str">
        <f>IFERROR(TOWER_DATA[[#This Row],[Top '[m']]]-TOWER_DATA[[#This Row],[Bottom '[m']]], "")</f>
        <v/>
      </c>
      <c r="CI143" s="217" t="str">
        <f>IFERROR(-(TOWER_DATA[[#This Row],[D, bottom '[m']]]-TOWER_DATA[[#This Row],[D, top '[m']]])/(TOWER_DATA[[#This Row],[Bottom '[m']]]-TOWER_DATA[[#This Row],[Top '[m']]]),"")</f>
        <v/>
      </c>
      <c r="CJ143" s="145" t="str">
        <f t="shared" si="4"/>
        <v/>
      </c>
      <c r="CK143" s="234" t="str">
        <f>IFERROR((TOWER_DATA[[#This Row],[D, bottom '[m']]]+TOWER_DATA[[#This Row],[D, top '[m']]])/(2*TOWER_DATA[[#This Row],[t '[mm']]]/1000),"")</f>
        <v/>
      </c>
      <c r="CM143" s="51"/>
      <c r="CN143" s="51"/>
      <c r="CO143" s="51"/>
      <c r="CP143" s="51"/>
      <c r="CQ143" s="51"/>
      <c r="CR143" s="51"/>
      <c r="CS143" s="51"/>
      <c r="CT143" s="51"/>
      <c r="CU143" s="90"/>
      <c r="DO143" s="209"/>
      <c r="DP143" s="209"/>
      <c r="DQ143" s="187"/>
      <c r="DT143" s="99"/>
      <c r="DU143" s="99"/>
    </row>
    <row r="144" spans="1:127" ht="18" customHeight="1">
      <c r="A144" s="271"/>
      <c r="D144" s="280"/>
      <c r="E144" s="52"/>
      <c r="K144" s="233" t="str">
        <f>IFERROR(MP_DATA[[#This Row],[Top '[m']]]-MP_DATA[[#This Row],[Bottom '[m']]], "")</f>
        <v/>
      </c>
      <c r="L144" s="217" t="str">
        <f>IFERROR(-(MP_DATA[[#This Row],[D, bottom '[m']]]-MP_DATA[[#This Row],[D, top '[m']]])/(MP_DATA[[#This Row],[Bottom '[m']]]-MP_DATA[[#This Row],[Top '[m']]]),"")</f>
        <v/>
      </c>
      <c r="M144" s="145" t="str">
        <f t="shared" si="5"/>
        <v/>
      </c>
      <c r="N144" s="234" t="str">
        <f>IFERROR((MP_DATA[[#This Row],[D, bottom '[m']]]+MP_DATA[[#This Row],[D, top '[m']]])/(2*MP_DATA[[#This Row],[t '[mm']]]/1000),"")</f>
        <v/>
      </c>
      <c r="Q144" s="209"/>
      <c r="R144" s="209"/>
      <c r="S144" s="187"/>
      <c r="AV144" s="233" t="str">
        <f>IFERROR(TP_DATA[[#This Row],[Top '[m']]]-TP_DATA[[#This Row],[Bottom '[m']]], "")</f>
        <v/>
      </c>
      <c r="AW144" s="208"/>
      <c r="AX144" s="209"/>
      <c r="AY144" s="240"/>
      <c r="BB144" s="99"/>
      <c r="BC144" s="99"/>
      <c r="BD144" s="187"/>
      <c r="CB144" s="92"/>
      <c r="CC144" s="93"/>
      <c r="CD144" s="93"/>
      <c r="CE144" s="93"/>
      <c r="CF144" s="93"/>
      <c r="CG144" s="94"/>
      <c r="CH144" s="233" t="str">
        <f>IFERROR(TOWER_DATA[[#This Row],[Top '[m']]]-TOWER_DATA[[#This Row],[Bottom '[m']]], "")</f>
        <v/>
      </c>
      <c r="CI144" s="217" t="str">
        <f>IFERROR(-(TOWER_DATA[[#This Row],[D, bottom '[m']]]-TOWER_DATA[[#This Row],[D, top '[m']]])/(TOWER_DATA[[#This Row],[Bottom '[m']]]-TOWER_DATA[[#This Row],[Top '[m']]]),"")</f>
        <v/>
      </c>
      <c r="CJ144" s="145" t="str">
        <f t="shared" si="4"/>
        <v/>
      </c>
      <c r="CK144" s="234" t="str">
        <f>IFERROR((TOWER_DATA[[#This Row],[D, bottom '[m']]]+TOWER_DATA[[#This Row],[D, top '[m']]])/(2*TOWER_DATA[[#This Row],[t '[mm']]]/1000),"")</f>
        <v/>
      </c>
      <c r="CM144" s="51"/>
      <c r="CN144" s="51"/>
      <c r="CO144" s="51"/>
      <c r="CP144" s="51"/>
      <c r="CQ144" s="51"/>
      <c r="CR144" s="51"/>
      <c r="CS144" s="51"/>
      <c r="CT144" s="51"/>
      <c r="CU144" s="90"/>
      <c r="DO144" s="209"/>
      <c r="DP144" s="209"/>
      <c r="DQ144" s="187"/>
      <c r="DT144" s="99"/>
      <c r="DU144" s="99"/>
    </row>
    <row r="145" spans="1:125" ht="18" customHeight="1">
      <c r="A145" s="271"/>
      <c r="D145" s="280"/>
      <c r="E145" s="52"/>
      <c r="K145" s="233" t="str">
        <f>IFERROR(MP_DATA[[#This Row],[Top '[m']]]-MP_DATA[[#This Row],[Bottom '[m']]], "")</f>
        <v/>
      </c>
      <c r="L145" s="217" t="str">
        <f>IFERROR(-(MP_DATA[[#This Row],[D, bottom '[m']]]-MP_DATA[[#This Row],[D, top '[m']]])/(MP_DATA[[#This Row],[Bottom '[m']]]-MP_DATA[[#This Row],[Top '[m']]]),"")</f>
        <v/>
      </c>
      <c r="M145" s="145" t="str">
        <f t="shared" si="5"/>
        <v/>
      </c>
      <c r="N145" s="234" t="str">
        <f>IFERROR((MP_DATA[[#This Row],[D, bottom '[m']]]+MP_DATA[[#This Row],[D, top '[m']]])/(2*MP_DATA[[#This Row],[t '[mm']]]/1000),"")</f>
        <v/>
      </c>
      <c r="Q145" s="209"/>
      <c r="R145" s="209"/>
      <c r="S145" s="187"/>
      <c r="AV145" s="233" t="str">
        <f>IFERROR(TP_DATA[[#This Row],[Top '[m']]]-TP_DATA[[#This Row],[Bottom '[m']]], "")</f>
        <v/>
      </c>
      <c r="AW145" s="208"/>
      <c r="AX145" s="209"/>
      <c r="AY145" s="240"/>
      <c r="BB145" s="99"/>
      <c r="BC145" s="99"/>
      <c r="BD145" s="187"/>
      <c r="CB145" s="92"/>
      <c r="CC145" s="93"/>
      <c r="CD145" s="93"/>
      <c r="CE145" s="93"/>
      <c r="CF145" s="93"/>
      <c r="CG145" s="94"/>
      <c r="CH145" s="233" t="str">
        <f>IFERROR(TOWER_DATA[[#This Row],[Top '[m']]]-TOWER_DATA[[#This Row],[Bottom '[m']]], "")</f>
        <v/>
      </c>
      <c r="CI145" s="217" t="str">
        <f>IFERROR(-(TOWER_DATA[[#This Row],[D, bottom '[m']]]-TOWER_DATA[[#This Row],[D, top '[m']]])/(TOWER_DATA[[#This Row],[Bottom '[m']]]-TOWER_DATA[[#This Row],[Top '[m']]]),"")</f>
        <v/>
      </c>
      <c r="CJ145" s="145" t="str">
        <f t="shared" si="4"/>
        <v/>
      </c>
      <c r="CK145" s="234" t="str">
        <f>IFERROR((TOWER_DATA[[#This Row],[D, bottom '[m']]]+TOWER_DATA[[#This Row],[D, top '[m']]])/(2*TOWER_DATA[[#This Row],[t '[mm']]]/1000),"")</f>
        <v/>
      </c>
      <c r="CM145" s="51"/>
      <c r="CN145" s="51"/>
      <c r="CO145" s="51"/>
      <c r="CP145" s="51"/>
      <c r="CQ145" s="51"/>
      <c r="CR145" s="51"/>
      <c r="CS145" s="51"/>
      <c r="CT145" s="51"/>
      <c r="CU145" s="90"/>
      <c r="DO145" s="209"/>
      <c r="DP145" s="209"/>
      <c r="DQ145" s="187"/>
      <c r="DT145" s="99"/>
      <c r="DU145" s="99"/>
    </row>
    <row r="146" spans="1:125" ht="18" customHeight="1">
      <c r="A146" s="271"/>
      <c r="D146" s="280"/>
      <c r="E146" s="52"/>
      <c r="K146" s="233" t="str">
        <f>IFERROR(MP_DATA[[#This Row],[Top '[m']]]-MP_DATA[[#This Row],[Bottom '[m']]], "")</f>
        <v/>
      </c>
      <c r="L146" s="217" t="str">
        <f>IFERROR(-(MP_DATA[[#This Row],[D, bottom '[m']]]-MP_DATA[[#This Row],[D, top '[m']]])/(MP_DATA[[#This Row],[Bottom '[m']]]-MP_DATA[[#This Row],[Top '[m']]]),"")</f>
        <v/>
      </c>
      <c r="M146" s="145" t="str">
        <f t="shared" si="5"/>
        <v/>
      </c>
      <c r="N146" s="234" t="str">
        <f>IFERROR((MP_DATA[[#This Row],[D, bottom '[m']]]+MP_DATA[[#This Row],[D, top '[m']]])/(2*MP_DATA[[#This Row],[t '[mm']]]/1000),"")</f>
        <v/>
      </c>
      <c r="Q146" s="209"/>
      <c r="R146" s="209"/>
      <c r="S146" s="187"/>
      <c r="AV146" s="233" t="str">
        <f>IFERROR(TP_DATA[[#This Row],[Top '[m']]]-TP_DATA[[#This Row],[Bottom '[m']]], "")</f>
        <v/>
      </c>
      <c r="AW146" s="208"/>
      <c r="AX146" s="209"/>
      <c r="AY146" s="240"/>
      <c r="BB146" s="99"/>
      <c r="BC146" s="99"/>
      <c r="BD146" s="187"/>
      <c r="CB146" s="92"/>
      <c r="CC146" s="93"/>
      <c r="CD146" s="93"/>
      <c r="CE146" s="93"/>
      <c r="CF146" s="93"/>
      <c r="CG146" s="94"/>
      <c r="CH146" s="233" t="str">
        <f>IFERROR(TOWER_DATA[[#This Row],[Top '[m']]]-TOWER_DATA[[#This Row],[Bottom '[m']]], "")</f>
        <v/>
      </c>
      <c r="CI146" s="217" t="str">
        <f>IFERROR(-(TOWER_DATA[[#This Row],[D, bottom '[m']]]-TOWER_DATA[[#This Row],[D, top '[m']]])/(TOWER_DATA[[#This Row],[Bottom '[m']]]-TOWER_DATA[[#This Row],[Top '[m']]]),"")</f>
        <v/>
      </c>
      <c r="CJ146" s="145" t="str">
        <f t="shared" si="4"/>
        <v/>
      </c>
      <c r="CK146" s="234" t="str">
        <f>IFERROR((TOWER_DATA[[#This Row],[D, bottom '[m']]]+TOWER_DATA[[#This Row],[D, top '[m']]])/(2*TOWER_DATA[[#This Row],[t '[mm']]]/1000),"")</f>
        <v/>
      </c>
      <c r="CM146" s="51"/>
      <c r="CN146" s="51"/>
      <c r="CO146" s="51"/>
      <c r="CP146" s="51"/>
      <c r="CQ146" s="51"/>
      <c r="CR146" s="51"/>
      <c r="CS146" s="51"/>
      <c r="CT146" s="51"/>
      <c r="CU146" s="90"/>
      <c r="DO146" s="209"/>
      <c r="DP146" s="209"/>
      <c r="DQ146" s="187"/>
      <c r="DT146" s="99"/>
      <c r="DU146" s="99"/>
    </row>
    <row r="147" spans="1:125" ht="18" customHeight="1">
      <c r="A147" s="271"/>
      <c r="D147" s="280"/>
      <c r="E147" s="52"/>
      <c r="K147" s="233" t="str">
        <f>IFERROR(MP_DATA[[#This Row],[Top '[m']]]-MP_DATA[[#This Row],[Bottom '[m']]], "")</f>
        <v/>
      </c>
      <c r="L147" s="217" t="str">
        <f>IFERROR(-(MP_DATA[[#This Row],[D, bottom '[m']]]-MP_DATA[[#This Row],[D, top '[m']]])/(MP_DATA[[#This Row],[Bottom '[m']]]-MP_DATA[[#This Row],[Top '[m']]]),"")</f>
        <v/>
      </c>
      <c r="M147" s="145" t="str">
        <f t="shared" si="5"/>
        <v/>
      </c>
      <c r="N147" s="234" t="str">
        <f>IFERROR((MP_DATA[[#This Row],[D, bottom '[m']]]+MP_DATA[[#This Row],[D, top '[m']]])/(2*MP_DATA[[#This Row],[t '[mm']]]/1000),"")</f>
        <v/>
      </c>
      <c r="Q147" s="209"/>
      <c r="R147" s="209"/>
      <c r="S147" s="187"/>
      <c r="AV147" s="233" t="str">
        <f>IFERROR(TP_DATA[[#This Row],[Top '[m']]]-TP_DATA[[#This Row],[Bottom '[m']]], "")</f>
        <v/>
      </c>
      <c r="AW147" s="208"/>
      <c r="AX147" s="209"/>
      <c r="AY147" s="240"/>
      <c r="BB147" s="99"/>
      <c r="BC147" s="99"/>
      <c r="BD147" s="187"/>
      <c r="CB147" s="92"/>
      <c r="CC147" s="93"/>
      <c r="CD147" s="93"/>
      <c r="CE147" s="93"/>
      <c r="CF147" s="93"/>
      <c r="CG147" s="94"/>
      <c r="CH147" s="233" t="str">
        <f>IFERROR(TOWER_DATA[[#This Row],[Top '[m']]]-TOWER_DATA[[#This Row],[Bottom '[m']]], "")</f>
        <v/>
      </c>
      <c r="CI147" s="217" t="str">
        <f>IFERROR(-(TOWER_DATA[[#This Row],[D, bottom '[m']]]-TOWER_DATA[[#This Row],[D, top '[m']]])/(TOWER_DATA[[#This Row],[Bottom '[m']]]-TOWER_DATA[[#This Row],[Top '[m']]]),"")</f>
        <v/>
      </c>
      <c r="CJ147" s="145" t="str">
        <f t="shared" si="4"/>
        <v/>
      </c>
      <c r="CK147" s="234" t="str">
        <f>IFERROR((TOWER_DATA[[#This Row],[D, bottom '[m']]]+TOWER_DATA[[#This Row],[D, top '[m']]])/(2*TOWER_DATA[[#This Row],[t '[mm']]]/1000),"")</f>
        <v/>
      </c>
      <c r="CM147" s="51"/>
      <c r="CN147" s="51"/>
      <c r="CO147" s="51"/>
      <c r="CP147" s="51"/>
      <c r="CQ147" s="51"/>
      <c r="CR147" s="51"/>
      <c r="CS147" s="51"/>
      <c r="CT147" s="51"/>
      <c r="CU147" s="90"/>
      <c r="DO147" s="209"/>
      <c r="DP147" s="209"/>
      <c r="DQ147" s="187"/>
      <c r="DT147" s="99"/>
      <c r="DU147" s="99"/>
    </row>
    <row r="148" spans="1:125" ht="18" customHeight="1">
      <c r="A148" s="271"/>
      <c r="D148" s="280"/>
      <c r="E148" s="52"/>
      <c r="K148" s="233" t="str">
        <f>IFERROR(MP_DATA[[#This Row],[Top '[m']]]-MP_DATA[[#This Row],[Bottom '[m']]], "")</f>
        <v/>
      </c>
      <c r="L148" s="217" t="str">
        <f>IFERROR(-(MP_DATA[[#This Row],[D, bottom '[m']]]-MP_DATA[[#This Row],[D, top '[m']]])/(MP_DATA[[#This Row],[Bottom '[m']]]-MP_DATA[[#This Row],[Top '[m']]]),"")</f>
        <v/>
      </c>
      <c r="M148" s="145" t="str">
        <f t="shared" si="5"/>
        <v/>
      </c>
      <c r="N148" s="234" t="str">
        <f>IFERROR((MP_DATA[[#This Row],[D, bottom '[m']]]+MP_DATA[[#This Row],[D, top '[m']]])/(2*MP_DATA[[#This Row],[t '[mm']]]/1000),"")</f>
        <v/>
      </c>
      <c r="Q148" s="209"/>
      <c r="R148" s="209"/>
      <c r="S148" s="187"/>
      <c r="AV148" s="233" t="str">
        <f>IFERROR(TP_DATA[[#This Row],[Top '[m']]]-TP_DATA[[#This Row],[Bottom '[m']]], "")</f>
        <v/>
      </c>
      <c r="AW148" s="208"/>
      <c r="AX148" s="209"/>
      <c r="AY148" s="240"/>
      <c r="BB148" s="99"/>
      <c r="BC148" s="99"/>
      <c r="BD148" s="187"/>
      <c r="CB148" s="92"/>
      <c r="CC148" s="93"/>
      <c r="CD148" s="93"/>
      <c r="CE148" s="93"/>
      <c r="CF148" s="93"/>
      <c r="CG148" s="94"/>
      <c r="CH148" s="233" t="str">
        <f>IFERROR(TOWER_DATA[[#This Row],[Top '[m']]]-TOWER_DATA[[#This Row],[Bottom '[m']]], "")</f>
        <v/>
      </c>
      <c r="CI148" s="217" t="str">
        <f>IFERROR(-(TOWER_DATA[[#This Row],[D, bottom '[m']]]-TOWER_DATA[[#This Row],[D, top '[m']]])/(TOWER_DATA[[#This Row],[Bottom '[m']]]-TOWER_DATA[[#This Row],[Top '[m']]]),"")</f>
        <v/>
      </c>
      <c r="CJ148" s="145" t="str">
        <f t="shared" si="4"/>
        <v/>
      </c>
      <c r="CK148" s="234" t="str">
        <f>IFERROR((TOWER_DATA[[#This Row],[D, bottom '[m']]]+TOWER_DATA[[#This Row],[D, top '[m']]])/(2*TOWER_DATA[[#This Row],[t '[mm']]]/1000),"")</f>
        <v/>
      </c>
      <c r="CM148" s="51"/>
      <c r="CN148" s="51"/>
      <c r="CO148" s="51"/>
      <c r="CP148" s="51"/>
      <c r="CQ148" s="51"/>
      <c r="CR148" s="51"/>
      <c r="CS148" s="51"/>
      <c r="CT148" s="51"/>
      <c r="CU148" s="90"/>
      <c r="DO148" s="209"/>
      <c r="DP148" s="209"/>
      <c r="DQ148" s="187"/>
      <c r="DT148" s="99"/>
      <c r="DU148" s="99"/>
    </row>
    <row r="149" spans="1:125" ht="18" customHeight="1">
      <c r="A149" s="271"/>
      <c r="D149" s="280"/>
      <c r="E149" s="52"/>
      <c r="K149" s="233" t="str">
        <f>IFERROR(MP_DATA[[#This Row],[Top '[m']]]-MP_DATA[[#This Row],[Bottom '[m']]], "")</f>
        <v/>
      </c>
      <c r="L149" s="217" t="str">
        <f>IFERROR(-(MP_DATA[[#This Row],[D, bottom '[m']]]-MP_DATA[[#This Row],[D, top '[m']]])/(MP_DATA[[#This Row],[Bottom '[m']]]-MP_DATA[[#This Row],[Top '[m']]]),"")</f>
        <v/>
      </c>
      <c r="M149" s="145" t="str">
        <f t="shared" si="5"/>
        <v/>
      </c>
      <c r="N149" s="234" t="str">
        <f>IFERROR((MP_DATA[[#This Row],[D, bottom '[m']]]+MP_DATA[[#This Row],[D, top '[m']]])/(2*MP_DATA[[#This Row],[t '[mm']]]/1000),"")</f>
        <v/>
      </c>
      <c r="Q149" s="209"/>
      <c r="R149" s="209"/>
      <c r="S149" s="187"/>
      <c r="AV149" s="233" t="str">
        <f>IFERROR(TP_DATA[[#This Row],[Top '[m']]]-TP_DATA[[#This Row],[Bottom '[m']]], "")</f>
        <v/>
      </c>
      <c r="AW149" s="208"/>
      <c r="AX149" s="209"/>
      <c r="AY149" s="240"/>
      <c r="BB149" s="99"/>
      <c r="BC149" s="99"/>
      <c r="BD149" s="187"/>
      <c r="CB149" s="92"/>
      <c r="CC149" s="93"/>
      <c r="CD149" s="93"/>
      <c r="CE149" s="93"/>
      <c r="CF149" s="93"/>
      <c r="CG149" s="94"/>
      <c r="CH149" s="233" t="str">
        <f>IFERROR(TOWER_DATA[[#This Row],[Top '[m']]]-TOWER_DATA[[#This Row],[Bottom '[m']]], "")</f>
        <v/>
      </c>
      <c r="CI149" s="217" t="str">
        <f>IFERROR(-(TOWER_DATA[[#This Row],[D, bottom '[m']]]-TOWER_DATA[[#This Row],[D, top '[m']]])/(TOWER_DATA[[#This Row],[Bottom '[m']]]-TOWER_DATA[[#This Row],[Top '[m']]]),"")</f>
        <v/>
      </c>
      <c r="CJ149" s="145" t="str">
        <f t="shared" si="4"/>
        <v/>
      </c>
      <c r="CK149" s="234" t="str">
        <f>IFERROR((TOWER_DATA[[#This Row],[D, bottom '[m']]]+TOWER_DATA[[#This Row],[D, top '[m']]])/(2*TOWER_DATA[[#This Row],[t '[mm']]]/1000),"")</f>
        <v/>
      </c>
      <c r="CM149" s="51"/>
      <c r="CN149" s="51"/>
      <c r="CO149" s="51"/>
      <c r="CP149" s="51"/>
      <c r="CQ149" s="51"/>
      <c r="CR149" s="51"/>
      <c r="CS149" s="51"/>
      <c r="CT149" s="51"/>
      <c r="CU149" s="90"/>
      <c r="DO149" s="209"/>
      <c r="DP149" s="209"/>
      <c r="DQ149" s="187"/>
      <c r="DT149" s="99"/>
      <c r="DU149" s="99"/>
    </row>
    <row r="150" spans="1:125" ht="18" customHeight="1">
      <c r="A150" s="271"/>
      <c r="D150" s="280"/>
      <c r="E150" s="52"/>
      <c r="K150" s="233" t="str">
        <f>IFERROR(MP_DATA[[#This Row],[Top '[m']]]-MP_DATA[[#This Row],[Bottom '[m']]], "")</f>
        <v/>
      </c>
      <c r="L150" s="217" t="str">
        <f>IFERROR(-(MP_DATA[[#This Row],[D, bottom '[m']]]-MP_DATA[[#This Row],[D, top '[m']]])/(MP_DATA[[#This Row],[Bottom '[m']]]-MP_DATA[[#This Row],[Top '[m']]]),"")</f>
        <v/>
      </c>
      <c r="M150" s="145" t="str">
        <f t="shared" si="5"/>
        <v/>
      </c>
      <c r="N150" s="234" t="str">
        <f>IFERROR((MP_DATA[[#This Row],[D, bottom '[m']]]+MP_DATA[[#This Row],[D, top '[m']]])/(2*MP_DATA[[#This Row],[t '[mm']]]/1000),"")</f>
        <v/>
      </c>
      <c r="Q150" s="209"/>
      <c r="R150" s="209"/>
      <c r="S150" s="187"/>
      <c r="AV150" s="233" t="str">
        <f>IFERROR(TP_DATA[[#This Row],[Top '[m']]]-TP_DATA[[#This Row],[Bottom '[m']]], "")</f>
        <v/>
      </c>
      <c r="AW150" s="208"/>
      <c r="AX150" s="209"/>
      <c r="AY150" s="240"/>
      <c r="BB150" s="99"/>
      <c r="BC150" s="99"/>
      <c r="BD150" s="187"/>
      <c r="CB150" s="92"/>
      <c r="CC150" s="93"/>
      <c r="CD150" s="93"/>
      <c r="CE150" s="93"/>
      <c r="CF150" s="93"/>
      <c r="CG150" s="94"/>
      <c r="CH150" s="233" t="str">
        <f>IFERROR(TOWER_DATA[[#This Row],[Top '[m']]]-TOWER_DATA[[#This Row],[Bottom '[m']]], "")</f>
        <v/>
      </c>
      <c r="CI150" s="217" t="str">
        <f>IFERROR(-(TOWER_DATA[[#This Row],[D, bottom '[m']]]-TOWER_DATA[[#This Row],[D, top '[m']]])/(TOWER_DATA[[#This Row],[Bottom '[m']]]-TOWER_DATA[[#This Row],[Top '[m']]]),"")</f>
        <v/>
      </c>
      <c r="CJ150" s="145" t="str">
        <f t="shared" si="4"/>
        <v/>
      </c>
      <c r="CK150" s="234" t="str">
        <f>IFERROR((TOWER_DATA[[#This Row],[D, bottom '[m']]]+TOWER_DATA[[#This Row],[D, top '[m']]])/(2*TOWER_DATA[[#This Row],[t '[mm']]]/1000),"")</f>
        <v/>
      </c>
      <c r="CM150" s="51"/>
      <c r="CN150" s="51"/>
      <c r="CO150" s="51"/>
      <c r="CP150" s="51"/>
      <c r="CQ150" s="51"/>
      <c r="CR150" s="51"/>
      <c r="CS150" s="51"/>
      <c r="CT150" s="51"/>
      <c r="CU150" s="90"/>
      <c r="DO150" s="209"/>
      <c r="DP150" s="209"/>
      <c r="DQ150" s="187"/>
      <c r="DT150" s="99"/>
      <c r="DU150" s="99"/>
    </row>
    <row r="151" spans="1:125" ht="18" customHeight="1">
      <c r="A151" s="271"/>
      <c r="D151" s="280"/>
      <c r="E151" s="52"/>
      <c r="K151" s="233" t="str">
        <f>IFERROR(MP_DATA[[#This Row],[Top '[m']]]-MP_DATA[[#This Row],[Bottom '[m']]], "")</f>
        <v/>
      </c>
      <c r="L151" s="217" t="str">
        <f>IFERROR(-(MP_DATA[[#This Row],[D, bottom '[m']]]-MP_DATA[[#This Row],[D, top '[m']]])/(MP_DATA[[#This Row],[Bottom '[m']]]-MP_DATA[[#This Row],[Top '[m']]]),"")</f>
        <v/>
      </c>
      <c r="M151" s="145" t="str">
        <f t="shared" si="5"/>
        <v/>
      </c>
      <c r="N151" s="234" t="str">
        <f>IFERROR((MP_DATA[[#This Row],[D, bottom '[m']]]+MP_DATA[[#This Row],[D, top '[m']]])/(2*MP_DATA[[#This Row],[t '[mm']]]/1000),"")</f>
        <v/>
      </c>
      <c r="Q151" s="209"/>
      <c r="R151" s="209"/>
      <c r="S151" s="187"/>
      <c r="AV151" s="233" t="str">
        <f>IFERROR(TP_DATA[[#This Row],[Top '[m']]]-TP_DATA[[#This Row],[Bottom '[m']]], "")</f>
        <v/>
      </c>
      <c r="AW151" s="208"/>
      <c r="AX151" s="209"/>
      <c r="AY151" s="240"/>
      <c r="BB151" s="99"/>
      <c r="BC151" s="99"/>
      <c r="BD151" s="187"/>
      <c r="CB151" s="92"/>
      <c r="CC151" s="93"/>
      <c r="CD151" s="93"/>
      <c r="CE151" s="93"/>
      <c r="CF151" s="93"/>
      <c r="CG151" s="94"/>
      <c r="CH151" s="233" t="str">
        <f>IFERROR(TOWER_DATA[[#This Row],[Top '[m']]]-TOWER_DATA[[#This Row],[Bottom '[m']]], "")</f>
        <v/>
      </c>
      <c r="CI151" s="217" t="str">
        <f>IFERROR(-(TOWER_DATA[[#This Row],[D, bottom '[m']]]-TOWER_DATA[[#This Row],[D, top '[m']]])/(TOWER_DATA[[#This Row],[Bottom '[m']]]-TOWER_DATA[[#This Row],[Top '[m']]]),"")</f>
        <v/>
      </c>
      <c r="CJ151" s="145" t="str">
        <f t="shared" si="4"/>
        <v/>
      </c>
      <c r="CK151" s="234" t="str">
        <f>IFERROR((TOWER_DATA[[#This Row],[D, bottom '[m']]]+TOWER_DATA[[#This Row],[D, top '[m']]])/(2*TOWER_DATA[[#This Row],[t '[mm']]]/1000),"")</f>
        <v/>
      </c>
      <c r="CM151" s="51"/>
      <c r="CN151" s="51"/>
      <c r="CO151" s="51"/>
      <c r="CP151" s="51"/>
      <c r="CQ151" s="51"/>
      <c r="CR151" s="51"/>
      <c r="CS151" s="51"/>
      <c r="CT151" s="51"/>
      <c r="CU151" s="90"/>
      <c r="DO151" s="209"/>
      <c r="DP151" s="209"/>
      <c r="DQ151" s="187"/>
      <c r="DT151" s="99"/>
      <c r="DU151" s="99"/>
    </row>
    <row r="152" spans="1:125" ht="18" customHeight="1">
      <c r="A152" s="271"/>
      <c r="D152" s="280"/>
      <c r="E152" s="52"/>
      <c r="K152" s="233" t="str">
        <f>IFERROR(MP_DATA[[#This Row],[Top '[m']]]-MP_DATA[[#This Row],[Bottom '[m']]], "")</f>
        <v/>
      </c>
      <c r="L152" s="217" t="str">
        <f>IFERROR(-(MP_DATA[[#This Row],[D, bottom '[m']]]-MP_DATA[[#This Row],[D, top '[m']]])/(MP_DATA[[#This Row],[Bottom '[m']]]-MP_DATA[[#This Row],[Top '[m']]]),"")</f>
        <v/>
      </c>
      <c r="M152" s="145" t="str">
        <f t="shared" si="5"/>
        <v/>
      </c>
      <c r="N152" s="234" t="str">
        <f>IFERROR((MP_DATA[[#This Row],[D, bottom '[m']]]+MP_DATA[[#This Row],[D, top '[m']]])/(2*MP_DATA[[#This Row],[t '[mm']]]/1000),"")</f>
        <v/>
      </c>
      <c r="Q152" s="209"/>
      <c r="R152" s="209"/>
      <c r="S152" s="187"/>
      <c r="AV152" s="233" t="str">
        <f>IFERROR(TP_DATA[[#This Row],[Top '[m']]]-TP_DATA[[#This Row],[Bottom '[m']]], "")</f>
        <v/>
      </c>
      <c r="AW152" s="208"/>
      <c r="AX152" s="209"/>
      <c r="AY152" s="240"/>
      <c r="BB152" s="99"/>
      <c r="BC152" s="99"/>
      <c r="BD152" s="187"/>
      <c r="CB152" s="92"/>
      <c r="CC152" s="93"/>
      <c r="CD152" s="93"/>
      <c r="CE152" s="93"/>
      <c r="CF152" s="93"/>
      <c r="CG152" s="94"/>
      <c r="CH152" s="233" t="str">
        <f>IFERROR(TOWER_DATA[[#This Row],[Top '[m']]]-TOWER_DATA[[#This Row],[Bottom '[m']]], "")</f>
        <v/>
      </c>
      <c r="CI152" s="217" t="str">
        <f>IFERROR(-(TOWER_DATA[[#This Row],[D, bottom '[m']]]-TOWER_DATA[[#This Row],[D, top '[m']]])/(TOWER_DATA[[#This Row],[Bottom '[m']]]-TOWER_DATA[[#This Row],[Top '[m']]]),"")</f>
        <v/>
      </c>
      <c r="CJ152" s="145" t="str">
        <f t="shared" si="4"/>
        <v/>
      </c>
      <c r="CK152" s="234" t="str">
        <f>IFERROR((TOWER_DATA[[#This Row],[D, bottom '[m']]]+TOWER_DATA[[#This Row],[D, top '[m']]])/(2*TOWER_DATA[[#This Row],[t '[mm']]]/1000),"")</f>
        <v/>
      </c>
      <c r="CM152" s="51"/>
      <c r="CN152" s="51"/>
      <c r="CO152" s="51"/>
      <c r="CP152" s="51"/>
      <c r="CQ152" s="51"/>
      <c r="CR152" s="51"/>
      <c r="CS152" s="51"/>
      <c r="CT152" s="51"/>
      <c r="CU152" s="90"/>
      <c r="DO152" s="209"/>
      <c r="DP152" s="209"/>
      <c r="DQ152" s="187"/>
      <c r="DT152" s="99"/>
      <c r="DU152" s="99"/>
    </row>
    <row r="153" spans="1:125" ht="18" customHeight="1">
      <c r="A153" s="271"/>
      <c r="D153" s="280"/>
      <c r="E153" s="52"/>
      <c r="K153" s="233" t="str">
        <f>IFERROR(MP_DATA[[#This Row],[Top '[m']]]-MP_DATA[[#This Row],[Bottom '[m']]], "")</f>
        <v/>
      </c>
      <c r="L153" s="217" t="str">
        <f>IFERROR(-(MP_DATA[[#This Row],[D, bottom '[m']]]-MP_DATA[[#This Row],[D, top '[m']]])/(MP_DATA[[#This Row],[Bottom '[m']]]-MP_DATA[[#This Row],[Top '[m']]]),"")</f>
        <v/>
      </c>
      <c r="M153" s="145" t="str">
        <f t="shared" si="5"/>
        <v/>
      </c>
      <c r="N153" s="234" t="str">
        <f>IFERROR((MP_DATA[[#This Row],[D, bottom '[m']]]+MP_DATA[[#This Row],[D, top '[m']]])/(2*MP_DATA[[#This Row],[t '[mm']]]/1000),"")</f>
        <v/>
      </c>
      <c r="Q153" s="209"/>
      <c r="R153" s="209"/>
      <c r="S153" s="187"/>
      <c r="AV153" s="233" t="str">
        <f>IFERROR(TP_DATA[[#This Row],[Top '[m']]]-TP_DATA[[#This Row],[Bottom '[m']]], "")</f>
        <v/>
      </c>
      <c r="AW153" s="208"/>
      <c r="AX153" s="209"/>
      <c r="AY153" s="240"/>
      <c r="BB153" s="99"/>
      <c r="BC153" s="99"/>
      <c r="BD153" s="187"/>
      <c r="CB153" s="92"/>
      <c r="CC153" s="93"/>
      <c r="CD153" s="93"/>
      <c r="CE153" s="93"/>
      <c r="CF153" s="93"/>
      <c r="CG153" s="94"/>
      <c r="CH153" s="233" t="str">
        <f>IFERROR(TOWER_DATA[[#This Row],[Top '[m']]]-TOWER_DATA[[#This Row],[Bottom '[m']]], "")</f>
        <v/>
      </c>
      <c r="CI153" s="217" t="str">
        <f>IFERROR(-(TOWER_DATA[[#This Row],[D, bottom '[m']]]-TOWER_DATA[[#This Row],[D, top '[m']]])/(TOWER_DATA[[#This Row],[Bottom '[m']]]-TOWER_DATA[[#This Row],[Top '[m']]]),"")</f>
        <v/>
      </c>
      <c r="CJ153" s="145" t="str">
        <f t="shared" si="4"/>
        <v/>
      </c>
      <c r="CK153" s="234" t="str">
        <f>IFERROR((TOWER_DATA[[#This Row],[D, bottom '[m']]]+TOWER_DATA[[#This Row],[D, top '[m']]])/(2*TOWER_DATA[[#This Row],[t '[mm']]]/1000),"")</f>
        <v/>
      </c>
      <c r="CM153" s="51"/>
      <c r="CN153" s="51"/>
      <c r="CO153" s="51"/>
      <c r="CP153" s="51"/>
      <c r="CQ153" s="51"/>
      <c r="CR153" s="51"/>
      <c r="CS153" s="51"/>
      <c r="CT153" s="51"/>
      <c r="CU153" s="90"/>
      <c r="DO153" s="209"/>
      <c r="DP153" s="209"/>
      <c r="DQ153" s="187"/>
      <c r="DT153" s="99"/>
      <c r="DU153" s="99"/>
    </row>
    <row r="154" spans="1:125" ht="18" customHeight="1">
      <c r="A154" s="271"/>
      <c r="D154" s="280"/>
      <c r="E154" s="52"/>
      <c r="K154" s="233" t="str">
        <f>IFERROR(MP_DATA[[#This Row],[Top '[m']]]-MP_DATA[[#This Row],[Bottom '[m']]], "")</f>
        <v/>
      </c>
      <c r="L154" s="217" t="str">
        <f>IFERROR(-(MP_DATA[[#This Row],[D, bottom '[m']]]-MP_DATA[[#This Row],[D, top '[m']]])/(MP_DATA[[#This Row],[Bottom '[m']]]-MP_DATA[[#This Row],[Top '[m']]]),"")</f>
        <v/>
      </c>
      <c r="M154" s="145" t="str">
        <f t="shared" si="5"/>
        <v/>
      </c>
      <c r="N154" s="234" t="str">
        <f>IFERROR((MP_DATA[[#This Row],[D, bottom '[m']]]+MP_DATA[[#This Row],[D, top '[m']]])/(2*MP_DATA[[#This Row],[t '[mm']]]/1000),"")</f>
        <v/>
      </c>
      <c r="Q154" s="209"/>
      <c r="R154" s="209"/>
      <c r="S154" s="187"/>
      <c r="AV154" s="233" t="str">
        <f>IFERROR(TP_DATA[[#This Row],[Top '[m']]]-TP_DATA[[#This Row],[Bottom '[m']]], "")</f>
        <v/>
      </c>
      <c r="AW154" s="208"/>
      <c r="AX154" s="209"/>
      <c r="AY154" s="240"/>
      <c r="BB154" s="99"/>
      <c r="BC154" s="99"/>
      <c r="BD154" s="187"/>
      <c r="CB154" s="92"/>
      <c r="CC154" s="93"/>
      <c r="CD154" s="93"/>
      <c r="CE154" s="93"/>
      <c r="CF154" s="93"/>
      <c r="CG154" s="94"/>
      <c r="CH154" s="233" t="str">
        <f>IFERROR(TOWER_DATA[[#This Row],[Top '[m']]]-TOWER_DATA[[#This Row],[Bottom '[m']]], "")</f>
        <v/>
      </c>
      <c r="CI154" s="217" t="str">
        <f>IFERROR(-(TOWER_DATA[[#This Row],[D, bottom '[m']]]-TOWER_DATA[[#This Row],[D, top '[m']]])/(TOWER_DATA[[#This Row],[Bottom '[m']]]-TOWER_DATA[[#This Row],[Top '[m']]]),"")</f>
        <v/>
      </c>
      <c r="CJ154" s="145" t="str">
        <f t="shared" si="4"/>
        <v/>
      </c>
      <c r="CK154" s="234" t="str">
        <f>IFERROR((TOWER_DATA[[#This Row],[D, bottom '[m']]]+TOWER_DATA[[#This Row],[D, top '[m']]])/(2*TOWER_DATA[[#This Row],[t '[mm']]]/1000),"")</f>
        <v/>
      </c>
      <c r="CM154" s="51"/>
      <c r="CN154" s="51"/>
      <c r="CO154" s="51"/>
      <c r="CP154" s="51"/>
      <c r="CQ154" s="51"/>
      <c r="CR154" s="51"/>
      <c r="CS154" s="51"/>
      <c r="CT154" s="51"/>
      <c r="CU154" s="90"/>
      <c r="DO154" s="209"/>
      <c r="DP154" s="209"/>
      <c r="DQ154" s="187"/>
      <c r="DT154" s="99"/>
      <c r="DU154" s="99"/>
    </row>
    <row r="155" spans="1:125" ht="18" customHeight="1">
      <c r="A155" s="271"/>
      <c r="D155" s="280"/>
      <c r="E155" s="52"/>
      <c r="K155" s="233" t="str">
        <f>IFERROR(MP_DATA[[#This Row],[Top '[m']]]-MP_DATA[[#This Row],[Bottom '[m']]], "")</f>
        <v/>
      </c>
      <c r="L155" s="217" t="str">
        <f>IFERROR(-(MP_DATA[[#This Row],[D, bottom '[m']]]-MP_DATA[[#This Row],[D, top '[m']]])/(MP_DATA[[#This Row],[Bottom '[m']]]-MP_DATA[[#This Row],[Top '[m']]]),"")</f>
        <v/>
      </c>
      <c r="M155" s="145" t="str">
        <f t="shared" si="5"/>
        <v/>
      </c>
      <c r="N155" s="234" t="str">
        <f>IFERROR((MP_DATA[[#This Row],[D, bottom '[m']]]+MP_DATA[[#This Row],[D, top '[m']]])/(2*MP_DATA[[#This Row],[t '[mm']]]/1000),"")</f>
        <v/>
      </c>
      <c r="Q155" s="209"/>
      <c r="R155" s="209"/>
      <c r="S155" s="187"/>
      <c r="AV155" s="233" t="str">
        <f>IFERROR(TP_DATA[[#This Row],[Top '[m']]]-TP_DATA[[#This Row],[Bottom '[m']]], "")</f>
        <v/>
      </c>
      <c r="AW155" s="208"/>
      <c r="AX155" s="209"/>
      <c r="AY155" s="240"/>
      <c r="BB155" s="99"/>
      <c r="BC155" s="99"/>
      <c r="BD155" s="187"/>
      <c r="CB155" s="92"/>
      <c r="CC155" s="93"/>
      <c r="CD155" s="93"/>
      <c r="CE155" s="93"/>
      <c r="CF155" s="93"/>
      <c r="CG155" s="94"/>
      <c r="CH155" s="233" t="str">
        <f>IFERROR(TOWER_DATA[[#This Row],[Top '[m']]]-TOWER_DATA[[#This Row],[Bottom '[m']]], "")</f>
        <v/>
      </c>
      <c r="CI155" s="217" t="str">
        <f>IFERROR(-(TOWER_DATA[[#This Row],[D, bottom '[m']]]-TOWER_DATA[[#This Row],[D, top '[m']]])/(TOWER_DATA[[#This Row],[Bottom '[m']]]-TOWER_DATA[[#This Row],[Top '[m']]]),"")</f>
        <v/>
      </c>
      <c r="CJ155" s="145" t="str">
        <f t="shared" si="4"/>
        <v/>
      </c>
      <c r="CK155" s="234" t="str">
        <f>IFERROR((TOWER_DATA[[#This Row],[D, bottom '[m']]]+TOWER_DATA[[#This Row],[D, top '[m']]])/(2*TOWER_DATA[[#This Row],[t '[mm']]]/1000),"")</f>
        <v/>
      </c>
      <c r="CM155" s="51"/>
      <c r="CN155" s="51"/>
      <c r="CO155" s="51"/>
      <c r="CP155" s="51"/>
      <c r="CQ155" s="51"/>
      <c r="CR155" s="51"/>
      <c r="CS155" s="51"/>
      <c r="CT155" s="51"/>
      <c r="CU155" s="90"/>
      <c r="DO155" s="209"/>
      <c r="DP155" s="209"/>
      <c r="DQ155" s="187"/>
      <c r="DT155" s="99"/>
      <c r="DU155" s="99"/>
    </row>
    <row r="156" spans="1:125" ht="18" customHeight="1">
      <c r="A156" s="271"/>
      <c r="D156" s="280"/>
      <c r="E156" s="52"/>
      <c r="K156" s="233" t="str">
        <f>IFERROR(MP_DATA[[#This Row],[Top '[m']]]-MP_DATA[[#This Row],[Bottom '[m']]], "")</f>
        <v/>
      </c>
      <c r="L156" s="217" t="str">
        <f>IFERROR(-(MP_DATA[[#This Row],[D, bottom '[m']]]-MP_DATA[[#This Row],[D, top '[m']]])/(MP_DATA[[#This Row],[Bottom '[m']]]-MP_DATA[[#This Row],[Top '[m']]]),"")</f>
        <v/>
      </c>
      <c r="M156" s="145" t="str">
        <f t="shared" si="5"/>
        <v/>
      </c>
      <c r="N156" s="234" t="str">
        <f>IFERROR((MP_DATA[[#This Row],[D, bottom '[m']]]+MP_DATA[[#This Row],[D, top '[m']]])/(2*MP_DATA[[#This Row],[t '[mm']]]/1000),"")</f>
        <v/>
      </c>
      <c r="Q156" s="209"/>
      <c r="R156" s="209"/>
      <c r="S156" s="187"/>
      <c r="AV156" s="233" t="str">
        <f>IFERROR(TP_DATA[[#This Row],[Top '[m']]]-TP_DATA[[#This Row],[Bottom '[m']]], "")</f>
        <v/>
      </c>
      <c r="AW156" s="208"/>
      <c r="AX156" s="209"/>
      <c r="AY156" s="240"/>
      <c r="BB156" s="99"/>
      <c r="BC156" s="99"/>
      <c r="BD156" s="187"/>
      <c r="CB156" s="92"/>
      <c r="CC156" s="93"/>
      <c r="CD156" s="93"/>
      <c r="CE156" s="93"/>
      <c r="CF156" s="93"/>
      <c r="CG156" s="94"/>
      <c r="CH156" s="233" t="str">
        <f>IFERROR(TOWER_DATA[[#This Row],[Top '[m']]]-TOWER_DATA[[#This Row],[Bottom '[m']]], "")</f>
        <v/>
      </c>
      <c r="CI156" s="217" t="str">
        <f>IFERROR(-(TOWER_DATA[[#This Row],[D, bottom '[m']]]-TOWER_DATA[[#This Row],[D, top '[m']]])/(TOWER_DATA[[#This Row],[Bottom '[m']]]-TOWER_DATA[[#This Row],[Top '[m']]]),"")</f>
        <v/>
      </c>
      <c r="CJ156" s="145" t="str">
        <f t="shared" si="4"/>
        <v/>
      </c>
      <c r="CK156" s="234" t="str">
        <f>IFERROR((TOWER_DATA[[#This Row],[D, bottom '[m']]]+TOWER_DATA[[#This Row],[D, top '[m']]])/(2*TOWER_DATA[[#This Row],[t '[mm']]]/1000),"")</f>
        <v/>
      </c>
      <c r="CM156" s="51"/>
      <c r="CN156" s="51"/>
      <c r="CO156" s="51"/>
      <c r="CP156" s="51"/>
      <c r="CQ156" s="51"/>
      <c r="CR156" s="51"/>
      <c r="CS156" s="51"/>
      <c r="CT156" s="51"/>
      <c r="CU156" s="90"/>
      <c r="DO156" s="209"/>
      <c r="DP156" s="209"/>
      <c r="DQ156" s="187"/>
      <c r="DT156" s="99"/>
      <c r="DU156" s="99"/>
    </row>
    <row r="157" spans="1:125" ht="18" customHeight="1">
      <c r="A157" s="271"/>
      <c r="D157" s="280"/>
      <c r="E157" s="52"/>
      <c r="K157" s="233" t="str">
        <f>IFERROR(MP_DATA[[#This Row],[Top '[m']]]-MP_DATA[[#This Row],[Bottom '[m']]], "")</f>
        <v/>
      </c>
      <c r="L157" s="217" t="str">
        <f>IFERROR(-(MP_DATA[[#This Row],[D, bottom '[m']]]-MP_DATA[[#This Row],[D, top '[m']]])/(MP_DATA[[#This Row],[Bottom '[m']]]-MP_DATA[[#This Row],[Top '[m']]]),"")</f>
        <v/>
      </c>
      <c r="M157" s="145" t="str">
        <f t="shared" si="5"/>
        <v/>
      </c>
      <c r="N157" s="234" t="str">
        <f>IFERROR((MP_DATA[[#This Row],[D, bottom '[m']]]+MP_DATA[[#This Row],[D, top '[m']]])/(2*MP_DATA[[#This Row],[t '[mm']]]/1000),"")</f>
        <v/>
      </c>
      <c r="Q157" s="209"/>
      <c r="R157" s="209"/>
      <c r="S157" s="187"/>
      <c r="AV157" s="233" t="str">
        <f>IFERROR(TP_DATA[[#This Row],[Top '[m']]]-TP_DATA[[#This Row],[Bottom '[m']]], "")</f>
        <v/>
      </c>
      <c r="AW157" s="208"/>
      <c r="AX157" s="209"/>
      <c r="AY157" s="240"/>
      <c r="BB157" s="99"/>
      <c r="BC157" s="99"/>
      <c r="BD157" s="187"/>
      <c r="CB157" s="92"/>
      <c r="CC157" s="93"/>
      <c r="CD157" s="93"/>
      <c r="CE157" s="93"/>
      <c r="CF157" s="93"/>
      <c r="CG157" s="94"/>
      <c r="CH157" s="233" t="str">
        <f>IFERROR(TOWER_DATA[[#This Row],[Top '[m']]]-TOWER_DATA[[#This Row],[Bottom '[m']]], "")</f>
        <v/>
      </c>
      <c r="CI157" s="217" t="str">
        <f>IFERROR(-(TOWER_DATA[[#This Row],[D, bottom '[m']]]-TOWER_DATA[[#This Row],[D, top '[m']]])/(TOWER_DATA[[#This Row],[Bottom '[m']]]-TOWER_DATA[[#This Row],[Top '[m']]]),"")</f>
        <v/>
      </c>
      <c r="CJ157" s="145" t="str">
        <f t="shared" si="4"/>
        <v/>
      </c>
      <c r="CK157" s="234" t="str">
        <f>IFERROR((TOWER_DATA[[#This Row],[D, bottom '[m']]]+TOWER_DATA[[#This Row],[D, top '[m']]])/(2*TOWER_DATA[[#This Row],[t '[mm']]]/1000),"")</f>
        <v/>
      </c>
      <c r="CM157" s="51"/>
      <c r="CN157" s="51"/>
      <c r="CO157" s="51"/>
      <c r="CP157" s="51"/>
      <c r="CQ157" s="51"/>
      <c r="CR157" s="51"/>
      <c r="CS157" s="51"/>
      <c r="CT157" s="51"/>
      <c r="CU157" s="90"/>
      <c r="DO157" s="209"/>
      <c r="DP157" s="209"/>
      <c r="DQ157" s="187"/>
      <c r="DT157" s="99"/>
      <c r="DU157" s="99"/>
    </row>
    <row r="158" spans="1:125" ht="18" customHeight="1">
      <c r="A158" s="271"/>
      <c r="D158" s="280"/>
      <c r="E158" s="52"/>
      <c r="K158" s="233" t="str">
        <f>IFERROR(MP_DATA[[#This Row],[Top '[m']]]-MP_DATA[[#This Row],[Bottom '[m']]], "")</f>
        <v/>
      </c>
      <c r="L158" s="217" t="str">
        <f>IFERROR(-(MP_DATA[[#This Row],[D, bottom '[m']]]-MP_DATA[[#This Row],[D, top '[m']]])/(MP_DATA[[#This Row],[Bottom '[m']]]-MP_DATA[[#This Row],[Top '[m']]]),"")</f>
        <v/>
      </c>
      <c r="M158" s="145" t="str">
        <f t="shared" si="5"/>
        <v/>
      </c>
      <c r="N158" s="234" t="str">
        <f>IFERROR((MP_DATA[[#This Row],[D, bottom '[m']]]+MP_DATA[[#This Row],[D, top '[m']]])/(2*MP_DATA[[#This Row],[t '[mm']]]/1000),"")</f>
        <v/>
      </c>
      <c r="Q158" s="209"/>
      <c r="R158" s="209"/>
      <c r="S158" s="187"/>
      <c r="AV158" s="233" t="str">
        <f>IFERROR(TP_DATA[[#This Row],[Top '[m']]]-TP_DATA[[#This Row],[Bottom '[m']]], "")</f>
        <v/>
      </c>
      <c r="AW158" s="208"/>
      <c r="AX158" s="209"/>
      <c r="AY158" s="240"/>
      <c r="BB158" s="99"/>
      <c r="BC158" s="99"/>
      <c r="BD158" s="187"/>
      <c r="CB158" s="92"/>
      <c r="CC158" s="93"/>
      <c r="CD158" s="93"/>
      <c r="CE158" s="93"/>
      <c r="CF158" s="93"/>
      <c r="CG158" s="94"/>
      <c r="CH158" s="233" t="str">
        <f>IFERROR(TOWER_DATA[[#This Row],[Top '[m']]]-TOWER_DATA[[#This Row],[Bottom '[m']]], "")</f>
        <v/>
      </c>
      <c r="CI158" s="217" t="str">
        <f>IFERROR(-(TOWER_DATA[[#This Row],[D, bottom '[m']]]-TOWER_DATA[[#This Row],[D, top '[m']]])/(TOWER_DATA[[#This Row],[Bottom '[m']]]-TOWER_DATA[[#This Row],[Top '[m']]]),"")</f>
        <v/>
      </c>
      <c r="CJ158" s="145" t="str">
        <f t="shared" si="4"/>
        <v/>
      </c>
      <c r="CK158" s="234" t="str">
        <f>IFERROR((TOWER_DATA[[#This Row],[D, bottom '[m']]]+TOWER_DATA[[#This Row],[D, top '[m']]])/(2*TOWER_DATA[[#This Row],[t '[mm']]]/1000),"")</f>
        <v/>
      </c>
      <c r="CM158" s="51"/>
      <c r="CN158" s="51"/>
      <c r="CO158" s="51"/>
      <c r="CP158" s="51"/>
      <c r="CQ158" s="51"/>
      <c r="CR158" s="51"/>
      <c r="CS158" s="51"/>
      <c r="CT158" s="51"/>
      <c r="CU158" s="90"/>
      <c r="DO158" s="209"/>
      <c r="DP158" s="209"/>
      <c r="DQ158" s="187"/>
      <c r="DT158" s="99"/>
      <c r="DU158" s="99"/>
    </row>
    <row r="159" spans="1:125" ht="18" customHeight="1">
      <c r="A159" s="271"/>
      <c r="D159" s="280"/>
      <c r="E159" s="52"/>
      <c r="K159" s="233" t="str">
        <f>IFERROR(MP_DATA[[#This Row],[Top '[m']]]-MP_DATA[[#This Row],[Bottom '[m']]], "")</f>
        <v/>
      </c>
      <c r="L159" s="217" t="str">
        <f>IFERROR(-(MP_DATA[[#This Row],[D, bottom '[m']]]-MP_DATA[[#This Row],[D, top '[m']]])/(MP_DATA[[#This Row],[Bottom '[m']]]-MP_DATA[[#This Row],[Top '[m']]]),"")</f>
        <v/>
      </c>
      <c r="M159" s="145" t="str">
        <f t="shared" si="5"/>
        <v/>
      </c>
      <c r="N159" s="234" t="str">
        <f>IFERROR((MP_DATA[[#This Row],[D, bottom '[m']]]+MP_DATA[[#This Row],[D, top '[m']]])/(2*MP_DATA[[#This Row],[t '[mm']]]/1000),"")</f>
        <v/>
      </c>
      <c r="Q159" s="209"/>
      <c r="R159" s="209"/>
      <c r="S159" s="187"/>
      <c r="AV159" s="233" t="str">
        <f>IFERROR(TP_DATA[[#This Row],[Top '[m']]]-TP_DATA[[#This Row],[Bottom '[m']]], "")</f>
        <v/>
      </c>
      <c r="AW159" s="208"/>
      <c r="AX159" s="209"/>
      <c r="AY159" s="240"/>
      <c r="BB159" s="99"/>
      <c r="BC159" s="99"/>
      <c r="BD159" s="187"/>
      <c r="CB159" s="92"/>
      <c r="CC159" s="93"/>
      <c r="CD159" s="93"/>
      <c r="CE159" s="93"/>
      <c r="CF159" s="93"/>
      <c r="CG159" s="94"/>
      <c r="CH159" s="233" t="str">
        <f>IFERROR(TOWER_DATA[[#This Row],[Top '[m']]]-TOWER_DATA[[#This Row],[Bottom '[m']]], "")</f>
        <v/>
      </c>
      <c r="CI159" s="217" t="str">
        <f>IFERROR(-(TOWER_DATA[[#This Row],[D, bottom '[m']]]-TOWER_DATA[[#This Row],[D, top '[m']]])/(TOWER_DATA[[#This Row],[Bottom '[m']]]-TOWER_DATA[[#This Row],[Top '[m']]]),"")</f>
        <v/>
      </c>
      <c r="CJ159" s="145" t="str">
        <f t="shared" si="4"/>
        <v/>
      </c>
      <c r="CK159" s="234" t="str">
        <f>IFERROR((TOWER_DATA[[#This Row],[D, bottom '[m']]]+TOWER_DATA[[#This Row],[D, top '[m']]])/(2*TOWER_DATA[[#This Row],[t '[mm']]]/1000),"")</f>
        <v/>
      </c>
      <c r="CM159" s="51"/>
      <c r="CN159" s="51"/>
      <c r="CO159" s="51"/>
      <c r="CP159" s="51"/>
      <c r="CQ159" s="51"/>
      <c r="CR159" s="51"/>
      <c r="CS159" s="51"/>
      <c r="CT159" s="51"/>
      <c r="CU159" s="90"/>
      <c r="DO159" s="209"/>
      <c r="DP159" s="209"/>
      <c r="DQ159" s="187"/>
      <c r="DT159" s="99"/>
      <c r="DU159" s="99"/>
    </row>
    <row r="160" spans="1:125" ht="18" customHeight="1">
      <c r="A160" s="271"/>
      <c r="D160" s="280"/>
      <c r="E160" s="52"/>
      <c r="K160" s="233" t="str">
        <f>IFERROR(MP_DATA[[#This Row],[Top '[m']]]-MP_DATA[[#This Row],[Bottom '[m']]], "")</f>
        <v/>
      </c>
      <c r="L160" s="217" t="str">
        <f>IFERROR(-(MP_DATA[[#This Row],[D, bottom '[m']]]-MP_DATA[[#This Row],[D, top '[m']]])/(MP_DATA[[#This Row],[Bottom '[m']]]-MP_DATA[[#This Row],[Top '[m']]]),"")</f>
        <v/>
      </c>
      <c r="M160" s="145" t="str">
        <f t="shared" si="5"/>
        <v/>
      </c>
      <c r="N160" s="234" t="str">
        <f>IFERROR((MP_DATA[[#This Row],[D, bottom '[m']]]+MP_DATA[[#This Row],[D, top '[m']]])/(2*MP_DATA[[#This Row],[t '[mm']]]/1000),"")</f>
        <v/>
      </c>
      <c r="Q160" s="209"/>
      <c r="R160" s="209"/>
      <c r="S160" s="187"/>
      <c r="AV160" s="233" t="str">
        <f>IFERROR(TP_DATA[[#This Row],[Top '[m']]]-TP_DATA[[#This Row],[Bottom '[m']]], "")</f>
        <v/>
      </c>
      <c r="AW160" s="208"/>
      <c r="AX160" s="209"/>
      <c r="AY160" s="240"/>
      <c r="BB160" s="99"/>
      <c r="BC160" s="99"/>
      <c r="BD160" s="187"/>
      <c r="CB160" s="92"/>
      <c r="CC160" s="93"/>
      <c r="CD160" s="93"/>
      <c r="CE160" s="93"/>
      <c r="CF160" s="93"/>
      <c r="CG160" s="94"/>
      <c r="CH160" s="233" t="str">
        <f>IFERROR(TOWER_DATA[[#This Row],[Top '[m']]]-TOWER_DATA[[#This Row],[Bottom '[m']]], "")</f>
        <v/>
      </c>
      <c r="CI160" s="217" t="str">
        <f>IFERROR(-(TOWER_DATA[[#This Row],[D, bottom '[m']]]-TOWER_DATA[[#This Row],[D, top '[m']]])/(TOWER_DATA[[#This Row],[Bottom '[m']]]-TOWER_DATA[[#This Row],[Top '[m']]]),"")</f>
        <v/>
      </c>
      <c r="CJ160" s="145" t="str">
        <f t="shared" si="4"/>
        <v/>
      </c>
      <c r="CK160" s="234" t="str">
        <f>IFERROR((TOWER_DATA[[#This Row],[D, bottom '[m']]]+TOWER_DATA[[#This Row],[D, top '[m']]])/(2*TOWER_DATA[[#This Row],[t '[mm']]]/1000),"")</f>
        <v/>
      </c>
      <c r="CM160" s="51"/>
      <c r="CN160" s="51"/>
      <c r="CO160" s="51"/>
      <c r="CP160" s="51"/>
      <c r="CQ160" s="51"/>
      <c r="CR160" s="51"/>
      <c r="CS160" s="51"/>
      <c r="CT160" s="51"/>
      <c r="CU160" s="90"/>
      <c r="DO160" s="209"/>
      <c r="DP160" s="209"/>
      <c r="DQ160" s="187"/>
      <c r="DT160" s="99"/>
      <c r="DU160" s="99"/>
    </row>
    <row r="161" spans="1:125" ht="18" customHeight="1">
      <c r="A161" s="271"/>
      <c r="D161" s="280"/>
      <c r="E161" s="52"/>
      <c r="K161" s="233" t="str">
        <f>IFERROR(MP_DATA[[#This Row],[Top '[m']]]-MP_DATA[[#This Row],[Bottom '[m']]], "")</f>
        <v/>
      </c>
      <c r="L161" s="217" t="str">
        <f>IFERROR(-(MP_DATA[[#This Row],[D, bottom '[m']]]-MP_DATA[[#This Row],[D, top '[m']]])/(MP_DATA[[#This Row],[Bottom '[m']]]-MP_DATA[[#This Row],[Top '[m']]]),"")</f>
        <v/>
      </c>
      <c r="M161" s="145" t="str">
        <f t="shared" si="5"/>
        <v/>
      </c>
      <c r="N161" s="234" t="str">
        <f>IFERROR((MP_DATA[[#This Row],[D, bottom '[m']]]+MP_DATA[[#This Row],[D, top '[m']]])/(2*MP_DATA[[#This Row],[t '[mm']]]/1000),"")</f>
        <v/>
      </c>
      <c r="Q161" s="209"/>
      <c r="R161" s="209"/>
      <c r="S161" s="187"/>
      <c r="AV161" s="233" t="str">
        <f>IFERROR(TP_DATA[[#This Row],[Top '[m']]]-TP_DATA[[#This Row],[Bottom '[m']]], "")</f>
        <v/>
      </c>
      <c r="AW161" s="208"/>
      <c r="AX161" s="209"/>
      <c r="AY161" s="240"/>
      <c r="BB161" s="99"/>
      <c r="BC161" s="99"/>
      <c r="BD161" s="187"/>
      <c r="CB161" s="92"/>
      <c r="CC161" s="93"/>
      <c r="CD161" s="93"/>
      <c r="CE161" s="93"/>
      <c r="CF161" s="93"/>
      <c r="CG161" s="94"/>
      <c r="CH161" s="233" t="str">
        <f>IFERROR(TOWER_DATA[[#This Row],[Top '[m']]]-TOWER_DATA[[#This Row],[Bottom '[m']]], "")</f>
        <v/>
      </c>
      <c r="CI161" s="217" t="str">
        <f>IFERROR(-(TOWER_DATA[[#This Row],[D, bottom '[m']]]-TOWER_DATA[[#This Row],[D, top '[m']]])/(TOWER_DATA[[#This Row],[Bottom '[m']]]-TOWER_DATA[[#This Row],[Top '[m']]]),"")</f>
        <v/>
      </c>
      <c r="CJ161" s="145" t="str">
        <f t="shared" si="4"/>
        <v/>
      </c>
      <c r="CK161" s="234" t="str">
        <f>IFERROR((TOWER_DATA[[#This Row],[D, bottom '[m']]]+TOWER_DATA[[#This Row],[D, top '[m']]])/(2*TOWER_DATA[[#This Row],[t '[mm']]]/1000),"")</f>
        <v/>
      </c>
      <c r="CM161" s="51"/>
      <c r="CN161" s="51"/>
      <c r="CO161" s="51"/>
      <c r="CP161" s="51"/>
      <c r="CQ161" s="51"/>
      <c r="CR161" s="51"/>
      <c r="CS161" s="51"/>
      <c r="CT161" s="51"/>
      <c r="CU161" s="90"/>
      <c r="DO161" s="209"/>
      <c r="DP161" s="209"/>
      <c r="DQ161" s="187"/>
      <c r="DT161" s="99"/>
      <c r="DU161" s="99"/>
    </row>
    <row r="162" spans="1:125" ht="18" customHeight="1">
      <c r="A162" s="271"/>
      <c r="D162" s="280"/>
      <c r="E162" s="52"/>
      <c r="K162" s="233" t="str">
        <f>IFERROR(MP_DATA[[#This Row],[Top '[m']]]-MP_DATA[[#This Row],[Bottom '[m']]], "")</f>
        <v/>
      </c>
      <c r="L162" s="217" t="str">
        <f>IFERROR(-(MP_DATA[[#This Row],[D, bottom '[m']]]-MP_DATA[[#This Row],[D, top '[m']]])/(MP_DATA[[#This Row],[Bottom '[m']]]-MP_DATA[[#This Row],[Top '[m']]]),"")</f>
        <v/>
      </c>
      <c r="M162" s="145" t="str">
        <f t="shared" si="5"/>
        <v/>
      </c>
      <c r="N162" s="234" t="str">
        <f>IFERROR((MP_DATA[[#This Row],[D, bottom '[m']]]+MP_DATA[[#This Row],[D, top '[m']]])/(2*MP_DATA[[#This Row],[t '[mm']]]/1000),"")</f>
        <v/>
      </c>
      <c r="Q162" s="209"/>
      <c r="R162" s="209"/>
      <c r="S162" s="187"/>
      <c r="AV162" s="233" t="str">
        <f>IFERROR(TP_DATA[[#This Row],[Top '[m']]]-TP_DATA[[#This Row],[Bottom '[m']]], "")</f>
        <v/>
      </c>
      <c r="AW162" s="208"/>
      <c r="AX162" s="209"/>
      <c r="AY162" s="240"/>
      <c r="BB162" s="99"/>
      <c r="BC162" s="99"/>
      <c r="BD162" s="187"/>
      <c r="CB162" s="92"/>
      <c r="CC162" s="93"/>
      <c r="CD162" s="93"/>
      <c r="CE162" s="93"/>
      <c r="CF162" s="93"/>
      <c r="CG162" s="94"/>
      <c r="CH162" s="233" t="str">
        <f>IFERROR(TOWER_DATA[[#This Row],[Top '[m']]]-TOWER_DATA[[#This Row],[Bottom '[m']]], "")</f>
        <v/>
      </c>
      <c r="CI162" s="217" t="str">
        <f>IFERROR(-(TOWER_DATA[[#This Row],[D, bottom '[m']]]-TOWER_DATA[[#This Row],[D, top '[m']]])/(TOWER_DATA[[#This Row],[Bottom '[m']]]-TOWER_DATA[[#This Row],[Top '[m']]]),"")</f>
        <v/>
      </c>
      <c r="CJ162" s="145" t="str">
        <f t="shared" si="4"/>
        <v/>
      </c>
      <c r="CK162" s="234" t="str">
        <f>IFERROR((TOWER_DATA[[#This Row],[D, bottom '[m']]]+TOWER_DATA[[#This Row],[D, top '[m']]])/(2*TOWER_DATA[[#This Row],[t '[mm']]]/1000),"")</f>
        <v/>
      </c>
      <c r="CM162" s="51"/>
      <c r="CN162" s="51"/>
      <c r="CO162" s="51"/>
      <c r="CP162" s="51"/>
      <c r="CQ162" s="51"/>
      <c r="CR162" s="51"/>
      <c r="CS162" s="51"/>
      <c r="CT162" s="51"/>
      <c r="CU162" s="90"/>
      <c r="DO162" s="209"/>
      <c r="DP162" s="209"/>
      <c r="DQ162" s="187"/>
      <c r="DT162" s="99"/>
      <c r="DU162" s="99"/>
    </row>
    <row r="163" spans="1:125" ht="18" customHeight="1">
      <c r="A163" s="271"/>
      <c r="D163" s="280"/>
      <c r="E163" s="52"/>
      <c r="K163" s="233" t="str">
        <f>IFERROR(MP_DATA[[#This Row],[Top '[m']]]-MP_DATA[[#This Row],[Bottom '[m']]], "")</f>
        <v/>
      </c>
      <c r="L163" s="217" t="str">
        <f>IFERROR(-(MP_DATA[[#This Row],[D, bottom '[m']]]-MP_DATA[[#This Row],[D, top '[m']]])/(MP_DATA[[#This Row],[Bottom '[m']]]-MP_DATA[[#This Row],[Top '[m']]]),"")</f>
        <v/>
      </c>
      <c r="M163" s="145" t="str">
        <f t="shared" si="5"/>
        <v/>
      </c>
      <c r="N163" s="234" t="str">
        <f>IFERROR((MP_DATA[[#This Row],[D, bottom '[m']]]+MP_DATA[[#This Row],[D, top '[m']]])/(2*MP_DATA[[#This Row],[t '[mm']]]/1000),"")</f>
        <v/>
      </c>
      <c r="Q163" s="209"/>
      <c r="R163" s="209"/>
      <c r="S163" s="187"/>
      <c r="AV163" s="233" t="str">
        <f>IFERROR(TP_DATA[[#This Row],[Top '[m']]]-TP_DATA[[#This Row],[Bottom '[m']]], "")</f>
        <v/>
      </c>
      <c r="AW163" s="208"/>
      <c r="AX163" s="209"/>
      <c r="AY163" s="240"/>
      <c r="BB163" s="99"/>
      <c r="BC163" s="99"/>
      <c r="BD163" s="187"/>
      <c r="CB163" s="92"/>
      <c r="CC163" s="93"/>
      <c r="CD163" s="93"/>
      <c r="CE163" s="93"/>
      <c r="CF163" s="93"/>
      <c r="CG163" s="94"/>
      <c r="CH163" s="233" t="str">
        <f>IFERROR(TOWER_DATA[[#This Row],[Top '[m']]]-TOWER_DATA[[#This Row],[Bottom '[m']]], "")</f>
        <v/>
      </c>
      <c r="CI163" s="217" t="str">
        <f>IFERROR(-(TOWER_DATA[[#This Row],[D, bottom '[m']]]-TOWER_DATA[[#This Row],[D, top '[m']]])/(TOWER_DATA[[#This Row],[Bottom '[m']]]-TOWER_DATA[[#This Row],[Top '[m']]]),"")</f>
        <v/>
      </c>
      <c r="CJ163" s="145" t="str">
        <f t="shared" si="4"/>
        <v/>
      </c>
      <c r="CK163" s="234" t="str">
        <f>IFERROR((TOWER_DATA[[#This Row],[D, bottom '[m']]]+TOWER_DATA[[#This Row],[D, top '[m']]])/(2*TOWER_DATA[[#This Row],[t '[mm']]]/1000),"")</f>
        <v/>
      </c>
      <c r="CM163" s="51"/>
      <c r="CN163" s="51"/>
      <c r="CO163" s="51"/>
      <c r="CP163" s="51"/>
      <c r="CQ163" s="51"/>
      <c r="CR163" s="51"/>
      <c r="CS163" s="51"/>
      <c r="CT163" s="51"/>
      <c r="CU163" s="90"/>
      <c r="DO163" s="209"/>
      <c r="DP163" s="209"/>
      <c r="DQ163" s="187"/>
      <c r="DT163" s="99"/>
      <c r="DU163" s="99"/>
    </row>
    <row r="164" spans="1:125" ht="18" customHeight="1">
      <c r="A164" s="271"/>
      <c r="D164" s="280"/>
      <c r="E164" s="52"/>
      <c r="K164" s="233" t="str">
        <f>IFERROR(MP_DATA[[#This Row],[Top '[m']]]-MP_DATA[[#This Row],[Bottom '[m']]], "")</f>
        <v/>
      </c>
      <c r="L164" s="217" t="str">
        <f>IFERROR(-(MP_DATA[[#This Row],[D, bottom '[m']]]-MP_DATA[[#This Row],[D, top '[m']]])/(MP_DATA[[#This Row],[Bottom '[m']]]-MP_DATA[[#This Row],[Top '[m']]]),"")</f>
        <v/>
      </c>
      <c r="M164" s="145" t="str">
        <f t="shared" si="5"/>
        <v/>
      </c>
      <c r="N164" s="234" t="str">
        <f>IFERROR((MP_DATA[[#This Row],[D, bottom '[m']]]+MP_DATA[[#This Row],[D, top '[m']]])/(2*MP_DATA[[#This Row],[t '[mm']]]/1000),"")</f>
        <v/>
      </c>
      <c r="Q164" s="209"/>
      <c r="R164" s="209"/>
      <c r="S164" s="187"/>
      <c r="AV164" s="233" t="str">
        <f>IFERROR(TP_DATA[[#This Row],[Top '[m']]]-TP_DATA[[#This Row],[Bottom '[m']]], "")</f>
        <v/>
      </c>
      <c r="AW164" s="208"/>
      <c r="AX164" s="209"/>
      <c r="AY164" s="240"/>
      <c r="BB164" s="99"/>
      <c r="BC164" s="99"/>
      <c r="BD164" s="187"/>
      <c r="CB164" s="92"/>
      <c r="CC164" s="93"/>
      <c r="CD164" s="93"/>
      <c r="CE164" s="93"/>
      <c r="CF164" s="93"/>
      <c r="CG164" s="94"/>
      <c r="CH164" s="233" t="str">
        <f>IFERROR(TOWER_DATA[[#This Row],[Top '[m']]]-TOWER_DATA[[#This Row],[Bottom '[m']]], "")</f>
        <v/>
      </c>
      <c r="CI164" s="217" t="str">
        <f>IFERROR(-(TOWER_DATA[[#This Row],[D, bottom '[m']]]-TOWER_DATA[[#This Row],[D, top '[m']]])/(TOWER_DATA[[#This Row],[Bottom '[m']]]-TOWER_DATA[[#This Row],[Top '[m']]]),"")</f>
        <v/>
      </c>
      <c r="CJ164" s="145" t="str">
        <f t="shared" si="4"/>
        <v/>
      </c>
      <c r="CK164" s="234" t="str">
        <f>IFERROR((TOWER_DATA[[#This Row],[D, bottom '[m']]]+TOWER_DATA[[#This Row],[D, top '[m']]])/(2*TOWER_DATA[[#This Row],[t '[mm']]]/1000),"")</f>
        <v/>
      </c>
      <c r="CM164" s="51"/>
      <c r="CN164" s="51"/>
      <c r="CO164" s="51"/>
      <c r="CP164" s="51"/>
      <c r="CQ164" s="51"/>
      <c r="CR164" s="51"/>
      <c r="CS164" s="51"/>
      <c r="CT164" s="51"/>
      <c r="CU164" s="90"/>
      <c r="DO164" s="209"/>
      <c r="DP164" s="209"/>
      <c r="DQ164" s="187"/>
      <c r="DT164" s="99"/>
      <c r="DU164" s="99"/>
    </row>
    <row r="165" spans="1:125" ht="18" customHeight="1">
      <c r="A165" s="271"/>
      <c r="D165" s="280"/>
      <c r="E165" s="52"/>
      <c r="K165" s="233" t="str">
        <f>IFERROR(MP_DATA[[#This Row],[Top '[m']]]-MP_DATA[[#This Row],[Bottom '[m']]], "")</f>
        <v/>
      </c>
      <c r="L165" s="217" t="str">
        <f>IFERROR(-(MP_DATA[[#This Row],[D, bottom '[m']]]-MP_DATA[[#This Row],[D, top '[m']]])/(MP_DATA[[#This Row],[Bottom '[m']]]-MP_DATA[[#This Row],[Top '[m']]]),"")</f>
        <v/>
      </c>
      <c r="M165" s="145" t="str">
        <f t="shared" si="5"/>
        <v/>
      </c>
      <c r="N165" s="234" t="str">
        <f>IFERROR((MP_DATA[[#This Row],[D, bottom '[m']]]+MP_DATA[[#This Row],[D, top '[m']]])/(2*MP_DATA[[#This Row],[t '[mm']]]/1000),"")</f>
        <v/>
      </c>
      <c r="Q165" s="209"/>
      <c r="R165" s="209"/>
      <c r="S165" s="187"/>
      <c r="AV165" s="233" t="str">
        <f>IFERROR(TP_DATA[[#This Row],[Top '[m']]]-TP_DATA[[#This Row],[Bottom '[m']]], "")</f>
        <v/>
      </c>
      <c r="AW165" s="208"/>
      <c r="AX165" s="209"/>
      <c r="AY165" s="240"/>
      <c r="BB165" s="99"/>
      <c r="BC165" s="99"/>
      <c r="BD165" s="187"/>
      <c r="CB165" s="92"/>
      <c r="CC165" s="93"/>
      <c r="CD165" s="93"/>
      <c r="CE165" s="93"/>
      <c r="CF165" s="93"/>
      <c r="CG165" s="94"/>
      <c r="CH165" s="233" t="str">
        <f>IFERROR(TOWER_DATA[[#This Row],[Top '[m']]]-TOWER_DATA[[#This Row],[Bottom '[m']]], "")</f>
        <v/>
      </c>
      <c r="CI165" s="217" t="str">
        <f>IFERROR(-(TOWER_DATA[[#This Row],[D, bottom '[m']]]-TOWER_DATA[[#This Row],[D, top '[m']]])/(TOWER_DATA[[#This Row],[Bottom '[m']]]-TOWER_DATA[[#This Row],[Top '[m']]]),"")</f>
        <v/>
      </c>
      <c r="CJ165" s="145" t="str">
        <f t="shared" si="4"/>
        <v/>
      </c>
      <c r="CK165" s="234" t="str">
        <f>IFERROR((TOWER_DATA[[#This Row],[D, bottom '[m']]]+TOWER_DATA[[#This Row],[D, top '[m']]])/(2*TOWER_DATA[[#This Row],[t '[mm']]]/1000),"")</f>
        <v/>
      </c>
      <c r="CM165" s="51"/>
      <c r="CN165" s="51"/>
      <c r="CO165" s="51"/>
      <c r="CP165" s="51"/>
      <c r="CQ165" s="51"/>
      <c r="CR165" s="51"/>
      <c r="CS165" s="51"/>
      <c r="CT165" s="51"/>
      <c r="CU165" s="90"/>
      <c r="DO165" s="209"/>
      <c r="DP165" s="209"/>
      <c r="DQ165" s="187"/>
      <c r="DT165" s="99"/>
      <c r="DU165" s="99"/>
    </row>
    <row r="166" spans="1:125" ht="18" customHeight="1">
      <c r="A166" s="271"/>
      <c r="D166" s="280"/>
      <c r="E166" s="52"/>
      <c r="K166" s="233" t="str">
        <f>IFERROR(MP_DATA[[#This Row],[Top '[m']]]-MP_DATA[[#This Row],[Bottom '[m']]], "")</f>
        <v/>
      </c>
      <c r="L166" s="217" t="str">
        <f>IFERROR(-(MP_DATA[[#This Row],[D, bottom '[m']]]-MP_DATA[[#This Row],[D, top '[m']]])/(MP_DATA[[#This Row],[Bottom '[m']]]-MP_DATA[[#This Row],[Top '[m']]]),"")</f>
        <v/>
      </c>
      <c r="M166" s="145" t="str">
        <f t="shared" si="5"/>
        <v/>
      </c>
      <c r="N166" s="234" t="str">
        <f>IFERROR((MP_DATA[[#This Row],[D, bottom '[m']]]+MP_DATA[[#This Row],[D, top '[m']]])/(2*MP_DATA[[#This Row],[t '[mm']]]/1000),"")</f>
        <v/>
      </c>
      <c r="Q166" s="209"/>
      <c r="R166" s="209"/>
      <c r="S166" s="187"/>
      <c r="AV166" s="233" t="str">
        <f>IFERROR(TP_DATA[[#This Row],[Top '[m']]]-TP_DATA[[#This Row],[Bottom '[m']]], "")</f>
        <v/>
      </c>
      <c r="AW166" s="208"/>
      <c r="AX166" s="209"/>
      <c r="AY166" s="240"/>
      <c r="BB166" s="99"/>
      <c r="BC166" s="99"/>
      <c r="BD166" s="187"/>
      <c r="CB166" s="92"/>
      <c r="CC166" s="93"/>
      <c r="CD166" s="93"/>
      <c r="CE166" s="93"/>
      <c r="CF166" s="93"/>
      <c r="CG166" s="94"/>
      <c r="CH166" s="233" t="str">
        <f>IFERROR(TOWER_DATA[[#This Row],[Top '[m']]]-TOWER_DATA[[#This Row],[Bottom '[m']]], "")</f>
        <v/>
      </c>
      <c r="CI166" s="217" t="str">
        <f>IFERROR(-(TOWER_DATA[[#This Row],[D, bottom '[m']]]-TOWER_DATA[[#This Row],[D, top '[m']]])/(TOWER_DATA[[#This Row],[Bottom '[m']]]-TOWER_DATA[[#This Row],[Top '[m']]]),"")</f>
        <v/>
      </c>
      <c r="CJ166" s="145" t="str">
        <f t="shared" si="4"/>
        <v/>
      </c>
      <c r="CK166" s="234" t="str">
        <f>IFERROR((TOWER_DATA[[#This Row],[D, bottom '[m']]]+TOWER_DATA[[#This Row],[D, top '[m']]])/(2*TOWER_DATA[[#This Row],[t '[mm']]]/1000),"")</f>
        <v/>
      </c>
      <c r="CM166" s="51"/>
      <c r="CN166" s="51"/>
      <c r="CO166" s="51"/>
      <c r="CP166" s="51"/>
      <c r="CQ166" s="51"/>
      <c r="CR166" s="51"/>
      <c r="CS166" s="51"/>
      <c r="CT166" s="51"/>
      <c r="CU166" s="90"/>
      <c r="DO166" s="209"/>
      <c r="DP166" s="209"/>
      <c r="DQ166" s="187"/>
      <c r="DT166" s="99"/>
      <c r="DU166" s="99"/>
    </row>
    <row r="167" spans="1:125" ht="18" customHeight="1">
      <c r="A167" s="271"/>
      <c r="D167" s="280"/>
      <c r="E167" s="52"/>
      <c r="K167" s="233" t="str">
        <f>IFERROR(MP_DATA[[#This Row],[Top '[m']]]-MP_DATA[[#This Row],[Bottom '[m']]], "")</f>
        <v/>
      </c>
      <c r="L167" s="217" t="str">
        <f>IFERROR(-(MP_DATA[[#This Row],[D, bottom '[m']]]-MP_DATA[[#This Row],[D, top '[m']]])/(MP_DATA[[#This Row],[Bottom '[m']]]-MP_DATA[[#This Row],[Top '[m']]]),"")</f>
        <v/>
      </c>
      <c r="M167" s="145" t="str">
        <f t="shared" si="5"/>
        <v/>
      </c>
      <c r="N167" s="234" t="str">
        <f>IFERROR((MP_DATA[[#This Row],[D, bottom '[m']]]+MP_DATA[[#This Row],[D, top '[m']]])/(2*MP_DATA[[#This Row],[t '[mm']]]/1000),"")</f>
        <v/>
      </c>
      <c r="Q167" s="209"/>
      <c r="R167" s="209"/>
      <c r="S167" s="187"/>
      <c r="AV167" s="233" t="str">
        <f>IFERROR(TP_DATA[[#This Row],[Top '[m']]]-TP_DATA[[#This Row],[Bottom '[m']]], "")</f>
        <v/>
      </c>
      <c r="AW167" s="208"/>
      <c r="AX167" s="209"/>
      <c r="AY167" s="240"/>
      <c r="BB167" s="99"/>
      <c r="BC167" s="99"/>
      <c r="BD167" s="187"/>
      <c r="CB167" s="92"/>
      <c r="CC167" s="93"/>
      <c r="CD167" s="93"/>
      <c r="CE167" s="93"/>
      <c r="CF167" s="93"/>
      <c r="CG167" s="94"/>
      <c r="CH167" s="233" t="str">
        <f>IFERROR(TOWER_DATA[[#This Row],[Top '[m']]]-TOWER_DATA[[#This Row],[Bottom '[m']]], "")</f>
        <v/>
      </c>
      <c r="CI167" s="217" t="str">
        <f>IFERROR(-(TOWER_DATA[[#This Row],[D, bottom '[m']]]-TOWER_DATA[[#This Row],[D, top '[m']]])/(TOWER_DATA[[#This Row],[Bottom '[m']]]-TOWER_DATA[[#This Row],[Top '[m']]]),"")</f>
        <v/>
      </c>
      <c r="CJ167" s="145" t="str">
        <f t="shared" si="4"/>
        <v/>
      </c>
      <c r="CK167" s="234" t="str">
        <f>IFERROR((TOWER_DATA[[#This Row],[D, bottom '[m']]]+TOWER_DATA[[#This Row],[D, top '[m']]])/(2*TOWER_DATA[[#This Row],[t '[mm']]]/1000),"")</f>
        <v/>
      </c>
      <c r="CM167" s="51"/>
      <c r="CN167" s="51"/>
      <c r="CO167" s="51"/>
      <c r="CP167" s="51"/>
      <c r="CQ167" s="51"/>
      <c r="CR167" s="51"/>
      <c r="CS167" s="51"/>
      <c r="CT167" s="51"/>
      <c r="CU167" s="90"/>
      <c r="DO167" s="209"/>
      <c r="DP167" s="209"/>
      <c r="DQ167" s="187"/>
      <c r="DT167" s="99"/>
      <c r="DU167" s="99"/>
    </row>
    <row r="168" spans="1:125" ht="18" customHeight="1">
      <c r="A168" s="271"/>
      <c r="D168" s="280"/>
      <c r="E168" s="52"/>
      <c r="K168" s="233" t="str">
        <f>IFERROR(MP_DATA[[#This Row],[Top '[m']]]-MP_DATA[[#This Row],[Bottom '[m']]], "")</f>
        <v/>
      </c>
      <c r="L168" s="217" t="str">
        <f>IFERROR(-(MP_DATA[[#This Row],[D, bottom '[m']]]-MP_DATA[[#This Row],[D, top '[m']]])/(MP_DATA[[#This Row],[Bottom '[m']]]-MP_DATA[[#This Row],[Top '[m']]]),"")</f>
        <v/>
      </c>
      <c r="M168" s="145" t="str">
        <f t="shared" si="5"/>
        <v/>
      </c>
      <c r="N168" s="234" t="str">
        <f>IFERROR((MP_DATA[[#This Row],[D, bottom '[m']]]+MP_DATA[[#This Row],[D, top '[m']]])/(2*MP_DATA[[#This Row],[t '[mm']]]/1000),"")</f>
        <v/>
      </c>
      <c r="Q168" s="209"/>
      <c r="R168" s="209"/>
      <c r="S168" s="187"/>
      <c r="AV168" s="233" t="str">
        <f>IFERROR(TP_DATA[[#This Row],[Top '[m']]]-TP_DATA[[#This Row],[Bottom '[m']]], "")</f>
        <v/>
      </c>
      <c r="AW168" s="208"/>
      <c r="AX168" s="209"/>
      <c r="AY168" s="240"/>
      <c r="BB168" s="99"/>
      <c r="BC168" s="99"/>
      <c r="BD168" s="187"/>
      <c r="CB168" s="92"/>
      <c r="CC168" s="93"/>
      <c r="CD168" s="93"/>
      <c r="CE168" s="93"/>
      <c r="CF168" s="93"/>
      <c r="CG168" s="94"/>
      <c r="CH168" s="233" t="str">
        <f>IFERROR(TOWER_DATA[[#This Row],[Top '[m']]]-TOWER_DATA[[#This Row],[Bottom '[m']]], "")</f>
        <v/>
      </c>
      <c r="CI168" s="217" t="str">
        <f>IFERROR(-(TOWER_DATA[[#This Row],[D, bottom '[m']]]-TOWER_DATA[[#This Row],[D, top '[m']]])/(TOWER_DATA[[#This Row],[Bottom '[m']]]-TOWER_DATA[[#This Row],[Top '[m']]]),"")</f>
        <v/>
      </c>
      <c r="CJ168" s="145" t="str">
        <f t="shared" si="4"/>
        <v/>
      </c>
      <c r="CK168" s="234" t="str">
        <f>IFERROR((TOWER_DATA[[#This Row],[D, bottom '[m']]]+TOWER_DATA[[#This Row],[D, top '[m']]])/(2*TOWER_DATA[[#This Row],[t '[mm']]]/1000),"")</f>
        <v/>
      </c>
      <c r="CM168" s="51"/>
      <c r="CN168" s="51"/>
      <c r="CO168" s="51"/>
      <c r="CP168" s="51"/>
      <c r="CQ168" s="51"/>
      <c r="CR168" s="51"/>
      <c r="CS168" s="51"/>
      <c r="CT168" s="51"/>
      <c r="CU168" s="90"/>
      <c r="DO168" s="209"/>
      <c r="DP168" s="209"/>
      <c r="DQ168" s="187"/>
      <c r="DT168" s="99"/>
      <c r="DU168" s="99"/>
    </row>
    <row r="169" spans="1:125" ht="18" customHeight="1">
      <c r="A169" s="271"/>
      <c r="D169" s="280"/>
      <c r="E169" s="52"/>
      <c r="K169" s="233" t="str">
        <f>IFERROR(MP_DATA[[#This Row],[Top '[m']]]-MP_DATA[[#This Row],[Bottom '[m']]], "")</f>
        <v/>
      </c>
      <c r="L169" s="217" t="str">
        <f>IFERROR(-(MP_DATA[[#This Row],[D, bottom '[m']]]-MP_DATA[[#This Row],[D, top '[m']]])/(MP_DATA[[#This Row],[Bottom '[m']]]-MP_DATA[[#This Row],[Top '[m']]]),"")</f>
        <v/>
      </c>
      <c r="M169" s="145" t="str">
        <f t="shared" si="5"/>
        <v/>
      </c>
      <c r="N169" s="234" t="str">
        <f>IFERROR((MP_DATA[[#This Row],[D, bottom '[m']]]+MP_DATA[[#This Row],[D, top '[m']]])/(2*MP_DATA[[#This Row],[t '[mm']]]/1000),"")</f>
        <v/>
      </c>
      <c r="Q169" s="209"/>
      <c r="R169" s="209"/>
      <c r="S169" s="187"/>
      <c r="AV169" s="233" t="str">
        <f>IFERROR(TP_DATA[[#This Row],[Top '[m']]]-TP_DATA[[#This Row],[Bottom '[m']]], "")</f>
        <v/>
      </c>
      <c r="AW169" s="208"/>
      <c r="AX169" s="209"/>
      <c r="AY169" s="240"/>
      <c r="BB169" s="99"/>
      <c r="BC169" s="99"/>
      <c r="BD169" s="187"/>
      <c r="CB169" s="92"/>
      <c r="CC169" s="93"/>
      <c r="CD169" s="93"/>
      <c r="CE169" s="93"/>
      <c r="CF169" s="93"/>
      <c r="CG169" s="94"/>
      <c r="CH169" s="233" t="str">
        <f>IFERROR(TOWER_DATA[[#This Row],[Top '[m']]]-TOWER_DATA[[#This Row],[Bottom '[m']]], "")</f>
        <v/>
      </c>
      <c r="CI169" s="217" t="str">
        <f>IFERROR(-(TOWER_DATA[[#This Row],[D, bottom '[m']]]-TOWER_DATA[[#This Row],[D, top '[m']]])/(TOWER_DATA[[#This Row],[Bottom '[m']]]-TOWER_DATA[[#This Row],[Top '[m']]]),"")</f>
        <v/>
      </c>
      <c r="CJ169" s="145" t="str">
        <f t="shared" si="4"/>
        <v/>
      </c>
      <c r="CK169" s="234" t="str">
        <f>IFERROR((TOWER_DATA[[#This Row],[D, bottom '[m']]]+TOWER_DATA[[#This Row],[D, top '[m']]])/(2*TOWER_DATA[[#This Row],[t '[mm']]]/1000),"")</f>
        <v/>
      </c>
      <c r="CM169" s="51"/>
      <c r="CN169" s="51"/>
      <c r="CO169" s="51"/>
      <c r="CP169" s="51"/>
      <c r="CQ169" s="51"/>
      <c r="CR169" s="51"/>
      <c r="CS169" s="51"/>
      <c r="CT169" s="51"/>
      <c r="CU169" s="90"/>
      <c r="DO169" s="209"/>
      <c r="DP169" s="209"/>
      <c r="DQ169" s="187"/>
      <c r="DT169" s="99"/>
      <c r="DU169" s="99"/>
    </row>
    <row r="170" spans="1:125" ht="18" customHeight="1">
      <c r="A170" s="271"/>
      <c r="D170" s="280"/>
      <c r="E170" s="52"/>
      <c r="K170" s="233" t="str">
        <f>IFERROR(MP_DATA[[#This Row],[Top '[m']]]-MP_DATA[[#This Row],[Bottom '[m']]], "")</f>
        <v/>
      </c>
      <c r="L170" s="217" t="str">
        <f>IFERROR(-(MP_DATA[[#This Row],[D, bottom '[m']]]-MP_DATA[[#This Row],[D, top '[m']]])/(MP_DATA[[#This Row],[Bottom '[m']]]-MP_DATA[[#This Row],[Top '[m']]]),"")</f>
        <v/>
      </c>
      <c r="M170" s="145" t="str">
        <f t="shared" si="5"/>
        <v/>
      </c>
      <c r="N170" s="234" t="str">
        <f>IFERROR((MP_DATA[[#This Row],[D, bottom '[m']]]+MP_DATA[[#This Row],[D, top '[m']]])/(2*MP_DATA[[#This Row],[t '[mm']]]/1000),"")</f>
        <v/>
      </c>
      <c r="Q170" s="209"/>
      <c r="R170" s="209"/>
      <c r="S170" s="187"/>
      <c r="AV170" s="233" t="str">
        <f>IFERROR(TP_DATA[[#This Row],[Top '[m']]]-TP_DATA[[#This Row],[Bottom '[m']]], "")</f>
        <v/>
      </c>
      <c r="AW170" s="208"/>
      <c r="AX170" s="209"/>
      <c r="AY170" s="240"/>
      <c r="BB170" s="99"/>
      <c r="BC170" s="99"/>
      <c r="BD170" s="187"/>
      <c r="CB170" s="92"/>
      <c r="CC170" s="93"/>
      <c r="CD170" s="93"/>
      <c r="CE170" s="93"/>
      <c r="CF170" s="93"/>
      <c r="CG170" s="94"/>
      <c r="CH170" s="233" t="str">
        <f>IFERROR(TOWER_DATA[[#This Row],[Top '[m']]]-TOWER_DATA[[#This Row],[Bottom '[m']]], "")</f>
        <v/>
      </c>
      <c r="CI170" s="217" t="str">
        <f>IFERROR(-(TOWER_DATA[[#This Row],[D, bottom '[m']]]-TOWER_DATA[[#This Row],[D, top '[m']]])/(TOWER_DATA[[#This Row],[Bottom '[m']]]-TOWER_DATA[[#This Row],[Top '[m']]]),"")</f>
        <v/>
      </c>
      <c r="CJ170" s="145" t="str">
        <f t="shared" si="4"/>
        <v/>
      </c>
      <c r="CK170" s="234" t="str">
        <f>IFERROR((TOWER_DATA[[#This Row],[D, bottom '[m']]]+TOWER_DATA[[#This Row],[D, top '[m']]])/(2*TOWER_DATA[[#This Row],[t '[mm']]]/1000),"")</f>
        <v/>
      </c>
      <c r="CM170" s="51"/>
      <c r="CN170" s="51"/>
      <c r="CO170" s="51"/>
      <c r="CP170" s="51"/>
      <c r="CQ170" s="51"/>
      <c r="CR170" s="51"/>
      <c r="CS170" s="51"/>
      <c r="CT170" s="51"/>
      <c r="CU170" s="90"/>
      <c r="DO170" s="209"/>
      <c r="DP170" s="209"/>
      <c r="DQ170" s="187"/>
      <c r="DT170" s="99"/>
      <c r="DU170" s="99"/>
    </row>
    <row r="171" spans="1:125" ht="18" customHeight="1">
      <c r="A171" s="271"/>
      <c r="D171" s="280"/>
      <c r="E171" s="52"/>
      <c r="K171" s="233" t="str">
        <f>IFERROR(MP_DATA[[#This Row],[Top '[m']]]-MP_DATA[[#This Row],[Bottom '[m']]], "")</f>
        <v/>
      </c>
      <c r="L171" s="217" t="str">
        <f>IFERROR(-(MP_DATA[[#This Row],[D, bottom '[m']]]-MP_DATA[[#This Row],[D, top '[m']]])/(MP_DATA[[#This Row],[Bottom '[m']]]-MP_DATA[[#This Row],[Top '[m']]]),"")</f>
        <v/>
      </c>
      <c r="M171" s="145" t="str">
        <f t="shared" si="5"/>
        <v/>
      </c>
      <c r="N171" s="234" t="str">
        <f>IFERROR((MP_DATA[[#This Row],[D, bottom '[m']]]+MP_DATA[[#This Row],[D, top '[m']]])/(2*MP_DATA[[#This Row],[t '[mm']]]/1000),"")</f>
        <v/>
      </c>
      <c r="Q171" s="209"/>
      <c r="R171" s="209"/>
      <c r="S171" s="187"/>
      <c r="AV171" s="233" t="str">
        <f>IFERROR(TP_DATA[[#This Row],[Top '[m']]]-TP_DATA[[#This Row],[Bottom '[m']]], "")</f>
        <v/>
      </c>
      <c r="AW171" s="208"/>
      <c r="AX171" s="209"/>
      <c r="AY171" s="240"/>
      <c r="BB171" s="99"/>
      <c r="BC171" s="99"/>
      <c r="BD171" s="187"/>
      <c r="CB171" s="92"/>
      <c r="CC171" s="93"/>
      <c r="CD171" s="93"/>
      <c r="CE171" s="93"/>
      <c r="CF171" s="93"/>
      <c r="CG171" s="94"/>
      <c r="CH171" s="233" t="str">
        <f>IFERROR(TOWER_DATA[[#This Row],[Top '[m']]]-TOWER_DATA[[#This Row],[Bottom '[m']]], "")</f>
        <v/>
      </c>
      <c r="CI171" s="217" t="str">
        <f>IFERROR(-(TOWER_DATA[[#This Row],[D, bottom '[m']]]-TOWER_DATA[[#This Row],[D, top '[m']]])/(TOWER_DATA[[#This Row],[Bottom '[m']]]-TOWER_DATA[[#This Row],[Top '[m']]]),"")</f>
        <v/>
      </c>
      <c r="CJ171" s="145" t="str">
        <f t="shared" si="4"/>
        <v/>
      </c>
      <c r="CK171" s="234" t="str">
        <f>IFERROR((TOWER_DATA[[#This Row],[D, bottom '[m']]]+TOWER_DATA[[#This Row],[D, top '[m']]])/(2*TOWER_DATA[[#This Row],[t '[mm']]]/1000),"")</f>
        <v/>
      </c>
      <c r="CM171" s="51"/>
      <c r="CN171" s="51"/>
      <c r="CO171" s="51"/>
      <c r="CP171" s="51"/>
      <c r="CQ171" s="51"/>
      <c r="CR171" s="51"/>
      <c r="CS171" s="51"/>
      <c r="CT171" s="51"/>
      <c r="CU171" s="90"/>
      <c r="DO171" s="209"/>
      <c r="DP171" s="209"/>
      <c r="DQ171" s="187"/>
      <c r="DT171" s="99"/>
      <c r="DU171" s="99"/>
    </row>
    <row r="172" spans="1:125" ht="18" customHeight="1">
      <c r="A172" s="271"/>
      <c r="D172" s="280"/>
      <c r="E172" s="52"/>
      <c r="K172" s="233" t="str">
        <f>IFERROR(MP_DATA[[#This Row],[Top '[m']]]-MP_DATA[[#This Row],[Bottom '[m']]], "")</f>
        <v/>
      </c>
      <c r="L172" s="217" t="str">
        <f>IFERROR(-(MP_DATA[[#This Row],[D, bottom '[m']]]-MP_DATA[[#This Row],[D, top '[m']]])/(MP_DATA[[#This Row],[Bottom '[m']]]-MP_DATA[[#This Row],[Top '[m']]]),"")</f>
        <v/>
      </c>
      <c r="M172" s="145" t="str">
        <f t="shared" si="5"/>
        <v/>
      </c>
      <c r="N172" s="234" t="str">
        <f>IFERROR((MP_DATA[[#This Row],[D, bottom '[m']]]+MP_DATA[[#This Row],[D, top '[m']]])/(2*MP_DATA[[#This Row],[t '[mm']]]/1000),"")</f>
        <v/>
      </c>
      <c r="Q172" s="209"/>
      <c r="R172" s="209"/>
      <c r="S172" s="187"/>
      <c r="AV172" s="233" t="str">
        <f>IFERROR(TP_DATA[[#This Row],[Top '[m']]]-TP_DATA[[#This Row],[Bottom '[m']]], "")</f>
        <v/>
      </c>
      <c r="AW172" s="208"/>
      <c r="AX172" s="209"/>
      <c r="AY172" s="240"/>
      <c r="BB172" s="99"/>
      <c r="BC172" s="99"/>
      <c r="BD172" s="187"/>
      <c r="CB172" s="92"/>
      <c r="CC172" s="93"/>
      <c r="CD172" s="93"/>
      <c r="CE172" s="93"/>
      <c r="CF172" s="93"/>
      <c r="CG172" s="94"/>
      <c r="CH172" s="233" t="str">
        <f>IFERROR(TOWER_DATA[[#This Row],[Top '[m']]]-TOWER_DATA[[#This Row],[Bottom '[m']]], "")</f>
        <v/>
      </c>
      <c r="CI172" s="217" t="str">
        <f>IFERROR(-(TOWER_DATA[[#This Row],[D, bottom '[m']]]-TOWER_DATA[[#This Row],[D, top '[m']]])/(TOWER_DATA[[#This Row],[Bottom '[m']]]-TOWER_DATA[[#This Row],[Top '[m']]]),"")</f>
        <v/>
      </c>
      <c r="CJ172" s="145" t="str">
        <f t="shared" si="4"/>
        <v/>
      </c>
      <c r="CK172" s="234" t="str">
        <f>IFERROR((TOWER_DATA[[#This Row],[D, bottom '[m']]]+TOWER_DATA[[#This Row],[D, top '[m']]])/(2*TOWER_DATA[[#This Row],[t '[mm']]]/1000),"")</f>
        <v/>
      </c>
      <c r="CM172" s="51"/>
      <c r="CN172" s="51"/>
      <c r="CO172" s="51"/>
      <c r="CP172" s="51"/>
      <c r="CQ172" s="51"/>
      <c r="CR172" s="51"/>
      <c r="CS172" s="51"/>
      <c r="CT172" s="51"/>
      <c r="CU172" s="90"/>
      <c r="DO172" s="209"/>
      <c r="DP172" s="209"/>
      <c r="DQ172" s="187"/>
      <c r="DT172" s="99"/>
      <c r="DU172" s="99"/>
    </row>
    <row r="173" spans="1:125" ht="18" customHeight="1">
      <c r="A173" s="271"/>
      <c r="D173" s="280"/>
      <c r="E173" s="52"/>
      <c r="K173" s="233" t="str">
        <f>IFERROR(MP_DATA[[#This Row],[Top '[m']]]-MP_DATA[[#This Row],[Bottom '[m']]], "")</f>
        <v/>
      </c>
      <c r="L173" s="217" t="str">
        <f>IFERROR(-(MP_DATA[[#This Row],[D, bottom '[m']]]-MP_DATA[[#This Row],[D, top '[m']]])/(MP_DATA[[#This Row],[Bottom '[m']]]-MP_DATA[[#This Row],[Top '[m']]]),"")</f>
        <v/>
      </c>
      <c r="M173" s="145" t="str">
        <f t="shared" si="5"/>
        <v/>
      </c>
      <c r="N173" s="234" t="str">
        <f>IFERROR((MP_DATA[[#This Row],[D, bottom '[m']]]+MP_DATA[[#This Row],[D, top '[m']]])/(2*MP_DATA[[#This Row],[t '[mm']]]/1000),"")</f>
        <v/>
      </c>
      <c r="Q173" s="209"/>
      <c r="R173" s="209"/>
      <c r="S173" s="187"/>
      <c r="AV173" s="233" t="str">
        <f>IFERROR(TP_DATA[[#This Row],[Top '[m']]]-TP_DATA[[#This Row],[Bottom '[m']]], "")</f>
        <v/>
      </c>
      <c r="AW173" s="208"/>
      <c r="AX173" s="209"/>
      <c r="AY173" s="240"/>
      <c r="BB173" s="99"/>
      <c r="BC173" s="99"/>
      <c r="BD173" s="187"/>
      <c r="CB173" s="92"/>
      <c r="CC173" s="93"/>
      <c r="CD173" s="93"/>
      <c r="CE173" s="93"/>
      <c r="CF173" s="93"/>
      <c r="CG173" s="94"/>
      <c r="CH173" s="233" t="str">
        <f>IFERROR(TOWER_DATA[[#This Row],[Top '[m']]]-TOWER_DATA[[#This Row],[Bottom '[m']]], "")</f>
        <v/>
      </c>
      <c r="CI173" s="217" t="str">
        <f>IFERROR(-(TOWER_DATA[[#This Row],[D, bottom '[m']]]-TOWER_DATA[[#This Row],[D, top '[m']]])/(TOWER_DATA[[#This Row],[Bottom '[m']]]-TOWER_DATA[[#This Row],[Top '[m']]]),"")</f>
        <v/>
      </c>
      <c r="CJ173" s="145" t="str">
        <f t="shared" si="4"/>
        <v/>
      </c>
      <c r="CK173" s="234" t="str">
        <f>IFERROR((TOWER_DATA[[#This Row],[D, bottom '[m']]]+TOWER_DATA[[#This Row],[D, top '[m']]])/(2*TOWER_DATA[[#This Row],[t '[mm']]]/1000),"")</f>
        <v/>
      </c>
      <c r="CM173" s="51"/>
      <c r="CN173" s="51"/>
      <c r="CO173" s="51"/>
      <c r="CP173" s="51"/>
      <c r="CQ173" s="51"/>
      <c r="CR173" s="51"/>
      <c r="CS173" s="51"/>
      <c r="CT173" s="51"/>
      <c r="CU173" s="90"/>
      <c r="DO173" s="209"/>
      <c r="DP173" s="209"/>
      <c r="DQ173" s="187"/>
      <c r="DT173" s="99"/>
      <c r="DU173" s="99"/>
    </row>
    <row r="174" spans="1:125" ht="18" customHeight="1">
      <c r="A174" s="271"/>
      <c r="D174" s="280"/>
      <c r="E174" s="52"/>
      <c r="K174" s="233" t="str">
        <f>IFERROR(MP_DATA[[#This Row],[Top '[m']]]-MP_DATA[[#This Row],[Bottom '[m']]], "")</f>
        <v/>
      </c>
      <c r="L174" s="217" t="str">
        <f>IFERROR(-(MP_DATA[[#This Row],[D, bottom '[m']]]-MP_DATA[[#This Row],[D, top '[m']]])/(MP_DATA[[#This Row],[Bottom '[m']]]-MP_DATA[[#This Row],[Top '[m']]]),"")</f>
        <v/>
      </c>
      <c r="M174" s="145" t="str">
        <f t="shared" si="5"/>
        <v/>
      </c>
      <c r="N174" s="234" t="str">
        <f>IFERROR((MP_DATA[[#This Row],[D, bottom '[m']]]+MP_DATA[[#This Row],[D, top '[m']]])/(2*MP_DATA[[#This Row],[t '[mm']]]/1000),"")</f>
        <v/>
      </c>
      <c r="Q174" s="209"/>
      <c r="R174" s="209"/>
      <c r="S174" s="187"/>
      <c r="AV174" s="233" t="str">
        <f>IFERROR(TP_DATA[[#This Row],[Top '[m']]]-TP_DATA[[#This Row],[Bottom '[m']]], "")</f>
        <v/>
      </c>
      <c r="AW174" s="208"/>
      <c r="AX174" s="209"/>
      <c r="AY174" s="240"/>
      <c r="BB174" s="99"/>
      <c r="BC174" s="99"/>
      <c r="BD174" s="187"/>
      <c r="CB174" s="92"/>
      <c r="CC174" s="93"/>
      <c r="CD174" s="93"/>
      <c r="CE174" s="93"/>
      <c r="CF174" s="93"/>
      <c r="CG174" s="94"/>
      <c r="CH174" s="233" t="str">
        <f>IFERROR(TOWER_DATA[[#This Row],[Top '[m']]]-TOWER_DATA[[#This Row],[Bottom '[m']]], "")</f>
        <v/>
      </c>
      <c r="CI174" s="217" t="str">
        <f>IFERROR(-(TOWER_DATA[[#This Row],[D, bottom '[m']]]-TOWER_DATA[[#This Row],[D, top '[m']]])/(TOWER_DATA[[#This Row],[Bottom '[m']]]-TOWER_DATA[[#This Row],[Top '[m']]]),"")</f>
        <v/>
      </c>
      <c r="CJ174" s="145" t="str">
        <f t="shared" si="4"/>
        <v/>
      </c>
      <c r="CK174" s="234" t="str">
        <f>IFERROR((TOWER_DATA[[#This Row],[D, bottom '[m']]]+TOWER_DATA[[#This Row],[D, top '[m']]])/(2*TOWER_DATA[[#This Row],[t '[mm']]]/1000),"")</f>
        <v/>
      </c>
      <c r="CM174" s="51"/>
      <c r="CN174" s="51"/>
      <c r="CO174" s="51"/>
      <c r="CP174" s="51"/>
      <c r="CQ174" s="51"/>
      <c r="CR174" s="51"/>
      <c r="CS174" s="51"/>
      <c r="CT174" s="51"/>
      <c r="CU174" s="90"/>
      <c r="DO174" s="209"/>
      <c r="DP174" s="209"/>
      <c r="DQ174" s="187"/>
      <c r="DT174" s="99"/>
      <c r="DU174" s="99"/>
    </row>
    <row r="175" spans="1:125" ht="18" customHeight="1">
      <c r="A175" s="271"/>
      <c r="D175" s="280"/>
      <c r="E175" s="52"/>
      <c r="K175" s="233" t="str">
        <f>IFERROR(MP_DATA[[#This Row],[Top '[m']]]-MP_DATA[[#This Row],[Bottom '[m']]], "")</f>
        <v/>
      </c>
      <c r="L175" s="217" t="str">
        <f>IFERROR(-(MP_DATA[[#This Row],[D, bottom '[m']]]-MP_DATA[[#This Row],[D, top '[m']]])/(MP_DATA[[#This Row],[Bottom '[m']]]-MP_DATA[[#This Row],[Top '[m']]]),"")</f>
        <v/>
      </c>
      <c r="M175" s="145" t="str">
        <f t="shared" si="5"/>
        <v/>
      </c>
      <c r="N175" s="234" t="str">
        <f>IFERROR((MP_DATA[[#This Row],[D, bottom '[m']]]+MP_DATA[[#This Row],[D, top '[m']]])/(2*MP_DATA[[#This Row],[t '[mm']]]/1000),"")</f>
        <v/>
      </c>
      <c r="Q175" s="209"/>
      <c r="R175" s="209"/>
      <c r="S175" s="187"/>
      <c r="AV175" s="233" t="str">
        <f>IFERROR(TP_DATA[[#This Row],[Top '[m']]]-TP_DATA[[#This Row],[Bottom '[m']]], "")</f>
        <v/>
      </c>
      <c r="AW175" s="208"/>
      <c r="AX175" s="209"/>
      <c r="AY175" s="240"/>
      <c r="BB175" s="99"/>
      <c r="BC175" s="99"/>
      <c r="BD175" s="187"/>
      <c r="CB175" s="92"/>
      <c r="CC175" s="93"/>
      <c r="CD175" s="93"/>
      <c r="CE175" s="93"/>
      <c r="CF175" s="93"/>
      <c r="CG175" s="94"/>
      <c r="CH175" s="233" t="str">
        <f>IFERROR(TOWER_DATA[[#This Row],[Top '[m']]]-TOWER_DATA[[#This Row],[Bottom '[m']]], "")</f>
        <v/>
      </c>
      <c r="CI175" s="217" t="str">
        <f>IFERROR(-(TOWER_DATA[[#This Row],[D, bottom '[m']]]-TOWER_DATA[[#This Row],[D, top '[m']]])/(TOWER_DATA[[#This Row],[Bottom '[m']]]-TOWER_DATA[[#This Row],[Top '[m']]]),"")</f>
        <v/>
      </c>
      <c r="CJ175" s="145" t="str">
        <f t="shared" si="4"/>
        <v/>
      </c>
      <c r="CK175" s="234" t="str">
        <f>IFERROR((TOWER_DATA[[#This Row],[D, bottom '[m']]]+TOWER_DATA[[#This Row],[D, top '[m']]])/(2*TOWER_DATA[[#This Row],[t '[mm']]]/1000),"")</f>
        <v/>
      </c>
      <c r="CM175" s="51"/>
      <c r="CN175" s="51"/>
      <c r="CO175" s="51"/>
      <c r="CP175" s="51"/>
      <c r="CQ175" s="51"/>
      <c r="CR175" s="51"/>
      <c r="CS175" s="51"/>
      <c r="CT175" s="51"/>
      <c r="CU175" s="90"/>
      <c r="DO175" s="209"/>
      <c r="DP175" s="209"/>
      <c r="DQ175" s="187"/>
      <c r="DT175" s="99"/>
      <c r="DU175" s="99"/>
    </row>
    <row r="176" spans="1:125" ht="18" customHeight="1">
      <c r="A176" s="271"/>
      <c r="D176" s="280"/>
      <c r="E176" s="52"/>
      <c r="K176" s="233" t="str">
        <f>IFERROR(MP_DATA[[#This Row],[Top '[m']]]-MP_DATA[[#This Row],[Bottom '[m']]], "")</f>
        <v/>
      </c>
      <c r="L176" s="217" t="str">
        <f>IFERROR(-(MP_DATA[[#This Row],[D, bottom '[m']]]-MP_DATA[[#This Row],[D, top '[m']]])/(MP_DATA[[#This Row],[Bottom '[m']]]-MP_DATA[[#This Row],[Top '[m']]]),"")</f>
        <v/>
      </c>
      <c r="M176" s="145" t="str">
        <f t="shared" si="5"/>
        <v/>
      </c>
      <c r="N176" s="234" t="str">
        <f>IFERROR((MP_DATA[[#This Row],[D, bottom '[m']]]+MP_DATA[[#This Row],[D, top '[m']]])/(2*MP_DATA[[#This Row],[t '[mm']]]/1000),"")</f>
        <v/>
      </c>
      <c r="Q176" s="209"/>
      <c r="R176" s="209"/>
      <c r="S176" s="187"/>
      <c r="AV176" s="233" t="str">
        <f>IFERROR(TP_DATA[[#This Row],[Top '[m']]]-TP_DATA[[#This Row],[Bottom '[m']]], "")</f>
        <v/>
      </c>
      <c r="AW176" s="208"/>
      <c r="AX176" s="209"/>
      <c r="AY176" s="240"/>
      <c r="BB176" s="99"/>
      <c r="BC176" s="99"/>
      <c r="BD176" s="187"/>
      <c r="CB176" s="92"/>
      <c r="CC176" s="93"/>
      <c r="CD176" s="93"/>
      <c r="CE176" s="93"/>
      <c r="CF176" s="93"/>
      <c r="CG176" s="94"/>
      <c r="CH176" s="233" t="str">
        <f>IFERROR(TOWER_DATA[[#This Row],[Top '[m']]]-TOWER_DATA[[#This Row],[Bottom '[m']]], "")</f>
        <v/>
      </c>
      <c r="CI176" s="217" t="str">
        <f>IFERROR(-(TOWER_DATA[[#This Row],[D, bottom '[m']]]-TOWER_DATA[[#This Row],[D, top '[m']]])/(TOWER_DATA[[#This Row],[Bottom '[m']]]-TOWER_DATA[[#This Row],[Top '[m']]]),"")</f>
        <v/>
      </c>
      <c r="CJ176" s="145" t="str">
        <f t="shared" si="4"/>
        <v/>
      </c>
      <c r="CK176" s="234" t="str">
        <f>IFERROR((TOWER_DATA[[#This Row],[D, bottom '[m']]]+TOWER_DATA[[#This Row],[D, top '[m']]])/(2*TOWER_DATA[[#This Row],[t '[mm']]]/1000),"")</f>
        <v/>
      </c>
      <c r="CM176" s="51"/>
      <c r="CN176" s="51"/>
      <c r="CO176" s="51"/>
      <c r="CP176" s="51"/>
      <c r="CQ176" s="51"/>
      <c r="CR176" s="51"/>
      <c r="CS176" s="51"/>
      <c r="CT176" s="51"/>
      <c r="CU176" s="90"/>
      <c r="DO176" s="209"/>
      <c r="DP176" s="209"/>
      <c r="DQ176" s="187"/>
      <c r="DT176" s="99"/>
      <c r="DU176" s="99"/>
    </row>
    <row r="177" spans="1:125" ht="18" customHeight="1">
      <c r="A177" s="271"/>
      <c r="D177" s="280"/>
      <c r="E177" s="52"/>
      <c r="K177" s="233" t="str">
        <f>IFERROR(MP_DATA[[#This Row],[Top '[m']]]-MP_DATA[[#This Row],[Bottom '[m']]], "")</f>
        <v/>
      </c>
      <c r="L177" s="217" t="str">
        <f>IFERROR(-(MP_DATA[[#This Row],[D, bottom '[m']]]-MP_DATA[[#This Row],[D, top '[m']]])/(MP_DATA[[#This Row],[Bottom '[m']]]-MP_DATA[[#This Row],[Top '[m']]]),"")</f>
        <v/>
      </c>
      <c r="M177" s="145" t="str">
        <f t="shared" si="5"/>
        <v/>
      </c>
      <c r="N177" s="234" t="str">
        <f>IFERROR((MP_DATA[[#This Row],[D, bottom '[m']]]+MP_DATA[[#This Row],[D, top '[m']]])/(2*MP_DATA[[#This Row],[t '[mm']]]/1000),"")</f>
        <v/>
      </c>
      <c r="Q177" s="209"/>
      <c r="R177" s="209"/>
      <c r="S177" s="187"/>
      <c r="AV177" s="233" t="str">
        <f>IFERROR(TP_DATA[[#This Row],[Top '[m']]]-TP_DATA[[#This Row],[Bottom '[m']]], "")</f>
        <v/>
      </c>
      <c r="AW177" s="208"/>
      <c r="AX177" s="209"/>
      <c r="AY177" s="240"/>
      <c r="BB177" s="99"/>
      <c r="BC177" s="99"/>
      <c r="BD177" s="187"/>
      <c r="CB177" s="92"/>
      <c r="CC177" s="93"/>
      <c r="CD177" s="93"/>
      <c r="CE177" s="93"/>
      <c r="CF177" s="93"/>
      <c r="CG177" s="94"/>
      <c r="CH177" s="233" t="str">
        <f>IFERROR(TOWER_DATA[[#This Row],[Top '[m']]]-TOWER_DATA[[#This Row],[Bottom '[m']]], "")</f>
        <v/>
      </c>
      <c r="CI177" s="217" t="str">
        <f>IFERROR(-(TOWER_DATA[[#This Row],[D, bottom '[m']]]-TOWER_DATA[[#This Row],[D, top '[m']]])/(TOWER_DATA[[#This Row],[Bottom '[m']]]-TOWER_DATA[[#This Row],[Top '[m']]]),"")</f>
        <v/>
      </c>
      <c r="CJ177" s="145" t="str">
        <f t="shared" ref="CJ177:CJ240" si="9">IF(7850/1000*(1/3)*PI()*ABS(CC177-CD177)*((CE177/2)^2+(CE177/2)*(CF177/2)+(CF177/2)^2-(CE177/2-CG177/1000)^2-(CE177/2-CG177/1000)*(CF177/2-CG177/1000)-(CF177/2-CG177/1000)^2)=0,"",7850/1000*(1/3)*PI()*ABS(CC177-CD177)*((CE177/2)^2+(CE177/2)*(CF177/2)+(CF177/2)^2-(CE177/2-CG177/1000)^2-(CE177/2-CG177/1000)*(CF177/2-CG177/1000)-(CF177/2-CG177/1000)^2))</f>
        <v/>
      </c>
      <c r="CK177" s="234" t="str">
        <f>IFERROR((TOWER_DATA[[#This Row],[D, bottom '[m']]]+TOWER_DATA[[#This Row],[D, top '[m']]])/(2*TOWER_DATA[[#This Row],[t '[mm']]]/1000),"")</f>
        <v/>
      </c>
      <c r="DO177" s="209"/>
      <c r="DP177" s="209"/>
      <c r="DQ177" s="187"/>
      <c r="DT177" s="99"/>
      <c r="DU177" s="99"/>
    </row>
    <row r="178" spans="1:125" ht="18" customHeight="1">
      <c r="A178" s="271"/>
      <c r="D178" s="280"/>
      <c r="E178" s="52"/>
      <c r="K178" s="233" t="str">
        <f>IFERROR(MP_DATA[[#This Row],[Top '[m']]]-MP_DATA[[#This Row],[Bottom '[m']]], "")</f>
        <v/>
      </c>
      <c r="L178" s="217" t="str">
        <f>IFERROR(-(MP_DATA[[#This Row],[D, bottom '[m']]]-MP_DATA[[#This Row],[D, top '[m']]])/(MP_DATA[[#This Row],[Bottom '[m']]]-MP_DATA[[#This Row],[Top '[m']]]),"")</f>
        <v/>
      </c>
      <c r="M178" s="145" t="str">
        <f t="shared" ref="M178:M241" si="10">IF(7850/1000*(1/3)*PI()*ABS(F178-G178)*((H178/2)^2+(H178/2)*(I178/2)+(I178/2)^2-(H178/2-J178/1000)^2-(H178/2-J178/1000)*(I178/2-J178/1000)-(I178/2-J178/1000)^2)=0,"",7850/1000*(1/3)*PI()*ABS(F178-G178)*((H178/2)^2+(H178/2)*(I178/2)+(I178/2)^2-(H178/2-J178/1000)^2-(H178/2-J178/1000)*(I178/2-J178/1000)-(I178/2-J178/1000)^2))</f>
        <v/>
      </c>
      <c r="N178" s="234" t="str">
        <f>IFERROR((MP_DATA[[#This Row],[D, bottom '[m']]]+MP_DATA[[#This Row],[D, top '[m']]])/(2*MP_DATA[[#This Row],[t '[mm']]]/1000),"")</f>
        <v/>
      </c>
      <c r="Q178" s="209"/>
      <c r="R178" s="209"/>
      <c r="S178" s="187"/>
      <c r="AV178" s="233" t="str">
        <f>IFERROR(TP_DATA[[#This Row],[Top '[m']]]-TP_DATA[[#This Row],[Bottom '[m']]], "")</f>
        <v/>
      </c>
      <c r="AW178" s="208"/>
      <c r="AX178" s="209"/>
      <c r="AY178" s="240"/>
      <c r="BB178" s="99"/>
      <c r="BC178" s="99"/>
      <c r="BD178" s="187"/>
      <c r="CB178" s="92"/>
      <c r="CC178" s="93"/>
      <c r="CD178" s="93"/>
      <c r="CE178" s="93"/>
      <c r="CF178" s="93"/>
      <c r="CG178" s="94"/>
      <c r="CH178" s="233" t="str">
        <f>IFERROR(TOWER_DATA[[#This Row],[Top '[m']]]-TOWER_DATA[[#This Row],[Bottom '[m']]], "")</f>
        <v/>
      </c>
      <c r="CI178" s="217" t="str">
        <f>IFERROR(-(TOWER_DATA[[#This Row],[D, bottom '[m']]]-TOWER_DATA[[#This Row],[D, top '[m']]])/(TOWER_DATA[[#This Row],[Bottom '[m']]]-TOWER_DATA[[#This Row],[Top '[m']]]),"")</f>
        <v/>
      </c>
      <c r="CJ178" s="145" t="str">
        <f t="shared" si="9"/>
        <v/>
      </c>
      <c r="CK178" s="234" t="str">
        <f>IFERROR((TOWER_DATA[[#This Row],[D, bottom '[m']]]+TOWER_DATA[[#This Row],[D, top '[m']]])/(2*TOWER_DATA[[#This Row],[t '[mm']]]/1000),"")</f>
        <v/>
      </c>
      <c r="DO178" s="209"/>
      <c r="DP178" s="209"/>
      <c r="DQ178" s="187"/>
      <c r="DT178" s="99"/>
      <c r="DU178" s="99"/>
    </row>
    <row r="179" spans="1:125" ht="18" customHeight="1">
      <c r="A179" s="271"/>
      <c r="D179" s="280"/>
      <c r="E179" s="52"/>
      <c r="K179" s="233" t="str">
        <f>IFERROR(MP_DATA[[#This Row],[Top '[m']]]-MP_DATA[[#This Row],[Bottom '[m']]], "")</f>
        <v/>
      </c>
      <c r="L179" s="217" t="str">
        <f>IFERROR(-(MP_DATA[[#This Row],[D, bottom '[m']]]-MP_DATA[[#This Row],[D, top '[m']]])/(MP_DATA[[#This Row],[Bottom '[m']]]-MP_DATA[[#This Row],[Top '[m']]]),"")</f>
        <v/>
      </c>
      <c r="M179" s="145" t="str">
        <f t="shared" si="10"/>
        <v/>
      </c>
      <c r="N179" s="234" t="str">
        <f>IFERROR((MP_DATA[[#This Row],[D, bottom '[m']]]+MP_DATA[[#This Row],[D, top '[m']]])/(2*MP_DATA[[#This Row],[t '[mm']]]/1000),"")</f>
        <v/>
      </c>
      <c r="Q179" s="209"/>
      <c r="R179" s="209"/>
      <c r="S179" s="187"/>
      <c r="AV179" s="233" t="str">
        <f>IFERROR(TP_DATA[[#This Row],[Top '[m']]]-TP_DATA[[#This Row],[Bottom '[m']]], "")</f>
        <v/>
      </c>
      <c r="AW179" s="208"/>
      <c r="AX179" s="209"/>
      <c r="AY179" s="240"/>
      <c r="BB179" s="99"/>
      <c r="BC179" s="99"/>
      <c r="BD179" s="187"/>
      <c r="CB179" s="92"/>
      <c r="CC179" s="93"/>
      <c r="CD179" s="93"/>
      <c r="CE179" s="93"/>
      <c r="CF179" s="93"/>
      <c r="CG179" s="94"/>
      <c r="CH179" s="233" t="str">
        <f>IFERROR(TOWER_DATA[[#This Row],[Top '[m']]]-TOWER_DATA[[#This Row],[Bottom '[m']]], "")</f>
        <v/>
      </c>
      <c r="CI179" s="217" t="str">
        <f>IFERROR(-(TOWER_DATA[[#This Row],[D, bottom '[m']]]-TOWER_DATA[[#This Row],[D, top '[m']]])/(TOWER_DATA[[#This Row],[Bottom '[m']]]-TOWER_DATA[[#This Row],[Top '[m']]]),"")</f>
        <v/>
      </c>
      <c r="CJ179" s="145" t="str">
        <f t="shared" si="9"/>
        <v/>
      </c>
      <c r="CK179" s="234" t="str">
        <f>IFERROR((TOWER_DATA[[#This Row],[D, bottom '[m']]]+TOWER_DATA[[#This Row],[D, top '[m']]])/(2*TOWER_DATA[[#This Row],[t '[mm']]]/1000),"")</f>
        <v/>
      </c>
      <c r="DO179" s="209"/>
      <c r="DP179" s="209"/>
      <c r="DQ179" s="187"/>
      <c r="DT179" s="99"/>
      <c r="DU179" s="99"/>
    </row>
    <row r="180" spans="1:125" ht="18" customHeight="1">
      <c r="A180" s="271"/>
      <c r="D180" s="280"/>
      <c r="E180" s="52"/>
      <c r="K180" s="233" t="str">
        <f>IFERROR(MP_DATA[[#This Row],[Top '[m']]]-MP_DATA[[#This Row],[Bottom '[m']]], "")</f>
        <v/>
      </c>
      <c r="L180" s="217" t="str">
        <f>IFERROR(-(MP_DATA[[#This Row],[D, bottom '[m']]]-MP_DATA[[#This Row],[D, top '[m']]])/(MP_DATA[[#This Row],[Bottom '[m']]]-MP_DATA[[#This Row],[Top '[m']]]),"")</f>
        <v/>
      </c>
      <c r="M180" s="145" t="str">
        <f t="shared" si="10"/>
        <v/>
      </c>
      <c r="N180" s="234" t="str">
        <f>IFERROR((MP_DATA[[#This Row],[D, bottom '[m']]]+MP_DATA[[#This Row],[D, top '[m']]])/(2*MP_DATA[[#This Row],[t '[mm']]]/1000),"")</f>
        <v/>
      </c>
      <c r="Q180" s="209"/>
      <c r="R180" s="209"/>
      <c r="S180" s="187"/>
      <c r="AV180" s="233" t="str">
        <f>IFERROR(TP_DATA[[#This Row],[Top '[m']]]-TP_DATA[[#This Row],[Bottom '[m']]], "")</f>
        <v/>
      </c>
      <c r="AW180" s="208"/>
      <c r="AX180" s="209"/>
      <c r="AY180" s="240"/>
      <c r="BB180" s="99"/>
      <c r="BC180" s="99"/>
      <c r="BD180" s="187"/>
      <c r="CB180" s="92"/>
      <c r="CC180" s="93"/>
      <c r="CD180" s="93"/>
      <c r="CE180" s="93"/>
      <c r="CF180" s="93"/>
      <c r="CG180" s="94"/>
      <c r="CH180" s="233" t="str">
        <f>IFERROR(TOWER_DATA[[#This Row],[Top '[m']]]-TOWER_DATA[[#This Row],[Bottom '[m']]], "")</f>
        <v/>
      </c>
      <c r="CI180" s="217" t="str">
        <f>IFERROR(-(TOWER_DATA[[#This Row],[D, bottom '[m']]]-TOWER_DATA[[#This Row],[D, top '[m']]])/(TOWER_DATA[[#This Row],[Bottom '[m']]]-TOWER_DATA[[#This Row],[Top '[m']]]),"")</f>
        <v/>
      </c>
      <c r="CJ180" s="145" t="str">
        <f t="shared" si="9"/>
        <v/>
      </c>
      <c r="CK180" s="234" t="str">
        <f>IFERROR((TOWER_DATA[[#This Row],[D, bottom '[m']]]+TOWER_DATA[[#This Row],[D, top '[m']]])/(2*TOWER_DATA[[#This Row],[t '[mm']]]/1000),"")</f>
        <v/>
      </c>
      <c r="DO180" s="209"/>
      <c r="DP180" s="209"/>
      <c r="DQ180" s="187"/>
      <c r="DT180" s="99"/>
      <c r="DU180" s="99"/>
    </row>
    <row r="181" spans="1:125" ht="18" customHeight="1">
      <c r="A181" s="271"/>
      <c r="D181" s="280"/>
      <c r="E181" s="52"/>
      <c r="K181" s="233" t="str">
        <f>IFERROR(MP_DATA[[#This Row],[Top '[m']]]-MP_DATA[[#This Row],[Bottom '[m']]], "")</f>
        <v/>
      </c>
      <c r="L181" s="217" t="str">
        <f>IFERROR(-(MP_DATA[[#This Row],[D, bottom '[m']]]-MP_DATA[[#This Row],[D, top '[m']]])/(MP_DATA[[#This Row],[Bottom '[m']]]-MP_DATA[[#This Row],[Top '[m']]]),"")</f>
        <v/>
      </c>
      <c r="M181" s="145" t="str">
        <f t="shared" si="10"/>
        <v/>
      </c>
      <c r="N181" s="234" t="str">
        <f>IFERROR((MP_DATA[[#This Row],[D, bottom '[m']]]+MP_DATA[[#This Row],[D, top '[m']]])/(2*MP_DATA[[#This Row],[t '[mm']]]/1000),"")</f>
        <v/>
      </c>
      <c r="Q181" s="209"/>
      <c r="R181" s="209"/>
      <c r="S181" s="187"/>
      <c r="AV181" s="233" t="str">
        <f>IFERROR(TP_DATA[[#This Row],[Top '[m']]]-TP_DATA[[#This Row],[Bottom '[m']]], "")</f>
        <v/>
      </c>
      <c r="AW181" s="208"/>
      <c r="AX181" s="209"/>
      <c r="AY181" s="240"/>
      <c r="BB181" s="99"/>
      <c r="BC181" s="99"/>
      <c r="BD181" s="187"/>
      <c r="CB181" s="92"/>
      <c r="CC181" s="93"/>
      <c r="CD181" s="93"/>
      <c r="CE181" s="93"/>
      <c r="CF181" s="93"/>
      <c r="CG181" s="94"/>
      <c r="CH181" s="233" t="str">
        <f>IFERROR(TOWER_DATA[[#This Row],[Top '[m']]]-TOWER_DATA[[#This Row],[Bottom '[m']]], "")</f>
        <v/>
      </c>
      <c r="CI181" s="217" t="str">
        <f>IFERROR(-(TOWER_DATA[[#This Row],[D, bottom '[m']]]-TOWER_DATA[[#This Row],[D, top '[m']]])/(TOWER_DATA[[#This Row],[Bottom '[m']]]-TOWER_DATA[[#This Row],[Top '[m']]]),"")</f>
        <v/>
      </c>
      <c r="CJ181" s="145" t="str">
        <f t="shared" si="9"/>
        <v/>
      </c>
      <c r="CK181" s="234" t="str">
        <f>IFERROR((TOWER_DATA[[#This Row],[D, bottom '[m']]]+TOWER_DATA[[#This Row],[D, top '[m']]])/(2*TOWER_DATA[[#This Row],[t '[mm']]]/1000),"")</f>
        <v/>
      </c>
      <c r="DO181" s="209"/>
      <c r="DP181" s="209"/>
      <c r="DQ181" s="187"/>
      <c r="DT181" s="99"/>
      <c r="DU181" s="99"/>
    </row>
    <row r="182" spans="1:125" ht="18" customHeight="1">
      <c r="A182" s="271"/>
      <c r="D182" s="280"/>
      <c r="E182" s="52"/>
      <c r="K182" s="233" t="str">
        <f>IFERROR(MP_DATA[[#This Row],[Top '[m']]]-MP_DATA[[#This Row],[Bottom '[m']]], "")</f>
        <v/>
      </c>
      <c r="L182" s="217" t="str">
        <f>IFERROR(-(MP_DATA[[#This Row],[D, bottom '[m']]]-MP_DATA[[#This Row],[D, top '[m']]])/(MP_DATA[[#This Row],[Bottom '[m']]]-MP_DATA[[#This Row],[Top '[m']]]),"")</f>
        <v/>
      </c>
      <c r="M182" s="145" t="str">
        <f t="shared" si="10"/>
        <v/>
      </c>
      <c r="N182" s="234" t="str">
        <f>IFERROR((MP_DATA[[#This Row],[D, bottom '[m']]]+MP_DATA[[#This Row],[D, top '[m']]])/(2*MP_DATA[[#This Row],[t '[mm']]]/1000),"")</f>
        <v/>
      </c>
      <c r="Q182" s="209"/>
      <c r="R182" s="209"/>
      <c r="S182" s="187"/>
      <c r="AV182" s="233" t="str">
        <f>IFERROR(TP_DATA[[#This Row],[Top '[m']]]-TP_DATA[[#This Row],[Bottom '[m']]], "")</f>
        <v/>
      </c>
      <c r="AW182" s="208"/>
      <c r="AX182" s="209"/>
      <c r="AY182" s="240"/>
      <c r="BB182" s="99"/>
      <c r="BC182" s="99"/>
      <c r="BD182" s="187"/>
      <c r="CB182" s="92"/>
      <c r="CC182" s="93"/>
      <c r="CD182" s="93"/>
      <c r="CE182" s="93"/>
      <c r="CF182" s="93"/>
      <c r="CG182" s="94"/>
      <c r="CH182" s="233" t="str">
        <f>IFERROR(TOWER_DATA[[#This Row],[Top '[m']]]-TOWER_DATA[[#This Row],[Bottom '[m']]], "")</f>
        <v/>
      </c>
      <c r="CI182" s="217" t="str">
        <f>IFERROR(-(TOWER_DATA[[#This Row],[D, bottom '[m']]]-TOWER_DATA[[#This Row],[D, top '[m']]])/(TOWER_DATA[[#This Row],[Bottom '[m']]]-TOWER_DATA[[#This Row],[Top '[m']]]),"")</f>
        <v/>
      </c>
      <c r="CJ182" s="145" t="str">
        <f t="shared" si="9"/>
        <v/>
      </c>
      <c r="CK182" s="234" t="str">
        <f>IFERROR((TOWER_DATA[[#This Row],[D, bottom '[m']]]+TOWER_DATA[[#This Row],[D, top '[m']]])/(2*TOWER_DATA[[#This Row],[t '[mm']]]/1000),"")</f>
        <v/>
      </c>
      <c r="DO182" s="209"/>
      <c r="DP182" s="209"/>
      <c r="DQ182" s="187"/>
      <c r="DT182" s="99"/>
      <c r="DU182" s="99"/>
    </row>
    <row r="183" spans="1:125" ht="18" customHeight="1">
      <c r="A183" s="271"/>
      <c r="D183" s="280"/>
      <c r="E183" s="52"/>
      <c r="K183" s="233" t="str">
        <f>IFERROR(MP_DATA[[#This Row],[Top '[m']]]-MP_DATA[[#This Row],[Bottom '[m']]], "")</f>
        <v/>
      </c>
      <c r="L183" s="217" t="str">
        <f>IFERROR(-(MP_DATA[[#This Row],[D, bottom '[m']]]-MP_DATA[[#This Row],[D, top '[m']]])/(MP_DATA[[#This Row],[Bottom '[m']]]-MP_DATA[[#This Row],[Top '[m']]]),"")</f>
        <v/>
      </c>
      <c r="M183" s="145" t="str">
        <f t="shared" si="10"/>
        <v/>
      </c>
      <c r="N183" s="234" t="str">
        <f>IFERROR((MP_DATA[[#This Row],[D, bottom '[m']]]+MP_DATA[[#This Row],[D, top '[m']]])/(2*MP_DATA[[#This Row],[t '[mm']]]/1000),"")</f>
        <v/>
      </c>
      <c r="Q183" s="209"/>
      <c r="R183" s="209"/>
      <c r="S183" s="187"/>
      <c r="AV183" s="233" t="str">
        <f>IFERROR(TP_DATA[[#This Row],[Top '[m']]]-TP_DATA[[#This Row],[Bottom '[m']]], "")</f>
        <v/>
      </c>
      <c r="AW183" s="208"/>
      <c r="AX183" s="209"/>
      <c r="AY183" s="240"/>
      <c r="BB183" s="99"/>
      <c r="BC183" s="99"/>
      <c r="BD183" s="187"/>
      <c r="CB183" s="92"/>
      <c r="CC183" s="93"/>
      <c r="CD183" s="93"/>
      <c r="CE183" s="93"/>
      <c r="CF183" s="93"/>
      <c r="CG183" s="94"/>
      <c r="CH183" s="233" t="str">
        <f>IFERROR(TOWER_DATA[[#This Row],[Top '[m']]]-TOWER_DATA[[#This Row],[Bottom '[m']]], "")</f>
        <v/>
      </c>
      <c r="CI183" s="217" t="str">
        <f>IFERROR(-(TOWER_DATA[[#This Row],[D, bottom '[m']]]-TOWER_DATA[[#This Row],[D, top '[m']]])/(TOWER_DATA[[#This Row],[Bottom '[m']]]-TOWER_DATA[[#This Row],[Top '[m']]]),"")</f>
        <v/>
      </c>
      <c r="CJ183" s="145" t="str">
        <f t="shared" si="9"/>
        <v/>
      </c>
      <c r="CK183" s="234" t="str">
        <f>IFERROR((TOWER_DATA[[#This Row],[D, bottom '[m']]]+TOWER_DATA[[#This Row],[D, top '[m']]])/(2*TOWER_DATA[[#This Row],[t '[mm']]]/1000),"")</f>
        <v/>
      </c>
      <c r="DO183" s="209"/>
      <c r="DP183" s="209"/>
      <c r="DQ183" s="187"/>
      <c r="DT183" s="99"/>
      <c r="DU183" s="99"/>
    </row>
    <row r="184" spans="1:125" ht="18" customHeight="1">
      <c r="A184" s="271"/>
      <c r="D184" s="280"/>
      <c r="E184" s="52"/>
      <c r="K184" s="233" t="str">
        <f>IFERROR(MP_DATA[[#This Row],[Top '[m']]]-MP_DATA[[#This Row],[Bottom '[m']]], "")</f>
        <v/>
      </c>
      <c r="L184" s="217" t="str">
        <f>IFERROR(-(MP_DATA[[#This Row],[D, bottom '[m']]]-MP_DATA[[#This Row],[D, top '[m']]])/(MP_DATA[[#This Row],[Bottom '[m']]]-MP_DATA[[#This Row],[Top '[m']]]),"")</f>
        <v/>
      </c>
      <c r="M184" s="145" t="str">
        <f t="shared" si="10"/>
        <v/>
      </c>
      <c r="N184" s="234" t="str">
        <f>IFERROR((MP_DATA[[#This Row],[D, bottom '[m']]]+MP_DATA[[#This Row],[D, top '[m']]])/(2*MP_DATA[[#This Row],[t '[mm']]]/1000),"")</f>
        <v/>
      </c>
      <c r="Q184" s="209"/>
      <c r="R184" s="209"/>
      <c r="S184" s="187"/>
      <c r="AV184" s="233" t="str">
        <f>IFERROR(TP_DATA[[#This Row],[Top '[m']]]-TP_DATA[[#This Row],[Bottom '[m']]], "")</f>
        <v/>
      </c>
      <c r="AW184" s="208"/>
      <c r="AX184" s="209"/>
      <c r="AY184" s="240"/>
      <c r="BB184" s="99"/>
      <c r="BC184" s="99"/>
      <c r="BD184" s="187"/>
      <c r="CB184" s="92"/>
      <c r="CC184" s="93"/>
      <c r="CD184" s="93"/>
      <c r="CE184" s="93"/>
      <c r="CF184" s="93"/>
      <c r="CG184" s="94"/>
      <c r="CH184" s="233" t="str">
        <f>IFERROR(TOWER_DATA[[#This Row],[Top '[m']]]-TOWER_DATA[[#This Row],[Bottom '[m']]], "")</f>
        <v/>
      </c>
      <c r="CI184" s="217" t="str">
        <f>IFERROR(-(TOWER_DATA[[#This Row],[D, bottom '[m']]]-TOWER_DATA[[#This Row],[D, top '[m']]])/(TOWER_DATA[[#This Row],[Bottom '[m']]]-TOWER_DATA[[#This Row],[Top '[m']]]),"")</f>
        <v/>
      </c>
      <c r="CJ184" s="145" t="str">
        <f t="shared" si="9"/>
        <v/>
      </c>
      <c r="CK184" s="234" t="str">
        <f>IFERROR((TOWER_DATA[[#This Row],[D, bottom '[m']]]+TOWER_DATA[[#This Row],[D, top '[m']]])/(2*TOWER_DATA[[#This Row],[t '[mm']]]/1000),"")</f>
        <v/>
      </c>
      <c r="DO184" s="209"/>
      <c r="DP184" s="209"/>
      <c r="DQ184" s="187"/>
      <c r="DT184" s="99"/>
      <c r="DU184" s="99"/>
    </row>
    <row r="185" spans="1:125" ht="18" customHeight="1">
      <c r="A185" s="271"/>
      <c r="D185" s="280"/>
      <c r="E185" s="52"/>
      <c r="K185" s="233" t="str">
        <f>IFERROR(MP_DATA[[#This Row],[Top '[m']]]-MP_DATA[[#This Row],[Bottom '[m']]], "")</f>
        <v/>
      </c>
      <c r="L185" s="217" t="str">
        <f>IFERROR(-(MP_DATA[[#This Row],[D, bottom '[m']]]-MP_DATA[[#This Row],[D, top '[m']]])/(MP_DATA[[#This Row],[Bottom '[m']]]-MP_DATA[[#This Row],[Top '[m']]]),"")</f>
        <v/>
      </c>
      <c r="M185" s="145" t="str">
        <f t="shared" si="10"/>
        <v/>
      </c>
      <c r="N185" s="234" t="str">
        <f>IFERROR((MP_DATA[[#This Row],[D, bottom '[m']]]+MP_DATA[[#This Row],[D, top '[m']]])/(2*MP_DATA[[#This Row],[t '[mm']]]/1000),"")</f>
        <v/>
      </c>
      <c r="Q185" s="209"/>
      <c r="R185" s="209"/>
      <c r="S185" s="187"/>
      <c r="AV185" s="233" t="str">
        <f>IFERROR(TP_DATA[[#This Row],[Top '[m']]]-TP_DATA[[#This Row],[Bottom '[m']]], "")</f>
        <v/>
      </c>
      <c r="AW185" s="208"/>
      <c r="AX185" s="209"/>
      <c r="AY185" s="240"/>
      <c r="BB185" s="99"/>
      <c r="BC185" s="99"/>
      <c r="BD185" s="187"/>
      <c r="CB185" s="92"/>
      <c r="CC185" s="93"/>
      <c r="CD185" s="93"/>
      <c r="CE185" s="93"/>
      <c r="CF185" s="93"/>
      <c r="CG185" s="94"/>
      <c r="CH185" s="233" t="str">
        <f>IFERROR(TOWER_DATA[[#This Row],[Top '[m']]]-TOWER_DATA[[#This Row],[Bottom '[m']]], "")</f>
        <v/>
      </c>
      <c r="CI185" s="217" t="str">
        <f>IFERROR(-(TOWER_DATA[[#This Row],[D, bottom '[m']]]-TOWER_DATA[[#This Row],[D, top '[m']]])/(TOWER_DATA[[#This Row],[Bottom '[m']]]-TOWER_DATA[[#This Row],[Top '[m']]]),"")</f>
        <v/>
      </c>
      <c r="CJ185" s="145" t="str">
        <f t="shared" si="9"/>
        <v/>
      </c>
      <c r="CK185" s="234" t="str">
        <f>IFERROR((TOWER_DATA[[#This Row],[D, bottom '[m']]]+TOWER_DATA[[#This Row],[D, top '[m']]])/(2*TOWER_DATA[[#This Row],[t '[mm']]]/1000),"")</f>
        <v/>
      </c>
      <c r="DO185" s="209"/>
      <c r="DP185" s="209"/>
      <c r="DQ185" s="187"/>
      <c r="DT185" s="99"/>
      <c r="DU185" s="99"/>
    </row>
    <row r="186" spans="1:125" ht="18" customHeight="1">
      <c r="A186" s="271"/>
      <c r="D186" s="280"/>
      <c r="E186" s="52"/>
      <c r="K186" s="233" t="str">
        <f>IFERROR(MP_DATA[[#This Row],[Top '[m']]]-MP_DATA[[#This Row],[Bottom '[m']]], "")</f>
        <v/>
      </c>
      <c r="L186" s="217" t="str">
        <f>IFERROR(-(MP_DATA[[#This Row],[D, bottom '[m']]]-MP_DATA[[#This Row],[D, top '[m']]])/(MP_DATA[[#This Row],[Bottom '[m']]]-MP_DATA[[#This Row],[Top '[m']]]),"")</f>
        <v/>
      </c>
      <c r="M186" s="145" t="str">
        <f t="shared" si="10"/>
        <v/>
      </c>
      <c r="N186" s="234" t="str">
        <f>IFERROR((MP_DATA[[#This Row],[D, bottom '[m']]]+MP_DATA[[#This Row],[D, top '[m']]])/(2*MP_DATA[[#This Row],[t '[mm']]]/1000),"")</f>
        <v/>
      </c>
      <c r="Q186" s="209"/>
      <c r="R186" s="209"/>
      <c r="S186" s="187"/>
      <c r="AV186" s="233" t="str">
        <f>IFERROR(TP_DATA[[#This Row],[Top '[m']]]-TP_DATA[[#This Row],[Bottom '[m']]], "")</f>
        <v/>
      </c>
      <c r="AW186" s="208"/>
      <c r="AX186" s="209"/>
      <c r="AY186" s="240"/>
      <c r="BB186" s="99"/>
      <c r="BC186" s="99"/>
      <c r="BD186" s="187"/>
      <c r="CB186" s="92"/>
      <c r="CC186" s="93"/>
      <c r="CD186" s="93"/>
      <c r="CE186" s="93"/>
      <c r="CF186" s="93"/>
      <c r="CG186" s="94"/>
      <c r="CH186" s="233" t="str">
        <f>IFERROR(TOWER_DATA[[#This Row],[Top '[m']]]-TOWER_DATA[[#This Row],[Bottom '[m']]], "")</f>
        <v/>
      </c>
      <c r="CI186" s="217" t="str">
        <f>IFERROR(-(TOWER_DATA[[#This Row],[D, bottom '[m']]]-TOWER_DATA[[#This Row],[D, top '[m']]])/(TOWER_DATA[[#This Row],[Bottom '[m']]]-TOWER_DATA[[#This Row],[Top '[m']]]),"")</f>
        <v/>
      </c>
      <c r="CJ186" s="145" t="str">
        <f t="shared" si="9"/>
        <v/>
      </c>
      <c r="CK186" s="234" t="str">
        <f>IFERROR((TOWER_DATA[[#This Row],[D, bottom '[m']]]+TOWER_DATA[[#This Row],[D, top '[m']]])/(2*TOWER_DATA[[#This Row],[t '[mm']]]/1000),"")</f>
        <v/>
      </c>
      <c r="DO186" s="209"/>
      <c r="DP186" s="209"/>
      <c r="DQ186" s="187"/>
      <c r="DT186" s="99"/>
      <c r="DU186" s="99"/>
    </row>
    <row r="187" spans="1:125" ht="18" customHeight="1">
      <c r="A187" s="271"/>
      <c r="D187" s="280"/>
      <c r="E187" s="52"/>
      <c r="K187" s="233" t="str">
        <f>IFERROR(MP_DATA[[#This Row],[Top '[m']]]-MP_DATA[[#This Row],[Bottom '[m']]], "")</f>
        <v/>
      </c>
      <c r="L187" s="217" t="str">
        <f>IFERROR(-(MP_DATA[[#This Row],[D, bottom '[m']]]-MP_DATA[[#This Row],[D, top '[m']]])/(MP_DATA[[#This Row],[Bottom '[m']]]-MP_DATA[[#This Row],[Top '[m']]]),"")</f>
        <v/>
      </c>
      <c r="M187" s="145" t="str">
        <f t="shared" si="10"/>
        <v/>
      </c>
      <c r="N187" s="234" t="str">
        <f>IFERROR((MP_DATA[[#This Row],[D, bottom '[m']]]+MP_DATA[[#This Row],[D, top '[m']]])/(2*MP_DATA[[#This Row],[t '[mm']]]/1000),"")</f>
        <v/>
      </c>
      <c r="Q187" s="209"/>
      <c r="R187" s="209"/>
      <c r="S187" s="187"/>
      <c r="AV187" s="233" t="str">
        <f>IFERROR(TP_DATA[[#This Row],[Top '[m']]]-TP_DATA[[#This Row],[Bottom '[m']]], "")</f>
        <v/>
      </c>
      <c r="AW187" s="208"/>
      <c r="AX187" s="209"/>
      <c r="AY187" s="240"/>
      <c r="BB187" s="99"/>
      <c r="BC187" s="99"/>
      <c r="BD187" s="187"/>
      <c r="CB187" s="92"/>
      <c r="CC187" s="93"/>
      <c r="CD187" s="93"/>
      <c r="CE187" s="93"/>
      <c r="CF187" s="93"/>
      <c r="CG187" s="94"/>
      <c r="CH187" s="233" t="str">
        <f>IFERROR(TOWER_DATA[[#This Row],[Top '[m']]]-TOWER_DATA[[#This Row],[Bottom '[m']]], "")</f>
        <v/>
      </c>
      <c r="CI187" s="217" t="str">
        <f>IFERROR(-(TOWER_DATA[[#This Row],[D, bottom '[m']]]-TOWER_DATA[[#This Row],[D, top '[m']]])/(TOWER_DATA[[#This Row],[Bottom '[m']]]-TOWER_DATA[[#This Row],[Top '[m']]]),"")</f>
        <v/>
      </c>
      <c r="CJ187" s="145" t="str">
        <f t="shared" si="9"/>
        <v/>
      </c>
      <c r="CK187" s="234" t="str">
        <f>IFERROR((TOWER_DATA[[#This Row],[D, bottom '[m']]]+TOWER_DATA[[#This Row],[D, top '[m']]])/(2*TOWER_DATA[[#This Row],[t '[mm']]]/1000),"")</f>
        <v/>
      </c>
      <c r="DO187" s="209"/>
      <c r="DP187" s="209"/>
      <c r="DQ187" s="187"/>
      <c r="DT187" s="99"/>
      <c r="DU187" s="99"/>
    </row>
    <row r="188" spans="1:125" ht="18" customHeight="1">
      <c r="A188" s="271"/>
      <c r="D188" s="280"/>
      <c r="E188" s="52"/>
      <c r="K188" s="233" t="str">
        <f>IFERROR(MP_DATA[[#This Row],[Top '[m']]]-MP_DATA[[#This Row],[Bottom '[m']]], "")</f>
        <v/>
      </c>
      <c r="L188" s="217" t="str">
        <f>IFERROR(-(MP_DATA[[#This Row],[D, bottom '[m']]]-MP_DATA[[#This Row],[D, top '[m']]])/(MP_DATA[[#This Row],[Bottom '[m']]]-MP_DATA[[#This Row],[Top '[m']]]),"")</f>
        <v/>
      </c>
      <c r="M188" s="145" t="str">
        <f t="shared" si="10"/>
        <v/>
      </c>
      <c r="N188" s="234" t="str">
        <f>IFERROR((MP_DATA[[#This Row],[D, bottom '[m']]]+MP_DATA[[#This Row],[D, top '[m']]])/(2*MP_DATA[[#This Row],[t '[mm']]]/1000),"")</f>
        <v/>
      </c>
      <c r="Q188" s="209"/>
      <c r="R188" s="209"/>
      <c r="S188" s="187"/>
      <c r="AV188" s="233" t="str">
        <f>IFERROR(TP_DATA[[#This Row],[Top '[m']]]-TP_DATA[[#This Row],[Bottom '[m']]], "")</f>
        <v/>
      </c>
      <c r="AW188" s="208"/>
      <c r="AX188" s="209"/>
      <c r="AY188" s="240"/>
      <c r="BB188" s="99"/>
      <c r="BC188" s="99"/>
      <c r="BD188" s="187"/>
      <c r="CB188" s="92"/>
      <c r="CC188" s="93"/>
      <c r="CD188" s="93"/>
      <c r="CE188" s="93"/>
      <c r="CF188" s="93"/>
      <c r="CG188" s="94"/>
      <c r="CH188" s="233" t="str">
        <f>IFERROR(TOWER_DATA[[#This Row],[Top '[m']]]-TOWER_DATA[[#This Row],[Bottom '[m']]], "")</f>
        <v/>
      </c>
      <c r="CI188" s="217" t="str">
        <f>IFERROR(-(TOWER_DATA[[#This Row],[D, bottom '[m']]]-TOWER_DATA[[#This Row],[D, top '[m']]])/(TOWER_DATA[[#This Row],[Bottom '[m']]]-TOWER_DATA[[#This Row],[Top '[m']]]),"")</f>
        <v/>
      </c>
      <c r="CJ188" s="145" t="str">
        <f t="shared" si="9"/>
        <v/>
      </c>
      <c r="CK188" s="234" t="str">
        <f>IFERROR((TOWER_DATA[[#This Row],[D, bottom '[m']]]+TOWER_DATA[[#This Row],[D, top '[m']]])/(2*TOWER_DATA[[#This Row],[t '[mm']]]/1000),"")</f>
        <v/>
      </c>
      <c r="DO188" s="209"/>
      <c r="DP188" s="209"/>
      <c r="DQ188" s="187"/>
      <c r="DT188" s="99"/>
      <c r="DU188" s="99"/>
    </row>
    <row r="189" spans="1:125" ht="18" customHeight="1">
      <c r="A189" s="271"/>
      <c r="D189" s="280"/>
      <c r="E189" s="52"/>
      <c r="K189" s="233" t="str">
        <f>IFERROR(MP_DATA[[#This Row],[Top '[m']]]-MP_DATA[[#This Row],[Bottom '[m']]], "")</f>
        <v/>
      </c>
      <c r="L189" s="217" t="str">
        <f>IFERROR(-(MP_DATA[[#This Row],[D, bottom '[m']]]-MP_DATA[[#This Row],[D, top '[m']]])/(MP_DATA[[#This Row],[Bottom '[m']]]-MP_DATA[[#This Row],[Top '[m']]]),"")</f>
        <v/>
      </c>
      <c r="M189" s="145" t="str">
        <f t="shared" si="10"/>
        <v/>
      </c>
      <c r="N189" s="234" t="str">
        <f>IFERROR((MP_DATA[[#This Row],[D, bottom '[m']]]+MP_DATA[[#This Row],[D, top '[m']]])/(2*MP_DATA[[#This Row],[t '[mm']]]/1000),"")</f>
        <v/>
      </c>
      <c r="Q189" s="209"/>
      <c r="R189" s="209"/>
      <c r="S189" s="187"/>
      <c r="AV189" s="233" t="str">
        <f>IFERROR(TP_DATA[[#This Row],[Top '[m']]]-TP_DATA[[#This Row],[Bottom '[m']]], "")</f>
        <v/>
      </c>
      <c r="AW189" s="208"/>
      <c r="AX189" s="209"/>
      <c r="AY189" s="240"/>
      <c r="BB189" s="99"/>
      <c r="BC189" s="99"/>
      <c r="BD189" s="187"/>
      <c r="CB189" s="92"/>
      <c r="CC189" s="93"/>
      <c r="CD189" s="93"/>
      <c r="CE189" s="93"/>
      <c r="CF189" s="93"/>
      <c r="CG189" s="94"/>
      <c r="CH189" s="233" t="str">
        <f>IFERROR(TOWER_DATA[[#This Row],[Top '[m']]]-TOWER_DATA[[#This Row],[Bottom '[m']]], "")</f>
        <v/>
      </c>
      <c r="CI189" s="217" t="str">
        <f>IFERROR(-(TOWER_DATA[[#This Row],[D, bottom '[m']]]-TOWER_DATA[[#This Row],[D, top '[m']]])/(TOWER_DATA[[#This Row],[Bottom '[m']]]-TOWER_DATA[[#This Row],[Top '[m']]]),"")</f>
        <v/>
      </c>
      <c r="CJ189" s="145" t="str">
        <f t="shared" si="9"/>
        <v/>
      </c>
      <c r="CK189" s="234" t="str">
        <f>IFERROR((TOWER_DATA[[#This Row],[D, bottom '[m']]]+TOWER_DATA[[#This Row],[D, top '[m']]])/(2*TOWER_DATA[[#This Row],[t '[mm']]]/1000),"")</f>
        <v/>
      </c>
      <c r="DO189" s="209"/>
      <c r="DP189" s="209"/>
      <c r="DQ189" s="187"/>
      <c r="DT189" s="99"/>
      <c r="DU189" s="99"/>
    </row>
    <row r="190" spans="1:125" ht="18" customHeight="1">
      <c r="A190" s="271"/>
      <c r="D190" s="280"/>
      <c r="E190" s="52"/>
      <c r="K190" s="233" t="str">
        <f>IFERROR(MP_DATA[[#This Row],[Top '[m']]]-MP_DATA[[#This Row],[Bottom '[m']]], "")</f>
        <v/>
      </c>
      <c r="L190" s="217" t="str">
        <f>IFERROR(-(MP_DATA[[#This Row],[D, bottom '[m']]]-MP_DATA[[#This Row],[D, top '[m']]])/(MP_DATA[[#This Row],[Bottom '[m']]]-MP_DATA[[#This Row],[Top '[m']]]),"")</f>
        <v/>
      </c>
      <c r="M190" s="145" t="str">
        <f t="shared" si="10"/>
        <v/>
      </c>
      <c r="N190" s="234" t="str">
        <f>IFERROR((MP_DATA[[#This Row],[D, bottom '[m']]]+MP_DATA[[#This Row],[D, top '[m']]])/(2*MP_DATA[[#This Row],[t '[mm']]]/1000),"")</f>
        <v/>
      </c>
      <c r="Q190" s="209"/>
      <c r="R190" s="209"/>
      <c r="S190" s="187"/>
      <c r="AV190" s="233" t="str">
        <f>IFERROR(TP_DATA[[#This Row],[Top '[m']]]-TP_DATA[[#This Row],[Bottom '[m']]], "")</f>
        <v/>
      </c>
      <c r="AW190" s="208"/>
      <c r="AX190" s="209"/>
      <c r="AY190" s="240"/>
      <c r="BB190" s="99"/>
      <c r="BC190" s="99"/>
      <c r="BD190" s="187"/>
      <c r="CB190" s="92"/>
      <c r="CC190" s="93"/>
      <c r="CD190" s="93"/>
      <c r="CE190" s="93"/>
      <c r="CF190" s="93"/>
      <c r="CG190" s="94"/>
      <c r="CH190" s="233" t="str">
        <f>IFERROR(TOWER_DATA[[#This Row],[Top '[m']]]-TOWER_DATA[[#This Row],[Bottom '[m']]], "")</f>
        <v/>
      </c>
      <c r="CI190" s="217" t="str">
        <f>IFERROR(-(TOWER_DATA[[#This Row],[D, bottom '[m']]]-TOWER_DATA[[#This Row],[D, top '[m']]])/(TOWER_DATA[[#This Row],[Bottom '[m']]]-TOWER_DATA[[#This Row],[Top '[m']]]),"")</f>
        <v/>
      </c>
      <c r="CJ190" s="145" t="str">
        <f t="shared" si="9"/>
        <v/>
      </c>
      <c r="CK190" s="234" t="str">
        <f>IFERROR((TOWER_DATA[[#This Row],[D, bottom '[m']]]+TOWER_DATA[[#This Row],[D, top '[m']]])/(2*TOWER_DATA[[#This Row],[t '[mm']]]/1000),"")</f>
        <v/>
      </c>
      <c r="DO190" s="209"/>
      <c r="DP190" s="209"/>
      <c r="DQ190" s="187"/>
      <c r="DT190" s="99"/>
      <c r="DU190" s="99"/>
    </row>
    <row r="191" spans="1:125" ht="18" customHeight="1">
      <c r="A191" s="271"/>
      <c r="D191" s="280"/>
      <c r="E191" s="52"/>
      <c r="K191" s="233" t="str">
        <f>IFERROR(MP_DATA[[#This Row],[Top '[m']]]-MP_DATA[[#This Row],[Bottom '[m']]], "")</f>
        <v/>
      </c>
      <c r="L191" s="217" t="str">
        <f>IFERROR(-(MP_DATA[[#This Row],[D, bottom '[m']]]-MP_DATA[[#This Row],[D, top '[m']]])/(MP_DATA[[#This Row],[Bottom '[m']]]-MP_DATA[[#This Row],[Top '[m']]]),"")</f>
        <v/>
      </c>
      <c r="M191" s="145" t="str">
        <f t="shared" si="10"/>
        <v/>
      </c>
      <c r="N191" s="234" t="str">
        <f>IFERROR((MP_DATA[[#This Row],[D, bottom '[m']]]+MP_DATA[[#This Row],[D, top '[m']]])/(2*MP_DATA[[#This Row],[t '[mm']]]/1000),"")</f>
        <v/>
      </c>
      <c r="Q191" s="209"/>
      <c r="R191" s="209"/>
      <c r="S191" s="187"/>
      <c r="AV191" s="233" t="str">
        <f>IFERROR(TP_DATA[[#This Row],[Top '[m']]]-TP_DATA[[#This Row],[Bottom '[m']]], "")</f>
        <v/>
      </c>
      <c r="AW191" s="208"/>
      <c r="AX191" s="209"/>
      <c r="AY191" s="240"/>
      <c r="BB191" s="99"/>
      <c r="BC191" s="99"/>
      <c r="BD191" s="187"/>
      <c r="CB191" s="92"/>
      <c r="CC191" s="93"/>
      <c r="CD191" s="93"/>
      <c r="CE191" s="93"/>
      <c r="CF191" s="93"/>
      <c r="CG191" s="94"/>
      <c r="CH191" s="233" t="str">
        <f>IFERROR(TOWER_DATA[[#This Row],[Top '[m']]]-TOWER_DATA[[#This Row],[Bottom '[m']]], "")</f>
        <v/>
      </c>
      <c r="CI191" s="217" t="str">
        <f>IFERROR(-(TOWER_DATA[[#This Row],[D, bottom '[m']]]-TOWER_DATA[[#This Row],[D, top '[m']]])/(TOWER_DATA[[#This Row],[Bottom '[m']]]-TOWER_DATA[[#This Row],[Top '[m']]]),"")</f>
        <v/>
      </c>
      <c r="CJ191" s="145" t="str">
        <f t="shared" si="9"/>
        <v/>
      </c>
      <c r="CK191" s="234" t="str">
        <f>IFERROR((TOWER_DATA[[#This Row],[D, bottom '[m']]]+TOWER_DATA[[#This Row],[D, top '[m']]])/(2*TOWER_DATA[[#This Row],[t '[mm']]]/1000),"")</f>
        <v/>
      </c>
      <c r="DO191" s="209"/>
      <c r="DP191" s="209"/>
      <c r="DQ191" s="187"/>
      <c r="DT191" s="99"/>
      <c r="DU191" s="99"/>
    </row>
    <row r="192" spans="1:125" ht="18" customHeight="1">
      <c r="A192" s="271"/>
      <c r="D192" s="280"/>
      <c r="E192" s="52"/>
      <c r="K192" s="233" t="str">
        <f>IFERROR(MP_DATA[[#This Row],[Top '[m']]]-MP_DATA[[#This Row],[Bottom '[m']]], "")</f>
        <v/>
      </c>
      <c r="L192" s="217" t="str">
        <f>IFERROR(-(MP_DATA[[#This Row],[D, bottom '[m']]]-MP_DATA[[#This Row],[D, top '[m']]])/(MP_DATA[[#This Row],[Bottom '[m']]]-MP_DATA[[#This Row],[Top '[m']]]),"")</f>
        <v/>
      </c>
      <c r="M192" s="145" t="str">
        <f t="shared" si="10"/>
        <v/>
      </c>
      <c r="N192" s="234" t="str">
        <f>IFERROR((MP_DATA[[#This Row],[D, bottom '[m']]]+MP_DATA[[#This Row],[D, top '[m']]])/(2*MP_DATA[[#This Row],[t '[mm']]]/1000),"")</f>
        <v/>
      </c>
      <c r="Q192" s="209"/>
      <c r="R192" s="209"/>
      <c r="S192" s="187"/>
      <c r="AV192" s="233" t="str">
        <f>IFERROR(TP_DATA[[#This Row],[Top '[m']]]-TP_DATA[[#This Row],[Bottom '[m']]], "")</f>
        <v/>
      </c>
      <c r="AW192" s="208"/>
      <c r="AX192" s="209"/>
      <c r="AY192" s="240"/>
      <c r="BB192" s="99"/>
      <c r="BC192" s="99"/>
      <c r="BD192" s="187"/>
      <c r="CB192" s="92"/>
      <c r="CC192" s="93"/>
      <c r="CD192" s="93"/>
      <c r="CE192" s="93"/>
      <c r="CF192" s="93"/>
      <c r="CG192" s="94"/>
      <c r="CH192" s="233" t="str">
        <f>IFERROR(TOWER_DATA[[#This Row],[Top '[m']]]-TOWER_DATA[[#This Row],[Bottom '[m']]], "")</f>
        <v/>
      </c>
      <c r="CI192" s="217" t="str">
        <f>IFERROR(-(TOWER_DATA[[#This Row],[D, bottom '[m']]]-TOWER_DATA[[#This Row],[D, top '[m']]])/(TOWER_DATA[[#This Row],[Bottom '[m']]]-TOWER_DATA[[#This Row],[Top '[m']]]),"")</f>
        <v/>
      </c>
      <c r="CJ192" s="145" t="str">
        <f t="shared" si="9"/>
        <v/>
      </c>
      <c r="CK192" s="234" t="str">
        <f>IFERROR((TOWER_DATA[[#This Row],[D, bottom '[m']]]+TOWER_DATA[[#This Row],[D, top '[m']]])/(2*TOWER_DATA[[#This Row],[t '[mm']]]/1000),"")</f>
        <v/>
      </c>
      <c r="DO192" s="209"/>
      <c r="DP192" s="209"/>
      <c r="DQ192" s="187"/>
      <c r="DT192" s="99"/>
      <c r="DU192" s="99"/>
    </row>
    <row r="193" spans="1:125" ht="18" customHeight="1">
      <c r="A193" s="271"/>
      <c r="D193" s="280"/>
      <c r="E193" s="52"/>
      <c r="K193" s="233" t="str">
        <f>IFERROR(MP_DATA[[#This Row],[Top '[m']]]-MP_DATA[[#This Row],[Bottom '[m']]], "")</f>
        <v/>
      </c>
      <c r="L193" s="217" t="str">
        <f>IFERROR(-(MP_DATA[[#This Row],[D, bottom '[m']]]-MP_DATA[[#This Row],[D, top '[m']]])/(MP_DATA[[#This Row],[Bottom '[m']]]-MP_DATA[[#This Row],[Top '[m']]]),"")</f>
        <v/>
      </c>
      <c r="M193" s="145" t="str">
        <f t="shared" si="10"/>
        <v/>
      </c>
      <c r="N193" s="234" t="str">
        <f>IFERROR((MP_DATA[[#This Row],[D, bottom '[m']]]+MP_DATA[[#This Row],[D, top '[m']]])/(2*MP_DATA[[#This Row],[t '[mm']]]/1000),"")</f>
        <v/>
      </c>
      <c r="Q193" s="209"/>
      <c r="R193" s="209"/>
      <c r="S193" s="187"/>
      <c r="AV193" s="233" t="str">
        <f>IFERROR(TP_DATA[[#This Row],[Top '[m']]]-TP_DATA[[#This Row],[Bottom '[m']]], "")</f>
        <v/>
      </c>
      <c r="AW193" s="208"/>
      <c r="AX193" s="209"/>
      <c r="AY193" s="240"/>
      <c r="BB193" s="99"/>
      <c r="BC193" s="99"/>
      <c r="BD193" s="187"/>
      <c r="CB193" s="92"/>
      <c r="CC193" s="93"/>
      <c r="CD193" s="93"/>
      <c r="CE193" s="93"/>
      <c r="CF193" s="93"/>
      <c r="CG193" s="94"/>
      <c r="CH193" s="233" t="str">
        <f>IFERROR(TOWER_DATA[[#This Row],[Top '[m']]]-TOWER_DATA[[#This Row],[Bottom '[m']]], "")</f>
        <v/>
      </c>
      <c r="CI193" s="217" t="str">
        <f>IFERROR(-(TOWER_DATA[[#This Row],[D, bottom '[m']]]-TOWER_DATA[[#This Row],[D, top '[m']]])/(TOWER_DATA[[#This Row],[Bottom '[m']]]-TOWER_DATA[[#This Row],[Top '[m']]]),"")</f>
        <v/>
      </c>
      <c r="CJ193" s="145" t="str">
        <f t="shared" si="9"/>
        <v/>
      </c>
      <c r="CK193" s="234" t="str">
        <f>IFERROR((TOWER_DATA[[#This Row],[D, bottom '[m']]]+TOWER_DATA[[#This Row],[D, top '[m']]])/(2*TOWER_DATA[[#This Row],[t '[mm']]]/1000),"")</f>
        <v/>
      </c>
      <c r="DO193" s="209"/>
      <c r="DP193" s="209"/>
      <c r="DQ193" s="187"/>
      <c r="DT193" s="99"/>
      <c r="DU193" s="99"/>
    </row>
    <row r="194" spans="1:125" ht="18" customHeight="1">
      <c r="A194" s="271"/>
      <c r="D194" s="280"/>
      <c r="E194" s="52"/>
      <c r="K194" s="233" t="str">
        <f>IFERROR(MP_DATA[[#This Row],[Top '[m']]]-MP_DATA[[#This Row],[Bottom '[m']]], "")</f>
        <v/>
      </c>
      <c r="L194" s="217" t="str">
        <f>IFERROR(-(MP_DATA[[#This Row],[D, bottom '[m']]]-MP_DATA[[#This Row],[D, top '[m']]])/(MP_DATA[[#This Row],[Bottom '[m']]]-MP_DATA[[#This Row],[Top '[m']]]),"")</f>
        <v/>
      </c>
      <c r="M194" s="145" t="str">
        <f t="shared" si="10"/>
        <v/>
      </c>
      <c r="N194" s="234" t="str">
        <f>IFERROR((MP_DATA[[#This Row],[D, bottom '[m']]]+MP_DATA[[#This Row],[D, top '[m']]])/(2*MP_DATA[[#This Row],[t '[mm']]]/1000),"")</f>
        <v/>
      </c>
      <c r="Q194" s="209"/>
      <c r="R194" s="209"/>
      <c r="S194" s="187"/>
      <c r="AV194" s="233" t="str">
        <f>IFERROR(TP_DATA[[#This Row],[Top '[m']]]-TP_DATA[[#This Row],[Bottom '[m']]], "")</f>
        <v/>
      </c>
      <c r="AW194" s="208"/>
      <c r="AX194" s="209"/>
      <c r="AY194" s="240"/>
      <c r="BB194" s="99"/>
      <c r="BC194" s="99"/>
      <c r="BD194" s="187"/>
      <c r="CB194" s="92"/>
      <c r="CC194" s="93"/>
      <c r="CD194" s="93"/>
      <c r="CE194" s="93"/>
      <c r="CF194" s="93"/>
      <c r="CG194" s="94"/>
      <c r="CH194" s="233" t="str">
        <f>IFERROR(TOWER_DATA[[#This Row],[Top '[m']]]-TOWER_DATA[[#This Row],[Bottom '[m']]], "")</f>
        <v/>
      </c>
      <c r="CI194" s="217" t="str">
        <f>IFERROR(-(TOWER_DATA[[#This Row],[D, bottom '[m']]]-TOWER_DATA[[#This Row],[D, top '[m']]])/(TOWER_DATA[[#This Row],[Bottom '[m']]]-TOWER_DATA[[#This Row],[Top '[m']]]),"")</f>
        <v/>
      </c>
      <c r="CJ194" s="145" t="str">
        <f t="shared" si="9"/>
        <v/>
      </c>
      <c r="CK194" s="234" t="str">
        <f>IFERROR((TOWER_DATA[[#This Row],[D, bottom '[m']]]+TOWER_DATA[[#This Row],[D, top '[m']]])/(2*TOWER_DATA[[#This Row],[t '[mm']]]/1000),"")</f>
        <v/>
      </c>
      <c r="DO194" s="209"/>
      <c r="DP194" s="209"/>
      <c r="DQ194" s="187"/>
      <c r="DT194" s="99"/>
      <c r="DU194" s="99"/>
    </row>
    <row r="195" spans="1:125" ht="18" customHeight="1">
      <c r="A195" s="271"/>
      <c r="D195" s="280"/>
      <c r="E195" s="52"/>
      <c r="K195" s="233" t="str">
        <f>IFERROR(MP_DATA[[#This Row],[Top '[m']]]-MP_DATA[[#This Row],[Bottom '[m']]], "")</f>
        <v/>
      </c>
      <c r="L195" s="217" t="str">
        <f>IFERROR(-(MP_DATA[[#This Row],[D, bottom '[m']]]-MP_DATA[[#This Row],[D, top '[m']]])/(MP_DATA[[#This Row],[Bottom '[m']]]-MP_DATA[[#This Row],[Top '[m']]]),"")</f>
        <v/>
      </c>
      <c r="M195" s="145" t="str">
        <f t="shared" si="10"/>
        <v/>
      </c>
      <c r="N195" s="234" t="str">
        <f>IFERROR((MP_DATA[[#This Row],[D, bottom '[m']]]+MP_DATA[[#This Row],[D, top '[m']]])/(2*MP_DATA[[#This Row],[t '[mm']]]/1000),"")</f>
        <v/>
      </c>
      <c r="Q195" s="209"/>
      <c r="R195" s="209"/>
      <c r="S195" s="187"/>
      <c r="AV195" s="233" t="str">
        <f>IFERROR(TP_DATA[[#This Row],[Top '[m']]]-TP_DATA[[#This Row],[Bottom '[m']]], "")</f>
        <v/>
      </c>
      <c r="AW195" s="208"/>
      <c r="AX195" s="209"/>
      <c r="AY195" s="240"/>
      <c r="BB195" s="99"/>
      <c r="BC195" s="99"/>
      <c r="BD195" s="187"/>
      <c r="CB195" s="92"/>
      <c r="CC195" s="93"/>
      <c r="CD195" s="93"/>
      <c r="CE195" s="93"/>
      <c r="CF195" s="93"/>
      <c r="CG195" s="94"/>
      <c r="CH195" s="233" t="str">
        <f>IFERROR(TOWER_DATA[[#This Row],[Top '[m']]]-TOWER_DATA[[#This Row],[Bottom '[m']]], "")</f>
        <v/>
      </c>
      <c r="CI195" s="217" t="str">
        <f>IFERROR(-(TOWER_DATA[[#This Row],[D, bottom '[m']]]-TOWER_DATA[[#This Row],[D, top '[m']]])/(TOWER_DATA[[#This Row],[Bottom '[m']]]-TOWER_DATA[[#This Row],[Top '[m']]]),"")</f>
        <v/>
      </c>
      <c r="CJ195" s="145" t="str">
        <f t="shared" si="9"/>
        <v/>
      </c>
      <c r="CK195" s="234" t="str">
        <f>IFERROR((TOWER_DATA[[#This Row],[D, bottom '[m']]]+TOWER_DATA[[#This Row],[D, top '[m']]])/(2*TOWER_DATA[[#This Row],[t '[mm']]]/1000),"")</f>
        <v/>
      </c>
      <c r="DO195" s="209"/>
      <c r="DP195" s="209"/>
      <c r="DQ195" s="187"/>
      <c r="DT195" s="99"/>
      <c r="DU195" s="99"/>
    </row>
    <row r="196" spans="1:125" ht="18" customHeight="1">
      <c r="A196" s="271"/>
      <c r="D196" s="280"/>
      <c r="E196" s="52"/>
      <c r="K196" s="233" t="str">
        <f>IFERROR(MP_DATA[[#This Row],[Top '[m']]]-MP_DATA[[#This Row],[Bottom '[m']]], "")</f>
        <v/>
      </c>
      <c r="L196" s="217" t="str">
        <f>IFERROR(-(MP_DATA[[#This Row],[D, bottom '[m']]]-MP_DATA[[#This Row],[D, top '[m']]])/(MP_DATA[[#This Row],[Bottom '[m']]]-MP_DATA[[#This Row],[Top '[m']]]),"")</f>
        <v/>
      </c>
      <c r="M196" s="145" t="str">
        <f t="shared" si="10"/>
        <v/>
      </c>
      <c r="N196" s="234" t="str">
        <f>IFERROR((MP_DATA[[#This Row],[D, bottom '[m']]]+MP_DATA[[#This Row],[D, top '[m']]])/(2*MP_DATA[[#This Row],[t '[mm']]]/1000),"")</f>
        <v/>
      </c>
      <c r="Q196" s="209"/>
      <c r="R196" s="209"/>
      <c r="S196" s="187"/>
      <c r="AV196" s="233" t="str">
        <f>IFERROR(TP_DATA[[#This Row],[Top '[m']]]-TP_DATA[[#This Row],[Bottom '[m']]], "")</f>
        <v/>
      </c>
      <c r="AW196" s="208"/>
      <c r="AX196" s="209"/>
      <c r="AY196" s="240"/>
      <c r="BB196" s="99"/>
      <c r="BC196" s="99"/>
      <c r="BD196" s="187"/>
      <c r="CB196" s="92"/>
      <c r="CC196" s="93"/>
      <c r="CD196" s="93"/>
      <c r="CE196" s="93"/>
      <c r="CF196" s="93"/>
      <c r="CG196" s="94"/>
      <c r="CH196" s="233" t="str">
        <f>IFERROR(TOWER_DATA[[#This Row],[Top '[m']]]-TOWER_DATA[[#This Row],[Bottom '[m']]], "")</f>
        <v/>
      </c>
      <c r="CI196" s="217" t="str">
        <f>IFERROR(-(TOWER_DATA[[#This Row],[D, bottom '[m']]]-TOWER_DATA[[#This Row],[D, top '[m']]])/(TOWER_DATA[[#This Row],[Bottom '[m']]]-TOWER_DATA[[#This Row],[Top '[m']]]),"")</f>
        <v/>
      </c>
      <c r="CJ196" s="145" t="str">
        <f t="shared" si="9"/>
        <v/>
      </c>
      <c r="CK196" s="234" t="str">
        <f>IFERROR((TOWER_DATA[[#This Row],[D, bottom '[m']]]+TOWER_DATA[[#This Row],[D, top '[m']]])/(2*TOWER_DATA[[#This Row],[t '[mm']]]/1000),"")</f>
        <v/>
      </c>
      <c r="DO196" s="209"/>
      <c r="DP196" s="209"/>
      <c r="DQ196" s="187"/>
      <c r="DT196" s="99"/>
      <c r="DU196" s="99"/>
    </row>
    <row r="197" spans="1:125" ht="18" customHeight="1">
      <c r="A197" s="271"/>
      <c r="D197" s="280"/>
      <c r="E197" s="52"/>
      <c r="K197" s="233" t="str">
        <f>IFERROR(MP_DATA[[#This Row],[Top '[m']]]-MP_DATA[[#This Row],[Bottom '[m']]], "")</f>
        <v/>
      </c>
      <c r="L197" s="217" t="str">
        <f>IFERROR(-(MP_DATA[[#This Row],[D, bottom '[m']]]-MP_DATA[[#This Row],[D, top '[m']]])/(MP_DATA[[#This Row],[Bottom '[m']]]-MP_DATA[[#This Row],[Top '[m']]]),"")</f>
        <v/>
      </c>
      <c r="M197" s="145" t="str">
        <f t="shared" si="10"/>
        <v/>
      </c>
      <c r="N197" s="234" t="str">
        <f>IFERROR((MP_DATA[[#This Row],[D, bottom '[m']]]+MP_DATA[[#This Row],[D, top '[m']]])/(2*MP_DATA[[#This Row],[t '[mm']]]/1000),"")</f>
        <v/>
      </c>
      <c r="Q197" s="209"/>
      <c r="R197" s="209"/>
      <c r="S197" s="187"/>
      <c r="AV197" s="233" t="str">
        <f>IFERROR(TP_DATA[[#This Row],[Top '[m']]]-TP_DATA[[#This Row],[Bottom '[m']]], "")</f>
        <v/>
      </c>
      <c r="AW197" s="208"/>
      <c r="AX197" s="209"/>
      <c r="AY197" s="240"/>
      <c r="BB197" s="99"/>
      <c r="BC197" s="99"/>
      <c r="BD197" s="187"/>
      <c r="CB197" s="92"/>
      <c r="CC197" s="93"/>
      <c r="CD197" s="93"/>
      <c r="CE197" s="93"/>
      <c r="CF197" s="93"/>
      <c r="CG197" s="94"/>
      <c r="CH197" s="233" t="str">
        <f>IFERROR(TOWER_DATA[[#This Row],[Top '[m']]]-TOWER_DATA[[#This Row],[Bottom '[m']]], "")</f>
        <v/>
      </c>
      <c r="CI197" s="217" t="str">
        <f>IFERROR(-(TOWER_DATA[[#This Row],[D, bottom '[m']]]-TOWER_DATA[[#This Row],[D, top '[m']]])/(TOWER_DATA[[#This Row],[Bottom '[m']]]-TOWER_DATA[[#This Row],[Top '[m']]]),"")</f>
        <v/>
      </c>
      <c r="CJ197" s="145" t="str">
        <f t="shared" si="9"/>
        <v/>
      </c>
      <c r="CK197" s="234" t="str">
        <f>IFERROR((TOWER_DATA[[#This Row],[D, bottom '[m']]]+TOWER_DATA[[#This Row],[D, top '[m']]])/(2*TOWER_DATA[[#This Row],[t '[mm']]]/1000),"")</f>
        <v/>
      </c>
      <c r="DO197" s="209"/>
      <c r="DP197" s="209"/>
      <c r="DQ197" s="187"/>
      <c r="DT197" s="99"/>
      <c r="DU197" s="99"/>
    </row>
    <row r="198" spans="1:125" ht="18" customHeight="1">
      <c r="A198" s="271"/>
      <c r="D198" s="280"/>
      <c r="E198" s="52"/>
      <c r="K198" s="233" t="str">
        <f>IFERROR(MP_DATA[[#This Row],[Top '[m']]]-MP_DATA[[#This Row],[Bottom '[m']]], "")</f>
        <v/>
      </c>
      <c r="L198" s="217" t="str">
        <f>IFERROR(-(MP_DATA[[#This Row],[D, bottom '[m']]]-MP_DATA[[#This Row],[D, top '[m']]])/(MP_DATA[[#This Row],[Bottom '[m']]]-MP_DATA[[#This Row],[Top '[m']]]),"")</f>
        <v/>
      </c>
      <c r="M198" s="145" t="str">
        <f t="shared" si="10"/>
        <v/>
      </c>
      <c r="N198" s="234" t="str">
        <f>IFERROR((MP_DATA[[#This Row],[D, bottom '[m']]]+MP_DATA[[#This Row],[D, top '[m']]])/(2*MP_DATA[[#This Row],[t '[mm']]]/1000),"")</f>
        <v/>
      </c>
      <c r="Q198" s="209"/>
      <c r="R198" s="209"/>
      <c r="S198" s="187"/>
      <c r="AV198" s="233" t="str">
        <f>IFERROR(TP_DATA[[#This Row],[Top '[m']]]-TP_DATA[[#This Row],[Bottom '[m']]], "")</f>
        <v/>
      </c>
      <c r="AW198" s="208"/>
      <c r="AX198" s="209"/>
      <c r="AY198" s="240"/>
      <c r="BB198" s="99"/>
      <c r="BC198" s="99"/>
      <c r="BD198" s="187"/>
      <c r="CB198" s="92"/>
      <c r="CC198" s="93"/>
      <c r="CD198" s="93"/>
      <c r="CE198" s="93"/>
      <c r="CF198" s="93"/>
      <c r="CG198" s="94"/>
      <c r="CH198" s="233" t="str">
        <f>IFERROR(TOWER_DATA[[#This Row],[Top '[m']]]-TOWER_DATA[[#This Row],[Bottom '[m']]], "")</f>
        <v/>
      </c>
      <c r="CI198" s="217" t="str">
        <f>IFERROR(-(TOWER_DATA[[#This Row],[D, bottom '[m']]]-TOWER_DATA[[#This Row],[D, top '[m']]])/(TOWER_DATA[[#This Row],[Bottom '[m']]]-TOWER_DATA[[#This Row],[Top '[m']]]),"")</f>
        <v/>
      </c>
      <c r="CJ198" s="145" t="str">
        <f t="shared" si="9"/>
        <v/>
      </c>
      <c r="CK198" s="234" t="str">
        <f>IFERROR((TOWER_DATA[[#This Row],[D, bottom '[m']]]+TOWER_DATA[[#This Row],[D, top '[m']]])/(2*TOWER_DATA[[#This Row],[t '[mm']]]/1000),"")</f>
        <v/>
      </c>
      <c r="DO198" s="209"/>
      <c r="DP198" s="209"/>
      <c r="DQ198" s="187"/>
      <c r="DT198" s="99"/>
      <c r="DU198" s="99"/>
    </row>
    <row r="199" spans="1:125" ht="18" customHeight="1">
      <c r="A199" s="271"/>
      <c r="D199" s="280"/>
      <c r="E199" s="52"/>
      <c r="K199" s="233" t="str">
        <f>IFERROR(MP_DATA[[#This Row],[Top '[m']]]-MP_DATA[[#This Row],[Bottom '[m']]], "")</f>
        <v/>
      </c>
      <c r="L199" s="217" t="str">
        <f>IFERROR(-(MP_DATA[[#This Row],[D, bottom '[m']]]-MP_DATA[[#This Row],[D, top '[m']]])/(MP_DATA[[#This Row],[Bottom '[m']]]-MP_DATA[[#This Row],[Top '[m']]]),"")</f>
        <v/>
      </c>
      <c r="M199" s="145" t="str">
        <f t="shared" si="10"/>
        <v/>
      </c>
      <c r="N199" s="234" t="str">
        <f>IFERROR((MP_DATA[[#This Row],[D, bottom '[m']]]+MP_DATA[[#This Row],[D, top '[m']]])/(2*MP_DATA[[#This Row],[t '[mm']]]/1000),"")</f>
        <v/>
      </c>
      <c r="Q199" s="209"/>
      <c r="R199" s="209"/>
      <c r="S199" s="187"/>
      <c r="AV199" s="233" t="str">
        <f>IFERROR(TP_DATA[[#This Row],[Top '[m']]]-TP_DATA[[#This Row],[Bottom '[m']]], "")</f>
        <v/>
      </c>
      <c r="AW199" s="208"/>
      <c r="AX199" s="209"/>
      <c r="AY199" s="240"/>
      <c r="BB199" s="99"/>
      <c r="BC199" s="99"/>
      <c r="BD199" s="187"/>
      <c r="CB199" s="92"/>
      <c r="CC199" s="93"/>
      <c r="CD199" s="93"/>
      <c r="CE199" s="93"/>
      <c r="CF199" s="93"/>
      <c r="CG199" s="94"/>
      <c r="CH199" s="233" t="str">
        <f>IFERROR(TOWER_DATA[[#This Row],[Top '[m']]]-TOWER_DATA[[#This Row],[Bottom '[m']]], "")</f>
        <v/>
      </c>
      <c r="CI199" s="217" t="str">
        <f>IFERROR(-(TOWER_DATA[[#This Row],[D, bottom '[m']]]-TOWER_DATA[[#This Row],[D, top '[m']]])/(TOWER_DATA[[#This Row],[Bottom '[m']]]-TOWER_DATA[[#This Row],[Top '[m']]]),"")</f>
        <v/>
      </c>
      <c r="CJ199" s="145" t="str">
        <f t="shared" si="9"/>
        <v/>
      </c>
      <c r="CK199" s="234" t="str">
        <f>IFERROR((TOWER_DATA[[#This Row],[D, bottom '[m']]]+TOWER_DATA[[#This Row],[D, top '[m']]])/(2*TOWER_DATA[[#This Row],[t '[mm']]]/1000),"")</f>
        <v/>
      </c>
      <c r="DO199" s="209"/>
      <c r="DP199" s="209"/>
      <c r="DQ199" s="187"/>
      <c r="DT199" s="99"/>
      <c r="DU199" s="99"/>
    </row>
    <row r="200" spans="1:125" ht="18" customHeight="1">
      <c r="A200" s="271"/>
      <c r="D200" s="280"/>
      <c r="E200" s="52"/>
      <c r="K200" s="233" t="str">
        <f>IFERROR(MP_DATA[[#This Row],[Top '[m']]]-MP_DATA[[#This Row],[Bottom '[m']]], "")</f>
        <v/>
      </c>
      <c r="L200" s="217" t="str">
        <f>IFERROR(-(MP_DATA[[#This Row],[D, bottom '[m']]]-MP_DATA[[#This Row],[D, top '[m']]])/(MP_DATA[[#This Row],[Bottom '[m']]]-MP_DATA[[#This Row],[Top '[m']]]),"")</f>
        <v/>
      </c>
      <c r="M200" s="145" t="str">
        <f t="shared" si="10"/>
        <v/>
      </c>
      <c r="N200" s="234" t="str">
        <f>IFERROR((MP_DATA[[#This Row],[D, bottom '[m']]]+MP_DATA[[#This Row],[D, top '[m']]])/(2*MP_DATA[[#This Row],[t '[mm']]]/1000),"")</f>
        <v/>
      </c>
      <c r="Q200" s="209"/>
      <c r="R200" s="209"/>
      <c r="S200" s="187"/>
      <c r="AV200" s="233" t="str">
        <f>IFERROR(TP_DATA[[#This Row],[Top '[m']]]-TP_DATA[[#This Row],[Bottom '[m']]], "")</f>
        <v/>
      </c>
      <c r="AW200" s="208"/>
      <c r="AX200" s="209"/>
      <c r="AY200" s="240"/>
      <c r="BB200" s="99"/>
      <c r="BC200" s="99"/>
      <c r="BD200" s="187"/>
      <c r="CB200" s="92"/>
      <c r="CC200" s="93"/>
      <c r="CD200" s="93"/>
      <c r="CE200" s="93"/>
      <c r="CF200" s="93"/>
      <c r="CG200" s="94"/>
      <c r="CH200" s="233" t="str">
        <f>IFERROR(TOWER_DATA[[#This Row],[Top '[m']]]-TOWER_DATA[[#This Row],[Bottom '[m']]], "")</f>
        <v/>
      </c>
      <c r="CI200" s="217" t="str">
        <f>IFERROR(-(TOWER_DATA[[#This Row],[D, bottom '[m']]]-TOWER_DATA[[#This Row],[D, top '[m']]])/(TOWER_DATA[[#This Row],[Bottom '[m']]]-TOWER_DATA[[#This Row],[Top '[m']]]),"")</f>
        <v/>
      </c>
      <c r="CJ200" s="145" t="str">
        <f t="shared" si="9"/>
        <v/>
      </c>
      <c r="CK200" s="234" t="str">
        <f>IFERROR((TOWER_DATA[[#This Row],[D, bottom '[m']]]+TOWER_DATA[[#This Row],[D, top '[m']]])/(2*TOWER_DATA[[#This Row],[t '[mm']]]/1000),"")</f>
        <v/>
      </c>
      <c r="DO200" s="209"/>
      <c r="DP200" s="209"/>
      <c r="DQ200" s="187"/>
      <c r="DT200" s="99"/>
      <c r="DU200" s="99"/>
    </row>
    <row r="201" spans="1:125" ht="18" customHeight="1">
      <c r="A201" s="271"/>
      <c r="D201" s="280"/>
      <c r="E201" s="52"/>
      <c r="K201" s="233" t="str">
        <f>IFERROR(MP_DATA[[#This Row],[Top '[m']]]-MP_DATA[[#This Row],[Bottom '[m']]], "")</f>
        <v/>
      </c>
      <c r="L201" s="217" t="str">
        <f>IFERROR(-(MP_DATA[[#This Row],[D, bottom '[m']]]-MP_DATA[[#This Row],[D, top '[m']]])/(MP_DATA[[#This Row],[Bottom '[m']]]-MP_DATA[[#This Row],[Top '[m']]]),"")</f>
        <v/>
      </c>
      <c r="M201" s="145" t="str">
        <f t="shared" si="10"/>
        <v/>
      </c>
      <c r="N201" s="234" t="str">
        <f>IFERROR((MP_DATA[[#This Row],[D, bottom '[m']]]+MP_DATA[[#This Row],[D, top '[m']]])/(2*MP_DATA[[#This Row],[t '[mm']]]/1000),"")</f>
        <v/>
      </c>
      <c r="Q201" s="209"/>
      <c r="R201" s="209"/>
      <c r="S201" s="187"/>
      <c r="AV201" s="233" t="str">
        <f>IFERROR(TP_DATA[[#This Row],[Top '[m']]]-TP_DATA[[#This Row],[Bottom '[m']]], "")</f>
        <v/>
      </c>
      <c r="AW201" s="208"/>
      <c r="AX201" s="209"/>
      <c r="AY201" s="240"/>
      <c r="BB201" s="99"/>
      <c r="BC201" s="99"/>
      <c r="BD201" s="187"/>
      <c r="CB201" s="92"/>
      <c r="CC201" s="93"/>
      <c r="CD201" s="93"/>
      <c r="CE201" s="93"/>
      <c r="CF201" s="93"/>
      <c r="CG201" s="94"/>
      <c r="CH201" s="233" t="str">
        <f>IFERROR(TOWER_DATA[[#This Row],[Top '[m']]]-TOWER_DATA[[#This Row],[Bottom '[m']]], "")</f>
        <v/>
      </c>
      <c r="CI201" s="217" t="str">
        <f>IFERROR(-(TOWER_DATA[[#This Row],[D, bottom '[m']]]-TOWER_DATA[[#This Row],[D, top '[m']]])/(TOWER_DATA[[#This Row],[Bottom '[m']]]-TOWER_DATA[[#This Row],[Top '[m']]]),"")</f>
        <v/>
      </c>
      <c r="CJ201" s="145" t="str">
        <f t="shared" si="9"/>
        <v/>
      </c>
      <c r="CK201" s="234" t="str">
        <f>IFERROR((TOWER_DATA[[#This Row],[D, bottom '[m']]]+TOWER_DATA[[#This Row],[D, top '[m']]])/(2*TOWER_DATA[[#This Row],[t '[mm']]]/1000),"")</f>
        <v/>
      </c>
      <c r="DO201" s="209"/>
      <c r="DP201" s="209"/>
      <c r="DQ201" s="187"/>
      <c r="DT201" s="99"/>
      <c r="DU201" s="99"/>
    </row>
    <row r="202" spans="1:125" ht="18" customHeight="1" thickBot="1">
      <c r="A202" s="281"/>
      <c r="B202" s="85"/>
      <c r="C202" s="85"/>
      <c r="D202" s="282"/>
      <c r="E202" s="52"/>
      <c r="K202" s="233" t="str">
        <f>IFERROR(MP_DATA[[#This Row],[Top '[m']]]-MP_DATA[[#This Row],[Bottom '[m']]], "")</f>
        <v/>
      </c>
      <c r="L202" s="217" t="str">
        <f>IFERROR(-(MP_DATA[[#This Row],[D, bottom '[m']]]-MP_DATA[[#This Row],[D, top '[m']]])/(MP_DATA[[#This Row],[Bottom '[m']]]-MP_DATA[[#This Row],[Top '[m']]]),"")</f>
        <v/>
      </c>
      <c r="M202" s="145" t="str">
        <f t="shared" si="10"/>
        <v/>
      </c>
      <c r="N202" s="234" t="str">
        <f>IFERROR((MP_DATA[[#This Row],[D, bottom '[m']]]+MP_DATA[[#This Row],[D, top '[m']]])/(2*MP_DATA[[#This Row],[t '[mm']]]/1000),"")</f>
        <v/>
      </c>
      <c r="Q202" s="209"/>
      <c r="R202" s="209"/>
      <c r="S202" s="187"/>
      <c r="AV202" s="233" t="str">
        <f>IFERROR(TP_DATA[[#This Row],[Top '[m']]]-TP_DATA[[#This Row],[Bottom '[m']]], "")</f>
        <v/>
      </c>
      <c r="AW202" s="208"/>
      <c r="AX202" s="209"/>
      <c r="AY202" s="240"/>
      <c r="BB202" s="99"/>
      <c r="BC202" s="99"/>
      <c r="BD202" s="187"/>
      <c r="CB202" s="92"/>
      <c r="CC202" s="93"/>
      <c r="CD202" s="93"/>
      <c r="CE202" s="93"/>
      <c r="CF202" s="93"/>
      <c r="CG202" s="94"/>
      <c r="CH202" s="233" t="str">
        <f>IFERROR(TOWER_DATA[[#This Row],[Top '[m']]]-TOWER_DATA[[#This Row],[Bottom '[m']]], "")</f>
        <v/>
      </c>
      <c r="CI202" s="217" t="str">
        <f>IFERROR(-(TOWER_DATA[[#This Row],[D, bottom '[m']]]-TOWER_DATA[[#This Row],[D, top '[m']]])/(TOWER_DATA[[#This Row],[Bottom '[m']]]-TOWER_DATA[[#This Row],[Top '[m']]]),"")</f>
        <v/>
      </c>
      <c r="CJ202" s="145" t="str">
        <f t="shared" si="9"/>
        <v/>
      </c>
      <c r="CK202" s="234" t="str">
        <f>IFERROR((TOWER_DATA[[#This Row],[D, bottom '[m']]]+TOWER_DATA[[#This Row],[D, top '[m']]])/(2*TOWER_DATA[[#This Row],[t '[mm']]]/1000),"")</f>
        <v/>
      </c>
      <c r="DO202" s="209"/>
      <c r="DP202" s="209"/>
      <c r="DQ202" s="187"/>
      <c r="DT202" s="99"/>
      <c r="DU202" s="99"/>
    </row>
    <row r="203" spans="1:125" ht="18" customHeight="1">
      <c r="A203" s="271"/>
      <c r="D203" s="280"/>
      <c r="E203" s="52"/>
      <c r="K203" s="233" t="str">
        <f>IFERROR(MP_DATA[[#This Row],[Top '[m']]]-MP_DATA[[#This Row],[Bottom '[m']]], "")</f>
        <v/>
      </c>
      <c r="L203" s="217" t="str">
        <f>IFERROR(-(MP_DATA[[#This Row],[D, bottom '[m']]]-MP_DATA[[#This Row],[D, top '[m']]])/(MP_DATA[[#This Row],[Bottom '[m']]]-MP_DATA[[#This Row],[Top '[m']]]),"")</f>
        <v/>
      </c>
      <c r="M203" s="145" t="str">
        <f t="shared" si="10"/>
        <v/>
      </c>
      <c r="N203" s="234" t="str">
        <f>IFERROR((MP_DATA[[#This Row],[D, bottom '[m']]]+MP_DATA[[#This Row],[D, top '[m']]])/(2*MP_DATA[[#This Row],[t '[mm']]]/1000),"")</f>
        <v/>
      </c>
      <c r="Q203" s="209"/>
      <c r="R203" s="209"/>
      <c r="S203" s="187"/>
      <c r="AV203" s="233" t="str">
        <f>IFERROR(TP_DATA[[#This Row],[Top '[m']]]-TP_DATA[[#This Row],[Bottom '[m']]], "")</f>
        <v/>
      </c>
      <c r="AW203" s="208"/>
      <c r="AX203" s="209"/>
      <c r="AY203" s="240"/>
      <c r="BB203" s="99"/>
      <c r="BC203" s="99"/>
      <c r="BD203" s="187"/>
      <c r="CB203" s="92"/>
      <c r="CC203" s="93"/>
      <c r="CD203" s="93"/>
      <c r="CE203" s="93"/>
      <c r="CF203" s="93"/>
      <c r="CG203" s="94"/>
      <c r="CH203" s="233" t="str">
        <f>IFERROR(TOWER_DATA[[#This Row],[Top '[m']]]-TOWER_DATA[[#This Row],[Bottom '[m']]], "")</f>
        <v/>
      </c>
      <c r="CI203" s="217" t="str">
        <f>IFERROR(-(TOWER_DATA[[#This Row],[D, bottom '[m']]]-TOWER_DATA[[#This Row],[D, top '[m']]])/(TOWER_DATA[[#This Row],[Bottom '[m']]]-TOWER_DATA[[#This Row],[Top '[m']]]),"")</f>
        <v/>
      </c>
      <c r="CJ203" s="145" t="str">
        <f t="shared" si="9"/>
        <v/>
      </c>
      <c r="CK203" s="234" t="str">
        <f>IFERROR((TOWER_DATA[[#This Row],[D, bottom '[m']]]+TOWER_DATA[[#This Row],[D, top '[m']]])/(2*TOWER_DATA[[#This Row],[t '[mm']]]/1000),"")</f>
        <v/>
      </c>
      <c r="DO203" s="209"/>
      <c r="DP203" s="209"/>
      <c r="DQ203" s="187"/>
      <c r="DT203" s="99"/>
      <c r="DU203" s="99"/>
    </row>
    <row r="204" spans="1:125" ht="18" customHeight="1">
      <c r="A204" s="271"/>
      <c r="D204" s="280"/>
      <c r="E204" s="52"/>
      <c r="K204" s="233" t="str">
        <f>IFERROR(MP_DATA[[#This Row],[Top '[m']]]-MP_DATA[[#This Row],[Bottom '[m']]], "")</f>
        <v/>
      </c>
      <c r="L204" s="217" t="str">
        <f>IFERROR(-(MP_DATA[[#This Row],[D, bottom '[m']]]-MP_DATA[[#This Row],[D, top '[m']]])/(MP_DATA[[#This Row],[Bottom '[m']]]-MP_DATA[[#This Row],[Top '[m']]]),"")</f>
        <v/>
      </c>
      <c r="M204" s="145" t="str">
        <f t="shared" si="10"/>
        <v/>
      </c>
      <c r="N204" s="234" t="str">
        <f>IFERROR((MP_DATA[[#This Row],[D, bottom '[m']]]+MP_DATA[[#This Row],[D, top '[m']]])/(2*MP_DATA[[#This Row],[t '[mm']]]/1000),"")</f>
        <v/>
      </c>
      <c r="Q204" s="209"/>
      <c r="R204" s="209"/>
      <c r="S204" s="187"/>
      <c r="AV204" s="233" t="str">
        <f>IFERROR(TP_DATA[[#This Row],[Top '[m']]]-TP_DATA[[#This Row],[Bottom '[m']]], "")</f>
        <v/>
      </c>
      <c r="AW204" s="208"/>
      <c r="AX204" s="209"/>
      <c r="AY204" s="240"/>
      <c r="BB204" s="99"/>
      <c r="BC204" s="99"/>
      <c r="BD204" s="187"/>
      <c r="CB204" s="92"/>
      <c r="CC204" s="93"/>
      <c r="CD204" s="93"/>
      <c r="CE204" s="93"/>
      <c r="CF204" s="93"/>
      <c r="CG204" s="94"/>
      <c r="CH204" s="233" t="str">
        <f>IFERROR(TOWER_DATA[[#This Row],[Top '[m']]]-TOWER_DATA[[#This Row],[Bottom '[m']]], "")</f>
        <v/>
      </c>
      <c r="CI204" s="217" t="str">
        <f>IFERROR(-(TOWER_DATA[[#This Row],[D, bottom '[m']]]-TOWER_DATA[[#This Row],[D, top '[m']]])/(TOWER_DATA[[#This Row],[Bottom '[m']]]-TOWER_DATA[[#This Row],[Top '[m']]]),"")</f>
        <v/>
      </c>
      <c r="CJ204" s="145" t="str">
        <f t="shared" si="9"/>
        <v/>
      </c>
      <c r="CK204" s="234" t="str">
        <f>IFERROR((TOWER_DATA[[#This Row],[D, bottom '[m']]]+TOWER_DATA[[#This Row],[D, top '[m']]])/(2*TOWER_DATA[[#This Row],[t '[mm']]]/1000),"")</f>
        <v/>
      </c>
      <c r="DO204" s="209"/>
      <c r="DP204" s="209"/>
      <c r="DQ204" s="187"/>
      <c r="DT204" s="99"/>
      <c r="DU204" s="99"/>
    </row>
    <row r="205" spans="1:125" ht="18" customHeight="1">
      <c r="A205" s="271"/>
      <c r="D205" s="280"/>
      <c r="E205" s="52"/>
      <c r="K205" s="233" t="str">
        <f>IFERROR(MP_DATA[[#This Row],[Top '[m']]]-MP_DATA[[#This Row],[Bottom '[m']]], "")</f>
        <v/>
      </c>
      <c r="L205" s="217" t="str">
        <f>IFERROR(-(MP_DATA[[#This Row],[D, bottom '[m']]]-MP_DATA[[#This Row],[D, top '[m']]])/(MP_DATA[[#This Row],[Bottom '[m']]]-MP_DATA[[#This Row],[Top '[m']]]),"")</f>
        <v/>
      </c>
      <c r="M205" s="145" t="str">
        <f t="shared" si="10"/>
        <v/>
      </c>
      <c r="N205" s="234" t="str">
        <f>IFERROR((MP_DATA[[#This Row],[D, bottom '[m']]]+MP_DATA[[#This Row],[D, top '[m']]])/(2*MP_DATA[[#This Row],[t '[mm']]]/1000),"")</f>
        <v/>
      </c>
      <c r="Q205" s="209"/>
      <c r="R205" s="209"/>
      <c r="S205" s="187"/>
      <c r="AV205" s="233" t="str">
        <f>IFERROR(TP_DATA[[#This Row],[Top '[m']]]-TP_DATA[[#This Row],[Bottom '[m']]], "")</f>
        <v/>
      </c>
      <c r="AW205" s="208"/>
      <c r="AX205" s="209"/>
      <c r="AY205" s="240"/>
      <c r="BB205" s="99"/>
      <c r="BC205" s="99"/>
      <c r="BD205" s="187"/>
      <c r="CH205" s="233" t="str">
        <f>IFERROR(TOWER_DATA[[#This Row],[Top '[m']]]-TOWER_DATA[[#This Row],[Bottom '[m']]], "")</f>
        <v/>
      </c>
      <c r="CI205" s="217" t="str">
        <f>IFERROR(-(TOWER_DATA[[#This Row],[D, bottom '[m']]]-TOWER_DATA[[#This Row],[D, top '[m']]])/(TOWER_DATA[[#This Row],[Bottom '[m']]]-TOWER_DATA[[#This Row],[Top '[m']]]),"")</f>
        <v/>
      </c>
      <c r="CJ205" s="145" t="str">
        <f t="shared" si="9"/>
        <v/>
      </c>
      <c r="CK205" s="234" t="str">
        <f>IFERROR((TOWER_DATA[[#This Row],[D, bottom '[m']]]+TOWER_DATA[[#This Row],[D, top '[m']]])/(2*TOWER_DATA[[#This Row],[t '[mm']]]/1000),"")</f>
        <v/>
      </c>
      <c r="DO205" s="209"/>
      <c r="DP205" s="209"/>
      <c r="DQ205" s="187"/>
      <c r="DT205" s="99"/>
      <c r="DU205" s="99"/>
    </row>
    <row r="206" spans="1:125" ht="18" customHeight="1">
      <c r="A206" s="271"/>
      <c r="D206" s="280"/>
      <c r="E206" s="52"/>
      <c r="K206" s="233" t="str">
        <f>IFERROR(MP_DATA[[#This Row],[Top '[m']]]-MP_DATA[[#This Row],[Bottom '[m']]], "")</f>
        <v/>
      </c>
      <c r="L206" s="217" t="str">
        <f>IFERROR(-(MP_DATA[[#This Row],[D, bottom '[m']]]-MP_DATA[[#This Row],[D, top '[m']]])/(MP_DATA[[#This Row],[Bottom '[m']]]-MP_DATA[[#This Row],[Top '[m']]]),"")</f>
        <v/>
      </c>
      <c r="M206" s="145" t="str">
        <f t="shared" si="10"/>
        <v/>
      </c>
      <c r="N206" s="234" t="str">
        <f>IFERROR((MP_DATA[[#This Row],[D, bottom '[m']]]+MP_DATA[[#This Row],[D, top '[m']]])/(2*MP_DATA[[#This Row],[t '[mm']]]/1000),"")</f>
        <v/>
      </c>
      <c r="Q206" s="209"/>
      <c r="R206" s="209"/>
      <c r="S206" s="187"/>
      <c r="AV206" s="233" t="str">
        <f>IFERROR(TP_DATA[[#This Row],[Top '[m']]]-TP_DATA[[#This Row],[Bottom '[m']]], "")</f>
        <v/>
      </c>
      <c r="AW206" s="208"/>
      <c r="AX206" s="209"/>
      <c r="AY206" s="240"/>
      <c r="BB206" s="99"/>
      <c r="BC206" s="99"/>
      <c r="BD206" s="187"/>
      <c r="CH206" s="233" t="str">
        <f>IFERROR(TOWER_DATA[[#This Row],[Top '[m']]]-TOWER_DATA[[#This Row],[Bottom '[m']]], "")</f>
        <v/>
      </c>
      <c r="CI206" s="217" t="str">
        <f>IFERROR(-(TOWER_DATA[[#This Row],[D, bottom '[m']]]-TOWER_DATA[[#This Row],[D, top '[m']]])/(TOWER_DATA[[#This Row],[Bottom '[m']]]-TOWER_DATA[[#This Row],[Top '[m']]]),"")</f>
        <v/>
      </c>
      <c r="CJ206" s="145" t="str">
        <f t="shared" si="9"/>
        <v/>
      </c>
      <c r="CK206" s="234" t="str">
        <f>IFERROR((TOWER_DATA[[#This Row],[D, bottom '[m']]]+TOWER_DATA[[#This Row],[D, top '[m']]])/(2*TOWER_DATA[[#This Row],[t '[mm']]]/1000),"")</f>
        <v/>
      </c>
      <c r="DO206" s="209"/>
      <c r="DP206" s="209"/>
      <c r="DQ206" s="187"/>
      <c r="DT206" s="99"/>
      <c r="DU206" s="99"/>
    </row>
    <row r="207" spans="1:125" ht="18" customHeight="1">
      <c r="A207" s="271"/>
      <c r="D207" s="280"/>
      <c r="E207" s="52"/>
      <c r="K207" s="233" t="str">
        <f>IFERROR(MP_DATA[[#This Row],[Top '[m']]]-MP_DATA[[#This Row],[Bottom '[m']]], "")</f>
        <v/>
      </c>
      <c r="L207" s="217" t="str">
        <f>IFERROR(-(MP_DATA[[#This Row],[D, bottom '[m']]]-MP_DATA[[#This Row],[D, top '[m']]])/(MP_DATA[[#This Row],[Bottom '[m']]]-MP_DATA[[#This Row],[Top '[m']]]),"")</f>
        <v/>
      </c>
      <c r="M207" s="145" t="str">
        <f t="shared" si="10"/>
        <v/>
      </c>
      <c r="N207" s="234" t="str">
        <f>IFERROR((MP_DATA[[#This Row],[D, bottom '[m']]]+MP_DATA[[#This Row],[D, top '[m']]])/(2*MP_DATA[[#This Row],[t '[mm']]]/1000),"")</f>
        <v/>
      </c>
      <c r="Q207" s="209"/>
      <c r="R207" s="209"/>
      <c r="S207" s="187"/>
      <c r="AV207" s="233" t="str">
        <f>IFERROR(TP_DATA[[#This Row],[Top '[m']]]-TP_DATA[[#This Row],[Bottom '[m']]], "")</f>
        <v/>
      </c>
      <c r="AW207" s="208"/>
      <c r="AX207" s="209"/>
      <c r="AY207" s="240"/>
      <c r="BB207" s="99"/>
      <c r="BC207" s="99"/>
      <c r="BD207" s="187"/>
      <c r="CH207" s="233" t="str">
        <f>IFERROR(TOWER_DATA[[#This Row],[Top '[m']]]-TOWER_DATA[[#This Row],[Bottom '[m']]], "")</f>
        <v/>
      </c>
      <c r="CI207" s="217" t="str">
        <f>IFERROR(-(TOWER_DATA[[#This Row],[D, bottom '[m']]]-TOWER_DATA[[#This Row],[D, top '[m']]])/(TOWER_DATA[[#This Row],[Bottom '[m']]]-TOWER_DATA[[#This Row],[Top '[m']]]),"")</f>
        <v/>
      </c>
      <c r="CJ207" s="145" t="str">
        <f t="shared" si="9"/>
        <v/>
      </c>
      <c r="CK207" s="234" t="str">
        <f>IFERROR((TOWER_DATA[[#This Row],[D, bottom '[m']]]+TOWER_DATA[[#This Row],[D, top '[m']]])/(2*TOWER_DATA[[#This Row],[t '[mm']]]/1000),"")</f>
        <v/>
      </c>
      <c r="DO207" s="209"/>
      <c r="DP207" s="209"/>
      <c r="DQ207" s="187"/>
      <c r="DT207" s="99"/>
      <c r="DU207" s="99"/>
    </row>
    <row r="208" spans="1:125" ht="18" customHeight="1">
      <c r="A208" s="271"/>
      <c r="D208" s="280"/>
      <c r="E208" s="52"/>
      <c r="K208" s="233" t="str">
        <f>IFERROR(MP_DATA[[#This Row],[Top '[m']]]-MP_DATA[[#This Row],[Bottom '[m']]], "")</f>
        <v/>
      </c>
      <c r="L208" s="217" t="str">
        <f>IFERROR(-(MP_DATA[[#This Row],[D, bottom '[m']]]-MP_DATA[[#This Row],[D, top '[m']]])/(MP_DATA[[#This Row],[Bottom '[m']]]-MP_DATA[[#This Row],[Top '[m']]]),"")</f>
        <v/>
      </c>
      <c r="M208" s="145" t="str">
        <f t="shared" si="10"/>
        <v/>
      </c>
      <c r="N208" s="234" t="str">
        <f>IFERROR((MP_DATA[[#This Row],[D, bottom '[m']]]+MP_DATA[[#This Row],[D, top '[m']]])/(2*MP_DATA[[#This Row],[t '[mm']]]/1000),"")</f>
        <v/>
      </c>
      <c r="Q208" s="209"/>
      <c r="R208" s="209"/>
      <c r="S208" s="187"/>
      <c r="AV208" s="233" t="str">
        <f>IFERROR(TP_DATA[[#This Row],[Top '[m']]]-TP_DATA[[#This Row],[Bottom '[m']]], "")</f>
        <v/>
      </c>
      <c r="AW208" s="208"/>
      <c r="AX208" s="209"/>
      <c r="AY208" s="240"/>
      <c r="BB208" s="99"/>
      <c r="BC208" s="99"/>
      <c r="BD208" s="187"/>
      <c r="CH208" s="233" t="str">
        <f>IFERROR(TOWER_DATA[[#This Row],[Top '[m']]]-TOWER_DATA[[#This Row],[Bottom '[m']]], "")</f>
        <v/>
      </c>
      <c r="CI208" s="217" t="str">
        <f>IFERROR(-(TOWER_DATA[[#This Row],[D, bottom '[m']]]-TOWER_DATA[[#This Row],[D, top '[m']]])/(TOWER_DATA[[#This Row],[Bottom '[m']]]-TOWER_DATA[[#This Row],[Top '[m']]]),"")</f>
        <v/>
      </c>
      <c r="CJ208" s="145" t="str">
        <f t="shared" si="9"/>
        <v/>
      </c>
      <c r="CK208" s="234" t="str">
        <f>IFERROR((TOWER_DATA[[#This Row],[D, bottom '[m']]]+TOWER_DATA[[#This Row],[D, top '[m']]])/(2*TOWER_DATA[[#This Row],[t '[mm']]]/1000),"")</f>
        <v/>
      </c>
      <c r="DO208" s="209"/>
      <c r="DP208" s="209"/>
      <c r="DQ208" s="187"/>
      <c r="DT208" s="99"/>
      <c r="DU208" s="99"/>
    </row>
    <row r="209" spans="1:125" ht="18" customHeight="1">
      <c r="A209" s="271"/>
      <c r="D209" s="280"/>
      <c r="E209" s="52"/>
      <c r="K209" s="233" t="str">
        <f>IFERROR(MP_DATA[[#This Row],[Top '[m']]]-MP_DATA[[#This Row],[Bottom '[m']]], "")</f>
        <v/>
      </c>
      <c r="L209" s="217" t="str">
        <f>IFERROR(-(MP_DATA[[#This Row],[D, bottom '[m']]]-MP_DATA[[#This Row],[D, top '[m']]])/(MP_DATA[[#This Row],[Bottom '[m']]]-MP_DATA[[#This Row],[Top '[m']]]),"")</f>
        <v/>
      </c>
      <c r="M209" s="145" t="str">
        <f t="shared" si="10"/>
        <v/>
      </c>
      <c r="N209" s="234" t="str">
        <f>IFERROR((MP_DATA[[#This Row],[D, bottom '[m']]]+MP_DATA[[#This Row],[D, top '[m']]])/(2*MP_DATA[[#This Row],[t '[mm']]]/1000),"")</f>
        <v/>
      </c>
      <c r="Q209" s="209"/>
      <c r="R209" s="209"/>
      <c r="S209" s="187"/>
      <c r="AV209" s="233" t="str">
        <f>IFERROR(TP_DATA[[#This Row],[Top '[m']]]-TP_DATA[[#This Row],[Bottom '[m']]], "")</f>
        <v/>
      </c>
      <c r="AW209" s="208"/>
      <c r="AX209" s="209"/>
      <c r="AY209" s="240"/>
      <c r="BB209" s="99"/>
      <c r="BC209" s="99"/>
      <c r="BD209" s="187"/>
      <c r="CH209" s="233" t="str">
        <f>IFERROR(TOWER_DATA[[#This Row],[Top '[m']]]-TOWER_DATA[[#This Row],[Bottom '[m']]], "")</f>
        <v/>
      </c>
      <c r="CI209" s="217" t="str">
        <f>IFERROR(-(TOWER_DATA[[#This Row],[D, bottom '[m']]]-TOWER_DATA[[#This Row],[D, top '[m']]])/(TOWER_DATA[[#This Row],[Bottom '[m']]]-TOWER_DATA[[#This Row],[Top '[m']]]),"")</f>
        <v/>
      </c>
      <c r="CJ209" s="145" t="str">
        <f t="shared" si="9"/>
        <v/>
      </c>
      <c r="CK209" s="234" t="str">
        <f>IFERROR((TOWER_DATA[[#This Row],[D, bottom '[m']]]+TOWER_DATA[[#This Row],[D, top '[m']]])/(2*TOWER_DATA[[#This Row],[t '[mm']]]/1000),"")</f>
        <v/>
      </c>
      <c r="DO209" s="209"/>
      <c r="DP209" s="209"/>
      <c r="DQ209" s="187"/>
      <c r="DT209" s="99"/>
      <c r="DU209" s="99"/>
    </row>
    <row r="210" spans="1:125" ht="18" customHeight="1">
      <c r="A210" s="271"/>
      <c r="D210" s="280"/>
      <c r="E210" s="52"/>
      <c r="K210" s="233" t="str">
        <f>IFERROR(MP_DATA[[#This Row],[Top '[m']]]-MP_DATA[[#This Row],[Bottom '[m']]], "")</f>
        <v/>
      </c>
      <c r="L210" s="217" t="str">
        <f>IFERROR(-(MP_DATA[[#This Row],[D, bottom '[m']]]-MP_DATA[[#This Row],[D, top '[m']]])/(MP_DATA[[#This Row],[Bottom '[m']]]-MP_DATA[[#This Row],[Top '[m']]]),"")</f>
        <v/>
      </c>
      <c r="M210" s="145" t="str">
        <f t="shared" si="10"/>
        <v/>
      </c>
      <c r="N210" s="234" t="str">
        <f>IFERROR((MP_DATA[[#This Row],[D, bottom '[m']]]+MP_DATA[[#This Row],[D, top '[m']]])/(2*MP_DATA[[#This Row],[t '[mm']]]/1000),"")</f>
        <v/>
      </c>
      <c r="Q210" s="209"/>
      <c r="R210" s="209"/>
      <c r="S210" s="187"/>
      <c r="AV210" s="233" t="str">
        <f>IFERROR(TP_DATA[[#This Row],[Top '[m']]]-TP_DATA[[#This Row],[Bottom '[m']]], "")</f>
        <v/>
      </c>
      <c r="AW210" s="208"/>
      <c r="AX210" s="209"/>
      <c r="AY210" s="240"/>
      <c r="BB210" s="99"/>
      <c r="BC210" s="99"/>
      <c r="BD210" s="187"/>
      <c r="CH210" s="233" t="str">
        <f>IFERROR(TOWER_DATA[[#This Row],[Top '[m']]]-TOWER_DATA[[#This Row],[Bottom '[m']]], "")</f>
        <v/>
      </c>
      <c r="CI210" s="217" t="str">
        <f>IFERROR(-(TOWER_DATA[[#This Row],[D, bottom '[m']]]-TOWER_DATA[[#This Row],[D, top '[m']]])/(TOWER_DATA[[#This Row],[Bottom '[m']]]-TOWER_DATA[[#This Row],[Top '[m']]]),"")</f>
        <v/>
      </c>
      <c r="CJ210" s="145" t="str">
        <f t="shared" si="9"/>
        <v/>
      </c>
      <c r="CK210" s="234" t="str">
        <f>IFERROR((TOWER_DATA[[#This Row],[D, bottom '[m']]]+TOWER_DATA[[#This Row],[D, top '[m']]])/(2*TOWER_DATA[[#This Row],[t '[mm']]]/1000),"")</f>
        <v/>
      </c>
      <c r="DO210" s="209"/>
      <c r="DP210" s="209"/>
      <c r="DQ210" s="187"/>
      <c r="DT210" s="99"/>
      <c r="DU210" s="99"/>
    </row>
    <row r="211" spans="1:125" ht="18" customHeight="1">
      <c r="A211" s="271"/>
      <c r="D211" s="280"/>
      <c r="E211" s="52"/>
      <c r="K211" s="233" t="str">
        <f>IFERROR(MP_DATA[[#This Row],[Top '[m']]]-MP_DATA[[#This Row],[Bottom '[m']]], "")</f>
        <v/>
      </c>
      <c r="L211" s="217" t="str">
        <f>IFERROR(-(MP_DATA[[#This Row],[D, bottom '[m']]]-MP_DATA[[#This Row],[D, top '[m']]])/(MP_DATA[[#This Row],[Bottom '[m']]]-MP_DATA[[#This Row],[Top '[m']]]),"")</f>
        <v/>
      </c>
      <c r="M211" s="145" t="str">
        <f t="shared" si="10"/>
        <v/>
      </c>
      <c r="N211" s="234" t="str">
        <f>IFERROR((MP_DATA[[#This Row],[D, bottom '[m']]]+MP_DATA[[#This Row],[D, top '[m']]])/(2*MP_DATA[[#This Row],[t '[mm']]]/1000),"")</f>
        <v/>
      </c>
      <c r="Q211" s="209"/>
      <c r="R211" s="209"/>
      <c r="S211" s="187"/>
      <c r="AV211" s="233" t="str">
        <f>IFERROR(TP_DATA[[#This Row],[Top '[m']]]-TP_DATA[[#This Row],[Bottom '[m']]], "")</f>
        <v/>
      </c>
      <c r="AW211" s="208"/>
      <c r="AX211" s="209"/>
      <c r="AY211" s="240"/>
      <c r="BB211" s="99"/>
      <c r="BC211" s="99"/>
      <c r="BD211" s="187"/>
      <c r="CH211" s="233" t="str">
        <f>IFERROR(TOWER_DATA[[#This Row],[Top '[m']]]-TOWER_DATA[[#This Row],[Bottom '[m']]], "")</f>
        <v/>
      </c>
      <c r="CI211" s="217" t="str">
        <f>IFERROR(-(TOWER_DATA[[#This Row],[D, bottom '[m']]]-TOWER_DATA[[#This Row],[D, top '[m']]])/(TOWER_DATA[[#This Row],[Bottom '[m']]]-TOWER_DATA[[#This Row],[Top '[m']]]),"")</f>
        <v/>
      </c>
      <c r="CJ211" s="145" t="str">
        <f t="shared" si="9"/>
        <v/>
      </c>
      <c r="CK211" s="234" t="str">
        <f>IFERROR((TOWER_DATA[[#This Row],[D, bottom '[m']]]+TOWER_DATA[[#This Row],[D, top '[m']]])/(2*TOWER_DATA[[#This Row],[t '[mm']]]/1000),"")</f>
        <v/>
      </c>
      <c r="DO211" s="209"/>
      <c r="DP211" s="209"/>
      <c r="DQ211" s="187"/>
      <c r="DT211" s="99"/>
      <c r="DU211" s="99"/>
    </row>
    <row r="212" spans="1:125" ht="18" customHeight="1">
      <c r="A212" s="271"/>
      <c r="D212" s="280"/>
      <c r="E212" s="52"/>
      <c r="K212" s="233" t="str">
        <f>IFERROR(MP_DATA[[#This Row],[Top '[m']]]-MP_DATA[[#This Row],[Bottom '[m']]], "")</f>
        <v/>
      </c>
      <c r="L212" s="217" t="str">
        <f>IFERROR(-(MP_DATA[[#This Row],[D, bottom '[m']]]-MP_DATA[[#This Row],[D, top '[m']]])/(MP_DATA[[#This Row],[Bottom '[m']]]-MP_DATA[[#This Row],[Top '[m']]]),"")</f>
        <v/>
      </c>
      <c r="M212" s="145" t="str">
        <f t="shared" si="10"/>
        <v/>
      </c>
      <c r="N212" s="234" t="str">
        <f>IFERROR((MP_DATA[[#This Row],[D, bottom '[m']]]+MP_DATA[[#This Row],[D, top '[m']]])/(2*MP_DATA[[#This Row],[t '[mm']]]/1000),"")</f>
        <v/>
      </c>
      <c r="Q212" s="209"/>
      <c r="R212" s="209"/>
      <c r="S212" s="187"/>
      <c r="AV212" s="233" t="str">
        <f>IFERROR(TP_DATA[[#This Row],[Top '[m']]]-TP_DATA[[#This Row],[Bottom '[m']]], "")</f>
        <v/>
      </c>
      <c r="AW212" s="208"/>
      <c r="AX212" s="209"/>
      <c r="AY212" s="240"/>
      <c r="BB212" s="99"/>
      <c r="BC212" s="99"/>
      <c r="BD212" s="187"/>
      <c r="CH212" s="233" t="str">
        <f>IFERROR(TOWER_DATA[[#This Row],[Top '[m']]]-TOWER_DATA[[#This Row],[Bottom '[m']]], "")</f>
        <v/>
      </c>
      <c r="CI212" s="217" t="str">
        <f>IFERROR(-(TOWER_DATA[[#This Row],[D, bottom '[m']]]-TOWER_DATA[[#This Row],[D, top '[m']]])/(TOWER_DATA[[#This Row],[Bottom '[m']]]-TOWER_DATA[[#This Row],[Top '[m']]]),"")</f>
        <v/>
      </c>
      <c r="CJ212" s="145" t="str">
        <f t="shared" si="9"/>
        <v/>
      </c>
      <c r="CK212" s="234" t="str">
        <f>IFERROR((TOWER_DATA[[#This Row],[D, bottom '[m']]]+TOWER_DATA[[#This Row],[D, top '[m']]])/(2*TOWER_DATA[[#This Row],[t '[mm']]]/1000),"")</f>
        <v/>
      </c>
      <c r="DO212" s="209"/>
      <c r="DP212" s="209"/>
      <c r="DQ212" s="187"/>
      <c r="DT212" s="99"/>
      <c r="DU212" s="99"/>
    </row>
    <row r="213" spans="1:125" ht="18" customHeight="1">
      <c r="A213" s="271"/>
      <c r="D213" s="280"/>
      <c r="E213" s="52"/>
      <c r="K213" s="233" t="str">
        <f>IFERROR(MP_DATA[[#This Row],[Top '[m']]]-MP_DATA[[#This Row],[Bottom '[m']]], "")</f>
        <v/>
      </c>
      <c r="L213" s="217" t="str">
        <f>IFERROR(-(MP_DATA[[#This Row],[D, bottom '[m']]]-MP_DATA[[#This Row],[D, top '[m']]])/(MP_DATA[[#This Row],[Bottom '[m']]]-MP_DATA[[#This Row],[Top '[m']]]),"")</f>
        <v/>
      </c>
      <c r="M213" s="145" t="str">
        <f t="shared" si="10"/>
        <v/>
      </c>
      <c r="N213" s="234" t="str">
        <f>IFERROR((MP_DATA[[#This Row],[D, bottom '[m']]]+MP_DATA[[#This Row],[D, top '[m']]])/(2*MP_DATA[[#This Row],[t '[mm']]]/1000),"")</f>
        <v/>
      </c>
      <c r="Q213" s="209"/>
      <c r="R213" s="209"/>
      <c r="S213" s="187"/>
      <c r="AV213" s="233" t="str">
        <f>IFERROR(TP_DATA[[#This Row],[Top '[m']]]-TP_DATA[[#This Row],[Bottom '[m']]], "")</f>
        <v/>
      </c>
      <c r="AW213" s="208"/>
      <c r="AX213" s="209"/>
      <c r="AY213" s="240"/>
      <c r="BB213" s="99"/>
      <c r="BC213" s="99"/>
      <c r="BD213" s="187"/>
      <c r="CH213" s="233" t="str">
        <f>IFERROR(TOWER_DATA[[#This Row],[Top '[m']]]-TOWER_DATA[[#This Row],[Bottom '[m']]], "")</f>
        <v/>
      </c>
      <c r="CI213" s="217" t="str">
        <f>IFERROR(-(TOWER_DATA[[#This Row],[D, bottom '[m']]]-TOWER_DATA[[#This Row],[D, top '[m']]])/(TOWER_DATA[[#This Row],[Bottom '[m']]]-TOWER_DATA[[#This Row],[Top '[m']]]),"")</f>
        <v/>
      </c>
      <c r="CJ213" s="145" t="str">
        <f t="shared" si="9"/>
        <v/>
      </c>
      <c r="CK213" s="234" t="str">
        <f>IFERROR((TOWER_DATA[[#This Row],[D, bottom '[m']]]+TOWER_DATA[[#This Row],[D, top '[m']]])/(2*TOWER_DATA[[#This Row],[t '[mm']]]/1000),"")</f>
        <v/>
      </c>
      <c r="DO213" s="209"/>
      <c r="DP213" s="209"/>
      <c r="DQ213" s="187"/>
      <c r="DT213" s="99"/>
      <c r="DU213" s="99"/>
    </row>
    <row r="214" spans="1:125" ht="18" customHeight="1">
      <c r="A214" s="271"/>
      <c r="D214" s="280"/>
      <c r="E214" s="52"/>
      <c r="K214" s="233" t="str">
        <f>IFERROR(MP_DATA[[#This Row],[Top '[m']]]-MP_DATA[[#This Row],[Bottom '[m']]], "")</f>
        <v/>
      </c>
      <c r="L214" s="217" t="str">
        <f>IFERROR(-(MP_DATA[[#This Row],[D, bottom '[m']]]-MP_DATA[[#This Row],[D, top '[m']]])/(MP_DATA[[#This Row],[Bottom '[m']]]-MP_DATA[[#This Row],[Top '[m']]]),"")</f>
        <v/>
      </c>
      <c r="M214" s="145" t="str">
        <f t="shared" si="10"/>
        <v/>
      </c>
      <c r="N214" s="234" t="str">
        <f>IFERROR((MP_DATA[[#This Row],[D, bottom '[m']]]+MP_DATA[[#This Row],[D, top '[m']]])/(2*MP_DATA[[#This Row],[t '[mm']]]/1000),"")</f>
        <v/>
      </c>
      <c r="Q214" s="209"/>
      <c r="R214" s="209"/>
      <c r="S214" s="187"/>
      <c r="AV214" s="233" t="str">
        <f>IFERROR(TP_DATA[[#This Row],[Top '[m']]]-TP_DATA[[#This Row],[Bottom '[m']]], "")</f>
        <v/>
      </c>
      <c r="AW214" s="208"/>
      <c r="AX214" s="209"/>
      <c r="AY214" s="240"/>
      <c r="BB214" s="99"/>
      <c r="BC214" s="99"/>
      <c r="BD214" s="187"/>
      <c r="CH214" s="233" t="str">
        <f>IFERROR(TOWER_DATA[[#This Row],[Top '[m']]]-TOWER_DATA[[#This Row],[Bottom '[m']]], "")</f>
        <v/>
      </c>
      <c r="CI214" s="217" t="str">
        <f>IFERROR(-(TOWER_DATA[[#This Row],[D, bottom '[m']]]-TOWER_DATA[[#This Row],[D, top '[m']]])/(TOWER_DATA[[#This Row],[Bottom '[m']]]-TOWER_DATA[[#This Row],[Top '[m']]]),"")</f>
        <v/>
      </c>
      <c r="CJ214" s="145" t="str">
        <f t="shared" si="9"/>
        <v/>
      </c>
      <c r="CK214" s="234" t="str">
        <f>IFERROR((TOWER_DATA[[#This Row],[D, bottom '[m']]]+TOWER_DATA[[#This Row],[D, top '[m']]])/(2*TOWER_DATA[[#This Row],[t '[mm']]]/1000),"")</f>
        <v/>
      </c>
      <c r="DO214" s="209"/>
      <c r="DP214" s="209"/>
      <c r="DQ214" s="187"/>
      <c r="DT214" s="99"/>
      <c r="DU214" s="99"/>
    </row>
    <row r="215" spans="1:125" ht="18" customHeight="1">
      <c r="A215" s="271"/>
      <c r="D215" s="280"/>
      <c r="E215" s="52"/>
      <c r="K215" s="233" t="str">
        <f>IFERROR(MP_DATA[[#This Row],[Top '[m']]]-MP_DATA[[#This Row],[Bottom '[m']]], "")</f>
        <v/>
      </c>
      <c r="L215" s="217" t="str">
        <f>IFERROR(-(MP_DATA[[#This Row],[D, bottom '[m']]]-MP_DATA[[#This Row],[D, top '[m']]])/(MP_DATA[[#This Row],[Bottom '[m']]]-MP_DATA[[#This Row],[Top '[m']]]),"")</f>
        <v/>
      </c>
      <c r="M215" s="145" t="str">
        <f t="shared" si="10"/>
        <v/>
      </c>
      <c r="N215" s="234" t="str">
        <f>IFERROR((MP_DATA[[#This Row],[D, bottom '[m']]]+MP_DATA[[#This Row],[D, top '[m']]])/(2*MP_DATA[[#This Row],[t '[mm']]]/1000),"")</f>
        <v/>
      </c>
      <c r="Q215" s="209"/>
      <c r="R215" s="209"/>
      <c r="S215" s="187"/>
      <c r="AV215" s="233" t="str">
        <f>IFERROR(TP_DATA[[#This Row],[Top '[m']]]-TP_DATA[[#This Row],[Bottom '[m']]], "")</f>
        <v/>
      </c>
      <c r="AW215" s="208"/>
      <c r="AX215" s="209"/>
      <c r="AY215" s="240"/>
      <c r="BB215" s="99"/>
      <c r="BC215" s="99"/>
      <c r="BD215" s="187"/>
      <c r="CH215" s="233" t="str">
        <f>IFERROR(TOWER_DATA[[#This Row],[Top '[m']]]-TOWER_DATA[[#This Row],[Bottom '[m']]], "")</f>
        <v/>
      </c>
      <c r="CI215" s="217" t="str">
        <f>IFERROR(-(TOWER_DATA[[#This Row],[D, bottom '[m']]]-TOWER_DATA[[#This Row],[D, top '[m']]])/(TOWER_DATA[[#This Row],[Bottom '[m']]]-TOWER_DATA[[#This Row],[Top '[m']]]),"")</f>
        <v/>
      </c>
      <c r="CJ215" s="145" t="str">
        <f t="shared" si="9"/>
        <v/>
      </c>
      <c r="CK215" s="234" t="str">
        <f>IFERROR((TOWER_DATA[[#This Row],[D, bottom '[m']]]+TOWER_DATA[[#This Row],[D, top '[m']]])/(2*TOWER_DATA[[#This Row],[t '[mm']]]/1000),"")</f>
        <v/>
      </c>
      <c r="DO215" s="209"/>
      <c r="DP215" s="209"/>
      <c r="DQ215" s="187"/>
      <c r="DT215" s="99"/>
      <c r="DU215" s="99"/>
    </row>
    <row r="216" spans="1:125" ht="18" customHeight="1">
      <c r="A216" s="271"/>
      <c r="D216" s="280"/>
      <c r="E216" s="52"/>
      <c r="K216" s="233" t="str">
        <f>IFERROR(MP_DATA[[#This Row],[Top '[m']]]-MP_DATA[[#This Row],[Bottom '[m']]], "")</f>
        <v/>
      </c>
      <c r="L216" s="217" t="str">
        <f>IFERROR(-(MP_DATA[[#This Row],[D, bottom '[m']]]-MP_DATA[[#This Row],[D, top '[m']]])/(MP_DATA[[#This Row],[Bottom '[m']]]-MP_DATA[[#This Row],[Top '[m']]]),"")</f>
        <v/>
      </c>
      <c r="M216" s="145" t="str">
        <f t="shared" si="10"/>
        <v/>
      </c>
      <c r="N216" s="234" t="str">
        <f>IFERROR((MP_DATA[[#This Row],[D, bottom '[m']]]+MP_DATA[[#This Row],[D, top '[m']]])/(2*MP_DATA[[#This Row],[t '[mm']]]/1000),"")</f>
        <v/>
      </c>
      <c r="Q216" s="209"/>
      <c r="R216" s="209"/>
      <c r="S216" s="187"/>
      <c r="AV216" s="233" t="str">
        <f>IFERROR(TP_DATA[[#This Row],[Top '[m']]]-TP_DATA[[#This Row],[Bottom '[m']]], "")</f>
        <v/>
      </c>
      <c r="AW216" s="208"/>
      <c r="AX216" s="209"/>
      <c r="AY216" s="240"/>
      <c r="BB216" s="99"/>
      <c r="BC216" s="99"/>
      <c r="BD216" s="187"/>
      <c r="CH216" s="233" t="str">
        <f>IFERROR(TOWER_DATA[[#This Row],[Top '[m']]]-TOWER_DATA[[#This Row],[Bottom '[m']]], "")</f>
        <v/>
      </c>
      <c r="CI216" s="217" t="str">
        <f>IFERROR(-(TOWER_DATA[[#This Row],[D, bottom '[m']]]-TOWER_DATA[[#This Row],[D, top '[m']]])/(TOWER_DATA[[#This Row],[Bottom '[m']]]-TOWER_DATA[[#This Row],[Top '[m']]]),"")</f>
        <v/>
      </c>
      <c r="CJ216" s="145" t="str">
        <f t="shared" si="9"/>
        <v/>
      </c>
      <c r="CK216" s="234" t="str">
        <f>IFERROR((TOWER_DATA[[#This Row],[D, bottom '[m']]]+TOWER_DATA[[#This Row],[D, top '[m']]])/(2*TOWER_DATA[[#This Row],[t '[mm']]]/1000),"")</f>
        <v/>
      </c>
      <c r="DO216" s="209"/>
      <c r="DP216" s="209"/>
      <c r="DQ216" s="187"/>
      <c r="DT216" s="99"/>
      <c r="DU216" s="99"/>
    </row>
    <row r="217" spans="1:125" ht="18" customHeight="1">
      <c r="A217" s="271"/>
      <c r="D217" s="280"/>
      <c r="E217" s="52"/>
      <c r="K217" s="233" t="str">
        <f>IFERROR(MP_DATA[[#This Row],[Top '[m']]]-MP_DATA[[#This Row],[Bottom '[m']]], "")</f>
        <v/>
      </c>
      <c r="L217" s="217" t="str">
        <f>IFERROR(-(MP_DATA[[#This Row],[D, bottom '[m']]]-MP_DATA[[#This Row],[D, top '[m']]])/(MP_DATA[[#This Row],[Bottom '[m']]]-MP_DATA[[#This Row],[Top '[m']]]),"")</f>
        <v/>
      </c>
      <c r="M217" s="145" t="str">
        <f t="shared" si="10"/>
        <v/>
      </c>
      <c r="N217" s="234" t="str">
        <f>IFERROR((MP_DATA[[#This Row],[D, bottom '[m']]]+MP_DATA[[#This Row],[D, top '[m']]])/(2*MP_DATA[[#This Row],[t '[mm']]]/1000),"")</f>
        <v/>
      </c>
      <c r="Q217" s="209"/>
      <c r="R217" s="209"/>
      <c r="S217" s="187"/>
      <c r="AV217" s="233" t="str">
        <f>IFERROR(TP_DATA[[#This Row],[Top '[m']]]-TP_DATA[[#This Row],[Bottom '[m']]], "")</f>
        <v/>
      </c>
      <c r="AW217" s="208"/>
      <c r="AX217" s="209"/>
      <c r="AY217" s="240"/>
      <c r="BB217" s="99"/>
      <c r="BC217" s="99"/>
      <c r="BD217" s="187"/>
      <c r="CH217" s="233" t="str">
        <f>IFERROR(TOWER_DATA[[#This Row],[Top '[m']]]-TOWER_DATA[[#This Row],[Bottom '[m']]], "")</f>
        <v/>
      </c>
      <c r="CI217" s="217" t="str">
        <f>IFERROR(-(TOWER_DATA[[#This Row],[D, bottom '[m']]]-TOWER_DATA[[#This Row],[D, top '[m']]])/(TOWER_DATA[[#This Row],[Bottom '[m']]]-TOWER_DATA[[#This Row],[Top '[m']]]),"")</f>
        <v/>
      </c>
      <c r="CJ217" s="145" t="str">
        <f t="shared" si="9"/>
        <v/>
      </c>
      <c r="CK217" s="234" t="str">
        <f>IFERROR((TOWER_DATA[[#This Row],[D, bottom '[m']]]+TOWER_DATA[[#This Row],[D, top '[m']]])/(2*TOWER_DATA[[#This Row],[t '[mm']]]/1000),"")</f>
        <v/>
      </c>
      <c r="DO217" s="209"/>
      <c r="DP217" s="209"/>
      <c r="DQ217" s="187"/>
      <c r="DT217" s="99"/>
      <c r="DU217" s="99"/>
    </row>
    <row r="218" spans="1:125" ht="18" customHeight="1">
      <c r="A218" s="271"/>
      <c r="D218" s="280"/>
      <c r="E218" s="52"/>
      <c r="K218" s="233" t="str">
        <f>IFERROR(MP_DATA[[#This Row],[Top '[m']]]-MP_DATA[[#This Row],[Bottom '[m']]], "")</f>
        <v/>
      </c>
      <c r="L218" s="217" t="str">
        <f>IFERROR(-(MP_DATA[[#This Row],[D, bottom '[m']]]-MP_DATA[[#This Row],[D, top '[m']]])/(MP_DATA[[#This Row],[Bottom '[m']]]-MP_DATA[[#This Row],[Top '[m']]]),"")</f>
        <v/>
      </c>
      <c r="M218" s="145" t="str">
        <f t="shared" si="10"/>
        <v/>
      </c>
      <c r="N218" s="234" t="str">
        <f>IFERROR((MP_DATA[[#This Row],[D, bottom '[m']]]+MP_DATA[[#This Row],[D, top '[m']]])/(2*MP_DATA[[#This Row],[t '[mm']]]/1000),"")</f>
        <v/>
      </c>
      <c r="Q218" s="209"/>
      <c r="R218" s="209"/>
      <c r="S218" s="187"/>
      <c r="AV218" s="233" t="str">
        <f>IFERROR(TP_DATA[[#This Row],[Top '[m']]]-TP_DATA[[#This Row],[Bottom '[m']]], "")</f>
        <v/>
      </c>
      <c r="AW218" s="208"/>
      <c r="AX218" s="209"/>
      <c r="AY218" s="240"/>
      <c r="BB218" s="99"/>
      <c r="BC218" s="99"/>
      <c r="BD218" s="187"/>
      <c r="CH218" s="233" t="str">
        <f>IFERROR(TOWER_DATA[[#This Row],[Top '[m']]]-TOWER_DATA[[#This Row],[Bottom '[m']]], "")</f>
        <v/>
      </c>
      <c r="CI218" s="217" t="str">
        <f>IFERROR(-(TOWER_DATA[[#This Row],[D, bottom '[m']]]-TOWER_DATA[[#This Row],[D, top '[m']]])/(TOWER_DATA[[#This Row],[Bottom '[m']]]-TOWER_DATA[[#This Row],[Top '[m']]]),"")</f>
        <v/>
      </c>
      <c r="CJ218" s="145" t="str">
        <f t="shared" si="9"/>
        <v/>
      </c>
      <c r="CK218" s="234" t="str">
        <f>IFERROR((TOWER_DATA[[#This Row],[D, bottom '[m']]]+TOWER_DATA[[#This Row],[D, top '[m']]])/(2*TOWER_DATA[[#This Row],[t '[mm']]]/1000),"")</f>
        <v/>
      </c>
      <c r="DO218" s="209"/>
      <c r="DP218" s="209"/>
      <c r="DQ218" s="187"/>
      <c r="DT218" s="99"/>
      <c r="DU218" s="99"/>
    </row>
    <row r="219" spans="1:125" ht="18" customHeight="1">
      <c r="A219" s="271"/>
      <c r="D219" s="280"/>
      <c r="E219" s="52"/>
      <c r="K219" s="233" t="str">
        <f>IFERROR(MP_DATA[[#This Row],[Top '[m']]]-MP_DATA[[#This Row],[Bottom '[m']]], "")</f>
        <v/>
      </c>
      <c r="L219" s="217" t="str">
        <f>IFERROR(-(MP_DATA[[#This Row],[D, bottom '[m']]]-MP_DATA[[#This Row],[D, top '[m']]])/(MP_DATA[[#This Row],[Bottom '[m']]]-MP_DATA[[#This Row],[Top '[m']]]),"")</f>
        <v/>
      </c>
      <c r="M219" s="145" t="str">
        <f t="shared" si="10"/>
        <v/>
      </c>
      <c r="N219" s="234" t="str">
        <f>IFERROR((MP_DATA[[#This Row],[D, bottom '[m']]]+MP_DATA[[#This Row],[D, top '[m']]])/(2*MP_DATA[[#This Row],[t '[mm']]]/1000),"")</f>
        <v/>
      </c>
      <c r="Q219" s="209"/>
      <c r="R219" s="209"/>
      <c r="S219" s="187"/>
      <c r="AV219" s="233" t="str">
        <f>IFERROR(TP_DATA[[#This Row],[Top '[m']]]-TP_DATA[[#This Row],[Bottom '[m']]], "")</f>
        <v/>
      </c>
      <c r="AW219" s="208"/>
      <c r="AX219" s="209"/>
      <c r="AY219" s="240"/>
      <c r="BB219" s="99"/>
      <c r="BC219" s="99"/>
      <c r="BD219" s="187"/>
      <c r="CH219" s="233" t="str">
        <f>IFERROR(TOWER_DATA[[#This Row],[Top '[m']]]-TOWER_DATA[[#This Row],[Bottom '[m']]], "")</f>
        <v/>
      </c>
      <c r="CI219" s="217" t="str">
        <f>IFERROR(-(TOWER_DATA[[#This Row],[D, bottom '[m']]]-TOWER_DATA[[#This Row],[D, top '[m']]])/(TOWER_DATA[[#This Row],[Bottom '[m']]]-TOWER_DATA[[#This Row],[Top '[m']]]),"")</f>
        <v/>
      </c>
      <c r="CJ219" s="145" t="str">
        <f t="shared" si="9"/>
        <v/>
      </c>
      <c r="CK219" s="234" t="str">
        <f>IFERROR((TOWER_DATA[[#This Row],[D, bottom '[m']]]+TOWER_DATA[[#This Row],[D, top '[m']]])/(2*TOWER_DATA[[#This Row],[t '[mm']]]/1000),"")</f>
        <v/>
      </c>
      <c r="DO219" s="209"/>
      <c r="DP219" s="209"/>
      <c r="DQ219" s="187"/>
      <c r="DT219" s="99"/>
      <c r="DU219" s="99"/>
    </row>
    <row r="220" spans="1:125" ht="18" customHeight="1">
      <c r="A220" s="271"/>
      <c r="D220" s="280"/>
      <c r="E220" s="52"/>
      <c r="K220" s="233" t="str">
        <f>IFERROR(MP_DATA[[#This Row],[Top '[m']]]-MP_DATA[[#This Row],[Bottom '[m']]], "")</f>
        <v/>
      </c>
      <c r="L220" s="217" t="str">
        <f>IFERROR(-(MP_DATA[[#This Row],[D, bottom '[m']]]-MP_DATA[[#This Row],[D, top '[m']]])/(MP_DATA[[#This Row],[Bottom '[m']]]-MP_DATA[[#This Row],[Top '[m']]]),"")</f>
        <v/>
      </c>
      <c r="M220" s="145" t="str">
        <f t="shared" si="10"/>
        <v/>
      </c>
      <c r="N220" s="234" t="str">
        <f>IFERROR((MP_DATA[[#This Row],[D, bottom '[m']]]+MP_DATA[[#This Row],[D, top '[m']]])/(2*MP_DATA[[#This Row],[t '[mm']]]/1000),"")</f>
        <v/>
      </c>
      <c r="Q220" s="209"/>
      <c r="R220" s="209"/>
      <c r="S220" s="187"/>
      <c r="AV220" s="233" t="str">
        <f>IFERROR(TP_DATA[[#This Row],[Top '[m']]]-TP_DATA[[#This Row],[Bottom '[m']]], "")</f>
        <v/>
      </c>
      <c r="AW220" s="208"/>
      <c r="AX220" s="209"/>
      <c r="AY220" s="240"/>
      <c r="BB220" s="99"/>
      <c r="BC220" s="99"/>
      <c r="BD220" s="187"/>
      <c r="CH220" s="233" t="str">
        <f>IFERROR(TOWER_DATA[[#This Row],[Top '[m']]]-TOWER_DATA[[#This Row],[Bottom '[m']]], "")</f>
        <v/>
      </c>
      <c r="CI220" s="217" t="str">
        <f>IFERROR(-(TOWER_DATA[[#This Row],[D, bottom '[m']]]-TOWER_DATA[[#This Row],[D, top '[m']]])/(TOWER_DATA[[#This Row],[Bottom '[m']]]-TOWER_DATA[[#This Row],[Top '[m']]]),"")</f>
        <v/>
      </c>
      <c r="CJ220" s="145" t="str">
        <f t="shared" si="9"/>
        <v/>
      </c>
      <c r="CK220" s="234" t="str">
        <f>IFERROR((TOWER_DATA[[#This Row],[D, bottom '[m']]]+TOWER_DATA[[#This Row],[D, top '[m']]])/(2*TOWER_DATA[[#This Row],[t '[mm']]]/1000),"")</f>
        <v/>
      </c>
      <c r="DO220" s="209"/>
      <c r="DP220" s="209"/>
      <c r="DQ220" s="187"/>
      <c r="DT220" s="99"/>
      <c r="DU220" s="99"/>
    </row>
    <row r="221" spans="1:125" ht="18" customHeight="1">
      <c r="A221" s="271"/>
      <c r="D221" s="280"/>
      <c r="E221" s="52"/>
      <c r="K221" s="233" t="str">
        <f>IFERROR(MP_DATA[[#This Row],[Top '[m']]]-MP_DATA[[#This Row],[Bottom '[m']]], "")</f>
        <v/>
      </c>
      <c r="L221" s="217" t="str">
        <f>IFERROR(-(MP_DATA[[#This Row],[D, bottom '[m']]]-MP_DATA[[#This Row],[D, top '[m']]])/(MP_DATA[[#This Row],[Bottom '[m']]]-MP_DATA[[#This Row],[Top '[m']]]),"")</f>
        <v/>
      </c>
      <c r="M221" s="145" t="str">
        <f t="shared" si="10"/>
        <v/>
      </c>
      <c r="N221" s="234" t="str">
        <f>IFERROR((MP_DATA[[#This Row],[D, bottom '[m']]]+MP_DATA[[#This Row],[D, top '[m']]])/(2*MP_DATA[[#This Row],[t '[mm']]]/1000),"")</f>
        <v/>
      </c>
      <c r="Q221" s="209"/>
      <c r="R221" s="209"/>
      <c r="S221" s="187"/>
      <c r="AV221" s="233" t="str">
        <f>IFERROR(TP_DATA[[#This Row],[Top '[m']]]-TP_DATA[[#This Row],[Bottom '[m']]], "")</f>
        <v/>
      </c>
      <c r="AW221" s="208"/>
      <c r="AX221" s="209"/>
      <c r="AY221" s="240"/>
      <c r="BB221" s="99"/>
      <c r="BC221" s="99"/>
      <c r="BD221" s="187"/>
      <c r="CH221" s="233" t="str">
        <f>IFERROR(TOWER_DATA[[#This Row],[Top '[m']]]-TOWER_DATA[[#This Row],[Bottom '[m']]], "")</f>
        <v/>
      </c>
      <c r="CI221" s="217" t="str">
        <f>IFERROR(-(TOWER_DATA[[#This Row],[D, bottom '[m']]]-TOWER_DATA[[#This Row],[D, top '[m']]])/(TOWER_DATA[[#This Row],[Bottom '[m']]]-TOWER_DATA[[#This Row],[Top '[m']]]),"")</f>
        <v/>
      </c>
      <c r="CJ221" s="145" t="str">
        <f t="shared" si="9"/>
        <v/>
      </c>
      <c r="CK221" s="234" t="str">
        <f>IFERROR((TOWER_DATA[[#This Row],[D, bottom '[m']]]+TOWER_DATA[[#This Row],[D, top '[m']]])/(2*TOWER_DATA[[#This Row],[t '[mm']]]/1000),"")</f>
        <v/>
      </c>
      <c r="DO221" s="209"/>
      <c r="DP221" s="209"/>
      <c r="DQ221" s="187"/>
      <c r="DT221" s="99"/>
      <c r="DU221" s="99"/>
    </row>
    <row r="222" spans="1:125" ht="18" customHeight="1">
      <c r="A222" s="271"/>
      <c r="D222" s="280"/>
      <c r="E222" s="52"/>
      <c r="K222" s="233" t="str">
        <f>IFERROR(MP_DATA[[#This Row],[Top '[m']]]-MP_DATA[[#This Row],[Bottom '[m']]], "")</f>
        <v/>
      </c>
      <c r="L222" s="217" t="str">
        <f>IFERROR(-(MP_DATA[[#This Row],[D, bottom '[m']]]-MP_DATA[[#This Row],[D, top '[m']]])/(MP_DATA[[#This Row],[Bottom '[m']]]-MP_DATA[[#This Row],[Top '[m']]]),"")</f>
        <v/>
      </c>
      <c r="M222" s="145" t="str">
        <f t="shared" si="10"/>
        <v/>
      </c>
      <c r="N222" s="234" t="str">
        <f>IFERROR((MP_DATA[[#This Row],[D, bottom '[m']]]+MP_DATA[[#This Row],[D, top '[m']]])/(2*MP_DATA[[#This Row],[t '[mm']]]/1000),"")</f>
        <v/>
      </c>
      <c r="Q222" s="209"/>
      <c r="R222" s="209"/>
      <c r="S222" s="187"/>
      <c r="AV222" s="233" t="str">
        <f>IFERROR(TP_DATA[[#This Row],[Top '[m']]]-TP_DATA[[#This Row],[Bottom '[m']]], "")</f>
        <v/>
      </c>
      <c r="AW222" s="208"/>
      <c r="AX222" s="209"/>
      <c r="AY222" s="240"/>
      <c r="BB222" s="99"/>
      <c r="BC222" s="99"/>
      <c r="BD222" s="187"/>
      <c r="CH222" s="233" t="str">
        <f>IFERROR(TOWER_DATA[[#This Row],[Top '[m']]]-TOWER_DATA[[#This Row],[Bottom '[m']]], "")</f>
        <v/>
      </c>
      <c r="CI222" s="217" t="str">
        <f>IFERROR(-(TOWER_DATA[[#This Row],[D, bottom '[m']]]-TOWER_DATA[[#This Row],[D, top '[m']]])/(TOWER_DATA[[#This Row],[Bottom '[m']]]-TOWER_DATA[[#This Row],[Top '[m']]]),"")</f>
        <v/>
      </c>
      <c r="CJ222" s="145" t="str">
        <f t="shared" si="9"/>
        <v/>
      </c>
      <c r="CK222" s="234" t="str">
        <f>IFERROR((TOWER_DATA[[#This Row],[D, bottom '[m']]]+TOWER_DATA[[#This Row],[D, top '[m']]])/(2*TOWER_DATA[[#This Row],[t '[mm']]]/1000),"")</f>
        <v/>
      </c>
      <c r="DO222" s="209"/>
      <c r="DP222" s="209"/>
      <c r="DQ222" s="187"/>
      <c r="DT222" s="99"/>
      <c r="DU222" s="99"/>
    </row>
    <row r="223" spans="1:125" ht="18" customHeight="1">
      <c r="A223" s="271"/>
      <c r="D223" s="280"/>
      <c r="E223" s="52"/>
      <c r="K223" s="233" t="str">
        <f>IFERROR(MP_DATA[[#This Row],[Top '[m']]]-MP_DATA[[#This Row],[Bottom '[m']]], "")</f>
        <v/>
      </c>
      <c r="L223" s="217" t="str">
        <f>IFERROR(-(MP_DATA[[#This Row],[D, bottom '[m']]]-MP_DATA[[#This Row],[D, top '[m']]])/(MP_DATA[[#This Row],[Bottom '[m']]]-MP_DATA[[#This Row],[Top '[m']]]),"")</f>
        <v/>
      </c>
      <c r="M223" s="145" t="str">
        <f t="shared" si="10"/>
        <v/>
      </c>
      <c r="N223" s="234" t="str">
        <f>IFERROR((MP_DATA[[#This Row],[D, bottom '[m']]]+MP_DATA[[#This Row],[D, top '[m']]])/(2*MP_DATA[[#This Row],[t '[mm']]]/1000),"")</f>
        <v/>
      </c>
      <c r="Q223" s="209"/>
      <c r="R223" s="209"/>
      <c r="S223" s="187"/>
      <c r="AV223" s="233" t="str">
        <f>IFERROR(TP_DATA[[#This Row],[Top '[m']]]-TP_DATA[[#This Row],[Bottom '[m']]], "")</f>
        <v/>
      </c>
      <c r="AW223" s="208"/>
      <c r="AX223" s="209"/>
      <c r="AY223" s="240"/>
      <c r="BB223" s="99"/>
      <c r="BC223" s="99"/>
      <c r="BD223" s="187"/>
      <c r="CH223" s="233" t="str">
        <f>IFERROR(TOWER_DATA[[#This Row],[Top '[m']]]-TOWER_DATA[[#This Row],[Bottom '[m']]], "")</f>
        <v/>
      </c>
      <c r="CI223" s="217" t="str">
        <f>IFERROR(-(TOWER_DATA[[#This Row],[D, bottom '[m']]]-TOWER_DATA[[#This Row],[D, top '[m']]])/(TOWER_DATA[[#This Row],[Bottom '[m']]]-TOWER_DATA[[#This Row],[Top '[m']]]),"")</f>
        <v/>
      </c>
      <c r="CJ223" s="145" t="str">
        <f t="shared" si="9"/>
        <v/>
      </c>
      <c r="CK223" s="234" t="str">
        <f>IFERROR((TOWER_DATA[[#This Row],[D, bottom '[m']]]+TOWER_DATA[[#This Row],[D, top '[m']]])/(2*TOWER_DATA[[#This Row],[t '[mm']]]/1000),"")</f>
        <v/>
      </c>
      <c r="DO223" s="209"/>
      <c r="DP223" s="209"/>
      <c r="DQ223" s="187"/>
      <c r="DT223" s="99"/>
      <c r="DU223" s="99"/>
    </row>
    <row r="224" spans="1:125" ht="18" customHeight="1">
      <c r="A224" s="271"/>
      <c r="D224" s="280"/>
      <c r="E224" s="52"/>
      <c r="K224" s="233" t="str">
        <f>IFERROR(MP_DATA[[#This Row],[Top '[m']]]-MP_DATA[[#This Row],[Bottom '[m']]], "")</f>
        <v/>
      </c>
      <c r="L224" s="217" t="str">
        <f>IFERROR(-(MP_DATA[[#This Row],[D, bottom '[m']]]-MP_DATA[[#This Row],[D, top '[m']]])/(MP_DATA[[#This Row],[Bottom '[m']]]-MP_DATA[[#This Row],[Top '[m']]]),"")</f>
        <v/>
      </c>
      <c r="M224" s="145" t="str">
        <f t="shared" si="10"/>
        <v/>
      </c>
      <c r="N224" s="234" t="str">
        <f>IFERROR((MP_DATA[[#This Row],[D, bottom '[m']]]+MP_DATA[[#This Row],[D, top '[m']]])/(2*MP_DATA[[#This Row],[t '[mm']]]/1000),"")</f>
        <v/>
      </c>
      <c r="Q224" s="209"/>
      <c r="R224" s="209"/>
      <c r="S224" s="187"/>
      <c r="AV224" s="233" t="str">
        <f>IFERROR(TP_DATA[[#This Row],[Top '[m']]]-TP_DATA[[#This Row],[Bottom '[m']]], "")</f>
        <v/>
      </c>
      <c r="AW224" s="208"/>
      <c r="AX224" s="209"/>
      <c r="AY224" s="240"/>
      <c r="BB224" s="99"/>
      <c r="BC224" s="99"/>
      <c r="BD224" s="187"/>
      <c r="CH224" s="233" t="str">
        <f>IFERROR(TOWER_DATA[[#This Row],[Top '[m']]]-TOWER_DATA[[#This Row],[Bottom '[m']]], "")</f>
        <v/>
      </c>
      <c r="CI224" s="217" t="str">
        <f>IFERROR(-(TOWER_DATA[[#This Row],[D, bottom '[m']]]-TOWER_DATA[[#This Row],[D, top '[m']]])/(TOWER_DATA[[#This Row],[Bottom '[m']]]-TOWER_DATA[[#This Row],[Top '[m']]]),"")</f>
        <v/>
      </c>
      <c r="CJ224" s="145" t="str">
        <f t="shared" si="9"/>
        <v/>
      </c>
      <c r="CK224" s="234" t="str">
        <f>IFERROR((TOWER_DATA[[#This Row],[D, bottom '[m']]]+TOWER_DATA[[#This Row],[D, top '[m']]])/(2*TOWER_DATA[[#This Row],[t '[mm']]]/1000),"")</f>
        <v/>
      </c>
      <c r="DO224" s="209"/>
      <c r="DP224" s="209"/>
      <c r="DQ224" s="187"/>
      <c r="DT224" s="99"/>
      <c r="DU224" s="99"/>
    </row>
    <row r="225" spans="1:125" ht="18" customHeight="1">
      <c r="A225" s="271"/>
      <c r="D225" s="280"/>
      <c r="E225" s="52"/>
      <c r="K225" s="233" t="str">
        <f>IFERROR(MP_DATA[[#This Row],[Top '[m']]]-MP_DATA[[#This Row],[Bottom '[m']]], "")</f>
        <v/>
      </c>
      <c r="L225" s="217" t="str">
        <f>IFERROR(-(MP_DATA[[#This Row],[D, bottom '[m']]]-MP_DATA[[#This Row],[D, top '[m']]])/(MP_DATA[[#This Row],[Bottom '[m']]]-MP_DATA[[#This Row],[Top '[m']]]),"")</f>
        <v/>
      </c>
      <c r="M225" s="145" t="str">
        <f t="shared" si="10"/>
        <v/>
      </c>
      <c r="N225" s="234" t="str">
        <f>IFERROR((MP_DATA[[#This Row],[D, bottom '[m']]]+MP_DATA[[#This Row],[D, top '[m']]])/(2*MP_DATA[[#This Row],[t '[mm']]]/1000),"")</f>
        <v/>
      </c>
      <c r="Q225" s="209"/>
      <c r="R225" s="209"/>
      <c r="S225" s="187"/>
      <c r="AV225" s="233" t="str">
        <f>IFERROR(TP_DATA[[#This Row],[Top '[m']]]-TP_DATA[[#This Row],[Bottom '[m']]], "")</f>
        <v/>
      </c>
      <c r="AW225" s="208"/>
      <c r="AX225" s="209"/>
      <c r="AY225" s="240"/>
      <c r="BB225" s="99"/>
      <c r="BC225" s="99"/>
      <c r="BD225" s="187"/>
      <c r="CH225" s="233" t="str">
        <f>IFERROR(TOWER_DATA[[#This Row],[Top '[m']]]-TOWER_DATA[[#This Row],[Bottom '[m']]], "")</f>
        <v/>
      </c>
      <c r="CI225" s="217" t="str">
        <f>IFERROR(-(TOWER_DATA[[#This Row],[D, bottom '[m']]]-TOWER_DATA[[#This Row],[D, top '[m']]])/(TOWER_DATA[[#This Row],[Bottom '[m']]]-TOWER_DATA[[#This Row],[Top '[m']]]),"")</f>
        <v/>
      </c>
      <c r="CJ225" s="145" t="str">
        <f t="shared" si="9"/>
        <v/>
      </c>
      <c r="CK225" s="234" t="str">
        <f>IFERROR((TOWER_DATA[[#This Row],[D, bottom '[m']]]+TOWER_DATA[[#This Row],[D, top '[m']]])/(2*TOWER_DATA[[#This Row],[t '[mm']]]/1000),"")</f>
        <v/>
      </c>
      <c r="DO225" s="209"/>
      <c r="DP225" s="209"/>
      <c r="DQ225" s="187"/>
      <c r="DT225" s="99"/>
      <c r="DU225" s="99"/>
    </row>
    <row r="226" spans="1:125" ht="18" customHeight="1">
      <c r="A226" s="271"/>
      <c r="D226" s="280"/>
      <c r="E226" s="52"/>
      <c r="K226" s="233" t="str">
        <f>IFERROR(MP_DATA[[#This Row],[Top '[m']]]-MP_DATA[[#This Row],[Bottom '[m']]], "")</f>
        <v/>
      </c>
      <c r="L226" s="217" t="str">
        <f>IFERROR(-(MP_DATA[[#This Row],[D, bottom '[m']]]-MP_DATA[[#This Row],[D, top '[m']]])/(MP_DATA[[#This Row],[Bottom '[m']]]-MP_DATA[[#This Row],[Top '[m']]]),"")</f>
        <v/>
      </c>
      <c r="M226" s="145" t="str">
        <f t="shared" si="10"/>
        <v/>
      </c>
      <c r="N226" s="234" t="str">
        <f>IFERROR((MP_DATA[[#This Row],[D, bottom '[m']]]+MP_DATA[[#This Row],[D, top '[m']]])/(2*MP_DATA[[#This Row],[t '[mm']]]/1000),"")</f>
        <v/>
      </c>
      <c r="Q226" s="209"/>
      <c r="R226" s="209"/>
      <c r="S226" s="187"/>
      <c r="AV226" s="233" t="str">
        <f>IFERROR(TP_DATA[[#This Row],[Top '[m']]]-TP_DATA[[#This Row],[Bottom '[m']]], "")</f>
        <v/>
      </c>
      <c r="AW226" s="208"/>
      <c r="AX226" s="209"/>
      <c r="AY226" s="240"/>
      <c r="BB226" s="99"/>
      <c r="BC226" s="99"/>
      <c r="BD226" s="187"/>
      <c r="CH226" s="233" t="str">
        <f>IFERROR(TOWER_DATA[[#This Row],[Top '[m']]]-TOWER_DATA[[#This Row],[Bottom '[m']]], "")</f>
        <v/>
      </c>
      <c r="CI226" s="217" t="str">
        <f>IFERROR(-(TOWER_DATA[[#This Row],[D, bottom '[m']]]-TOWER_DATA[[#This Row],[D, top '[m']]])/(TOWER_DATA[[#This Row],[Bottom '[m']]]-TOWER_DATA[[#This Row],[Top '[m']]]),"")</f>
        <v/>
      </c>
      <c r="CJ226" s="145" t="str">
        <f t="shared" si="9"/>
        <v/>
      </c>
      <c r="CK226" s="234" t="str">
        <f>IFERROR((TOWER_DATA[[#This Row],[D, bottom '[m']]]+TOWER_DATA[[#This Row],[D, top '[m']]])/(2*TOWER_DATA[[#This Row],[t '[mm']]]/1000),"")</f>
        <v/>
      </c>
      <c r="DO226" s="209"/>
      <c r="DP226" s="209"/>
      <c r="DQ226" s="187"/>
      <c r="DT226" s="99"/>
      <c r="DU226" s="99"/>
    </row>
    <row r="227" spans="1:125" ht="18" customHeight="1">
      <c r="A227" s="271"/>
      <c r="D227" s="280"/>
      <c r="E227" s="52"/>
      <c r="K227" s="233" t="str">
        <f>IFERROR(MP_DATA[[#This Row],[Top '[m']]]-MP_DATA[[#This Row],[Bottom '[m']]], "")</f>
        <v/>
      </c>
      <c r="L227" s="217" t="str">
        <f>IFERROR(-(MP_DATA[[#This Row],[D, bottom '[m']]]-MP_DATA[[#This Row],[D, top '[m']]])/(MP_DATA[[#This Row],[Bottom '[m']]]-MP_DATA[[#This Row],[Top '[m']]]),"")</f>
        <v/>
      </c>
      <c r="M227" s="145" t="str">
        <f t="shared" si="10"/>
        <v/>
      </c>
      <c r="N227" s="234" t="str">
        <f>IFERROR((MP_DATA[[#This Row],[D, bottom '[m']]]+MP_DATA[[#This Row],[D, top '[m']]])/(2*MP_DATA[[#This Row],[t '[mm']]]/1000),"")</f>
        <v/>
      </c>
      <c r="Q227" s="209"/>
      <c r="R227" s="209"/>
      <c r="S227" s="187"/>
      <c r="AV227" s="233" t="str">
        <f>IFERROR(TP_DATA[[#This Row],[Top '[m']]]-TP_DATA[[#This Row],[Bottom '[m']]], "")</f>
        <v/>
      </c>
      <c r="AW227" s="208"/>
      <c r="AX227" s="209"/>
      <c r="AY227" s="240"/>
      <c r="BB227" s="99"/>
      <c r="BC227" s="99"/>
      <c r="BD227" s="187"/>
      <c r="CH227" s="233" t="str">
        <f>IFERROR(TOWER_DATA[[#This Row],[Top '[m']]]-TOWER_DATA[[#This Row],[Bottom '[m']]], "")</f>
        <v/>
      </c>
      <c r="CI227" s="217" t="str">
        <f>IFERROR(-(TOWER_DATA[[#This Row],[D, bottom '[m']]]-TOWER_DATA[[#This Row],[D, top '[m']]])/(TOWER_DATA[[#This Row],[Bottom '[m']]]-TOWER_DATA[[#This Row],[Top '[m']]]),"")</f>
        <v/>
      </c>
      <c r="CJ227" s="145" t="str">
        <f t="shared" si="9"/>
        <v/>
      </c>
      <c r="CK227" s="234" t="str">
        <f>IFERROR((TOWER_DATA[[#This Row],[D, bottom '[m']]]+TOWER_DATA[[#This Row],[D, top '[m']]])/(2*TOWER_DATA[[#This Row],[t '[mm']]]/1000),"")</f>
        <v/>
      </c>
      <c r="DO227" s="209"/>
      <c r="DP227" s="209"/>
      <c r="DQ227" s="187"/>
      <c r="DT227" s="99"/>
      <c r="DU227" s="99"/>
    </row>
    <row r="228" spans="1:125" ht="18" customHeight="1">
      <c r="A228" s="271"/>
      <c r="D228" s="280"/>
      <c r="E228" s="52"/>
      <c r="K228" s="233" t="str">
        <f>IFERROR(MP_DATA[[#This Row],[Top '[m']]]-MP_DATA[[#This Row],[Bottom '[m']]], "")</f>
        <v/>
      </c>
      <c r="L228" s="217" t="str">
        <f>IFERROR(-(MP_DATA[[#This Row],[D, bottom '[m']]]-MP_DATA[[#This Row],[D, top '[m']]])/(MP_DATA[[#This Row],[Bottom '[m']]]-MP_DATA[[#This Row],[Top '[m']]]),"")</f>
        <v/>
      </c>
      <c r="M228" s="145" t="str">
        <f t="shared" si="10"/>
        <v/>
      </c>
      <c r="N228" s="234" t="str">
        <f>IFERROR((MP_DATA[[#This Row],[D, bottom '[m']]]+MP_DATA[[#This Row],[D, top '[m']]])/(2*MP_DATA[[#This Row],[t '[mm']]]/1000),"")</f>
        <v/>
      </c>
      <c r="Q228" s="209"/>
      <c r="R228" s="209"/>
      <c r="S228" s="187"/>
      <c r="AV228" s="233" t="str">
        <f>IFERROR(TP_DATA[[#This Row],[Top '[m']]]-TP_DATA[[#This Row],[Bottom '[m']]], "")</f>
        <v/>
      </c>
      <c r="AW228" s="208"/>
      <c r="AX228" s="209"/>
      <c r="AY228" s="240"/>
      <c r="BB228" s="99"/>
      <c r="BC228" s="99"/>
      <c r="BD228" s="187"/>
      <c r="CH228" s="233" t="str">
        <f>IFERROR(TOWER_DATA[[#This Row],[Top '[m']]]-TOWER_DATA[[#This Row],[Bottom '[m']]], "")</f>
        <v/>
      </c>
      <c r="CI228" s="217" t="str">
        <f>IFERROR(-(TOWER_DATA[[#This Row],[D, bottom '[m']]]-TOWER_DATA[[#This Row],[D, top '[m']]])/(TOWER_DATA[[#This Row],[Bottom '[m']]]-TOWER_DATA[[#This Row],[Top '[m']]]),"")</f>
        <v/>
      </c>
      <c r="CJ228" s="145" t="str">
        <f t="shared" si="9"/>
        <v/>
      </c>
      <c r="CK228" s="234" t="str">
        <f>IFERROR((TOWER_DATA[[#This Row],[D, bottom '[m']]]+TOWER_DATA[[#This Row],[D, top '[m']]])/(2*TOWER_DATA[[#This Row],[t '[mm']]]/1000),"")</f>
        <v/>
      </c>
      <c r="DO228" s="209"/>
      <c r="DP228" s="209"/>
      <c r="DQ228" s="187"/>
      <c r="DT228" s="99"/>
      <c r="DU228" s="99"/>
    </row>
    <row r="229" spans="1:125" ht="18" customHeight="1">
      <c r="A229" s="271"/>
      <c r="D229" s="280"/>
      <c r="E229" s="52"/>
      <c r="K229" s="233" t="str">
        <f>IFERROR(MP_DATA[[#This Row],[Top '[m']]]-MP_DATA[[#This Row],[Bottom '[m']]], "")</f>
        <v/>
      </c>
      <c r="L229" s="217" t="str">
        <f>IFERROR(-(MP_DATA[[#This Row],[D, bottom '[m']]]-MP_DATA[[#This Row],[D, top '[m']]])/(MP_DATA[[#This Row],[Bottom '[m']]]-MP_DATA[[#This Row],[Top '[m']]]),"")</f>
        <v/>
      </c>
      <c r="M229" s="145" t="str">
        <f t="shared" si="10"/>
        <v/>
      </c>
      <c r="N229" s="234" t="str">
        <f>IFERROR((MP_DATA[[#This Row],[D, bottom '[m']]]+MP_DATA[[#This Row],[D, top '[m']]])/(2*MP_DATA[[#This Row],[t '[mm']]]/1000),"")</f>
        <v/>
      </c>
      <c r="Q229" s="209"/>
      <c r="R229" s="209"/>
      <c r="S229" s="187"/>
      <c r="AV229" s="233" t="str">
        <f>IFERROR(TP_DATA[[#This Row],[Top '[m']]]-TP_DATA[[#This Row],[Bottom '[m']]], "")</f>
        <v/>
      </c>
      <c r="AW229" s="208"/>
      <c r="AX229" s="209"/>
      <c r="AY229" s="240"/>
      <c r="BB229" s="99"/>
      <c r="BC229" s="99"/>
      <c r="BD229" s="187"/>
      <c r="CH229" s="233" t="str">
        <f>IFERROR(TOWER_DATA[[#This Row],[Top '[m']]]-TOWER_DATA[[#This Row],[Bottom '[m']]], "")</f>
        <v/>
      </c>
      <c r="CI229" s="217" t="str">
        <f>IFERROR(-(TOWER_DATA[[#This Row],[D, bottom '[m']]]-TOWER_DATA[[#This Row],[D, top '[m']]])/(TOWER_DATA[[#This Row],[Bottom '[m']]]-TOWER_DATA[[#This Row],[Top '[m']]]),"")</f>
        <v/>
      </c>
      <c r="CJ229" s="145" t="str">
        <f t="shared" si="9"/>
        <v/>
      </c>
      <c r="CK229" s="234" t="str">
        <f>IFERROR((TOWER_DATA[[#This Row],[D, bottom '[m']]]+TOWER_DATA[[#This Row],[D, top '[m']]])/(2*TOWER_DATA[[#This Row],[t '[mm']]]/1000),"")</f>
        <v/>
      </c>
      <c r="DO229" s="209"/>
      <c r="DP229" s="209"/>
      <c r="DQ229" s="187"/>
      <c r="DT229" s="99"/>
      <c r="DU229" s="99"/>
    </row>
    <row r="230" spans="1:125" ht="18" customHeight="1">
      <c r="A230" s="271"/>
      <c r="D230" s="280"/>
      <c r="E230" s="52"/>
      <c r="K230" s="233" t="str">
        <f>IFERROR(MP_DATA[[#This Row],[Top '[m']]]-MP_DATA[[#This Row],[Bottom '[m']]], "")</f>
        <v/>
      </c>
      <c r="L230" s="217" t="str">
        <f>IFERROR(-(MP_DATA[[#This Row],[D, bottom '[m']]]-MP_DATA[[#This Row],[D, top '[m']]])/(MP_DATA[[#This Row],[Bottom '[m']]]-MP_DATA[[#This Row],[Top '[m']]]),"")</f>
        <v/>
      </c>
      <c r="M230" s="145" t="str">
        <f t="shared" si="10"/>
        <v/>
      </c>
      <c r="N230" s="234" t="str">
        <f>IFERROR((MP_DATA[[#This Row],[D, bottom '[m']]]+MP_DATA[[#This Row],[D, top '[m']]])/(2*MP_DATA[[#This Row],[t '[mm']]]/1000),"")</f>
        <v/>
      </c>
      <c r="Q230" s="209"/>
      <c r="R230" s="209"/>
      <c r="S230" s="187"/>
      <c r="AV230" s="233" t="str">
        <f>IFERROR(TP_DATA[[#This Row],[Top '[m']]]-TP_DATA[[#This Row],[Bottom '[m']]], "")</f>
        <v/>
      </c>
      <c r="AW230" s="208"/>
      <c r="AX230" s="209"/>
      <c r="AY230" s="240"/>
      <c r="BB230" s="99"/>
      <c r="BC230" s="99"/>
      <c r="BD230" s="187"/>
      <c r="CH230" s="233" t="str">
        <f>IFERROR(TOWER_DATA[[#This Row],[Top '[m']]]-TOWER_DATA[[#This Row],[Bottom '[m']]], "")</f>
        <v/>
      </c>
      <c r="CI230" s="217" t="str">
        <f>IFERROR(-(TOWER_DATA[[#This Row],[D, bottom '[m']]]-TOWER_DATA[[#This Row],[D, top '[m']]])/(TOWER_DATA[[#This Row],[Bottom '[m']]]-TOWER_DATA[[#This Row],[Top '[m']]]),"")</f>
        <v/>
      </c>
      <c r="CJ230" s="145" t="str">
        <f t="shared" si="9"/>
        <v/>
      </c>
      <c r="CK230" s="234" t="str">
        <f>IFERROR((TOWER_DATA[[#This Row],[D, bottom '[m']]]+TOWER_DATA[[#This Row],[D, top '[m']]])/(2*TOWER_DATA[[#This Row],[t '[mm']]]/1000),"")</f>
        <v/>
      </c>
      <c r="DO230" s="209"/>
      <c r="DP230" s="209"/>
      <c r="DQ230" s="187"/>
      <c r="DT230" s="99"/>
      <c r="DU230" s="99"/>
    </row>
    <row r="231" spans="1:125" ht="18" customHeight="1">
      <c r="A231" s="271"/>
      <c r="D231" s="280"/>
      <c r="E231" s="52"/>
      <c r="K231" s="233" t="str">
        <f>IFERROR(MP_DATA[[#This Row],[Top '[m']]]-MP_DATA[[#This Row],[Bottom '[m']]], "")</f>
        <v/>
      </c>
      <c r="L231" s="217" t="str">
        <f>IFERROR(-(MP_DATA[[#This Row],[D, bottom '[m']]]-MP_DATA[[#This Row],[D, top '[m']]])/(MP_DATA[[#This Row],[Bottom '[m']]]-MP_DATA[[#This Row],[Top '[m']]]),"")</f>
        <v/>
      </c>
      <c r="M231" s="145" t="str">
        <f t="shared" si="10"/>
        <v/>
      </c>
      <c r="N231" s="234" t="str">
        <f>IFERROR((MP_DATA[[#This Row],[D, bottom '[m']]]+MP_DATA[[#This Row],[D, top '[m']]])/(2*MP_DATA[[#This Row],[t '[mm']]]/1000),"")</f>
        <v/>
      </c>
      <c r="Q231" s="209"/>
      <c r="R231" s="209"/>
      <c r="S231" s="187"/>
      <c r="AV231" s="233" t="str">
        <f>IFERROR(TP_DATA[[#This Row],[Top '[m']]]-TP_DATA[[#This Row],[Bottom '[m']]], "")</f>
        <v/>
      </c>
      <c r="AW231" s="208"/>
      <c r="AX231" s="209"/>
      <c r="AY231" s="240"/>
      <c r="BB231" s="99"/>
      <c r="BC231" s="99"/>
      <c r="BD231" s="187"/>
      <c r="CH231" s="233" t="str">
        <f>IFERROR(TOWER_DATA[[#This Row],[Top '[m']]]-TOWER_DATA[[#This Row],[Bottom '[m']]], "")</f>
        <v/>
      </c>
      <c r="CI231" s="217" t="str">
        <f>IFERROR(-(TOWER_DATA[[#This Row],[D, bottom '[m']]]-TOWER_DATA[[#This Row],[D, top '[m']]])/(TOWER_DATA[[#This Row],[Bottom '[m']]]-TOWER_DATA[[#This Row],[Top '[m']]]),"")</f>
        <v/>
      </c>
      <c r="CJ231" s="145" t="str">
        <f t="shared" si="9"/>
        <v/>
      </c>
      <c r="CK231" s="234" t="str">
        <f>IFERROR((TOWER_DATA[[#This Row],[D, bottom '[m']]]+TOWER_DATA[[#This Row],[D, top '[m']]])/(2*TOWER_DATA[[#This Row],[t '[mm']]]/1000),"")</f>
        <v/>
      </c>
      <c r="DO231" s="209"/>
      <c r="DP231" s="209"/>
      <c r="DQ231" s="187"/>
      <c r="DT231" s="99"/>
      <c r="DU231" s="99"/>
    </row>
    <row r="232" spans="1:125" ht="18" customHeight="1">
      <c r="A232" s="271"/>
      <c r="D232" s="280"/>
      <c r="E232" s="52"/>
      <c r="K232" s="233" t="str">
        <f>IFERROR(MP_DATA[[#This Row],[Top '[m']]]-MP_DATA[[#This Row],[Bottom '[m']]], "")</f>
        <v/>
      </c>
      <c r="L232" s="217" t="str">
        <f>IFERROR(-(MP_DATA[[#This Row],[D, bottom '[m']]]-MP_DATA[[#This Row],[D, top '[m']]])/(MP_DATA[[#This Row],[Bottom '[m']]]-MP_DATA[[#This Row],[Top '[m']]]),"")</f>
        <v/>
      </c>
      <c r="M232" s="145" t="str">
        <f t="shared" si="10"/>
        <v/>
      </c>
      <c r="N232" s="234" t="str">
        <f>IFERROR((MP_DATA[[#This Row],[D, bottom '[m']]]+MP_DATA[[#This Row],[D, top '[m']]])/(2*MP_DATA[[#This Row],[t '[mm']]]/1000),"")</f>
        <v/>
      </c>
      <c r="Q232" s="209"/>
      <c r="R232" s="209"/>
      <c r="S232" s="187"/>
      <c r="AV232" s="233" t="str">
        <f>IFERROR(TP_DATA[[#This Row],[Top '[m']]]-TP_DATA[[#This Row],[Bottom '[m']]], "")</f>
        <v/>
      </c>
      <c r="AW232" s="208"/>
      <c r="AX232" s="209"/>
      <c r="AY232" s="240"/>
      <c r="BB232" s="99"/>
      <c r="BC232" s="99"/>
      <c r="BD232" s="187"/>
      <c r="CH232" s="233" t="str">
        <f>IFERROR(TOWER_DATA[[#This Row],[Top '[m']]]-TOWER_DATA[[#This Row],[Bottom '[m']]], "")</f>
        <v/>
      </c>
      <c r="CI232" s="217" t="str">
        <f>IFERROR(-(TOWER_DATA[[#This Row],[D, bottom '[m']]]-TOWER_DATA[[#This Row],[D, top '[m']]])/(TOWER_DATA[[#This Row],[Bottom '[m']]]-TOWER_DATA[[#This Row],[Top '[m']]]),"")</f>
        <v/>
      </c>
      <c r="CJ232" s="145" t="str">
        <f t="shared" si="9"/>
        <v/>
      </c>
      <c r="CK232" s="234" t="str">
        <f>IFERROR((TOWER_DATA[[#This Row],[D, bottom '[m']]]+TOWER_DATA[[#This Row],[D, top '[m']]])/(2*TOWER_DATA[[#This Row],[t '[mm']]]/1000),"")</f>
        <v/>
      </c>
      <c r="DO232" s="209"/>
      <c r="DP232" s="209"/>
      <c r="DQ232" s="187"/>
      <c r="DT232" s="99"/>
      <c r="DU232" s="99"/>
    </row>
    <row r="233" spans="1:125" ht="18" customHeight="1">
      <c r="A233" s="271"/>
      <c r="D233" s="280"/>
      <c r="E233" s="52"/>
      <c r="K233" s="233" t="str">
        <f>IFERROR(MP_DATA[[#This Row],[Top '[m']]]-MP_DATA[[#This Row],[Bottom '[m']]], "")</f>
        <v/>
      </c>
      <c r="L233" s="217" t="str">
        <f>IFERROR(-(MP_DATA[[#This Row],[D, bottom '[m']]]-MP_DATA[[#This Row],[D, top '[m']]])/(MP_DATA[[#This Row],[Bottom '[m']]]-MP_DATA[[#This Row],[Top '[m']]]),"")</f>
        <v/>
      </c>
      <c r="M233" s="145" t="str">
        <f t="shared" si="10"/>
        <v/>
      </c>
      <c r="N233" s="234" t="str">
        <f>IFERROR((MP_DATA[[#This Row],[D, bottom '[m']]]+MP_DATA[[#This Row],[D, top '[m']]])/(2*MP_DATA[[#This Row],[t '[mm']]]/1000),"")</f>
        <v/>
      </c>
      <c r="Q233" s="209"/>
      <c r="R233" s="209"/>
      <c r="S233" s="187"/>
      <c r="AV233" s="233" t="str">
        <f>IFERROR(TP_DATA[[#This Row],[Top '[m']]]-TP_DATA[[#This Row],[Bottom '[m']]], "")</f>
        <v/>
      </c>
      <c r="AW233" s="208"/>
      <c r="AX233" s="209"/>
      <c r="AY233" s="240"/>
      <c r="BB233" s="99"/>
      <c r="BC233" s="99"/>
      <c r="BD233" s="187"/>
      <c r="CH233" s="233" t="str">
        <f>IFERROR(TOWER_DATA[[#This Row],[Top '[m']]]-TOWER_DATA[[#This Row],[Bottom '[m']]], "")</f>
        <v/>
      </c>
      <c r="CI233" s="217" t="str">
        <f>IFERROR(-(TOWER_DATA[[#This Row],[D, bottom '[m']]]-TOWER_DATA[[#This Row],[D, top '[m']]])/(TOWER_DATA[[#This Row],[Bottom '[m']]]-TOWER_DATA[[#This Row],[Top '[m']]]),"")</f>
        <v/>
      </c>
      <c r="CJ233" s="145" t="str">
        <f t="shared" si="9"/>
        <v/>
      </c>
      <c r="CK233" s="234" t="str">
        <f>IFERROR((TOWER_DATA[[#This Row],[D, bottom '[m']]]+TOWER_DATA[[#This Row],[D, top '[m']]])/(2*TOWER_DATA[[#This Row],[t '[mm']]]/1000),"")</f>
        <v/>
      </c>
      <c r="DO233" s="209"/>
      <c r="DP233" s="209"/>
      <c r="DQ233" s="187"/>
      <c r="DT233" s="99"/>
      <c r="DU233" s="99"/>
    </row>
    <row r="234" spans="1:125" ht="18" customHeight="1">
      <c r="A234" s="271"/>
      <c r="D234" s="280"/>
      <c r="E234" s="52"/>
      <c r="K234" s="233" t="str">
        <f>IFERROR(MP_DATA[[#This Row],[Top '[m']]]-MP_DATA[[#This Row],[Bottom '[m']]], "")</f>
        <v/>
      </c>
      <c r="L234" s="217" t="str">
        <f>IFERROR(-(MP_DATA[[#This Row],[D, bottom '[m']]]-MP_DATA[[#This Row],[D, top '[m']]])/(MP_DATA[[#This Row],[Bottom '[m']]]-MP_DATA[[#This Row],[Top '[m']]]),"")</f>
        <v/>
      </c>
      <c r="M234" s="145" t="str">
        <f t="shared" si="10"/>
        <v/>
      </c>
      <c r="N234" s="234" t="str">
        <f>IFERROR((MP_DATA[[#This Row],[D, bottom '[m']]]+MP_DATA[[#This Row],[D, top '[m']]])/(2*MP_DATA[[#This Row],[t '[mm']]]/1000),"")</f>
        <v/>
      </c>
      <c r="Q234" s="209"/>
      <c r="R234" s="209"/>
      <c r="S234" s="187"/>
      <c r="AV234" s="233" t="str">
        <f>IFERROR(TP_DATA[[#This Row],[Top '[m']]]-TP_DATA[[#This Row],[Bottom '[m']]], "")</f>
        <v/>
      </c>
      <c r="AW234" s="208"/>
      <c r="AX234" s="209"/>
      <c r="AY234" s="240"/>
      <c r="BB234" s="99"/>
      <c r="BC234" s="99"/>
      <c r="BD234" s="187"/>
      <c r="CH234" s="233" t="str">
        <f>IFERROR(TOWER_DATA[[#This Row],[Top '[m']]]-TOWER_DATA[[#This Row],[Bottom '[m']]], "")</f>
        <v/>
      </c>
      <c r="CI234" s="217" t="str">
        <f>IFERROR(-(TOWER_DATA[[#This Row],[D, bottom '[m']]]-TOWER_DATA[[#This Row],[D, top '[m']]])/(TOWER_DATA[[#This Row],[Bottom '[m']]]-TOWER_DATA[[#This Row],[Top '[m']]]),"")</f>
        <v/>
      </c>
      <c r="CJ234" s="145" t="str">
        <f t="shared" si="9"/>
        <v/>
      </c>
      <c r="CK234" s="234" t="str">
        <f>IFERROR((TOWER_DATA[[#This Row],[D, bottom '[m']]]+TOWER_DATA[[#This Row],[D, top '[m']]])/(2*TOWER_DATA[[#This Row],[t '[mm']]]/1000),"")</f>
        <v/>
      </c>
      <c r="DO234" s="209"/>
      <c r="DP234" s="209"/>
      <c r="DQ234" s="187"/>
      <c r="DT234" s="99"/>
      <c r="DU234" s="99"/>
    </row>
    <row r="235" spans="1:125" ht="18" customHeight="1">
      <c r="A235" s="271"/>
      <c r="D235" s="280"/>
      <c r="E235" s="52"/>
      <c r="K235" s="233" t="str">
        <f>IFERROR(MP_DATA[[#This Row],[Top '[m']]]-MP_DATA[[#This Row],[Bottom '[m']]], "")</f>
        <v/>
      </c>
      <c r="L235" s="217" t="str">
        <f>IFERROR(-(MP_DATA[[#This Row],[D, bottom '[m']]]-MP_DATA[[#This Row],[D, top '[m']]])/(MP_DATA[[#This Row],[Bottom '[m']]]-MP_DATA[[#This Row],[Top '[m']]]),"")</f>
        <v/>
      </c>
      <c r="M235" s="145" t="str">
        <f t="shared" si="10"/>
        <v/>
      </c>
      <c r="N235" s="234" t="str">
        <f>IFERROR((MP_DATA[[#This Row],[D, bottom '[m']]]+MP_DATA[[#This Row],[D, top '[m']]])/(2*MP_DATA[[#This Row],[t '[mm']]]/1000),"")</f>
        <v/>
      </c>
      <c r="Q235" s="209"/>
      <c r="R235" s="209"/>
      <c r="S235" s="187"/>
      <c r="AV235" s="233" t="str">
        <f>IFERROR(TP_DATA[[#This Row],[Top '[m']]]-TP_DATA[[#This Row],[Bottom '[m']]], "")</f>
        <v/>
      </c>
      <c r="AW235" s="208"/>
      <c r="AX235" s="209"/>
      <c r="AY235" s="240"/>
      <c r="BB235" s="99"/>
      <c r="BC235" s="99"/>
      <c r="BD235" s="187"/>
      <c r="CH235" s="233" t="str">
        <f>IFERROR(TOWER_DATA[[#This Row],[Top '[m']]]-TOWER_DATA[[#This Row],[Bottom '[m']]], "")</f>
        <v/>
      </c>
      <c r="CI235" s="217" t="str">
        <f>IFERROR(-(TOWER_DATA[[#This Row],[D, bottom '[m']]]-TOWER_DATA[[#This Row],[D, top '[m']]])/(TOWER_DATA[[#This Row],[Bottom '[m']]]-TOWER_DATA[[#This Row],[Top '[m']]]),"")</f>
        <v/>
      </c>
      <c r="CJ235" s="145" t="str">
        <f t="shared" si="9"/>
        <v/>
      </c>
      <c r="CK235" s="234" t="str">
        <f>IFERROR((TOWER_DATA[[#This Row],[D, bottom '[m']]]+TOWER_DATA[[#This Row],[D, top '[m']]])/(2*TOWER_DATA[[#This Row],[t '[mm']]]/1000),"")</f>
        <v/>
      </c>
      <c r="DO235" s="209"/>
      <c r="DP235" s="209"/>
      <c r="DQ235" s="187"/>
      <c r="DT235" s="99"/>
      <c r="DU235" s="99"/>
    </row>
    <row r="236" spans="1:125" ht="18" customHeight="1">
      <c r="A236" s="271"/>
      <c r="D236" s="280"/>
      <c r="E236" s="52"/>
      <c r="K236" s="233" t="str">
        <f>IFERROR(MP_DATA[[#This Row],[Top '[m']]]-MP_DATA[[#This Row],[Bottom '[m']]], "")</f>
        <v/>
      </c>
      <c r="L236" s="217" t="str">
        <f>IFERROR(-(MP_DATA[[#This Row],[D, bottom '[m']]]-MP_DATA[[#This Row],[D, top '[m']]])/(MP_DATA[[#This Row],[Bottom '[m']]]-MP_DATA[[#This Row],[Top '[m']]]),"")</f>
        <v/>
      </c>
      <c r="M236" s="145" t="str">
        <f t="shared" si="10"/>
        <v/>
      </c>
      <c r="N236" s="234" t="str">
        <f>IFERROR((MP_DATA[[#This Row],[D, bottom '[m']]]+MP_DATA[[#This Row],[D, top '[m']]])/(2*MP_DATA[[#This Row],[t '[mm']]]/1000),"")</f>
        <v/>
      </c>
      <c r="Q236" s="209"/>
      <c r="R236" s="209"/>
      <c r="S236" s="187"/>
      <c r="AV236" s="233" t="str">
        <f>IFERROR(TP_DATA[[#This Row],[Top '[m']]]-TP_DATA[[#This Row],[Bottom '[m']]], "")</f>
        <v/>
      </c>
      <c r="AW236" s="208"/>
      <c r="AX236" s="209"/>
      <c r="AY236" s="240"/>
      <c r="BB236" s="99"/>
      <c r="BC236" s="99"/>
      <c r="BD236" s="187"/>
      <c r="CH236" s="233" t="str">
        <f>IFERROR(TOWER_DATA[[#This Row],[Top '[m']]]-TOWER_DATA[[#This Row],[Bottom '[m']]], "")</f>
        <v/>
      </c>
      <c r="CI236" s="217" t="str">
        <f>IFERROR(-(TOWER_DATA[[#This Row],[D, bottom '[m']]]-TOWER_DATA[[#This Row],[D, top '[m']]])/(TOWER_DATA[[#This Row],[Bottom '[m']]]-TOWER_DATA[[#This Row],[Top '[m']]]),"")</f>
        <v/>
      </c>
      <c r="CJ236" s="145" t="str">
        <f t="shared" si="9"/>
        <v/>
      </c>
      <c r="CK236" s="234" t="str">
        <f>IFERROR((TOWER_DATA[[#This Row],[D, bottom '[m']]]+TOWER_DATA[[#This Row],[D, top '[m']]])/(2*TOWER_DATA[[#This Row],[t '[mm']]]/1000),"")</f>
        <v/>
      </c>
      <c r="DO236" s="209"/>
      <c r="DP236" s="209"/>
      <c r="DQ236" s="187"/>
      <c r="DT236" s="99"/>
      <c r="DU236" s="99"/>
    </row>
    <row r="237" spans="1:125" ht="18" customHeight="1">
      <c r="A237" s="271"/>
      <c r="D237" s="280"/>
      <c r="E237" s="52"/>
      <c r="K237" s="233" t="str">
        <f>IFERROR(MP_DATA[[#This Row],[Top '[m']]]-MP_DATA[[#This Row],[Bottom '[m']]], "")</f>
        <v/>
      </c>
      <c r="L237" s="217" t="str">
        <f>IFERROR(-(MP_DATA[[#This Row],[D, bottom '[m']]]-MP_DATA[[#This Row],[D, top '[m']]])/(MP_DATA[[#This Row],[Bottom '[m']]]-MP_DATA[[#This Row],[Top '[m']]]),"")</f>
        <v/>
      </c>
      <c r="M237" s="145" t="str">
        <f t="shared" si="10"/>
        <v/>
      </c>
      <c r="N237" s="234" t="str">
        <f>IFERROR((MP_DATA[[#This Row],[D, bottom '[m']]]+MP_DATA[[#This Row],[D, top '[m']]])/(2*MP_DATA[[#This Row],[t '[mm']]]/1000),"")</f>
        <v/>
      </c>
      <c r="Q237" s="209"/>
      <c r="R237" s="209"/>
      <c r="S237" s="187"/>
      <c r="AV237" s="233" t="str">
        <f>IFERROR(TP_DATA[[#This Row],[Top '[m']]]-TP_DATA[[#This Row],[Bottom '[m']]], "")</f>
        <v/>
      </c>
      <c r="AW237" s="208"/>
      <c r="AX237" s="209"/>
      <c r="AY237" s="240"/>
      <c r="BB237" s="99"/>
      <c r="BC237" s="99"/>
      <c r="BD237" s="187"/>
      <c r="CH237" s="233" t="str">
        <f>IFERROR(TOWER_DATA[[#This Row],[Top '[m']]]-TOWER_DATA[[#This Row],[Bottom '[m']]], "")</f>
        <v/>
      </c>
      <c r="CI237" s="217" t="str">
        <f>IFERROR(-(TOWER_DATA[[#This Row],[D, bottom '[m']]]-TOWER_DATA[[#This Row],[D, top '[m']]])/(TOWER_DATA[[#This Row],[Bottom '[m']]]-TOWER_DATA[[#This Row],[Top '[m']]]),"")</f>
        <v/>
      </c>
      <c r="CJ237" s="145" t="str">
        <f t="shared" si="9"/>
        <v/>
      </c>
      <c r="CK237" s="234" t="str">
        <f>IFERROR((TOWER_DATA[[#This Row],[D, bottom '[m']]]+TOWER_DATA[[#This Row],[D, top '[m']]])/(2*TOWER_DATA[[#This Row],[t '[mm']]]/1000),"")</f>
        <v/>
      </c>
      <c r="DO237" s="209"/>
      <c r="DP237" s="209"/>
      <c r="DQ237" s="187"/>
      <c r="DT237" s="99"/>
      <c r="DU237" s="99"/>
    </row>
    <row r="238" spans="1:125" ht="18" customHeight="1">
      <c r="A238" s="271"/>
      <c r="D238" s="280"/>
      <c r="E238" s="52"/>
      <c r="K238" s="233" t="str">
        <f>IFERROR(MP_DATA[[#This Row],[Top '[m']]]-MP_DATA[[#This Row],[Bottom '[m']]], "")</f>
        <v/>
      </c>
      <c r="L238" s="217" t="str">
        <f>IFERROR(-(MP_DATA[[#This Row],[D, bottom '[m']]]-MP_DATA[[#This Row],[D, top '[m']]])/(MP_DATA[[#This Row],[Bottom '[m']]]-MP_DATA[[#This Row],[Top '[m']]]),"")</f>
        <v/>
      </c>
      <c r="M238" s="145" t="str">
        <f t="shared" si="10"/>
        <v/>
      </c>
      <c r="N238" s="234" t="str">
        <f>IFERROR((MP_DATA[[#This Row],[D, bottom '[m']]]+MP_DATA[[#This Row],[D, top '[m']]])/(2*MP_DATA[[#This Row],[t '[mm']]]/1000),"")</f>
        <v/>
      </c>
      <c r="Q238" s="209"/>
      <c r="R238" s="209"/>
      <c r="S238" s="187"/>
      <c r="AV238" s="233" t="str">
        <f>IFERROR(TP_DATA[[#This Row],[Top '[m']]]-TP_DATA[[#This Row],[Bottom '[m']]], "")</f>
        <v/>
      </c>
      <c r="AW238" s="208"/>
      <c r="AX238" s="209"/>
      <c r="AY238" s="240"/>
      <c r="BB238" s="99"/>
      <c r="BC238" s="99"/>
      <c r="BD238" s="187"/>
      <c r="CH238" s="233" t="str">
        <f>IFERROR(TOWER_DATA[[#This Row],[Top '[m']]]-TOWER_DATA[[#This Row],[Bottom '[m']]], "")</f>
        <v/>
      </c>
      <c r="CI238" s="217" t="str">
        <f>IFERROR(-(TOWER_DATA[[#This Row],[D, bottom '[m']]]-TOWER_DATA[[#This Row],[D, top '[m']]])/(TOWER_DATA[[#This Row],[Bottom '[m']]]-TOWER_DATA[[#This Row],[Top '[m']]]),"")</f>
        <v/>
      </c>
      <c r="CJ238" s="145" t="str">
        <f t="shared" si="9"/>
        <v/>
      </c>
      <c r="CK238" s="234" t="str">
        <f>IFERROR((TOWER_DATA[[#This Row],[D, bottom '[m']]]+TOWER_DATA[[#This Row],[D, top '[m']]])/(2*TOWER_DATA[[#This Row],[t '[mm']]]/1000),"")</f>
        <v/>
      </c>
      <c r="DO238" s="209"/>
      <c r="DP238" s="209"/>
      <c r="DQ238" s="187"/>
      <c r="DT238" s="99"/>
      <c r="DU238" s="99"/>
    </row>
    <row r="239" spans="1:125" ht="18" customHeight="1">
      <c r="A239" s="271"/>
      <c r="D239" s="280"/>
      <c r="E239" s="52"/>
      <c r="K239" s="233" t="str">
        <f>IFERROR(MP_DATA[[#This Row],[Top '[m']]]-MP_DATA[[#This Row],[Bottom '[m']]], "")</f>
        <v/>
      </c>
      <c r="L239" s="217" t="str">
        <f>IFERROR(-(MP_DATA[[#This Row],[D, bottom '[m']]]-MP_DATA[[#This Row],[D, top '[m']]])/(MP_DATA[[#This Row],[Bottom '[m']]]-MP_DATA[[#This Row],[Top '[m']]]),"")</f>
        <v/>
      </c>
      <c r="M239" s="145" t="str">
        <f t="shared" si="10"/>
        <v/>
      </c>
      <c r="N239" s="234" t="str">
        <f>IFERROR((MP_DATA[[#This Row],[D, bottom '[m']]]+MP_DATA[[#This Row],[D, top '[m']]])/(2*MP_DATA[[#This Row],[t '[mm']]]/1000),"")</f>
        <v/>
      </c>
      <c r="Q239" s="209"/>
      <c r="R239" s="209"/>
      <c r="S239" s="187"/>
      <c r="AV239" s="233" t="str">
        <f>IFERROR(TP_DATA[[#This Row],[Top '[m']]]-TP_DATA[[#This Row],[Bottom '[m']]], "")</f>
        <v/>
      </c>
      <c r="AW239" s="208"/>
      <c r="AX239" s="209"/>
      <c r="AY239" s="240"/>
      <c r="BB239" s="99"/>
      <c r="BC239" s="99"/>
      <c r="BD239" s="187"/>
      <c r="CH239" s="233" t="str">
        <f>IFERROR(TOWER_DATA[[#This Row],[Top '[m']]]-TOWER_DATA[[#This Row],[Bottom '[m']]], "")</f>
        <v/>
      </c>
      <c r="CI239" s="217" t="str">
        <f>IFERROR(-(TOWER_DATA[[#This Row],[D, bottom '[m']]]-TOWER_DATA[[#This Row],[D, top '[m']]])/(TOWER_DATA[[#This Row],[Bottom '[m']]]-TOWER_DATA[[#This Row],[Top '[m']]]),"")</f>
        <v/>
      </c>
      <c r="CJ239" s="145" t="str">
        <f t="shared" si="9"/>
        <v/>
      </c>
      <c r="CK239" s="234" t="str">
        <f>IFERROR((TOWER_DATA[[#This Row],[D, bottom '[m']]]+TOWER_DATA[[#This Row],[D, top '[m']]])/(2*TOWER_DATA[[#This Row],[t '[mm']]]/1000),"")</f>
        <v/>
      </c>
      <c r="DO239" s="209"/>
      <c r="DP239" s="209"/>
      <c r="DQ239" s="187"/>
      <c r="DT239" s="99"/>
      <c r="DU239" s="99"/>
    </row>
    <row r="240" spans="1:125" ht="18" customHeight="1">
      <c r="A240" s="271"/>
      <c r="D240" s="280"/>
      <c r="E240" s="52"/>
      <c r="K240" s="233" t="str">
        <f>IFERROR(MP_DATA[[#This Row],[Top '[m']]]-MP_DATA[[#This Row],[Bottom '[m']]], "")</f>
        <v/>
      </c>
      <c r="L240" s="217" t="str">
        <f>IFERROR(-(MP_DATA[[#This Row],[D, bottom '[m']]]-MP_DATA[[#This Row],[D, top '[m']]])/(MP_DATA[[#This Row],[Bottom '[m']]]-MP_DATA[[#This Row],[Top '[m']]]),"")</f>
        <v/>
      </c>
      <c r="M240" s="145" t="str">
        <f t="shared" si="10"/>
        <v/>
      </c>
      <c r="N240" s="234" t="str">
        <f>IFERROR((MP_DATA[[#This Row],[D, bottom '[m']]]+MP_DATA[[#This Row],[D, top '[m']]])/(2*MP_DATA[[#This Row],[t '[mm']]]/1000),"")</f>
        <v/>
      </c>
      <c r="Q240" s="209"/>
      <c r="R240" s="209"/>
      <c r="S240" s="187"/>
      <c r="AV240" s="233" t="str">
        <f>IFERROR(TP_DATA[[#This Row],[Top '[m']]]-TP_DATA[[#This Row],[Bottom '[m']]], "")</f>
        <v/>
      </c>
      <c r="AW240" s="208"/>
      <c r="AX240" s="209"/>
      <c r="AY240" s="240"/>
      <c r="BB240" s="99"/>
      <c r="BC240" s="99"/>
      <c r="BD240" s="187"/>
      <c r="CH240" s="233" t="str">
        <f>IFERROR(TOWER_DATA[[#This Row],[Top '[m']]]-TOWER_DATA[[#This Row],[Bottom '[m']]], "")</f>
        <v/>
      </c>
      <c r="CI240" s="217" t="str">
        <f>IFERROR(-(TOWER_DATA[[#This Row],[D, bottom '[m']]]-TOWER_DATA[[#This Row],[D, top '[m']]])/(TOWER_DATA[[#This Row],[Bottom '[m']]]-TOWER_DATA[[#This Row],[Top '[m']]]),"")</f>
        <v/>
      </c>
      <c r="CJ240" s="145" t="str">
        <f t="shared" si="9"/>
        <v/>
      </c>
      <c r="CK240" s="234" t="str">
        <f>IFERROR((TOWER_DATA[[#This Row],[D, bottom '[m']]]+TOWER_DATA[[#This Row],[D, top '[m']]])/(2*TOWER_DATA[[#This Row],[t '[mm']]]/1000),"")</f>
        <v/>
      </c>
      <c r="DO240" s="209"/>
      <c r="DP240" s="209"/>
      <c r="DQ240" s="187"/>
      <c r="DT240" s="99"/>
      <c r="DU240" s="99"/>
    </row>
    <row r="241" spans="1:125" ht="18" customHeight="1">
      <c r="A241" s="271"/>
      <c r="D241" s="280"/>
      <c r="E241" s="52"/>
      <c r="K241" s="233" t="str">
        <f>IFERROR(MP_DATA[[#This Row],[Top '[m']]]-MP_DATA[[#This Row],[Bottom '[m']]], "")</f>
        <v/>
      </c>
      <c r="L241" s="217" t="str">
        <f>IFERROR(-(MP_DATA[[#This Row],[D, bottom '[m']]]-MP_DATA[[#This Row],[D, top '[m']]])/(MP_DATA[[#This Row],[Bottom '[m']]]-MP_DATA[[#This Row],[Top '[m']]]),"")</f>
        <v/>
      </c>
      <c r="M241" s="145" t="str">
        <f t="shared" si="10"/>
        <v/>
      </c>
      <c r="N241" s="234" t="str">
        <f>IFERROR((MP_DATA[[#This Row],[D, bottom '[m']]]+MP_DATA[[#This Row],[D, top '[m']]])/(2*MP_DATA[[#This Row],[t '[mm']]]/1000),"")</f>
        <v/>
      </c>
      <c r="Q241" s="209"/>
      <c r="R241" s="209"/>
      <c r="S241" s="187"/>
      <c r="AV241" s="233" t="str">
        <f>IFERROR(TP_DATA[[#This Row],[Top '[m']]]-TP_DATA[[#This Row],[Bottom '[m']]], "")</f>
        <v/>
      </c>
      <c r="AW241" s="208"/>
      <c r="AX241" s="209"/>
      <c r="AY241" s="240"/>
      <c r="BB241" s="99"/>
      <c r="BC241" s="99"/>
      <c r="BD241" s="187"/>
      <c r="CH241" s="233" t="str">
        <f>IFERROR(TOWER_DATA[[#This Row],[Top '[m']]]-TOWER_DATA[[#This Row],[Bottom '[m']]], "")</f>
        <v/>
      </c>
      <c r="CI241" s="217" t="str">
        <f>IFERROR(-(TOWER_DATA[[#This Row],[D, bottom '[m']]]-TOWER_DATA[[#This Row],[D, top '[m']]])/(TOWER_DATA[[#This Row],[Bottom '[m']]]-TOWER_DATA[[#This Row],[Top '[m']]]),"")</f>
        <v/>
      </c>
      <c r="CJ241" s="145" t="str">
        <f t="shared" ref="CJ241:CJ304" si="11">IF(7850/1000*(1/3)*PI()*ABS(CC241-CD241)*((CE241/2)^2+(CE241/2)*(CF241/2)+(CF241/2)^2-(CE241/2-CG241/1000)^2-(CE241/2-CG241/1000)*(CF241/2-CG241/1000)-(CF241/2-CG241/1000)^2)=0,"",7850/1000*(1/3)*PI()*ABS(CC241-CD241)*((CE241/2)^2+(CE241/2)*(CF241/2)+(CF241/2)^2-(CE241/2-CG241/1000)^2-(CE241/2-CG241/1000)*(CF241/2-CG241/1000)-(CF241/2-CG241/1000)^2))</f>
        <v/>
      </c>
      <c r="CK241" s="234" t="str">
        <f>IFERROR((TOWER_DATA[[#This Row],[D, bottom '[m']]]+TOWER_DATA[[#This Row],[D, top '[m']]])/(2*TOWER_DATA[[#This Row],[t '[mm']]]/1000),"")</f>
        <v/>
      </c>
      <c r="DO241" s="209"/>
      <c r="DP241" s="209"/>
      <c r="DQ241" s="187"/>
      <c r="DT241" s="99"/>
      <c r="DU241" s="99"/>
    </row>
    <row r="242" spans="1:125" ht="18" customHeight="1">
      <c r="A242" s="271"/>
      <c r="D242" s="280"/>
      <c r="E242" s="52"/>
      <c r="K242" s="233" t="str">
        <f>IFERROR(MP_DATA[[#This Row],[Top '[m']]]-MP_DATA[[#This Row],[Bottom '[m']]], "")</f>
        <v/>
      </c>
      <c r="L242" s="217" t="str">
        <f>IFERROR(-(MP_DATA[[#This Row],[D, bottom '[m']]]-MP_DATA[[#This Row],[D, top '[m']]])/(MP_DATA[[#This Row],[Bottom '[m']]]-MP_DATA[[#This Row],[Top '[m']]]),"")</f>
        <v/>
      </c>
      <c r="M242" s="145" t="str">
        <f t="shared" ref="M242:M305" si="12">IF(7850/1000*(1/3)*PI()*ABS(F242-G242)*((H242/2)^2+(H242/2)*(I242/2)+(I242/2)^2-(H242/2-J242/1000)^2-(H242/2-J242/1000)*(I242/2-J242/1000)-(I242/2-J242/1000)^2)=0,"",7850/1000*(1/3)*PI()*ABS(F242-G242)*((H242/2)^2+(H242/2)*(I242/2)+(I242/2)^2-(H242/2-J242/1000)^2-(H242/2-J242/1000)*(I242/2-J242/1000)-(I242/2-J242/1000)^2))</f>
        <v/>
      </c>
      <c r="N242" s="234" t="str">
        <f>IFERROR((MP_DATA[[#This Row],[D, bottom '[m']]]+MP_DATA[[#This Row],[D, top '[m']]])/(2*MP_DATA[[#This Row],[t '[mm']]]/1000),"")</f>
        <v/>
      </c>
      <c r="Q242" s="209"/>
      <c r="R242" s="209"/>
      <c r="S242" s="187"/>
      <c r="AV242" s="233" t="str">
        <f>IFERROR(TP_DATA[[#This Row],[Top '[m']]]-TP_DATA[[#This Row],[Bottom '[m']]], "")</f>
        <v/>
      </c>
      <c r="AW242" s="208"/>
      <c r="AX242" s="209"/>
      <c r="AY242" s="240"/>
      <c r="BB242" s="99"/>
      <c r="BC242" s="99"/>
      <c r="BD242" s="187"/>
      <c r="CH242" s="233" t="str">
        <f>IFERROR(TOWER_DATA[[#This Row],[Top '[m']]]-TOWER_DATA[[#This Row],[Bottom '[m']]], "")</f>
        <v/>
      </c>
      <c r="CI242" s="217" t="str">
        <f>IFERROR(-(TOWER_DATA[[#This Row],[D, bottom '[m']]]-TOWER_DATA[[#This Row],[D, top '[m']]])/(TOWER_DATA[[#This Row],[Bottom '[m']]]-TOWER_DATA[[#This Row],[Top '[m']]]),"")</f>
        <v/>
      </c>
      <c r="CJ242" s="145" t="str">
        <f t="shared" si="11"/>
        <v/>
      </c>
      <c r="CK242" s="234" t="str">
        <f>IFERROR((TOWER_DATA[[#This Row],[D, bottom '[m']]]+TOWER_DATA[[#This Row],[D, top '[m']]])/(2*TOWER_DATA[[#This Row],[t '[mm']]]/1000),"")</f>
        <v/>
      </c>
      <c r="DO242" s="209"/>
      <c r="DP242" s="209"/>
      <c r="DQ242" s="187"/>
      <c r="DT242" s="99"/>
      <c r="DU242" s="99"/>
    </row>
    <row r="243" spans="1:125" ht="18" customHeight="1">
      <c r="A243" s="271"/>
      <c r="D243" s="280"/>
      <c r="E243" s="52"/>
      <c r="K243" s="233" t="str">
        <f>IFERROR(MP_DATA[[#This Row],[Top '[m']]]-MP_DATA[[#This Row],[Bottom '[m']]], "")</f>
        <v/>
      </c>
      <c r="L243" s="217" t="str">
        <f>IFERROR(-(MP_DATA[[#This Row],[D, bottom '[m']]]-MP_DATA[[#This Row],[D, top '[m']]])/(MP_DATA[[#This Row],[Bottom '[m']]]-MP_DATA[[#This Row],[Top '[m']]]),"")</f>
        <v/>
      </c>
      <c r="M243" s="145" t="str">
        <f t="shared" si="12"/>
        <v/>
      </c>
      <c r="N243" s="234" t="str">
        <f>IFERROR((MP_DATA[[#This Row],[D, bottom '[m']]]+MP_DATA[[#This Row],[D, top '[m']]])/(2*MP_DATA[[#This Row],[t '[mm']]]/1000),"")</f>
        <v/>
      </c>
      <c r="Q243" s="209"/>
      <c r="R243" s="209"/>
      <c r="S243" s="187"/>
      <c r="AV243" s="233" t="str">
        <f>IFERROR(TP_DATA[[#This Row],[Top '[m']]]-TP_DATA[[#This Row],[Bottom '[m']]], "")</f>
        <v/>
      </c>
      <c r="AW243" s="208"/>
      <c r="AX243" s="209"/>
      <c r="AY243" s="240"/>
      <c r="BB243" s="99"/>
      <c r="BC243" s="99"/>
      <c r="BD243" s="187"/>
      <c r="CH243" s="233" t="str">
        <f>IFERROR(TOWER_DATA[[#This Row],[Top '[m']]]-TOWER_DATA[[#This Row],[Bottom '[m']]], "")</f>
        <v/>
      </c>
      <c r="CI243" s="217" t="str">
        <f>IFERROR(-(TOWER_DATA[[#This Row],[D, bottom '[m']]]-TOWER_DATA[[#This Row],[D, top '[m']]])/(TOWER_DATA[[#This Row],[Bottom '[m']]]-TOWER_DATA[[#This Row],[Top '[m']]]),"")</f>
        <v/>
      </c>
      <c r="CJ243" s="145" t="str">
        <f t="shared" si="11"/>
        <v/>
      </c>
      <c r="CK243" s="234" t="str">
        <f>IFERROR((TOWER_DATA[[#This Row],[D, bottom '[m']]]+TOWER_DATA[[#This Row],[D, top '[m']]])/(2*TOWER_DATA[[#This Row],[t '[mm']]]/1000),"")</f>
        <v/>
      </c>
      <c r="DO243" s="209"/>
      <c r="DP243" s="209"/>
      <c r="DQ243" s="187"/>
      <c r="DT243" s="99"/>
      <c r="DU243" s="99"/>
    </row>
    <row r="244" spans="1:125" ht="18" customHeight="1">
      <c r="A244" s="271"/>
      <c r="D244" s="280"/>
      <c r="E244" s="52"/>
      <c r="K244" s="233" t="str">
        <f>IFERROR(MP_DATA[[#This Row],[Top '[m']]]-MP_DATA[[#This Row],[Bottom '[m']]], "")</f>
        <v/>
      </c>
      <c r="L244" s="217" t="str">
        <f>IFERROR(-(MP_DATA[[#This Row],[D, bottom '[m']]]-MP_DATA[[#This Row],[D, top '[m']]])/(MP_DATA[[#This Row],[Bottom '[m']]]-MP_DATA[[#This Row],[Top '[m']]]),"")</f>
        <v/>
      </c>
      <c r="M244" s="145" t="str">
        <f t="shared" si="12"/>
        <v/>
      </c>
      <c r="N244" s="234" t="str">
        <f>IFERROR((MP_DATA[[#This Row],[D, bottom '[m']]]+MP_DATA[[#This Row],[D, top '[m']]])/(2*MP_DATA[[#This Row],[t '[mm']]]/1000),"")</f>
        <v/>
      </c>
      <c r="Q244" s="209"/>
      <c r="R244" s="209"/>
      <c r="S244" s="187"/>
      <c r="AV244" s="233" t="str">
        <f>IFERROR(TP_DATA[[#This Row],[Top '[m']]]-TP_DATA[[#This Row],[Bottom '[m']]], "")</f>
        <v/>
      </c>
      <c r="AW244" s="208"/>
      <c r="AX244" s="209"/>
      <c r="AY244" s="240"/>
      <c r="BB244" s="99"/>
      <c r="BC244" s="99"/>
      <c r="BD244" s="187"/>
      <c r="CH244" s="233" t="str">
        <f>IFERROR(TOWER_DATA[[#This Row],[Top '[m']]]-TOWER_DATA[[#This Row],[Bottom '[m']]], "")</f>
        <v/>
      </c>
      <c r="CI244" s="217" t="str">
        <f>IFERROR(-(TOWER_DATA[[#This Row],[D, bottom '[m']]]-TOWER_DATA[[#This Row],[D, top '[m']]])/(TOWER_DATA[[#This Row],[Bottom '[m']]]-TOWER_DATA[[#This Row],[Top '[m']]]),"")</f>
        <v/>
      </c>
      <c r="CJ244" s="145" t="str">
        <f t="shared" si="11"/>
        <v/>
      </c>
      <c r="CK244" s="234" t="str">
        <f>IFERROR((TOWER_DATA[[#This Row],[D, bottom '[m']]]+TOWER_DATA[[#This Row],[D, top '[m']]])/(2*TOWER_DATA[[#This Row],[t '[mm']]]/1000),"")</f>
        <v/>
      </c>
      <c r="DO244" s="209"/>
      <c r="DP244" s="209"/>
      <c r="DQ244" s="187"/>
      <c r="DT244" s="99"/>
      <c r="DU244" s="99"/>
    </row>
    <row r="245" spans="1:125" ht="18" customHeight="1">
      <c r="A245" s="271"/>
      <c r="D245" s="280"/>
      <c r="E245" s="52"/>
      <c r="K245" s="233" t="str">
        <f>IFERROR(MP_DATA[[#This Row],[Top '[m']]]-MP_DATA[[#This Row],[Bottom '[m']]], "")</f>
        <v/>
      </c>
      <c r="L245" s="217" t="str">
        <f>IFERROR(-(MP_DATA[[#This Row],[D, bottom '[m']]]-MP_DATA[[#This Row],[D, top '[m']]])/(MP_DATA[[#This Row],[Bottom '[m']]]-MP_DATA[[#This Row],[Top '[m']]]),"")</f>
        <v/>
      </c>
      <c r="M245" s="145" t="str">
        <f t="shared" si="12"/>
        <v/>
      </c>
      <c r="N245" s="234" t="str">
        <f>IFERROR((MP_DATA[[#This Row],[D, bottom '[m']]]+MP_DATA[[#This Row],[D, top '[m']]])/(2*MP_DATA[[#This Row],[t '[mm']]]/1000),"")</f>
        <v/>
      </c>
      <c r="Q245" s="209"/>
      <c r="R245" s="209"/>
      <c r="S245" s="187"/>
      <c r="AV245" s="233" t="str">
        <f>IFERROR(TP_DATA[[#This Row],[Top '[m']]]-TP_DATA[[#This Row],[Bottom '[m']]], "")</f>
        <v/>
      </c>
      <c r="AW245" s="208"/>
      <c r="AX245" s="209"/>
      <c r="AY245" s="240"/>
      <c r="BB245" s="99"/>
      <c r="BC245" s="99"/>
      <c r="BD245" s="187"/>
      <c r="CH245" s="233" t="str">
        <f>IFERROR(TOWER_DATA[[#This Row],[Top '[m']]]-TOWER_DATA[[#This Row],[Bottom '[m']]], "")</f>
        <v/>
      </c>
      <c r="CI245" s="217" t="str">
        <f>IFERROR(-(TOWER_DATA[[#This Row],[D, bottom '[m']]]-TOWER_DATA[[#This Row],[D, top '[m']]])/(TOWER_DATA[[#This Row],[Bottom '[m']]]-TOWER_DATA[[#This Row],[Top '[m']]]),"")</f>
        <v/>
      </c>
      <c r="CJ245" s="145" t="str">
        <f t="shared" si="11"/>
        <v/>
      </c>
      <c r="CK245" s="234" t="str">
        <f>IFERROR((TOWER_DATA[[#This Row],[D, bottom '[m']]]+TOWER_DATA[[#This Row],[D, top '[m']]])/(2*TOWER_DATA[[#This Row],[t '[mm']]]/1000),"")</f>
        <v/>
      </c>
      <c r="DO245" s="209"/>
      <c r="DP245" s="209"/>
      <c r="DQ245" s="187"/>
      <c r="DT245" s="99"/>
      <c r="DU245" s="99"/>
    </row>
    <row r="246" spans="1:125" ht="18" customHeight="1">
      <c r="A246" s="271"/>
      <c r="D246" s="280"/>
      <c r="E246" s="52"/>
      <c r="K246" s="233" t="str">
        <f>IFERROR(MP_DATA[[#This Row],[Top '[m']]]-MP_DATA[[#This Row],[Bottom '[m']]], "")</f>
        <v/>
      </c>
      <c r="L246" s="217" t="str">
        <f>IFERROR(-(MP_DATA[[#This Row],[D, bottom '[m']]]-MP_DATA[[#This Row],[D, top '[m']]])/(MP_DATA[[#This Row],[Bottom '[m']]]-MP_DATA[[#This Row],[Top '[m']]]),"")</f>
        <v/>
      </c>
      <c r="M246" s="145" t="str">
        <f t="shared" si="12"/>
        <v/>
      </c>
      <c r="N246" s="234" t="str">
        <f>IFERROR((MP_DATA[[#This Row],[D, bottom '[m']]]+MP_DATA[[#This Row],[D, top '[m']]])/(2*MP_DATA[[#This Row],[t '[mm']]]/1000),"")</f>
        <v/>
      </c>
      <c r="Q246" s="209"/>
      <c r="R246" s="209"/>
      <c r="S246" s="187"/>
      <c r="AV246" s="233" t="str">
        <f>IFERROR(TP_DATA[[#This Row],[Top '[m']]]-TP_DATA[[#This Row],[Bottom '[m']]], "")</f>
        <v/>
      </c>
      <c r="AW246" s="208"/>
      <c r="AX246" s="209"/>
      <c r="AY246" s="240"/>
      <c r="BB246" s="99"/>
      <c r="BC246" s="99"/>
      <c r="BD246" s="187"/>
      <c r="CH246" s="233" t="str">
        <f>IFERROR(TOWER_DATA[[#This Row],[Top '[m']]]-TOWER_DATA[[#This Row],[Bottom '[m']]], "")</f>
        <v/>
      </c>
      <c r="CI246" s="217" t="str">
        <f>IFERROR(-(TOWER_DATA[[#This Row],[D, bottom '[m']]]-TOWER_DATA[[#This Row],[D, top '[m']]])/(TOWER_DATA[[#This Row],[Bottom '[m']]]-TOWER_DATA[[#This Row],[Top '[m']]]),"")</f>
        <v/>
      </c>
      <c r="CJ246" s="145" t="str">
        <f t="shared" si="11"/>
        <v/>
      </c>
      <c r="CK246" s="234" t="str">
        <f>IFERROR((TOWER_DATA[[#This Row],[D, bottom '[m']]]+TOWER_DATA[[#This Row],[D, top '[m']]])/(2*TOWER_DATA[[#This Row],[t '[mm']]]/1000),"")</f>
        <v/>
      </c>
      <c r="DO246" s="209"/>
      <c r="DP246" s="209"/>
      <c r="DQ246" s="187"/>
      <c r="DT246" s="99"/>
      <c r="DU246" s="99"/>
    </row>
    <row r="247" spans="1:125" ht="18" customHeight="1">
      <c r="A247" s="271"/>
      <c r="D247" s="280"/>
      <c r="E247" s="52"/>
      <c r="K247" s="233" t="str">
        <f>IFERROR(MP_DATA[[#This Row],[Top '[m']]]-MP_DATA[[#This Row],[Bottom '[m']]], "")</f>
        <v/>
      </c>
      <c r="L247" s="217" t="str">
        <f>IFERROR(-(MP_DATA[[#This Row],[D, bottom '[m']]]-MP_DATA[[#This Row],[D, top '[m']]])/(MP_DATA[[#This Row],[Bottom '[m']]]-MP_DATA[[#This Row],[Top '[m']]]),"")</f>
        <v/>
      </c>
      <c r="M247" s="145" t="str">
        <f t="shared" si="12"/>
        <v/>
      </c>
      <c r="N247" s="234" t="str">
        <f>IFERROR((MP_DATA[[#This Row],[D, bottom '[m']]]+MP_DATA[[#This Row],[D, top '[m']]])/(2*MP_DATA[[#This Row],[t '[mm']]]/1000),"")</f>
        <v/>
      </c>
      <c r="Q247" s="209"/>
      <c r="R247" s="209"/>
      <c r="S247" s="187"/>
      <c r="AV247" s="233" t="str">
        <f>IFERROR(TP_DATA[[#This Row],[Top '[m']]]-TP_DATA[[#This Row],[Bottom '[m']]], "")</f>
        <v/>
      </c>
      <c r="AW247" s="208"/>
      <c r="AX247" s="209"/>
      <c r="AY247" s="240"/>
      <c r="BB247" s="99"/>
      <c r="BC247" s="99"/>
      <c r="BD247" s="187"/>
      <c r="CH247" s="233" t="str">
        <f>IFERROR(TOWER_DATA[[#This Row],[Top '[m']]]-TOWER_DATA[[#This Row],[Bottom '[m']]], "")</f>
        <v/>
      </c>
      <c r="CI247" s="217" t="str">
        <f>IFERROR(-(TOWER_DATA[[#This Row],[D, bottom '[m']]]-TOWER_DATA[[#This Row],[D, top '[m']]])/(TOWER_DATA[[#This Row],[Bottom '[m']]]-TOWER_DATA[[#This Row],[Top '[m']]]),"")</f>
        <v/>
      </c>
      <c r="CJ247" s="145" t="str">
        <f t="shared" si="11"/>
        <v/>
      </c>
      <c r="CK247" s="234" t="str">
        <f>IFERROR((TOWER_DATA[[#This Row],[D, bottom '[m']]]+TOWER_DATA[[#This Row],[D, top '[m']]])/(2*TOWER_DATA[[#This Row],[t '[mm']]]/1000),"")</f>
        <v/>
      </c>
      <c r="DO247" s="209"/>
      <c r="DP247" s="209"/>
      <c r="DQ247" s="187"/>
      <c r="DT247" s="99"/>
      <c r="DU247" s="99"/>
    </row>
    <row r="248" spans="1:125" ht="18" customHeight="1">
      <c r="A248" s="271"/>
      <c r="D248" s="280"/>
      <c r="E248" s="52"/>
      <c r="K248" s="233" t="str">
        <f>IFERROR(MP_DATA[[#This Row],[Top '[m']]]-MP_DATA[[#This Row],[Bottom '[m']]], "")</f>
        <v/>
      </c>
      <c r="L248" s="217" t="str">
        <f>IFERROR(-(MP_DATA[[#This Row],[D, bottom '[m']]]-MP_DATA[[#This Row],[D, top '[m']]])/(MP_DATA[[#This Row],[Bottom '[m']]]-MP_DATA[[#This Row],[Top '[m']]]),"")</f>
        <v/>
      </c>
      <c r="M248" s="145" t="str">
        <f t="shared" si="12"/>
        <v/>
      </c>
      <c r="N248" s="234" t="str">
        <f>IFERROR((MP_DATA[[#This Row],[D, bottom '[m']]]+MP_DATA[[#This Row],[D, top '[m']]])/(2*MP_DATA[[#This Row],[t '[mm']]]/1000),"")</f>
        <v/>
      </c>
      <c r="Q248" s="209"/>
      <c r="R248" s="209"/>
      <c r="S248" s="187"/>
      <c r="AV248" s="233" t="str">
        <f>IFERROR(TP_DATA[[#This Row],[Top '[m']]]-TP_DATA[[#This Row],[Bottom '[m']]], "")</f>
        <v/>
      </c>
      <c r="AW248" s="208"/>
      <c r="AX248" s="209"/>
      <c r="AY248" s="240"/>
      <c r="BB248" s="99"/>
      <c r="BC248" s="99"/>
      <c r="BD248" s="187"/>
      <c r="CH248" s="233" t="str">
        <f>IFERROR(TOWER_DATA[[#This Row],[Top '[m']]]-TOWER_DATA[[#This Row],[Bottom '[m']]], "")</f>
        <v/>
      </c>
      <c r="CI248" s="217" t="str">
        <f>IFERROR(-(TOWER_DATA[[#This Row],[D, bottom '[m']]]-TOWER_DATA[[#This Row],[D, top '[m']]])/(TOWER_DATA[[#This Row],[Bottom '[m']]]-TOWER_DATA[[#This Row],[Top '[m']]]),"")</f>
        <v/>
      </c>
      <c r="CJ248" s="145" t="str">
        <f t="shared" si="11"/>
        <v/>
      </c>
      <c r="CK248" s="234" t="str">
        <f>IFERROR((TOWER_DATA[[#This Row],[D, bottom '[m']]]+TOWER_DATA[[#This Row],[D, top '[m']]])/(2*TOWER_DATA[[#This Row],[t '[mm']]]/1000),"")</f>
        <v/>
      </c>
      <c r="DO248" s="209"/>
      <c r="DP248" s="209"/>
      <c r="DQ248" s="187"/>
      <c r="DT248" s="99"/>
      <c r="DU248" s="99"/>
    </row>
    <row r="249" spans="1:125" ht="18" customHeight="1">
      <c r="A249" s="271"/>
      <c r="D249" s="280"/>
      <c r="E249" s="52"/>
      <c r="K249" s="233" t="str">
        <f>IFERROR(MP_DATA[[#This Row],[Top '[m']]]-MP_DATA[[#This Row],[Bottom '[m']]], "")</f>
        <v/>
      </c>
      <c r="L249" s="217" t="str">
        <f>IFERROR(-(MP_DATA[[#This Row],[D, bottom '[m']]]-MP_DATA[[#This Row],[D, top '[m']]])/(MP_DATA[[#This Row],[Bottom '[m']]]-MP_DATA[[#This Row],[Top '[m']]]),"")</f>
        <v/>
      </c>
      <c r="M249" s="145" t="str">
        <f t="shared" si="12"/>
        <v/>
      </c>
      <c r="N249" s="234" t="str">
        <f>IFERROR((MP_DATA[[#This Row],[D, bottom '[m']]]+MP_DATA[[#This Row],[D, top '[m']]])/(2*MP_DATA[[#This Row],[t '[mm']]]/1000),"")</f>
        <v/>
      </c>
      <c r="Q249" s="209"/>
      <c r="R249" s="209"/>
      <c r="S249" s="187"/>
      <c r="AV249" s="233" t="str">
        <f>IFERROR(TP_DATA[[#This Row],[Top '[m']]]-TP_DATA[[#This Row],[Bottom '[m']]], "")</f>
        <v/>
      </c>
      <c r="AW249" s="208"/>
      <c r="AX249" s="209"/>
      <c r="AY249" s="240"/>
      <c r="BB249" s="99"/>
      <c r="BC249" s="99"/>
      <c r="BD249" s="187"/>
      <c r="CH249" s="233" t="str">
        <f>IFERROR(TOWER_DATA[[#This Row],[Top '[m']]]-TOWER_DATA[[#This Row],[Bottom '[m']]], "")</f>
        <v/>
      </c>
      <c r="CI249" s="217" t="str">
        <f>IFERROR(-(TOWER_DATA[[#This Row],[D, bottom '[m']]]-TOWER_DATA[[#This Row],[D, top '[m']]])/(TOWER_DATA[[#This Row],[Bottom '[m']]]-TOWER_DATA[[#This Row],[Top '[m']]]),"")</f>
        <v/>
      </c>
      <c r="CJ249" s="145" t="str">
        <f t="shared" si="11"/>
        <v/>
      </c>
      <c r="CK249" s="234" t="str">
        <f>IFERROR((TOWER_DATA[[#This Row],[D, bottom '[m']]]+TOWER_DATA[[#This Row],[D, top '[m']]])/(2*TOWER_DATA[[#This Row],[t '[mm']]]/1000),"")</f>
        <v/>
      </c>
      <c r="DO249" s="209"/>
      <c r="DP249" s="209"/>
      <c r="DQ249" s="187"/>
      <c r="DT249" s="99"/>
      <c r="DU249" s="99"/>
    </row>
    <row r="250" spans="1:125" ht="18" customHeight="1">
      <c r="A250" s="271"/>
      <c r="D250" s="280"/>
      <c r="E250" s="52"/>
      <c r="K250" s="233" t="str">
        <f>IFERROR(MP_DATA[[#This Row],[Top '[m']]]-MP_DATA[[#This Row],[Bottom '[m']]], "")</f>
        <v/>
      </c>
      <c r="L250" s="217" t="str">
        <f>IFERROR(-(MP_DATA[[#This Row],[D, bottom '[m']]]-MP_DATA[[#This Row],[D, top '[m']]])/(MP_DATA[[#This Row],[Bottom '[m']]]-MP_DATA[[#This Row],[Top '[m']]]),"")</f>
        <v/>
      </c>
      <c r="M250" s="145" t="str">
        <f t="shared" si="12"/>
        <v/>
      </c>
      <c r="N250" s="234" t="str">
        <f>IFERROR((MP_DATA[[#This Row],[D, bottom '[m']]]+MP_DATA[[#This Row],[D, top '[m']]])/(2*MP_DATA[[#This Row],[t '[mm']]]/1000),"")</f>
        <v/>
      </c>
      <c r="Q250" s="209"/>
      <c r="R250" s="209"/>
      <c r="S250" s="187"/>
      <c r="AV250" s="233" t="str">
        <f>IFERROR(TP_DATA[[#This Row],[Top '[m']]]-TP_DATA[[#This Row],[Bottom '[m']]], "")</f>
        <v/>
      </c>
      <c r="AW250" s="208"/>
      <c r="AX250" s="209"/>
      <c r="AY250" s="240"/>
      <c r="BB250" s="99"/>
      <c r="BC250" s="99"/>
      <c r="BD250" s="187"/>
      <c r="CH250" s="233" t="str">
        <f>IFERROR(TOWER_DATA[[#This Row],[Top '[m']]]-TOWER_DATA[[#This Row],[Bottom '[m']]], "")</f>
        <v/>
      </c>
      <c r="CI250" s="217" t="str">
        <f>IFERROR(-(TOWER_DATA[[#This Row],[D, bottom '[m']]]-TOWER_DATA[[#This Row],[D, top '[m']]])/(TOWER_DATA[[#This Row],[Bottom '[m']]]-TOWER_DATA[[#This Row],[Top '[m']]]),"")</f>
        <v/>
      </c>
      <c r="CJ250" s="145" t="str">
        <f t="shared" si="11"/>
        <v/>
      </c>
      <c r="CK250" s="234" t="str">
        <f>IFERROR((TOWER_DATA[[#This Row],[D, bottom '[m']]]+TOWER_DATA[[#This Row],[D, top '[m']]])/(2*TOWER_DATA[[#This Row],[t '[mm']]]/1000),"")</f>
        <v/>
      </c>
      <c r="DO250" s="209"/>
      <c r="DP250" s="209"/>
      <c r="DQ250" s="187"/>
      <c r="DT250" s="99"/>
      <c r="DU250" s="99"/>
    </row>
    <row r="251" spans="1:125" ht="18" customHeight="1">
      <c r="A251" s="271"/>
      <c r="D251" s="280"/>
      <c r="E251" s="52"/>
      <c r="K251" s="233" t="str">
        <f>IFERROR(MP_DATA[[#This Row],[Top '[m']]]-MP_DATA[[#This Row],[Bottom '[m']]], "")</f>
        <v/>
      </c>
      <c r="L251" s="217" t="str">
        <f>IFERROR(-(MP_DATA[[#This Row],[D, bottom '[m']]]-MP_DATA[[#This Row],[D, top '[m']]])/(MP_DATA[[#This Row],[Bottom '[m']]]-MP_DATA[[#This Row],[Top '[m']]]),"")</f>
        <v/>
      </c>
      <c r="M251" s="145" t="str">
        <f t="shared" si="12"/>
        <v/>
      </c>
      <c r="N251" s="234" t="str">
        <f>IFERROR((MP_DATA[[#This Row],[D, bottom '[m']]]+MP_DATA[[#This Row],[D, top '[m']]])/(2*MP_DATA[[#This Row],[t '[mm']]]/1000),"")</f>
        <v/>
      </c>
      <c r="Q251" s="209"/>
      <c r="R251" s="209"/>
      <c r="S251" s="187"/>
      <c r="AV251" s="233" t="str">
        <f>IFERROR(TP_DATA[[#This Row],[Top '[m']]]-TP_DATA[[#This Row],[Bottom '[m']]], "")</f>
        <v/>
      </c>
      <c r="AW251" s="208"/>
      <c r="AX251" s="209"/>
      <c r="AY251" s="240"/>
      <c r="BB251" s="99"/>
      <c r="BC251" s="99"/>
      <c r="BD251" s="187"/>
      <c r="CH251" s="233" t="str">
        <f>IFERROR(TOWER_DATA[[#This Row],[Top '[m']]]-TOWER_DATA[[#This Row],[Bottom '[m']]], "")</f>
        <v/>
      </c>
      <c r="CI251" s="217" t="str">
        <f>IFERROR(-(TOWER_DATA[[#This Row],[D, bottom '[m']]]-TOWER_DATA[[#This Row],[D, top '[m']]])/(TOWER_DATA[[#This Row],[Bottom '[m']]]-TOWER_DATA[[#This Row],[Top '[m']]]),"")</f>
        <v/>
      </c>
      <c r="CJ251" s="145" t="str">
        <f t="shared" si="11"/>
        <v/>
      </c>
      <c r="CK251" s="234" t="str">
        <f>IFERROR((TOWER_DATA[[#This Row],[D, bottom '[m']]]+TOWER_DATA[[#This Row],[D, top '[m']]])/(2*TOWER_DATA[[#This Row],[t '[mm']]]/1000),"")</f>
        <v/>
      </c>
      <c r="DO251" s="209"/>
      <c r="DP251" s="209"/>
      <c r="DQ251" s="187"/>
      <c r="DT251" s="99"/>
      <c r="DU251" s="99"/>
    </row>
    <row r="252" spans="1:125" ht="18" customHeight="1">
      <c r="A252" s="271"/>
      <c r="D252" s="280"/>
      <c r="E252" s="52"/>
      <c r="K252" s="233" t="str">
        <f>IFERROR(MP_DATA[[#This Row],[Top '[m']]]-MP_DATA[[#This Row],[Bottom '[m']]], "")</f>
        <v/>
      </c>
      <c r="L252" s="217" t="str">
        <f>IFERROR(-(MP_DATA[[#This Row],[D, bottom '[m']]]-MP_DATA[[#This Row],[D, top '[m']]])/(MP_DATA[[#This Row],[Bottom '[m']]]-MP_DATA[[#This Row],[Top '[m']]]),"")</f>
        <v/>
      </c>
      <c r="M252" s="145" t="str">
        <f t="shared" si="12"/>
        <v/>
      </c>
      <c r="N252" s="234" t="str">
        <f>IFERROR((MP_DATA[[#This Row],[D, bottom '[m']]]+MP_DATA[[#This Row],[D, top '[m']]])/(2*MP_DATA[[#This Row],[t '[mm']]]/1000),"")</f>
        <v/>
      </c>
      <c r="Q252" s="209"/>
      <c r="R252" s="209"/>
      <c r="S252" s="187"/>
      <c r="AV252" s="233" t="str">
        <f>IFERROR(TP_DATA[[#This Row],[Top '[m']]]-TP_DATA[[#This Row],[Bottom '[m']]], "")</f>
        <v/>
      </c>
      <c r="AW252" s="208"/>
      <c r="AX252" s="209"/>
      <c r="AY252" s="240"/>
      <c r="BB252" s="99"/>
      <c r="BC252" s="99"/>
      <c r="BD252" s="187"/>
      <c r="CH252" s="233" t="str">
        <f>IFERROR(TOWER_DATA[[#This Row],[Top '[m']]]-TOWER_DATA[[#This Row],[Bottom '[m']]], "")</f>
        <v/>
      </c>
      <c r="CI252" s="217" t="str">
        <f>IFERROR(-(TOWER_DATA[[#This Row],[D, bottom '[m']]]-TOWER_DATA[[#This Row],[D, top '[m']]])/(TOWER_DATA[[#This Row],[Bottom '[m']]]-TOWER_DATA[[#This Row],[Top '[m']]]),"")</f>
        <v/>
      </c>
      <c r="CJ252" s="145" t="str">
        <f t="shared" si="11"/>
        <v/>
      </c>
      <c r="CK252" s="234" t="str">
        <f>IFERROR((TOWER_DATA[[#This Row],[D, bottom '[m']]]+TOWER_DATA[[#This Row],[D, top '[m']]])/(2*TOWER_DATA[[#This Row],[t '[mm']]]/1000),"")</f>
        <v/>
      </c>
      <c r="DO252" s="209"/>
      <c r="DP252" s="209"/>
      <c r="DQ252" s="187"/>
      <c r="DT252" s="99"/>
      <c r="DU252" s="99"/>
    </row>
    <row r="253" spans="1:125" ht="18" customHeight="1">
      <c r="A253" s="271"/>
      <c r="D253" s="280"/>
      <c r="E253" s="52"/>
      <c r="K253" s="233" t="str">
        <f>IFERROR(MP_DATA[[#This Row],[Top '[m']]]-MP_DATA[[#This Row],[Bottom '[m']]], "")</f>
        <v/>
      </c>
      <c r="L253" s="217" t="str">
        <f>IFERROR(-(MP_DATA[[#This Row],[D, bottom '[m']]]-MP_DATA[[#This Row],[D, top '[m']]])/(MP_DATA[[#This Row],[Bottom '[m']]]-MP_DATA[[#This Row],[Top '[m']]]),"")</f>
        <v/>
      </c>
      <c r="M253" s="145" t="str">
        <f t="shared" si="12"/>
        <v/>
      </c>
      <c r="N253" s="234" t="str">
        <f>IFERROR((MP_DATA[[#This Row],[D, bottom '[m']]]+MP_DATA[[#This Row],[D, top '[m']]])/(2*MP_DATA[[#This Row],[t '[mm']]]/1000),"")</f>
        <v/>
      </c>
      <c r="Q253" s="209"/>
      <c r="R253" s="209"/>
      <c r="S253" s="187"/>
      <c r="AV253" s="233" t="str">
        <f>IFERROR(TP_DATA[[#This Row],[Top '[m']]]-TP_DATA[[#This Row],[Bottom '[m']]], "")</f>
        <v/>
      </c>
      <c r="AW253" s="208"/>
      <c r="AX253" s="209"/>
      <c r="AY253" s="240"/>
      <c r="BB253" s="99"/>
      <c r="BC253" s="99"/>
      <c r="BD253" s="187"/>
      <c r="CH253" s="233" t="str">
        <f>IFERROR(TOWER_DATA[[#This Row],[Top '[m']]]-TOWER_DATA[[#This Row],[Bottom '[m']]], "")</f>
        <v/>
      </c>
      <c r="CI253" s="217" t="str">
        <f>IFERROR(-(TOWER_DATA[[#This Row],[D, bottom '[m']]]-TOWER_DATA[[#This Row],[D, top '[m']]])/(TOWER_DATA[[#This Row],[Bottom '[m']]]-TOWER_DATA[[#This Row],[Top '[m']]]),"")</f>
        <v/>
      </c>
      <c r="CJ253" s="145" t="str">
        <f t="shared" si="11"/>
        <v/>
      </c>
      <c r="CK253" s="234" t="str">
        <f>IFERROR((TOWER_DATA[[#This Row],[D, bottom '[m']]]+TOWER_DATA[[#This Row],[D, top '[m']]])/(2*TOWER_DATA[[#This Row],[t '[mm']]]/1000),"")</f>
        <v/>
      </c>
      <c r="DO253" s="209"/>
      <c r="DP253" s="209"/>
      <c r="DQ253" s="187"/>
      <c r="DT253" s="99"/>
      <c r="DU253" s="99"/>
    </row>
    <row r="254" spans="1:125" ht="18" customHeight="1">
      <c r="A254" s="271"/>
      <c r="D254" s="280"/>
      <c r="E254" s="52"/>
      <c r="K254" s="233" t="str">
        <f>IFERROR(MP_DATA[[#This Row],[Top '[m']]]-MP_DATA[[#This Row],[Bottom '[m']]], "")</f>
        <v/>
      </c>
      <c r="L254" s="217" t="str">
        <f>IFERROR(-(MP_DATA[[#This Row],[D, bottom '[m']]]-MP_DATA[[#This Row],[D, top '[m']]])/(MP_DATA[[#This Row],[Bottom '[m']]]-MP_DATA[[#This Row],[Top '[m']]]),"")</f>
        <v/>
      </c>
      <c r="M254" s="145" t="str">
        <f t="shared" si="12"/>
        <v/>
      </c>
      <c r="N254" s="234" t="str">
        <f>IFERROR((MP_DATA[[#This Row],[D, bottom '[m']]]+MP_DATA[[#This Row],[D, top '[m']]])/(2*MP_DATA[[#This Row],[t '[mm']]]/1000),"")</f>
        <v/>
      </c>
      <c r="Q254" s="209"/>
      <c r="R254" s="209"/>
      <c r="S254" s="187"/>
      <c r="AV254" s="233" t="str">
        <f>IFERROR(TP_DATA[[#This Row],[Top '[m']]]-TP_DATA[[#This Row],[Bottom '[m']]], "")</f>
        <v/>
      </c>
      <c r="AW254" s="208"/>
      <c r="AX254" s="209"/>
      <c r="AY254" s="240"/>
      <c r="BB254" s="99"/>
      <c r="BC254" s="99"/>
      <c r="BD254" s="187"/>
      <c r="CH254" s="233" t="str">
        <f>IFERROR(TOWER_DATA[[#This Row],[Top '[m']]]-TOWER_DATA[[#This Row],[Bottom '[m']]], "")</f>
        <v/>
      </c>
      <c r="CI254" s="217" t="str">
        <f>IFERROR(-(TOWER_DATA[[#This Row],[D, bottom '[m']]]-TOWER_DATA[[#This Row],[D, top '[m']]])/(TOWER_DATA[[#This Row],[Bottom '[m']]]-TOWER_DATA[[#This Row],[Top '[m']]]),"")</f>
        <v/>
      </c>
      <c r="CJ254" s="145" t="str">
        <f t="shared" si="11"/>
        <v/>
      </c>
      <c r="CK254" s="234" t="str">
        <f>IFERROR((TOWER_DATA[[#This Row],[D, bottom '[m']]]+TOWER_DATA[[#This Row],[D, top '[m']]])/(2*TOWER_DATA[[#This Row],[t '[mm']]]/1000),"")</f>
        <v/>
      </c>
      <c r="DO254" s="209"/>
      <c r="DP254" s="209"/>
      <c r="DQ254" s="187"/>
      <c r="DT254" s="99"/>
      <c r="DU254" s="99"/>
    </row>
    <row r="255" spans="1:125" ht="18" customHeight="1">
      <c r="A255" s="271"/>
      <c r="D255" s="280"/>
      <c r="E255" s="52"/>
      <c r="K255" s="233" t="str">
        <f>IFERROR(MP_DATA[[#This Row],[Top '[m']]]-MP_DATA[[#This Row],[Bottom '[m']]], "")</f>
        <v/>
      </c>
      <c r="L255" s="217" t="str">
        <f>IFERROR(-(MP_DATA[[#This Row],[D, bottom '[m']]]-MP_DATA[[#This Row],[D, top '[m']]])/(MP_DATA[[#This Row],[Bottom '[m']]]-MP_DATA[[#This Row],[Top '[m']]]),"")</f>
        <v/>
      </c>
      <c r="M255" s="145" t="str">
        <f t="shared" si="12"/>
        <v/>
      </c>
      <c r="N255" s="234" t="str">
        <f>IFERROR((MP_DATA[[#This Row],[D, bottom '[m']]]+MP_DATA[[#This Row],[D, top '[m']]])/(2*MP_DATA[[#This Row],[t '[mm']]]/1000),"")</f>
        <v/>
      </c>
      <c r="Q255" s="209"/>
      <c r="R255" s="209"/>
      <c r="S255" s="187"/>
      <c r="AV255" s="233" t="str">
        <f>IFERROR(TP_DATA[[#This Row],[Top '[m']]]-TP_DATA[[#This Row],[Bottom '[m']]], "")</f>
        <v/>
      </c>
      <c r="AW255" s="208"/>
      <c r="AX255" s="209"/>
      <c r="AY255" s="240"/>
      <c r="BB255" s="99"/>
      <c r="BC255" s="99"/>
      <c r="BD255" s="187"/>
      <c r="CH255" s="233" t="str">
        <f>IFERROR(TOWER_DATA[[#This Row],[Top '[m']]]-TOWER_DATA[[#This Row],[Bottom '[m']]], "")</f>
        <v/>
      </c>
      <c r="CI255" s="217" t="str">
        <f>IFERROR(-(TOWER_DATA[[#This Row],[D, bottom '[m']]]-TOWER_DATA[[#This Row],[D, top '[m']]])/(TOWER_DATA[[#This Row],[Bottom '[m']]]-TOWER_DATA[[#This Row],[Top '[m']]]),"")</f>
        <v/>
      </c>
      <c r="CJ255" s="145" t="str">
        <f t="shared" si="11"/>
        <v/>
      </c>
      <c r="CK255" s="234" t="str">
        <f>IFERROR((TOWER_DATA[[#This Row],[D, bottom '[m']]]+TOWER_DATA[[#This Row],[D, top '[m']]])/(2*TOWER_DATA[[#This Row],[t '[mm']]]/1000),"")</f>
        <v/>
      </c>
      <c r="DO255" s="209"/>
      <c r="DP255" s="209"/>
      <c r="DQ255" s="187"/>
      <c r="DT255" s="99"/>
      <c r="DU255" s="99"/>
    </row>
    <row r="256" spans="1:125" ht="18" customHeight="1">
      <c r="A256" s="271"/>
      <c r="D256" s="280"/>
      <c r="E256" s="52"/>
      <c r="K256" s="233" t="str">
        <f>IFERROR(MP_DATA[[#This Row],[Top '[m']]]-MP_DATA[[#This Row],[Bottom '[m']]], "")</f>
        <v/>
      </c>
      <c r="L256" s="217" t="str">
        <f>IFERROR(-(MP_DATA[[#This Row],[D, bottom '[m']]]-MP_DATA[[#This Row],[D, top '[m']]])/(MP_DATA[[#This Row],[Bottom '[m']]]-MP_DATA[[#This Row],[Top '[m']]]),"")</f>
        <v/>
      </c>
      <c r="M256" s="145" t="str">
        <f t="shared" si="12"/>
        <v/>
      </c>
      <c r="N256" s="234" t="str">
        <f>IFERROR((MP_DATA[[#This Row],[D, bottom '[m']]]+MP_DATA[[#This Row],[D, top '[m']]])/(2*MP_DATA[[#This Row],[t '[mm']]]/1000),"")</f>
        <v/>
      </c>
      <c r="Q256" s="209"/>
      <c r="R256" s="209"/>
      <c r="S256" s="187"/>
      <c r="AV256" s="233" t="str">
        <f>IFERROR(TP_DATA[[#This Row],[Top '[m']]]-TP_DATA[[#This Row],[Bottom '[m']]], "")</f>
        <v/>
      </c>
      <c r="AW256" s="208"/>
      <c r="AX256" s="209"/>
      <c r="AY256" s="240"/>
      <c r="BB256" s="99"/>
      <c r="BC256" s="99"/>
      <c r="BD256" s="187"/>
      <c r="CH256" s="233" t="str">
        <f>IFERROR(TOWER_DATA[[#This Row],[Top '[m']]]-TOWER_DATA[[#This Row],[Bottom '[m']]], "")</f>
        <v/>
      </c>
      <c r="CI256" s="217" t="str">
        <f>IFERROR(-(TOWER_DATA[[#This Row],[D, bottom '[m']]]-TOWER_DATA[[#This Row],[D, top '[m']]])/(TOWER_DATA[[#This Row],[Bottom '[m']]]-TOWER_DATA[[#This Row],[Top '[m']]]),"")</f>
        <v/>
      </c>
      <c r="CJ256" s="145" t="str">
        <f t="shared" si="11"/>
        <v/>
      </c>
      <c r="CK256" s="234" t="str">
        <f>IFERROR((TOWER_DATA[[#This Row],[D, bottom '[m']]]+TOWER_DATA[[#This Row],[D, top '[m']]])/(2*TOWER_DATA[[#This Row],[t '[mm']]]/1000),"")</f>
        <v/>
      </c>
      <c r="DO256" s="209"/>
      <c r="DP256" s="209"/>
      <c r="DQ256" s="187"/>
      <c r="DT256" s="99"/>
      <c r="DU256" s="99"/>
    </row>
    <row r="257" spans="1:125" ht="18" customHeight="1">
      <c r="A257" s="271"/>
      <c r="D257" s="280"/>
      <c r="E257" s="52"/>
      <c r="K257" s="233" t="str">
        <f>IFERROR(MP_DATA[[#This Row],[Top '[m']]]-MP_DATA[[#This Row],[Bottom '[m']]], "")</f>
        <v/>
      </c>
      <c r="L257" s="217" t="str">
        <f>IFERROR(-(MP_DATA[[#This Row],[D, bottom '[m']]]-MP_DATA[[#This Row],[D, top '[m']]])/(MP_DATA[[#This Row],[Bottom '[m']]]-MP_DATA[[#This Row],[Top '[m']]]),"")</f>
        <v/>
      </c>
      <c r="M257" s="145" t="str">
        <f t="shared" si="12"/>
        <v/>
      </c>
      <c r="N257" s="234" t="str">
        <f>IFERROR((MP_DATA[[#This Row],[D, bottom '[m']]]+MP_DATA[[#This Row],[D, top '[m']]])/(2*MP_DATA[[#This Row],[t '[mm']]]/1000),"")</f>
        <v/>
      </c>
      <c r="Q257" s="209"/>
      <c r="R257" s="209"/>
      <c r="S257" s="187"/>
      <c r="AV257" s="233" t="str">
        <f>IFERROR(TP_DATA[[#This Row],[Top '[m']]]-TP_DATA[[#This Row],[Bottom '[m']]], "")</f>
        <v/>
      </c>
      <c r="AW257" s="208"/>
      <c r="AX257" s="209"/>
      <c r="AY257" s="240"/>
      <c r="BB257" s="99"/>
      <c r="BC257" s="99"/>
      <c r="BD257" s="187"/>
      <c r="CH257" s="233" t="str">
        <f>IFERROR(TOWER_DATA[[#This Row],[Top '[m']]]-TOWER_DATA[[#This Row],[Bottom '[m']]], "")</f>
        <v/>
      </c>
      <c r="CI257" s="217" t="str">
        <f>IFERROR(-(TOWER_DATA[[#This Row],[D, bottom '[m']]]-TOWER_DATA[[#This Row],[D, top '[m']]])/(TOWER_DATA[[#This Row],[Bottom '[m']]]-TOWER_DATA[[#This Row],[Top '[m']]]),"")</f>
        <v/>
      </c>
      <c r="CJ257" s="145" t="str">
        <f t="shared" si="11"/>
        <v/>
      </c>
      <c r="CK257" s="234" t="str">
        <f>IFERROR((TOWER_DATA[[#This Row],[D, bottom '[m']]]+TOWER_DATA[[#This Row],[D, top '[m']]])/(2*TOWER_DATA[[#This Row],[t '[mm']]]/1000),"")</f>
        <v/>
      </c>
      <c r="DO257" s="209"/>
      <c r="DP257" s="209"/>
      <c r="DQ257" s="187"/>
      <c r="DT257" s="99"/>
      <c r="DU257" s="99"/>
    </row>
    <row r="258" spans="1:125" ht="18" customHeight="1">
      <c r="A258" s="271"/>
      <c r="D258" s="280"/>
      <c r="E258" s="52"/>
      <c r="K258" s="233" t="str">
        <f>IFERROR(MP_DATA[[#This Row],[Top '[m']]]-MP_DATA[[#This Row],[Bottom '[m']]], "")</f>
        <v/>
      </c>
      <c r="L258" s="217" t="str">
        <f>IFERROR(-(MP_DATA[[#This Row],[D, bottom '[m']]]-MP_DATA[[#This Row],[D, top '[m']]])/(MP_DATA[[#This Row],[Bottom '[m']]]-MP_DATA[[#This Row],[Top '[m']]]),"")</f>
        <v/>
      </c>
      <c r="M258" s="145" t="str">
        <f t="shared" si="12"/>
        <v/>
      </c>
      <c r="N258" s="234" t="str">
        <f>IFERROR((MP_DATA[[#This Row],[D, bottom '[m']]]+MP_DATA[[#This Row],[D, top '[m']]])/(2*MP_DATA[[#This Row],[t '[mm']]]/1000),"")</f>
        <v/>
      </c>
      <c r="Q258" s="209"/>
      <c r="R258" s="209"/>
      <c r="S258" s="187"/>
      <c r="AV258" s="233" t="str">
        <f>IFERROR(TP_DATA[[#This Row],[Top '[m']]]-TP_DATA[[#This Row],[Bottom '[m']]], "")</f>
        <v/>
      </c>
      <c r="AW258" s="208"/>
      <c r="AX258" s="209"/>
      <c r="AY258" s="240"/>
      <c r="BB258" s="99"/>
      <c r="BC258" s="99"/>
      <c r="BD258" s="187"/>
      <c r="CH258" s="233" t="str">
        <f>IFERROR(TOWER_DATA[[#This Row],[Top '[m']]]-TOWER_DATA[[#This Row],[Bottom '[m']]], "")</f>
        <v/>
      </c>
      <c r="CI258" s="217" t="str">
        <f>IFERROR(-(TOWER_DATA[[#This Row],[D, bottom '[m']]]-TOWER_DATA[[#This Row],[D, top '[m']]])/(TOWER_DATA[[#This Row],[Bottom '[m']]]-TOWER_DATA[[#This Row],[Top '[m']]]),"")</f>
        <v/>
      </c>
      <c r="CJ258" s="145" t="str">
        <f t="shared" si="11"/>
        <v/>
      </c>
      <c r="CK258" s="234" t="str">
        <f>IFERROR((TOWER_DATA[[#This Row],[D, bottom '[m']]]+TOWER_DATA[[#This Row],[D, top '[m']]])/(2*TOWER_DATA[[#This Row],[t '[mm']]]/1000),"")</f>
        <v/>
      </c>
      <c r="DO258" s="209"/>
      <c r="DP258" s="209"/>
      <c r="DQ258" s="187"/>
      <c r="DT258" s="99"/>
      <c r="DU258" s="99"/>
    </row>
    <row r="259" spans="1:125" ht="18" customHeight="1">
      <c r="A259" s="271"/>
      <c r="D259" s="280"/>
      <c r="E259" s="52"/>
      <c r="K259" s="233" t="str">
        <f>IFERROR(MP_DATA[[#This Row],[Top '[m']]]-MP_DATA[[#This Row],[Bottom '[m']]], "")</f>
        <v/>
      </c>
      <c r="L259" s="217" t="str">
        <f>IFERROR(-(MP_DATA[[#This Row],[D, bottom '[m']]]-MP_DATA[[#This Row],[D, top '[m']]])/(MP_DATA[[#This Row],[Bottom '[m']]]-MP_DATA[[#This Row],[Top '[m']]]),"")</f>
        <v/>
      </c>
      <c r="M259" s="145" t="str">
        <f t="shared" si="12"/>
        <v/>
      </c>
      <c r="N259" s="234" t="str">
        <f>IFERROR((MP_DATA[[#This Row],[D, bottom '[m']]]+MP_DATA[[#This Row],[D, top '[m']]])/(2*MP_DATA[[#This Row],[t '[mm']]]/1000),"")</f>
        <v/>
      </c>
      <c r="Q259" s="209"/>
      <c r="R259" s="209"/>
      <c r="S259" s="187"/>
      <c r="AV259" s="233" t="str">
        <f>IFERROR(TP_DATA[[#This Row],[Top '[m']]]-TP_DATA[[#This Row],[Bottom '[m']]], "")</f>
        <v/>
      </c>
      <c r="AW259" s="208"/>
      <c r="AX259" s="209"/>
      <c r="AY259" s="240"/>
      <c r="BB259" s="99"/>
      <c r="BC259" s="99"/>
      <c r="BD259" s="187"/>
      <c r="CH259" s="233" t="str">
        <f>IFERROR(TOWER_DATA[[#This Row],[Top '[m']]]-TOWER_DATA[[#This Row],[Bottom '[m']]], "")</f>
        <v/>
      </c>
      <c r="CI259" s="217" t="str">
        <f>IFERROR(-(TOWER_DATA[[#This Row],[D, bottom '[m']]]-TOWER_DATA[[#This Row],[D, top '[m']]])/(TOWER_DATA[[#This Row],[Bottom '[m']]]-TOWER_DATA[[#This Row],[Top '[m']]]),"")</f>
        <v/>
      </c>
      <c r="CJ259" s="145" t="str">
        <f t="shared" si="11"/>
        <v/>
      </c>
      <c r="CK259" s="234" t="str">
        <f>IFERROR((TOWER_DATA[[#This Row],[D, bottom '[m']]]+TOWER_DATA[[#This Row],[D, top '[m']]])/(2*TOWER_DATA[[#This Row],[t '[mm']]]/1000),"")</f>
        <v/>
      </c>
      <c r="DO259" s="209"/>
      <c r="DP259" s="209"/>
      <c r="DQ259" s="187"/>
      <c r="DT259" s="99"/>
      <c r="DU259" s="99"/>
    </row>
    <row r="260" spans="1:125" ht="18" customHeight="1">
      <c r="A260" s="271"/>
      <c r="D260" s="280"/>
      <c r="E260" s="52"/>
      <c r="K260" s="233" t="str">
        <f>IFERROR(MP_DATA[[#This Row],[Top '[m']]]-MP_DATA[[#This Row],[Bottom '[m']]], "")</f>
        <v/>
      </c>
      <c r="L260" s="217" t="str">
        <f>IFERROR(-(MP_DATA[[#This Row],[D, bottom '[m']]]-MP_DATA[[#This Row],[D, top '[m']]])/(MP_DATA[[#This Row],[Bottom '[m']]]-MP_DATA[[#This Row],[Top '[m']]]),"")</f>
        <v/>
      </c>
      <c r="M260" s="145" t="str">
        <f t="shared" si="12"/>
        <v/>
      </c>
      <c r="N260" s="234" t="str">
        <f>IFERROR((MP_DATA[[#This Row],[D, bottom '[m']]]+MP_DATA[[#This Row],[D, top '[m']]])/(2*MP_DATA[[#This Row],[t '[mm']]]/1000),"")</f>
        <v/>
      </c>
      <c r="Q260" s="209"/>
      <c r="R260" s="209"/>
      <c r="S260" s="187"/>
      <c r="AV260" s="233" t="str">
        <f>IFERROR(TP_DATA[[#This Row],[Top '[m']]]-TP_DATA[[#This Row],[Bottom '[m']]], "")</f>
        <v/>
      </c>
      <c r="AW260" s="208"/>
      <c r="AX260" s="209"/>
      <c r="AY260" s="240"/>
      <c r="BB260" s="99"/>
      <c r="BC260" s="99"/>
      <c r="BD260" s="187"/>
      <c r="CH260" s="233" t="str">
        <f>IFERROR(TOWER_DATA[[#This Row],[Top '[m']]]-TOWER_DATA[[#This Row],[Bottom '[m']]], "")</f>
        <v/>
      </c>
      <c r="CI260" s="217" t="str">
        <f>IFERROR(-(TOWER_DATA[[#This Row],[D, bottom '[m']]]-TOWER_DATA[[#This Row],[D, top '[m']]])/(TOWER_DATA[[#This Row],[Bottom '[m']]]-TOWER_DATA[[#This Row],[Top '[m']]]),"")</f>
        <v/>
      </c>
      <c r="CJ260" s="145" t="str">
        <f t="shared" si="11"/>
        <v/>
      </c>
      <c r="CK260" s="234" t="str">
        <f>IFERROR((TOWER_DATA[[#This Row],[D, bottom '[m']]]+TOWER_DATA[[#This Row],[D, top '[m']]])/(2*TOWER_DATA[[#This Row],[t '[mm']]]/1000),"")</f>
        <v/>
      </c>
      <c r="DO260" s="209"/>
      <c r="DP260" s="209"/>
      <c r="DQ260" s="187"/>
      <c r="DT260" s="99"/>
      <c r="DU260" s="99"/>
    </row>
    <row r="261" spans="1:125" ht="18" customHeight="1">
      <c r="A261" s="271"/>
      <c r="D261" s="280"/>
      <c r="E261" s="52"/>
      <c r="K261" s="233" t="str">
        <f>IFERROR(MP_DATA[[#This Row],[Top '[m']]]-MP_DATA[[#This Row],[Bottom '[m']]], "")</f>
        <v/>
      </c>
      <c r="L261" s="217" t="str">
        <f>IFERROR(-(MP_DATA[[#This Row],[D, bottom '[m']]]-MP_DATA[[#This Row],[D, top '[m']]])/(MP_DATA[[#This Row],[Bottom '[m']]]-MP_DATA[[#This Row],[Top '[m']]]),"")</f>
        <v/>
      </c>
      <c r="M261" s="145" t="str">
        <f t="shared" si="12"/>
        <v/>
      </c>
      <c r="N261" s="234" t="str">
        <f>IFERROR((MP_DATA[[#This Row],[D, bottom '[m']]]+MP_DATA[[#This Row],[D, top '[m']]])/(2*MP_DATA[[#This Row],[t '[mm']]]/1000),"")</f>
        <v/>
      </c>
      <c r="Q261" s="209"/>
      <c r="R261" s="209"/>
      <c r="S261" s="187"/>
      <c r="AV261" s="233" t="str">
        <f>IFERROR(TP_DATA[[#This Row],[Top '[m']]]-TP_DATA[[#This Row],[Bottom '[m']]], "")</f>
        <v/>
      </c>
      <c r="AW261" s="208"/>
      <c r="AX261" s="209"/>
      <c r="AY261" s="240"/>
      <c r="BB261" s="99"/>
      <c r="BC261" s="99"/>
      <c r="BD261" s="187"/>
      <c r="CH261" s="233" t="str">
        <f>IFERROR(TOWER_DATA[[#This Row],[Top '[m']]]-TOWER_DATA[[#This Row],[Bottom '[m']]], "")</f>
        <v/>
      </c>
      <c r="CI261" s="217" t="str">
        <f>IFERROR(-(TOWER_DATA[[#This Row],[D, bottom '[m']]]-TOWER_DATA[[#This Row],[D, top '[m']]])/(TOWER_DATA[[#This Row],[Bottom '[m']]]-TOWER_DATA[[#This Row],[Top '[m']]]),"")</f>
        <v/>
      </c>
      <c r="CJ261" s="145" t="str">
        <f t="shared" si="11"/>
        <v/>
      </c>
      <c r="CK261" s="234" t="str">
        <f>IFERROR((TOWER_DATA[[#This Row],[D, bottom '[m']]]+TOWER_DATA[[#This Row],[D, top '[m']]])/(2*TOWER_DATA[[#This Row],[t '[mm']]]/1000),"")</f>
        <v/>
      </c>
      <c r="DO261" s="209"/>
      <c r="DP261" s="209"/>
      <c r="DQ261" s="187"/>
      <c r="DT261" s="99"/>
      <c r="DU261" s="99"/>
    </row>
    <row r="262" spans="1:125" ht="18" customHeight="1">
      <c r="A262" s="271"/>
      <c r="D262" s="280"/>
      <c r="E262" s="52"/>
      <c r="K262" s="233" t="str">
        <f>IFERROR(MP_DATA[[#This Row],[Top '[m']]]-MP_DATA[[#This Row],[Bottom '[m']]], "")</f>
        <v/>
      </c>
      <c r="L262" s="217" t="str">
        <f>IFERROR(-(MP_DATA[[#This Row],[D, bottom '[m']]]-MP_DATA[[#This Row],[D, top '[m']]])/(MP_DATA[[#This Row],[Bottom '[m']]]-MP_DATA[[#This Row],[Top '[m']]]),"")</f>
        <v/>
      </c>
      <c r="M262" s="145" t="str">
        <f t="shared" si="12"/>
        <v/>
      </c>
      <c r="N262" s="234" t="str">
        <f>IFERROR((MP_DATA[[#This Row],[D, bottom '[m']]]+MP_DATA[[#This Row],[D, top '[m']]])/(2*MP_DATA[[#This Row],[t '[mm']]]/1000),"")</f>
        <v/>
      </c>
      <c r="Q262" s="209"/>
      <c r="R262" s="209"/>
      <c r="S262" s="187"/>
      <c r="AV262" s="233" t="str">
        <f>IFERROR(TP_DATA[[#This Row],[Top '[m']]]-TP_DATA[[#This Row],[Bottom '[m']]], "")</f>
        <v/>
      </c>
      <c r="AW262" s="208"/>
      <c r="AX262" s="209"/>
      <c r="AY262" s="240"/>
      <c r="BB262" s="99"/>
      <c r="BC262" s="99"/>
      <c r="BD262" s="187"/>
      <c r="CH262" s="233" t="str">
        <f>IFERROR(TOWER_DATA[[#This Row],[Top '[m']]]-TOWER_DATA[[#This Row],[Bottom '[m']]], "")</f>
        <v/>
      </c>
      <c r="CI262" s="217" t="str">
        <f>IFERROR(-(TOWER_DATA[[#This Row],[D, bottom '[m']]]-TOWER_DATA[[#This Row],[D, top '[m']]])/(TOWER_DATA[[#This Row],[Bottom '[m']]]-TOWER_DATA[[#This Row],[Top '[m']]]),"")</f>
        <v/>
      </c>
      <c r="CJ262" s="145" t="str">
        <f t="shared" si="11"/>
        <v/>
      </c>
      <c r="CK262" s="234" t="str">
        <f>IFERROR((TOWER_DATA[[#This Row],[D, bottom '[m']]]+TOWER_DATA[[#This Row],[D, top '[m']]])/(2*TOWER_DATA[[#This Row],[t '[mm']]]/1000),"")</f>
        <v/>
      </c>
      <c r="DO262" s="209"/>
      <c r="DP262" s="209"/>
      <c r="DQ262" s="187"/>
      <c r="DT262" s="99"/>
      <c r="DU262" s="99"/>
    </row>
    <row r="263" spans="1:125" ht="18" customHeight="1">
      <c r="A263" s="271"/>
      <c r="D263" s="280"/>
      <c r="E263" s="52"/>
      <c r="K263" s="233" t="str">
        <f>IFERROR(MP_DATA[[#This Row],[Top '[m']]]-MP_DATA[[#This Row],[Bottom '[m']]], "")</f>
        <v/>
      </c>
      <c r="L263" s="217" t="str">
        <f>IFERROR(-(MP_DATA[[#This Row],[D, bottom '[m']]]-MP_DATA[[#This Row],[D, top '[m']]])/(MP_DATA[[#This Row],[Bottom '[m']]]-MP_DATA[[#This Row],[Top '[m']]]),"")</f>
        <v/>
      </c>
      <c r="M263" s="145" t="str">
        <f t="shared" si="12"/>
        <v/>
      </c>
      <c r="N263" s="234" t="str">
        <f>IFERROR((MP_DATA[[#This Row],[D, bottom '[m']]]+MP_DATA[[#This Row],[D, top '[m']]])/(2*MP_DATA[[#This Row],[t '[mm']]]/1000),"")</f>
        <v/>
      </c>
      <c r="Q263" s="209"/>
      <c r="R263" s="209"/>
      <c r="S263" s="187"/>
      <c r="AV263" s="233" t="str">
        <f>IFERROR(TP_DATA[[#This Row],[Top '[m']]]-TP_DATA[[#This Row],[Bottom '[m']]], "")</f>
        <v/>
      </c>
      <c r="AW263" s="208"/>
      <c r="AX263" s="209"/>
      <c r="AY263" s="240"/>
      <c r="BB263" s="99"/>
      <c r="BC263" s="99"/>
      <c r="BD263" s="187"/>
      <c r="CH263" s="233" t="str">
        <f>IFERROR(TOWER_DATA[[#This Row],[Top '[m']]]-TOWER_DATA[[#This Row],[Bottom '[m']]], "")</f>
        <v/>
      </c>
      <c r="CI263" s="217" t="str">
        <f>IFERROR(-(TOWER_DATA[[#This Row],[D, bottom '[m']]]-TOWER_DATA[[#This Row],[D, top '[m']]])/(TOWER_DATA[[#This Row],[Bottom '[m']]]-TOWER_DATA[[#This Row],[Top '[m']]]),"")</f>
        <v/>
      </c>
      <c r="CJ263" s="145" t="str">
        <f t="shared" si="11"/>
        <v/>
      </c>
      <c r="CK263" s="234" t="str">
        <f>IFERROR((TOWER_DATA[[#This Row],[D, bottom '[m']]]+TOWER_DATA[[#This Row],[D, top '[m']]])/(2*TOWER_DATA[[#This Row],[t '[mm']]]/1000),"")</f>
        <v/>
      </c>
      <c r="DO263" s="209"/>
      <c r="DP263" s="209"/>
      <c r="DQ263" s="187"/>
      <c r="DT263" s="99"/>
      <c r="DU263" s="99"/>
    </row>
    <row r="264" spans="1:125" ht="18" customHeight="1">
      <c r="A264" s="271"/>
      <c r="D264" s="280"/>
      <c r="E264" s="52"/>
      <c r="K264" s="233" t="str">
        <f>IFERROR(MP_DATA[[#This Row],[Top '[m']]]-MP_DATA[[#This Row],[Bottom '[m']]], "")</f>
        <v/>
      </c>
      <c r="L264" s="217" t="str">
        <f>IFERROR(-(MP_DATA[[#This Row],[D, bottom '[m']]]-MP_DATA[[#This Row],[D, top '[m']]])/(MP_DATA[[#This Row],[Bottom '[m']]]-MP_DATA[[#This Row],[Top '[m']]]),"")</f>
        <v/>
      </c>
      <c r="M264" s="145" t="str">
        <f t="shared" si="12"/>
        <v/>
      </c>
      <c r="N264" s="234" t="str">
        <f>IFERROR((MP_DATA[[#This Row],[D, bottom '[m']]]+MP_DATA[[#This Row],[D, top '[m']]])/(2*MP_DATA[[#This Row],[t '[mm']]]/1000),"")</f>
        <v/>
      </c>
      <c r="Q264" s="209"/>
      <c r="R264" s="209"/>
      <c r="S264" s="187"/>
      <c r="AV264" s="233" t="str">
        <f>IFERROR(TP_DATA[[#This Row],[Top '[m']]]-TP_DATA[[#This Row],[Bottom '[m']]], "")</f>
        <v/>
      </c>
      <c r="AW264" s="208"/>
      <c r="AX264" s="209"/>
      <c r="AY264" s="240"/>
      <c r="BB264" s="99"/>
      <c r="BC264" s="99"/>
      <c r="BD264" s="187"/>
      <c r="CH264" s="233" t="str">
        <f>IFERROR(TOWER_DATA[[#This Row],[Top '[m']]]-TOWER_DATA[[#This Row],[Bottom '[m']]], "")</f>
        <v/>
      </c>
      <c r="CI264" s="217" t="str">
        <f>IFERROR(-(TOWER_DATA[[#This Row],[D, bottom '[m']]]-TOWER_DATA[[#This Row],[D, top '[m']]])/(TOWER_DATA[[#This Row],[Bottom '[m']]]-TOWER_DATA[[#This Row],[Top '[m']]]),"")</f>
        <v/>
      </c>
      <c r="CJ264" s="145" t="str">
        <f t="shared" si="11"/>
        <v/>
      </c>
      <c r="CK264" s="234" t="str">
        <f>IFERROR((TOWER_DATA[[#This Row],[D, bottom '[m']]]+TOWER_DATA[[#This Row],[D, top '[m']]])/(2*TOWER_DATA[[#This Row],[t '[mm']]]/1000),"")</f>
        <v/>
      </c>
      <c r="DO264" s="209"/>
      <c r="DP264" s="209"/>
      <c r="DQ264" s="187"/>
      <c r="DT264" s="99"/>
      <c r="DU264" s="99"/>
    </row>
    <row r="265" spans="1:125" ht="18" customHeight="1">
      <c r="A265" s="271"/>
      <c r="D265" s="280"/>
      <c r="E265" s="52"/>
      <c r="K265" s="233" t="str">
        <f>IFERROR(MP_DATA[[#This Row],[Top '[m']]]-MP_DATA[[#This Row],[Bottom '[m']]], "")</f>
        <v/>
      </c>
      <c r="L265" s="217" t="str">
        <f>IFERROR(-(MP_DATA[[#This Row],[D, bottom '[m']]]-MP_DATA[[#This Row],[D, top '[m']]])/(MP_DATA[[#This Row],[Bottom '[m']]]-MP_DATA[[#This Row],[Top '[m']]]),"")</f>
        <v/>
      </c>
      <c r="M265" s="145" t="str">
        <f t="shared" si="12"/>
        <v/>
      </c>
      <c r="N265" s="234" t="str">
        <f>IFERROR((MP_DATA[[#This Row],[D, bottom '[m']]]+MP_DATA[[#This Row],[D, top '[m']]])/(2*MP_DATA[[#This Row],[t '[mm']]]/1000),"")</f>
        <v/>
      </c>
      <c r="Q265" s="209"/>
      <c r="R265" s="209"/>
      <c r="S265" s="187"/>
      <c r="AV265" s="233" t="str">
        <f>IFERROR(TP_DATA[[#This Row],[Top '[m']]]-TP_DATA[[#This Row],[Bottom '[m']]], "")</f>
        <v/>
      </c>
      <c r="AW265" s="208"/>
      <c r="AX265" s="209"/>
      <c r="AY265" s="240"/>
      <c r="BB265" s="99"/>
      <c r="BC265" s="99"/>
      <c r="BD265" s="187"/>
      <c r="CH265" s="233" t="str">
        <f>IFERROR(TOWER_DATA[[#This Row],[Top '[m']]]-TOWER_DATA[[#This Row],[Bottom '[m']]], "")</f>
        <v/>
      </c>
      <c r="CI265" s="217" t="str">
        <f>IFERROR(-(TOWER_DATA[[#This Row],[D, bottom '[m']]]-TOWER_DATA[[#This Row],[D, top '[m']]])/(TOWER_DATA[[#This Row],[Bottom '[m']]]-TOWER_DATA[[#This Row],[Top '[m']]]),"")</f>
        <v/>
      </c>
      <c r="CJ265" s="145" t="str">
        <f t="shared" si="11"/>
        <v/>
      </c>
      <c r="CK265" s="234" t="str">
        <f>IFERROR((TOWER_DATA[[#This Row],[D, bottom '[m']]]+TOWER_DATA[[#This Row],[D, top '[m']]])/(2*TOWER_DATA[[#This Row],[t '[mm']]]/1000),"")</f>
        <v/>
      </c>
      <c r="DO265" s="209"/>
      <c r="DP265" s="209"/>
      <c r="DQ265" s="187"/>
      <c r="DT265" s="99"/>
      <c r="DU265" s="99"/>
    </row>
    <row r="266" spans="1:125" ht="18" customHeight="1">
      <c r="A266" s="271"/>
      <c r="D266" s="280"/>
      <c r="E266" s="52"/>
      <c r="K266" s="233" t="str">
        <f>IFERROR(MP_DATA[[#This Row],[Top '[m']]]-MP_DATA[[#This Row],[Bottom '[m']]], "")</f>
        <v/>
      </c>
      <c r="L266" s="217" t="str">
        <f>IFERROR(-(MP_DATA[[#This Row],[D, bottom '[m']]]-MP_DATA[[#This Row],[D, top '[m']]])/(MP_DATA[[#This Row],[Bottom '[m']]]-MP_DATA[[#This Row],[Top '[m']]]),"")</f>
        <v/>
      </c>
      <c r="M266" s="145" t="str">
        <f t="shared" si="12"/>
        <v/>
      </c>
      <c r="N266" s="234" t="str">
        <f>IFERROR((MP_DATA[[#This Row],[D, bottom '[m']]]+MP_DATA[[#This Row],[D, top '[m']]])/(2*MP_DATA[[#This Row],[t '[mm']]]/1000),"")</f>
        <v/>
      </c>
      <c r="Q266" s="209"/>
      <c r="R266" s="209"/>
      <c r="S266" s="187"/>
      <c r="AV266" s="233" t="str">
        <f>IFERROR(TP_DATA[[#This Row],[Top '[m']]]-TP_DATA[[#This Row],[Bottom '[m']]], "")</f>
        <v/>
      </c>
      <c r="AW266" s="208"/>
      <c r="AX266" s="209"/>
      <c r="AY266" s="240"/>
      <c r="BB266" s="99"/>
      <c r="BC266" s="99"/>
      <c r="BD266" s="187"/>
      <c r="CH266" s="233" t="str">
        <f>IFERROR(TOWER_DATA[[#This Row],[Top '[m']]]-TOWER_DATA[[#This Row],[Bottom '[m']]], "")</f>
        <v/>
      </c>
      <c r="CI266" s="217" t="str">
        <f>IFERROR(-(TOWER_DATA[[#This Row],[D, bottom '[m']]]-TOWER_DATA[[#This Row],[D, top '[m']]])/(TOWER_DATA[[#This Row],[Bottom '[m']]]-TOWER_DATA[[#This Row],[Top '[m']]]),"")</f>
        <v/>
      </c>
      <c r="CJ266" s="145" t="str">
        <f t="shared" si="11"/>
        <v/>
      </c>
      <c r="CK266" s="234" t="str">
        <f>IFERROR((TOWER_DATA[[#This Row],[D, bottom '[m']]]+TOWER_DATA[[#This Row],[D, top '[m']]])/(2*TOWER_DATA[[#This Row],[t '[mm']]]/1000),"")</f>
        <v/>
      </c>
      <c r="DO266" s="209"/>
      <c r="DP266" s="209"/>
      <c r="DQ266" s="187"/>
      <c r="DT266" s="99"/>
      <c r="DU266" s="99"/>
    </row>
    <row r="267" spans="1:125" ht="18" customHeight="1">
      <c r="A267" s="271"/>
      <c r="D267" s="280"/>
      <c r="E267" s="52"/>
      <c r="K267" s="233" t="str">
        <f>IFERROR(MP_DATA[[#This Row],[Top '[m']]]-MP_DATA[[#This Row],[Bottom '[m']]], "")</f>
        <v/>
      </c>
      <c r="L267" s="217" t="str">
        <f>IFERROR(-(MP_DATA[[#This Row],[D, bottom '[m']]]-MP_DATA[[#This Row],[D, top '[m']]])/(MP_DATA[[#This Row],[Bottom '[m']]]-MP_DATA[[#This Row],[Top '[m']]]),"")</f>
        <v/>
      </c>
      <c r="M267" s="145" t="str">
        <f t="shared" si="12"/>
        <v/>
      </c>
      <c r="N267" s="234" t="str">
        <f>IFERROR((MP_DATA[[#This Row],[D, bottom '[m']]]+MP_DATA[[#This Row],[D, top '[m']]])/(2*MP_DATA[[#This Row],[t '[mm']]]/1000),"")</f>
        <v/>
      </c>
      <c r="Q267" s="209"/>
      <c r="R267" s="209"/>
      <c r="S267" s="187"/>
      <c r="AV267" s="233" t="str">
        <f>IFERROR(TP_DATA[[#This Row],[Top '[m']]]-TP_DATA[[#This Row],[Bottom '[m']]], "")</f>
        <v/>
      </c>
      <c r="AW267" s="208"/>
      <c r="AX267" s="209"/>
      <c r="AY267" s="240"/>
      <c r="BB267" s="99"/>
      <c r="BC267" s="99"/>
      <c r="BD267" s="187"/>
      <c r="CH267" s="233" t="str">
        <f>IFERROR(TOWER_DATA[[#This Row],[Top '[m']]]-TOWER_DATA[[#This Row],[Bottom '[m']]], "")</f>
        <v/>
      </c>
      <c r="CI267" s="217" t="str">
        <f>IFERROR(-(TOWER_DATA[[#This Row],[D, bottom '[m']]]-TOWER_DATA[[#This Row],[D, top '[m']]])/(TOWER_DATA[[#This Row],[Bottom '[m']]]-TOWER_DATA[[#This Row],[Top '[m']]]),"")</f>
        <v/>
      </c>
      <c r="CJ267" s="145" t="str">
        <f t="shared" si="11"/>
        <v/>
      </c>
      <c r="CK267" s="234" t="str">
        <f>IFERROR((TOWER_DATA[[#This Row],[D, bottom '[m']]]+TOWER_DATA[[#This Row],[D, top '[m']]])/(2*TOWER_DATA[[#This Row],[t '[mm']]]/1000),"")</f>
        <v/>
      </c>
      <c r="DO267" s="209"/>
      <c r="DP267" s="209"/>
      <c r="DQ267" s="187"/>
      <c r="DT267" s="99"/>
      <c r="DU267" s="99"/>
    </row>
    <row r="268" spans="1:125" ht="18" customHeight="1">
      <c r="A268" s="271"/>
      <c r="D268" s="280"/>
      <c r="E268" s="52"/>
      <c r="K268" s="233" t="str">
        <f>IFERROR(MP_DATA[[#This Row],[Top '[m']]]-MP_DATA[[#This Row],[Bottom '[m']]], "")</f>
        <v/>
      </c>
      <c r="L268" s="217" t="str">
        <f>IFERROR(-(MP_DATA[[#This Row],[D, bottom '[m']]]-MP_DATA[[#This Row],[D, top '[m']]])/(MP_DATA[[#This Row],[Bottom '[m']]]-MP_DATA[[#This Row],[Top '[m']]]),"")</f>
        <v/>
      </c>
      <c r="M268" s="145" t="str">
        <f t="shared" si="12"/>
        <v/>
      </c>
      <c r="N268" s="234" t="str">
        <f>IFERROR((MP_DATA[[#This Row],[D, bottom '[m']]]+MP_DATA[[#This Row],[D, top '[m']]])/(2*MP_DATA[[#This Row],[t '[mm']]]/1000),"")</f>
        <v/>
      </c>
      <c r="Q268" s="209"/>
      <c r="R268" s="209"/>
      <c r="S268" s="187"/>
      <c r="AV268" s="233" t="str">
        <f>IFERROR(TP_DATA[[#This Row],[Top '[m']]]-TP_DATA[[#This Row],[Bottom '[m']]], "")</f>
        <v/>
      </c>
      <c r="AW268" s="208"/>
      <c r="AX268" s="209"/>
      <c r="AY268" s="240"/>
      <c r="BB268" s="99"/>
      <c r="BC268" s="99"/>
      <c r="BD268" s="187"/>
      <c r="CH268" s="233" t="str">
        <f>IFERROR(TOWER_DATA[[#This Row],[Top '[m']]]-TOWER_DATA[[#This Row],[Bottom '[m']]], "")</f>
        <v/>
      </c>
      <c r="CI268" s="217" t="str">
        <f>IFERROR(-(TOWER_DATA[[#This Row],[D, bottom '[m']]]-TOWER_DATA[[#This Row],[D, top '[m']]])/(TOWER_DATA[[#This Row],[Bottom '[m']]]-TOWER_DATA[[#This Row],[Top '[m']]]),"")</f>
        <v/>
      </c>
      <c r="CJ268" s="145" t="str">
        <f t="shared" si="11"/>
        <v/>
      </c>
      <c r="CK268" s="234" t="str">
        <f>IFERROR((TOWER_DATA[[#This Row],[D, bottom '[m']]]+TOWER_DATA[[#This Row],[D, top '[m']]])/(2*TOWER_DATA[[#This Row],[t '[mm']]]/1000),"")</f>
        <v/>
      </c>
      <c r="DO268" s="209"/>
      <c r="DP268" s="209"/>
      <c r="DQ268" s="187"/>
      <c r="DT268" s="99"/>
      <c r="DU268" s="99"/>
    </row>
    <row r="269" spans="1:125" ht="18" customHeight="1">
      <c r="A269" s="271"/>
      <c r="D269" s="280"/>
      <c r="E269" s="52"/>
      <c r="K269" s="233" t="str">
        <f>IFERROR(MP_DATA[[#This Row],[Top '[m']]]-MP_DATA[[#This Row],[Bottom '[m']]], "")</f>
        <v/>
      </c>
      <c r="L269" s="217" t="str">
        <f>IFERROR(-(MP_DATA[[#This Row],[D, bottom '[m']]]-MP_DATA[[#This Row],[D, top '[m']]])/(MP_DATA[[#This Row],[Bottom '[m']]]-MP_DATA[[#This Row],[Top '[m']]]),"")</f>
        <v/>
      </c>
      <c r="M269" s="145" t="str">
        <f t="shared" si="12"/>
        <v/>
      </c>
      <c r="N269" s="234" t="str">
        <f>IFERROR((MP_DATA[[#This Row],[D, bottom '[m']]]+MP_DATA[[#This Row],[D, top '[m']]])/(2*MP_DATA[[#This Row],[t '[mm']]]/1000),"")</f>
        <v/>
      </c>
      <c r="Q269" s="209"/>
      <c r="R269" s="209"/>
      <c r="S269" s="187"/>
      <c r="AV269" s="233" t="str">
        <f>IFERROR(TP_DATA[[#This Row],[Top '[m']]]-TP_DATA[[#This Row],[Bottom '[m']]], "")</f>
        <v/>
      </c>
      <c r="AW269" s="208"/>
      <c r="AX269" s="209"/>
      <c r="AY269" s="240"/>
      <c r="BB269" s="99"/>
      <c r="BC269" s="99"/>
      <c r="BD269" s="187"/>
      <c r="CH269" s="233" t="str">
        <f>IFERROR(TOWER_DATA[[#This Row],[Top '[m']]]-TOWER_DATA[[#This Row],[Bottom '[m']]], "")</f>
        <v/>
      </c>
      <c r="CI269" s="217" t="str">
        <f>IFERROR(-(TOWER_DATA[[#This Row],[D, bottom '[m']]]-TOWER_DATA[[#This Row],[D, top '[m']]])/(TOWER_DATA[[#This Row],[Bottom '[m']]]-TOWER_DATA[[#This Row],[Top '[m']]]),"")</f>
        <v/>
      </c>
      <c r="CJ269" s="145" t="str">
        <f t="shared" si="11"/>
        <v/>
      </c>
      <c r="CK269" s="234" t="str">
        <f>IFERROR((TOWER_DATA[[#This Row],[D, bottom '[m']]]+TOWER_DATA[[#This Row],[D, top '[m']]])/(2*TOWER_DATA[[#This Row],[t '[mm']]]/1000),"")</f>
        <v/>
      </c>
      <c r="DO269" s="209"/>
      <c r="DP269" s="209"/>
      <c r="DQ269" s="187"/>
      <c r="DT269" s="99"/>
      <c r="DU269" s="99"/>
    </row>
    <row r="270" spans="1:125" ht="18" customHeight="1">
      <c r="A270" s="271"/>
      <c r="D270" s="280"/>
      <c r="E270" s="52"/>
      <c r="K270" s="233" t="str">
        <f>IFERROR(MP_DATA[[#This Row],[Top '[m']]]-MP_DATA[[#This Row],[Bottom '[m']]], "")</f>
        <v/>
      </c>
      <c r="L270" s="217" t="str">
        <f>IFERROR(-(MP_DATA[[#This Row],[D, bottom '[m']]]-MP_DATA[[#This Row],[D, top '[m']]])/(MP_DATA[[#This Row],[Bottom '[m']]]-MP_DATA[[#This Row],[Top '[m']]]),"")</f>
        <v/>
      </c>
      <c r="M270" s="145" t="str">
        <f t="shared" si="12"/>
        <v/>
      </c>
      <c r="N270" s="234" t="str">
        <f>IFERROR((MP_DATA[[#This Row],[D, bottom '[m']]]+MP_DATA[[#This Row],[D, top '[m']]])/(2*MP_DATA[[#This Row],[t '[mm']]]/1000),"")</f>
        <v/>
      </c>
      <c r="Q270" s="209"/>
      <c r="R270" s="209"/>
      <c r="S270" s="187"/>
      <c r="AV270" s="233" t="str">
        <f>IFERROR(TP_DATA[[#This Row],[Top '[m']]]-TP_DATA[[#This Row],[Bottom '[m']]], "")</f>
        <v/>
      </c>
      <c r="AW270" s="208"/>
      <c r="AX270" s="209"/>
      <c r="AY270" s="240"/>
      <c r="BB270" s="99"/>
      <c r="BC270" s="99"/>
      <c r="BD270" s="187"/>
      <c r="CH270" s="233" t="str">
        <f>IFERROR(TOWER_DATA[[#This Row],[Top '[m']]]-TOWER_DATA[[#This Row],[Bottom '[m']]], "")</f>
        <v/>
      </c>
      <c r="CI270" s="217" t="str">
        <f>IFERROR(-(TOWER_DATA[[#This Row],[D, bottom '[m']]]-TOWER_DATA[[#This Row],[D, top '[m']]])/(TOWER_DATA[[#This Row],[Bottom '[m']]]-TOWER_DATA[[#This Row],[Top '[m']]]),"")</f>
        <v/>
      </c>
      <c r="CJ270" s="145" t="str">
        <f t="shared" si="11"/>
        <v/>
      </c>
      <c r="CK270" s="234" t="str">
        <f>IFERROR((TOWER_DATA[[#This Row],[D, bottom '[m']]]+TOWER_DATA[[#This Row],[D, top '[m']]])/(2*TOWER_DATA[[#This Row],[t '[mm']]]/1000),"")</f>
        <v/>
      </c>
      <c r="DO270" s="209"/>
      <c r="DP270" s="209"/>
      <c r="DQ270" s="187"/>
      <c r="DT270" s="99"/>
      <c r="DU270" s="99"/>
    </row>
    <row r="271" spans="1:125" ht="18" customHeight="1">
      <c r="A271" s="271"/>
      <c r="D271" s="280"/>
      <c r="E271" s="52"/>
      <c r="K271" s="233" t="str">
        <f>IFERROR(MP_DATA[[#This Row],[Top '[m']]]-MP_DATA[[#This Row],[Bottom '[m']]], "")</f>
        <v/>
      </c>
      <c r="L271" s="217" t="str">
        <f>IFERROR(-(MP_DATA[[#This Row],[D, bottom '[m']]]-MP_DATA[[#This Row],[D, top '[m']]])/(MP_DATA[[#This Row],[Bottom '[m']]]-MP_DATA[[#This Row],[Top '[m']]]),"")</f>
        <v/>
      </c>
      <c r="M271" s="145" t="str">
        <f t="shared" si="12"/>
        <v/>
      </c>
      <c r="N271" s="234" t="str">
        <f>IFERROR((MP_DATA[[#This Row],[D, bottom '[m']]]+MP_DATA[[#This Row],[D, top '[m']]])/(2*MP_DATA[[#This Row],[t '[mm']]]/1000),"")</f>
        <v/>
      </c>
      <c r="Q271" s="209"/>
      <c r="R271" s="209"/>
      <c r="S271" s="187"/>
      <c r="AV271" s="233" t="str">
        <f>IFERROR(TP_DATA[[#This Row],[Top '[m']]]-TP_DATA[[#This Row],[Bottom '[m']]], "")</f>
        <v/>
      </c>
      <c r="AW271" s="208"/>
      <c r="AX271" s="209"/>
      <c r="AY271" s="240"/>
      <c r="BB271" s="99"/>
      <c r="BC271" s="99"/>
      <c r="BD271" s="187"/>
      <c r="CH271" s="233" t="str">
        <f>IFERROR(TOWER_DATA[[#This Row],[Top '[m']]]-TOWER_DATA[[#This Row],[Bottom '[m']]], "")</f>
        <v/>
      </c>
      <c r="CI271" s="217" t="str">
        <f>IFERROR(-(TOWER_DATA[[#This Row],[D, bottom '[m']]]-TOWER_DATA[[#This Row],[D, top '[m']]])/(TOWER_DATA[[#This Row],[Bottom '[m']]]-TOWER_DATA[[#This Row],[Top '[m']]]),"")</f>
        <v/>
      </c>
      <c r="CJ271" s="145" t="str">
        <f t="shared" si="11"/>
        <v/>
      </c>
      <c r="CK271" s="234" t="str">
        <f>IFERROR((TOWER_DATA[[#This Row],[D, bottom '[m']]]+TOWER_DATA[[#This Row],[D, top '[m']]])/(2*TOWER_DATA[[#This Row],[t '[mm']]]/1000),"")</f>
        <v/>
      </c>
      <c r="DO271" s="209"/>
      <c r="DP271" s="209"/>
      <c r="DQ271" s="187"/>
      <c r="DT271" s="99"/>
      <c r="DU271" s="99"/>
    </row>
    <row r="272" spans="1:125" ht="18" customHeight="1">
      <c r="A272" s="271"/>
      <c r="D272" s="280"/>
      <c r="E272" s="52"/>
      <c r="K272" s="233" t="str">
        <f>IFERROR(MP_DATA[[#This Row],[Top '[m']]]-MP_DATA[[#This Row],[Bottom '[m']]], "")</f>
        <v/>
      </c>
      <c r="L272" s="217" t="str">
        <f>IFERROR(-(MP_DATA[[#This Row],[D, bottom '[m']]]-MP_DATA[[#This Row],[D, top '[m']]])/(MP_DATA[[#This Row],[Bottom '[m']]]-MP_DATA[[#This Row],[Top '[m']]]),"")</f>
        <v/>
      </c>
      <c r="M272" s="145" t="str">
        <f t="shared" si="12"/>
        <v/>
      </c>
      <c r="N272" s="234" t="str">
        <f>IFERROR((MP_DATA[[#This Row],[D, bottom '[m']]]+MP_DATA[[#This Row],[D, top '[m']]])/(2*MP_DATA[[#This Row],[t '[mm']]]/1000),"")</f>
        <v/>
      </c>
      <c r="Q272" s="209"/>
      <c r="R272" s="209"/>
      <c r="S272" s="187"/>
      <c r="AV272" s="233" t="str">
        <f>IFERROR(TP_DATA[[#This Row],[Top '[m']]]-TP_DATA[[#This Row],[Bottom '[m']]], "")</f>
        <v/>
      </c>
      <c r="AW272" s="208"/>
      <c r="AX272" s="209"/>
      <c r="AY272" s="240"/>
      <c r="BB272" s="99"/>
      <c r="BC272" s="99"/>
      <c r="BD272" s="187"/>
      <c r="CH272" s="233" t="str">
        <f>IFERROR(TOWER_DATA[[#This Row],[Top '[m']]]-TOWER_DATA[[#This Row],[Bottom '[m']]], "")</f>
        <v/>
      </c>
      <c r="CI272" s="217" t="str">
        <f>IFERROR(-(TOWER_DATA[[#This Row],[D, bottom '[m']]]-TOWER_DATA[[#This Row],[D, top '[m']]])/(TOWER_DATA[[#This Row],[Bottom '[m']]]-TOWER_DATA[[#This Row],[Top '[m']]]),"")</f>
        <v/>
      </c>
      <c r="CJ272" s="145" t="str">
        <f t="shared" si="11"/>
        <v/>
      </c>
      <c r="CK272" s="234" t="str">
        <f>IFERROR((TOWER_DATA[[#This Row],[D, bottom '[m']]]+TOWER_DATA[[#This Row],[D, top '[m']]])/(2*TOWER_DATA[[#This Row],[t '[mm']]]/1000),"")</f>
        <v/>
      </c>
      <c r="DO272" s="209"/>
      <c r="DP272" s="209"/>
      <c r="DQ272" s="187"/>
      <c r="DT272" s="99"/>
      <c r="DU272" s="99"/>
    </row>
    <row r="273" spans="1:125" ht="18" customHeight="1">
      <c r="A273" s="271"/>
      <c r="D273" s="280"/>
      <c r="E273" s="52"/>
      <c r="K273" s="233" t="str">
        <f>IFERROR(MP_DATA[[#This Row],[Top '[m']]]-MP_DATA[[#This Row],[Bottom '[m']]], "")</f>
        <v/>
      </c>
      <c r="L273" s="217" t="str">
        <f>IFERROR(-(MP_DATA[[#This Row],[D, bottom '[m']]]-MP_DATA[[#This Row],[D, top '[m']]])/(MP_DATA[[#This Row],[Bottom '[m']]]-MP_DATA[[#This Row],[Top '[m']]]),"")</f>
        <v/>
      </c>
      <c r="M273" s="145" t="str">
        <f t="shared" si="12"/>
        <v/>
      </c>
      <c r="N273" s="234" t="str">
        <f>IFERROR((MP_DATA[[#This Row],[D, bottom '[m']]]+MP_DATA[[#This Row],[D, top '[m']]])/(2*MP_DATA[[#This Row],[t '[mm']]]/1000),"")</f>
        <v/>
      </c>
      <c r="Q273" s="209"/>
      <c r="R273" s="209"/>
      <c r="S273" s="187"/>
      <c r="AV273" s="233" t="str">
        <f>IFERROR(TP_DATA[[#This Row],[Top '[m']]]-TP_DATA[[#This Row],[Bottom '[m']]], "")</f>
        <v/>
      </c>
      <c r="AW273" s="208"/>
      <c r="AX273" s="209"/>
      <c r="AY273" s="240"/>
      <c r="BB273" s="99"/>
      <c r="BC273" s="99"/>
      <c r="BD273" s="187"/>
      <c r="CH273" s="233" t="str">
        <f>IFERROR(TOWER_DATA[[#This Row],[Top '[m']]]-TOWER_DATA[[#This Row],[Bottom '[m']]], "")</f>
        <v/>
      </c>
      <c r="CI273" s="217" t="str">
        <f>IFERROR(-(TOWER_DATA[[#This Row],[D, bottom '[m']]]-TOWER_DATA[[#This Row],[D, top '[m']]])/(TOWER_DATA[[#This Row],[Bottom '[m']]]-TOWER_DATA[[#This Row],[Top '[m']]]),"")</f>
        <v/>
      </c>
      <c r="CJ273" s="145" t="str">
        <f t="shared" si="11"/>
        <v/>
      </c>
      <c r="CK273" s="234" t="str">
        <f>IFERROR((TOWER_DATA[[#This Row],[D, bottom '[m']]]+TOWER_DATA[[#This Row],[D, top '[m']]])/(2*TOWER_DATA[[#This Row],[t '[mm']]]/1000),"")</f>
        <v/>
      </c>
      <c r="DO273" s="209"/>
      <c r="DP273" s="209"/>
      <c r="DQ273" s="187"/>
      <c r="DT273" s="99"/>
      <c r="DU273" s="99"/>
    </row>
    <row r="274" spans="1:125" ht="18" customHeight="1">
      <c r="A274" s="271"/>
      <c r="D274" s="280"/>
      <c r="E274" s="52"/>
      <c r="K274" s="233" t="str">
        <f>IFERROR(MP_DATA[[#This Row],[Top '[m']]]-MP_DATA[[#This Row],[Bottom '[m']]], "")</f>
        <v/>
      </c>
      <c r="L274" s="217" t="str">
        <f>IFERROR(-(MP_DATA[[#This Row],[D, bottom '[m']]]-MP_DATA[[#This Row],[D, top '[m']]])/(MP_DATA[[#This Row],[Bottom '[m']]]-MP_DATA[[#This Row],[Top '[m']]]),"")</f>
        <v/>
      </c>
      <c r="M274" s="145" t="str">
        <f t="shared" si="12"/>
        <v/>
      </c>
      <c r="N274" s="234" t="str">
        <f>IFERROR((MP_DATA[[#This Row],[D, bottom '[m']]]+MP_DATA[[#This Row],[D, top '[m']]])/(2*MP_DATA[[#This Row],[t '[mm']]]/1000),"")</f>
        <v/>
      </c>
      <c r="Q274" s="209"/>
      <c r="R274" s="209"/>
      <c r="S274" s="187"/>
      <c r="AV274" s="233" t="str">
        <f>IFERROR(TP_DATA[[#This Row],[Top '[m']]]-TP_DATA[[#This Row],[Bottom '[m']]], "")</f>
        <v/>
      </c>
      <c r="AW274" s="208"/>
      <c r="AX274" s="209"/>
      <c r="AY274" s="240"/>
      <c r="BB274" s="99"/>
      <c r="BC274" s="99"/>
      <c r="BD274" s="187"/>
      <c r="CH274" s="233" t="str">
        <f>IFERROR(TOWER_DATA[[#This Row],[Top '[m']]]-TOWER_DATA[[#This Row],[Bottom '[m']]], "")</f>
        <v/>
      </c>
      <c r="CI274" s="217" t="str">
        <f>IFERROR(-(TOWER_DATA[[#This Row],[D, bottom '[m']]]-TOWER_DATA[[#This Row],[D, top '[m']]])/(TOWER_DATA[[#This Row],[Bottom '[m']]]-TOWER_DATA[[#This Row],[Top '[m']]]),"")</f>
        <v/>
      </c>
      <c r="CJ274" s="145" t="str">
        <f t="shared" si="11"/>
        <v/>
      </c>
      <c r="CK274" s="234" t="str">
        <f>IFERROR((TOWER_DATA[[#This Row],[D, bottom '[m']]]+TOWER_DATA[[#This Row],[D, top '[m']]])/(2*TOWER_DATA[[#This Row],[t '[mm']]]/1000),"")</f>
        <v/>
      </c>
      <c r="DO274" s="209"/>
      <c r="DP274" s="209"/>
      <c r="DQ274" s="187"/>
      <c r="DT274" s="99"/>
      <c r="DU274" s="99"/>
    </row>
    <row r="275" spans="1:125" ht="18" customHeight="1">
      <c r="A275" s="271"/>
      <c r="D275" s="280"/>
      <c r="E275" s="52"/>
      <c r="K275" s="233" t="str">
        <f>IFERROR(MP_DATA[[#This Row],[Top '[m']]]-MP_DATA[[#This Row],[Bottom '[m']]], "")</f>
        <v/>
      </c>
      <c r="L275" s="217" t="str">
        <f>IFERROR(-(MP_DATA[[#This Row],[D, bottom '[m']]]-MP_DATA[[#This Row],[D, top '[m']]])/(MP_DATA[[#This Row],[Bottom '[m']]]-MP_DATA[[#This Row],[Top '[m']]]),"")</f>
        <v/>
      </c>
      <c r="M275" s="145" t="str">
        <f t="shared" si="12"/>
        <v/>
      </c>
      <c r="N275" s="234" t="str">
        <f>IFERROR((MP_DATA[[#This Row],[D, bottom '[m']]]+MP_DATA[[#This Row],[D, top '[m']]])/(2*MP_DATA[[#This Row],[t '[mm']]]/1000),"")</f>
        <v/>
      </c>
      <c r="Q275" s="209"/>
      <c r="R275" s="209"/>
      <c r="S275" s="187"/>
      <c r="AV275" s="233" t="str">
        <f>IFERROR(TP_DATA[[#This Row],[Top '[m']]]-TP_DATA[[#This Row],[Bottom '[m']]], "")</f>
        <v/>
      </c>
      <c r="AW275" s="208"/>
      <c r="AX275" s="209"/>
      <c r="AY275" s="240"/>
      <c r="BB275" s="99"/>
      <c r="BC275" s="99"/>
      <c r="BD275" s="187"/>
      <c r="CH275" s="233" t="str">
        <f>IFERROR(TOWER_DATA[[#This Row],[Top '[m']]]-TOWER_DATA[[#This Row],[Bottom '[m']]], "")</f>
        <v/>
      </c>
      <c r="CI275" s="217" t="str">
        <f>IFERROR(-(TOWER_DATA[[#This Row],[D, bottom '[m']]]-TOWER_DATA[[#This Row],[D, top '[m']]])/(TOWER_DATA[[#This Row],[Bottom '[m']]]-TOWER_DATA[[#This Row],[Top '[m']]]),"")</f>
        <v/>
      </c>
      <c r="CJ275" s="145" t="str">
        <f t="shared" si="11"/>
        <v/>
      </c>
      <c r="CK275" s="234" t="str">
        <f>IFERROR((TOWER_DATA[[#This Row],[D, bottom '[m']]]+TOWER_DATA[[#This Row],[D, top '[m']]])/(2*TOWER_DATA[[#This Row],[t '[mm']]]/1000),"")</f>
        <v/>
      </c>
      <c r="DO275" s="209"/>
      <c r="DP275" s="209"/>
      <c r="DQ275" s="187"/>
      <c r="DT275" s="99"/>
      <c r="DU275" s="99"/>
    </row>
    <row r="276" spans="1:125" ht="18" customHeight="1">
      <c r="A276" s="271"/>
      <c r="D276" s="280"/>
      <c r="E276" s="52"/>
      <c r="K276" s="233" t="str">
        <f>IFERROR(MP_DATA[[#This Row],[Top '[m']]]-MP_DATA[[#This Row],[Bottom '[m']]], "")</f>
        <v/>
      </c>
      <c r="L276" s="217" t="str">
        <f>IFERROR(-(MP_DATA[[#This Row],[D, bottom '[m']]]-MP_DATA[[#This Row],[D, top '[m']]])/(MP_DATA[[#This Row],[Bottom '[m']]]-MP_DATA[[#This Row],[Top '[m']]]),"")</f>
        <v/>
      </c>
      <c r="M276" s="145" t="str">
        <f t="shared" si="12"/>
        <v/>
      </c>
      <c r="N276" s="234" t="str">
        <f>IFERROR((MP_DATA[[#This Row],[D, bottom '[m']]]+MP_DATA[[#This Row],[D, top '[m']]])/(2*MP_DATA[[#This Row],[t '[mm']]]/1000),"")</f>
        <v/>
      </c>
      <c r="Q276" s="209"/>
      <c r="R276" s="209"/>
      <c r="S276" s="187"/>
      <c r="AV276" s="233" t="str">
        <f>IFERROR(TP_DATA[[#This Row],[Top '[m']]]-TP_DATA[[#This Row],[Bottom '[m']]], "")</f>
        <v/>
      </c>
      <c r="AW276" s="208"/>
      <c r="AX276" s="209"/>
      <c r="AY276" s="240"/>
      <c r="BB276" s="99"/>
      <c r="BC276" s="99"/>
      <c r="BD276" s="187"/>
      <c r="CH276" s="233" t="str">
        <f>IFERROR(TOWER_DATA[[#This Row],[Top '[m']]]-TOWER_DATA[[#This Row],[Bottom '[m']]], "")</f>
        <v/>
      </c>
      <c r="CI276" s="217" t="str">
        <f>IFERROR(-(TOWER_DATA[[#This Row],[D, bottom '[m']]]-TOWER_DATA[[#This Row],[D, top '[m']]])/(TOWER_DATA[[#This Row],[Bottom '[m']]]-TOWER_DATA[[#This Row],[Top '[m']]]),"")</f>
        <v/>
      </c>
      <c r="CJ276" s="145" t="str">
        <f t="shared" si="11"/>
        <v/>
      </c>
      <c r="CK276" s="234" t="str">
        <f>IFERROR((TOWER_DATA[[#This Row],[D, bottom '[m']]]+TOWER_DATA[[#This Row],[D, top '[m']]])/(2*TOWER_DATA[[#This Row],[t '[mm']]]/1000),"")</f>
        <v/>
      </c>
      <c r="DO276" s="209"/>
      <c r="DP276" s="209"/>
      <c r="DQ276" s="187"/>
      <c r="DT276" s="99"/>
      <c r="DU276" s="99"/>
    </row>
    <row r="277" spans="1:125" ht="18" customHeight="1">
      <c r="A277" s="271"/>
      <c r="D277" s="280"/>
      <c r="E277" s="52"/>
      <c r="K277" s="233" t="str">
        <f>IFERROR(MP_DATA[[#This Row],[Top '[m']]]-MP_DATA[[#This Row],[Bottom '[m']]], "")</f>
        <v/>
      </c>
      <c r="L277" s="217" t="str">
        <f>IFERROR(-(MP_DATA[[#This Row],[D, bottom '[m']]]-MP_DATA[[#This Row],[D, top '[m']]])/(MP_DATA[[#This Row],[Bottom '[m']]]-MP_DATA[[#This Row],[Top '[m']]]),"")</f>
        <v/>
      </c>
      <c r="M277" s="145" t="str">
        <f t="shared" si="12"/>
        <v/>
      </c>
      <c r="N277" s="234" t="str">
        <f>IFERROR((MP_DATA[[#This Row],[D, bottom '[m']]]+MP_DATA[[#This Row],[D, top '[m']]])/(2*MP_DATA[[#This Row],[t '[mm']]]/1000),"")</f>
        <v/>
      </c>
      <c r="Q277" s="209"/>
      <c r="R277" s="209"/>
      <c r="S277" s="187"/>
      <c r="AV277" s="233" t="str">
        <f>IFERROR(TP_DATA[[#This Row],[Top '[m']]]-TP_DATA[[#This Row],[Bottom '[m']]], "")</f>
        <v/>
      </c>
      <c r="AW277" s="208"/>
      <c r="AX277" s="209"/>
      <c r="AY277" s="240"/>
      <c r="BB277" s="99"/>
      <c r="BC277" s="99"/>
      <c r="BD277" s="187"/>
      <c r="CH277" s="233" t="str">
        <f>IFERROR(TOWER_DATA[[#This Row],[Top '[m']]]-TOWER_DATA[[#This Row],[Bottom '[m']]], "")</f>
        <v/>
      </c>
      <c r="CI277" s="217" t="str">
        <f>IFERROR(-(TOWER_DATA[[#This Row],[D, bottom '[m']]]-TOWER_DATA[[#This Row],[D, top '[m']]])/(TOWER_DATA[[#This Row],[Bottom '[m']]]-TOWER_DATA[[#This Row],[Top '[m']]]),"")</f>
        <v/>
      </c>
      <c r="CJ277" s="145" t="str">
        <f t="shared" si="11"/>
        <v/>
      </c>
      <c r="CK277" s="234" t="str">
        <f>IFERROR((TOWER_DATA[[#This Row],[D, bottom '[m']]]+TOWER_DATA[[#This Row],[D, top '[m']]])/(2*TOWER_DATA[[#This Row],[t '[mm']]]/1000),"")</f>
        <v/>
      </c>
      <c r="DO277" s="209"/>
      <c r="DP277" s="209"/>
      <c r="DQ277" s="187"/>
      <c r="DT277" s="99"/>
      <c r="DU277" s="99"/>
    </row>
    <row r="278" spans="1:125" ht="18" customHeight="1">
      <c r="A278" s="271"/>
      <c r="D278" s="280"/>
      <c r="E278" s="52"/>
      <c r="K278" s="233" t="str">
        <f>IFERROR(MP_DATA[[#This Row],[Top '[m']]]-MP_DATA[[#This Row],[Bottom '[m']]], "")</f>
        <v/>
      </c>
      <c r="L278" s="217" t="str">
        <f>IFERROR(-(MP_DATA[[#This Row],[D, bottom '[m']]]-MP_DATA[[#This Row],[D, top '[m']]])/(MP_DATA[[#This Row],[Bottom '[m']]]-MP_DATA[[#This Row],[Top '[m']]]),"")</f>
        <v/>
      </c>
      <c r="M278" s="145" t="str">
        <f t="shared" si="12"/>
        <v/>
      </c>
      <c r="N278" s="234" t="str">
        <f>IFERROR((MP_DATA[[#This Row],[D, bottom '[m']]]+MP_DATA[[#This Row],[D, top '[m']]])/(2*MP_DATA[[#This Row],[t '[mm']]]/1000),"")</f>
        <v/>
      </c>
      <c r="Q278" s="209"/>
      <c r="R278" s="209"/>
      <c r="S278" s="187"/>
      <c r="AV278" s="233" t="str">
        <f>IFERROR(TP_DATA[[#This Row],[Top '[m']]]-TP_DATA[[#This Row],[Bottom '[m']]], "")</f>
        <v/>
      </c>
      <c r="AW278" s="208"/>
      <c r="AX278" s="209"/>
      <c r="AY278" s="240"/>
      <c r="BB278" s="99"/>
      <c r="BC278" s="99"/>
      <c r="BD278" s="187"/>
      <c r="CH278" s="233" t="str">
        <f>IFERROR(TOWER_DATA[[#This Row],[Top '[m']]]-TOWER_DATA[[#This Row],[Bottom '[m']]], "")</f>
        <v/>
      </c>
      <c r="CI278" s="217" t="str">
        <f>IFERROR(-(TOWER_DATA[[#This Row],[D, bottom '[m']]]-TOWER_DATA[[#This Row],[D, top '[m']]])/(TOWER_DATA[[#This Row],[Bottom '[m']]]-TOWER_DATA[[#This Row],[Top '[m']]]),"")</f>
        <v/>
      </c>
      <c r="CJ278" s="145" t="str">
        <f t="shared" si="11"/>
        <v/>
      </c>
      <c r="CK278" s="234" t="str">
        <f>IFERROR((TOWER_DATA[[#This Row],[D, bottom '[m']]]+TOWER_DATA[[#This Row],[D, top '[m']]])/(2*TOWER_DATA[[#This Row],[t '[mm']]]/1000),"")</f>
        <v/>
      </c>
      <c r="DO278" s="209"/>
      <c r="DP278" s="209"/>
      <c r="DQ278" s="187"/>
      <c r="DT278" s="99"/>
      <c r="DU278" s="99"/>
    </row>
    <row r="279" spans="1:125" ht="18" customHeight="1">
      <c r="A279" s="271"/>
      <c r="D279" s="280"/>
      <c r="E279" s="52"/>
      <c r="K279" s="233" t="str">
        <f>IFERROR(MP_DATA[[#This Row],[Top '[m']]]-MP_DATA[[#This Row],[Bottom '[m']]], "")</f>
        <v/>
      </c>
      <c r="L279" s="217" t="str">
        <f>IFERROR(-(MP_DATA[[#This Row],[D, bottom '[m']]]-MP_DATA[[#This Row],[D, top '[m']]])/(MP_DATA[[#This Row],[Bottom '[m']]]-MP_DATA[[#This Row],[Top '[m']]]),"")</f>
        <v/>
      </c>
      <c r="M279" s="145" t="str">
        <f t="shared" si="12"/>
        <v/>
      </c>
      <c r="N279" s="234" t="str">
        <f>IFERROR((MP_DATA[[#This Row],[D, bottom '[m']]]+MP_DATA[[#This Row],[D, top '[m']]])/(2*MP_DATA[[#This Row],[t '[mm']]]/1000),"")</f>
        <v/>
      </c>
      <c r="Q279" s="209"/>
      <c r="R279" s="209"/>
      <c r="S279" s="187"/>
      <c r="AV279" s="233" t="str">
        <f>IFERROR(TP_DATA[[#This Row],[Top '[m']]]-TP_DATA[[#This Row],[Bottom '[m']]], "")</f>
        <v/>
      </c>
      <c r="AW279" s="208"/>
      <c r="AX279" s="209"/>
      <c r="AY279" s="240"/>
      <c r="BB279" s="99"/>
      <c r="BC279" s="99"/>
      <c r="BD279" s="187"/>
      <c r="CH279" s="233" t="str">
        <f>IFERROR(TOWER_DATA[[#This Row],[Top '[m']]]-TOWER_DATA[[#This Row],[Bottom '[m']]], "")</f>
        <v/>
      </c>
      <c r="CI279" s="217" t="str">
        <f>IFERROR(-(TOWER_DATA[[#This Row],[D, bottom '[m']]]-TOWER_DATA[[#This Row],[D, top '[m']]])/(TOWER_DATA[[#This Row],[Bottom '[m']]]-TOWER_DATA[[#This Row],[Top '[m']]]),"")</f>
        <v/>
      </c>
      <c r="CJ279" s="145" t="str">
        <f t="shared" si="11"/>
        <v/>
      </c>
      <c r="CK279" s="234" t="str">
        <f>IFERROR((TOWER_DATA[[#This Row],[D, bottom '[m']]]+TOWER_DATA[[#This Row],[D, top '[m']]])/(2*TOWER_DATA[[#This Row],[t '[mm']]]/1000),"")</f>
        <v/>
      </c>
      <c r="DO279" s="209"/>
      <c r="DP279" s="209"/>
      <c r="DQ279" s="187"/>
      <c r="DT279" s="99"/>
      <c r="DU279" s="99"/>
    </row>
    <row r="280" spans="1:125" ht="18" customHeight="1">
      <c r="A280" s="271"/>
      <c r="D280" s="280"/>
      <c r="E280" s="52"/>
      <c r="K280" s="233" t="str">
        <f>IFERROR(MP_DATA[[#This Row],[Top '[m']]]-MP_DATA[[#This Row],[Bottom '[m']]], "")</f>
        <v/>
      </c>
      <c r="L280" s="217" t="str">
        <f>IFERROR(-(MP_DATA[[#This Row],[D, bottom '[m']]]-MP_DATA[[#This Row],[D, top '[m']]])/(MP_DATA[[#This Row],[Bottom '[m']]]-MP_DATA[[#This Row],[Top '[m']]]),"")</f>
        <v/>
      </c>
      <c r="M280" s="145" t="str">
        <f t="shared" si="12"/>
        <v/>
      </c>
      <c r="N280" s="234" t="str">
        <f>IFERROR((MP_DATA[[#This Row],[D, bottom '[m']]]+MP_DATA[[#This Row],[D, top '[m']]])/(2*MP_DATA[[#This Row],[t '[mm']]]/1000),"")</f>
        <v/>
      </c>
      <c r="Q280" s="209"/>
      <c r="R280" s="209"/>
      <c r="S280" s="187"/>
      <c r="AV280" s="233" t="str">
        <f>IFERROR(TP_DATA[[#This Row],[Top '[m']]]-TP_DATA[[#This Row],[Bottom '[m']]], "")</f>
        <v/>
      </c>
      <c r="AW280" s="208"/>
      <c r="AX280" s="209"/>
      <c r="AY280" s="240"/>
      <c r="BB280" s="99"/>
      <c r="BC280" s="99"/>
      <c r="BD280" s="187"/>
      <c r="CH280" s="233" t="str">
        <f>IFERROR(TOWER_DATA[[#This Row],[Top '[m']]]-TOWER_DATA[[#This Row],[Bottom '[m']]], "")</f>
        <v/>
      </c>
      <c r="CI280" s="217" t="str">
        <f>IFERROR(-(TOWER_DATA[[#This Row],[D, bottom '[m']]]-TOWER_DATA[[#This Row],[D, top '[m']]])/(TOWER_DATA[[#This Row],[Bottom '[m']]]-TOWER_DATA[[#This Row],[Top '[m']]]),"")</f>
        <v/>
      </c>
      <c r="CJ280" s="145" t="str">
        <f t="shared" si="11"/>
        <v/>
      </c>
      <c r="CK280" s="234" t="str">
        <f>IFERROR((TOWER_DATA[[#This Row],[D, bottom '[m']]]+TOWER_DATA[[#This Row],[D, top '[m']]])/(2*TOWER_DATA[[#This Row],[t '[mm']]]/1000),"")</f>
        <v/>
      </c>
      <c r="DO280" s="209"/>
      <c r="DP280" s="209"/>
      <c r="DQ280" s="187"/>
      <c r="DT280" s="99"/>
      <c r="DU280" s="99"/>
    </row>
    <row r="281" spans="1:125" ht="18" customHeight="1">
      <c r="A281" s="271"/>
      <c r="D281" s="280"/>
      <c r="E281" s="52"/>
      <c r="K281" s="233" t="str">
        <f>IFERROR(MP_DATA[[#This Row],[Top '[m']]]-MP_DATA[[#This Row],[Bottom '[m']]], "")</f>
        <v/>
      </c>
      <c r="L281" s="217" t="str">
        <f>IFERROR(-(MP_DATA[[#This Row],[D, bottom '[m']]]-MP_DATA[[#This Row],[D, top '[m']]])/(MP_DATA[[#This Row],[Bottom '[m']]]-MP_DATA[[#This Row],[Top '[m']]]),"")</f>
        <v/>
      </c>
      <c r="M281" s="145" t="str">
        <f t="shared" si="12"/>
        <v/>
      </c>
      <c r="N281" s="234" t="str">
        <f>IFERROR((MP_DATA[[#This Row],[D, bottom '[m']]]+MP_DATA[[#This Row],[D, top '[m']]])/(2*MP_DATA[[#This Row],[t '[mm']]]/1000),"")</f>
        <v/>
      </c>
      <c r="Q281" s="209"/>
      <c r="R281" s="209"/>
      <c r="S281" s="187"/>
      <c r="AV281" s="233" t="str">
        <f>IFERROR(TP_DATA[[#This Row],[Top '[m']]]-TP_DATA[[#This Row],[Bottom '[m']]], "")</f>
        <v/>
      </c>
      <c r="AW281" s="208"/>
      <c r="AX281" s="209"/>
      <c r="AY281" s="240"/>
      <c r="BB281" s="99"/>
      <c r="BC281" s="99"/>
      <c r="BD281" s="187"/>
      <c r="CH281" s="233" t="str">
        <f>IFERROR(TOWER_DATA[[#This Row],[Top '[m']]]-TOWER_DATA[[#This Row],[Bottom '[m']]], "")</f>
        <v/>
      </c>
      <c r="CI281" s="217" t="str">
        <f>IFERROR(-(TOWER_DATA[[#This Row],[D, bottom '[m']]]-TOWER_DATA[[#This Row],[D, top '[m']]])/(TOWER_DATA[[#This Row],[Bottom '[m']]]-TOWER_DATA[[#This Row],[Top '[m']]]),"")</f>
        <v/>
      </c>
      <c r="CJ281" s="145" t="str">
        <f t="shared" si="11"/>
        <v/>
      </c>
      <c r="CK281" s="234" t="str">
        <f>IFERROR((TOWER_DATA[[#This Row],[D, bottom '[m']]]+TOWER_DATA[[#This Row],[D, top '[m']]])/(2*TOWER_DATA[[#This Row],[t '[mm']]]/1000),"")</f>
        <v/>
      </c>
      <c r="DO281" s="209"/>
      <c r="DP281" s="209"/>
      <c r="DQ281" s="187"/>
      <c r="DT281" s="99"/>
      <c r="DU281" s="99"/>
    </row>
    <row r="282" spans="1:125" ht="18" customHeight="1">
      <c r="A282" s="271"/>
      <c r="D282" s="280"/>
      <c r="E282" s="52"/>
      <c r="K282" s="233" t="str">
        <f>IFERROR(MP_DATA[[#This Row],[Top '[m']]]-MP_DATA[[#This Row],[Bottom '[m']]], "")</f>
        <v/>
      </c>
      <c r="L282" s="217" t="str">
        <f>IFERROR(-(MP_DATA[[#This Row],[D, bottom '[m']]]-MP_DATA[[#This Row],[D, top '[m']]])/(MP_DATA[[#This Row],[Bottom '[m']]]-MP_DATA[[#This Row],[Top '[m']]]),"")</f>
        <v/>
      </c>
      <c r="M282" s="145" t="str">
        <f t="shared" si="12"/>
        <v/>
      </c>
      <c r="N282" s="234" t="str">
        <f>IFERROR((MP_DATA[[#This Row],[D, bottom '[m']]]+MP_DATA[[#This Row],[D, top '[m']]])/(2*MP_DATA[[#This Row],[t '[mm']]]/1000),"")</f>
        <v/>
      </c>
      <c r="Q282" s="209"/>
      <c r="R282" s="209"/>
      <c r="S282" s="187"/>
      <c r="AV282" s="233" t="str">
        <f>IFERROR(TP_DATA[[#This Row],[Top '[m']]]-TP_DATA[[#This Row],[Bottom '[m']]], "")</f>
        <v/>
      </c>
      <c r="AW282" s="208"/>
      <c r="AX282" s="209"/>
      <c r="AY282" s="240"/>
      <c r="BB282" s="99"/>
      <c r="BC282" s="99"/>
      <c r="BD282" s="187"/>
      <c r="CH282" s="233" t="str">
        <f>IFERROR(TOWER_DATA[[#This Row],[Top '[m']]]-TOWER_DATA[[#This Row],[Bottom '[m']]], "")</f>
        <v/>
      </c>
      <c r="CI282" s="217" t="str">
        <f>IFERROR(-(TOWER_DATA[[#This Row],[D, bottom '[m']]]-TOWER_DATA[[#This Row],[D, top '[m']]])/(TOWER_DATA[[#This Row],[Bottom '[m']]]-TOWER_DATA[[#This Row],[Top '[m']]]),"")</f>
        <v/>
      </c>
      <c r="CJ282" s="145" t="str">
        <f t="shared" si="11"/>
        <v/>
      </c>
      <c r="CK282" s="234" t="str">
        <f>IFERROR((TOWER_DATA[[#This Row],[D, bottom '[m']]]+TOWER_DATA[[#This Row],[D, top '[m']]])/(2*TOWER_DATA[[#This Row],[t '[mm']]]/1000),"")</f>
        <v/>
      </c>
      <c r="DO282" s="209"/>
      <c r="DP282" s="209"/>
      <c r="DQ282" s="187"/>
      <c r="DT282" s="99"/>
      <c r="DU282" s="99"/>
    </row>
    <row r="283" spans="1:125" ht="18" customHeight="1">
      <c r="A283" s="271"/>
      <c r="D283" s="280"/>
      <c r="E283" s="52"/>
      <c r="K283" s="233" t="str">
        <f>IFERROR(MP_DATA[[#This Row],[Top '[m']]]-MP_DATA[[#This Row],[Bottom '[m']]], "")</f>
        <v/>
      </c>
      <c r="L283" s="217" t="str">
        <f>IFERROR(-(MP_DATA[[#This Row],[D, bottom '[m']]]-MP_DATA[[#This Row],[D, top '[m']]])/(MP_DATA[[#This Row],[Bottom '[m']]]-MP_DATA[[#This Row],[Top '[m']]]),"")</f>
        <v/>
      </c>
      <c r="M283" s="145" t="str">
        <f t="shared" si="12"/>
        <v/>
      </c>
      <c r="N283" s="234" t="str">
        <f>IFERROR((MP_DATA[[#This Row],[D, bottom '[m']]]+MP_DATA[[#This Row],[D, top '[m']]])/(2*MP_DATA[[#This Row],[t '[mm']]]/1000),"")</f>
        <v/>
      </c>
      <c r="Q283" s="209"/>
      <c r="R283" s="209"/>
      <c r="S283" s="187"/>
      <c r="AV283" s="233" t="str">
        <f>IFERROR(TP_DATA[[#This Row],[Top '[m']]]-TP_DATA[[#This Row],[Bottom '[m']]], "")</f>
        <v/>
      </c>
      <c r="AW283" s="208"/>
      <c r="AX283" s="209"/>
      <c r="AY283" s="240"/>
      <c r="BB283" s="99"/>
      <c r="BC283" s="99"/>
      <c r="BD283" s="187"/>
      <c r="CH283" s="233" t="str">
        <f>IFERROR(TOWER_DATA[[#This Row],[Top '[m']]]-TOWER_DATA[[#This Row],[Bottom '[m']]], "")</f>
        <v/>
      </c>
      <c r="CI283" s="217" t="str">
        <f>IFERROR(-(TOWER_DATA[[#This Row],[D, bottom '[m']]]-TOWER_DATA[[#This Row],[D, top '[m']]])/(TOWER_DATA[[#This Row],[Bottom '[m']]]-TOWER_DATA[[#This Row],[Top '[m']]]),"")</f>
        <v/>
      </c>
      <c r="CJ283" s="145" t="str">
        <f t="shared" si="11"/>
        <v/>
      </c>
      <c r="CK283" s="234" t="str">
        <f>IFERROR((TOWER_DATA[[#This Row],[D, bottom '[m']]]+TOWER_DATA[[#This Row],[D, top '[m']]])/(2*TOWER_DATA[[#This Row],[t '[mm']]]/1000),"")</f>
        <v/>
      </c>
      <c r="DO283" s="209"/>
      <c r="DP283" s="209"/>
      <c r="DQ283" s="187"/>
      <c r="DT283" s="99"/>
      <c r="DU283" s="99"/>
    </row>
    <row r="284" spans="1:125" ht="18" customHeight="1">
      <c r="A284" s="271"/>
      <c r="D284" s="280"/>
      <c r="E284" s="52"/>
      <c r="K284" s="233" t="str">
        <f>IFERROR(MP_DATA[[#This Row],[Top '[m']]]-MP_DATA[[#This Row],[Bottom '[m']]], "")</f>
        <v/>
      </c>
      <c r="L284" s="217" t="str">
        <f>IFERROR(-(MP_DATA[[#This Row],[D, bottom '[m']]]-MP_DATA[[#This Row],[D, top '[m']]])/(MP_DATA[[#This Row],[Bottom '[m']]]-MP_DATA[[#This Row],[Top '[m']]]),"")</f>
        <v/>
      </c>
      <c r="M284" s="145" t="str">
        <f t="shared" si="12"/>
        <v/>
      </c>
      <c r="N284" s="234" t="str">
        <f>IFERROR((MP_DATA[[#This Row],[D, bottom '[m']]]+MP_DATA[[#This Row],[D, top '[m']]])/(2*MP_DATA[[#This Row],[t '[mm']]]/1000),"")</f>
        <v/>
      </c>
      <c r="Q284" s="209"/>
      <c r="R284" s="209"/>
      <c r="S284" s="187"/>
      <c r="AV284" s="233" t="str">
        <f>IFERROR(TP_DATA[[#This Row],[Top '[m']]]-TP_DATA[[#This Row],[Bottom '[m']]], "")</f>
        <v/>
      </c>
      <c r="AW284" s="208"/>
      <c r="AX284" s="209"/>
      <c r="AY284" s="240"/>
      <c r="BB284" s="99"/>
      <c r="BC284" s="99"/>
      <c r="BD284" s="187"/>
      <c r="CH284" s="233" t="str">
        <f>IFERROR(TOWER_DATA[[#This Row],[Top '[m']]]-TOWER_DATA[[#This Row],[Bottom '[m']]], "")</f>
        <v/>
      </c>
      <c r="CI284" s="217" t="str">
        <f>IFERROR(-(TOWER_DATA[[#This Row],[D, bottom '[m']]]-TOWER_DATA[[#This Row],[D, top '[m']]])/(TOWER_DATA[[#This Row],[Bottom '[m']]]-TOWER_DATA[[#This Row],[Top '[m']]]),"")</f>
        <v/>
      </c>
      <c r="CJ284" s="145" t="str">
        <f t="shared" si="11"/>
        <v/>
      </c>
      <c r="CK284" s="234" t="str">
        <f>IFERROR((TOWER_DATA[[#This Row],[D, bottom '[m']]]+TOWER_DATA[[#This Row],[D, top '[m']]])/(2*TOWER_DATA[[#This Row],[t '[mm']]]/1000),"")</f>
        <v/>
      </c>
      <c r="DO284" s="209"/>
      <c r="DP284" s="209"/>
      <c r="DQ284" s="187"/>
      <c r="DT284" s="99"/>
      <c r="DU284" s="99"/>
    </row>
    <row r="285" spans="1:125" ht="18" customHeight="1">
      <c r="A285" s="271"/>
      <c r="D285" s="280"/>
      <c r="E285" s="52"/>
      <c r="K285" s="233" t="str">
        <f>IFERROR(MP_DATA[[#This Row],[Top '[m']]]-MP_DATA[[#This Row],[Bottom '[m']]], "")</f>
        <v/>
      </c>
      <c r="L285" s="217" t="str">
        <f>IFERROR(-(MP_DATA[[#This Row],[D, bottom '[m']]]-MP_DATA[[#This Row],[D, top '[m']]])/(MP_DATA[[#This Row],[Bottom '[m']]]-MP_DATA[[#This Row],[Top '[m']]]),"")</f>
        <v/>
      </c>
      <c r="M285" s="145" t="str">
        <f t="shared" si="12"/>
        <v/>
      </c>
      <c r="N285" s="234" t="str">
        <f>IFERROR((MP_DATA[[#This Row],[D, bottom '[m']]]+MP_DATA[[#This Row],[D, top '[m']]])/(2*MP_DATA[[#This Row],[t '[mm']]]/1000),"")</f>
        <v/>
      </c>
      <c r="Q285" s="209"/>
      <c r="R285" s="209"/>
      <c r="S285" s="187"/>
      <c r="AV285" s="233" t="str">
        <f>IFERROR(TP_DATA[[#This Row],[Top '[m']]]-TP_DATA[[#This Row],[Bottom '[m']]], "")</f>
        <v/>
      </c>
      <c r="AW285" s="208"/>
      <c r="AX285" s="209"/>
      <c r="AY285" s="240"/>
      <c r="BB285" s="99"/>
      <c r="BC285" s="99"/>
      <c r="BD285" s="187"/>
      <c r="CH285" s="233" t="str">
        <f>IFERROR(TOWER_DATA[[#This Row],[Top '[m']]]-TOWER_DATA[[#This Row],[Bottom '[m']]], "")</f>
        <v/>
      </c>
      <c r="CI285" s="217" t="str">
        <f>IFERROR(-(TOWER_DATA[[#This Row],[D, bottom '[m']]]-TOWER_DATA[[#This Row],[D, top '[m']]])/(TOWER_DATA[[#This Row],[Bottom '[m']]]-TOWER_DATA[[#This Row],[Top '[m']]]),"")</f>
        <v/>
      </c>
      <c r="CJ285" s="145" t="str">
        <f t="shared" si="11"/>
        <v/>
      </c>
      <c r="CK285" s="234" t="str">
        <f>IFERROR((TOWER_DATA[[#This Row],[D, bottom '[m']]]+TOWER_DATA[[#This Row],[D, top '[m']]])/(2*TOWER_DATA[[#This Row],[t '[mm']]]/1000),"")</f>
        <v/>
      </c>
      <c r="DO285" s="209"/>
      <c r="DP285" s="209"/>
      <c r="DQ285" s="187"/>
      <c r="DT285" s="99"/>
      <c r="DU285" s="99"/>
    </row>
    <row r="286" spans="1:125" ht="18" customHeight="1">
      <c r="A286" s="271"/>
      <c r="D286" s="280"/>
      <c r="E286" s="52"/>
      <c r="K286" s="233" t="str">
        <f>IFERROR(MP_DATA[[#This Row],[Top '[m']]]-MP_DATA[[#This Row],[Bottom '[m']]], "")</f>
        <v/>
      </c>
      <c r="L286" s="217" t="str">
        <f>IFERROR(-(MP_DATA[[#This Row],[D, bottom '[m']]]-MP_DATA[[#This Row],[D, top '[m']]])/(MP_DATA[[#This Row],[Bottom '[m']]]-MP_DATA[[#This Row],[Top '[m']]]),"")</f>
        <v/>
      </c>
      <c r="M286" s="145" t="str">
        <f t="shared" si="12"/>
        <v/>
      </c>
      <c r="N286" s="234" t="str">
        <f>IFERROR((MP_DATA[[#This Row],[D, bottom '[m']]]+MP_DATA[[#This Row],[D, top '[m']]])/(2*MP_DATA[[#This Row],[t '[mm']]]/1000),"")</f>
        <v/>
      </c>
      <c r="Q286" s="209"/>
      <c r="R286" s="209"/>
      <c r="S286" s="187"/>
      <c r="AV286" s="233" t="str">
        <f>IFERROR(TP_DATA[[#This Row],[Top '[m']]]-TP_DATA[[#This Row],[Bottom '[m']]], "")</f>
        <v/>
      </c>
      <c r="AW286" s="208"/>
      <c r="AX286" s="209"/>
      <c r="AY286" s="240"/>
      <c r="BB286" s="99"/>
      <c r="BC286" s="99"/>
      <c r="BD286" s="187"/>
      <c r="CH286" s="233" t="str">
        <f>IFERROR(TOWER_DATA[[#This Row],[Top '[m']]]-TOWER_DATA[[#This Row],[Bottom '[m']]], "")</f>
        <v/>
      </c>
      <c r="CI286" s="217" t="str">
        <f>IFERROR(-(TOWER_DATA[[#This Row],[D, bottom '[m']]]-TOWER_DATA[[#This Row],[D, top '[m']]])/(TOWER_DATA[[#This Row],[Bottom '[m']]]-TOWER_DATA[[#This Row],[Top '[m']]]),"")</f>
        <v/>
      </c>
      <c r="CJ286" s="145" t="str">
        <f t="shared" si="11"/>
        <v/>
      </c>
      <c r="CK286" s="234" t="str">
        <f>IFERROR((TOWER_DATA[[#This Row],[D, bottom '[m']]]+TOWER_DATA[[#This Row],[D, top '[m']]])/(2*TOWER_DATA[[#This Row],[t '[mm']]]/1000),"")</f>
        <v/>
      </c>
      <c r="DO286" s="209"/>
      <c r="DP286" s="209"/>
      <c r="DQ286" s="187"/>
      <c r="DT286" s="99"/>
      <c r="DU286" s="99"/>
    </row>
    <row r="287" spans="1:125" ht="18" customHeight="1">
      <c r="A287" s="271"/>
      <c r="D287" s="280"/>
      <c r="E287" s="52"/>
      <c r="K287" s="233" t="str">
        <f>IFERROR(MP_DATA[[#This Row],[Top '[m']]]-MP_DATA[[#This Row],[Bottom '[m']]], "")</f>
        <v/>
      </c>
      <c r="L287" s="217" t="str">
        <f>IFERROR(-(MP_DATA[[#This Row],[D, bottom '[m']]]-MP_DATA[[#This Row],[D, top '[m']]])/(MP_DATA[[#This Row],[Bottom '[m']]]-MP_DATA[[#This Row],[Top '[m']]]),"")</f>
        <v/>
      </c>
      <c r="M287" s="145" t="str">
        <f t="shared" si="12"/>
        <v/>
      </c>
      <c r="N287" s="234" t="str">
        <f>IFERROR((MP_DATA[[#This Row],[D, bottom '[m']]]+MP_DATA[[#This Row],[D, top '[m']]])/(2*MP_DATA[[#This Row],[t '[mm']]]/1000),"")</f>
        <v/>
      </c>
      <c r="Q287" s="209"/>
      <c r="R287" s="209"/>
      <c r="S287" s="187"/>
      <c r="AV287" s="233" t="str">
        <f>IFERROR(TP_DATA[[#This Row],[Top '[m']]]-TP_DATA[[#This Row],[Bottom '[m']]], "")</f>
        <v/>
      </c>
      <c r="AW287" s="208"/>
      <c r="AX287" s="209"/>
      <c r="AY287" s="240"/>
      <c r="BB287" s="99"/>
      <c r="BC287" s="99"/>
      <c r="BD287" s="187"/>
      <c r="CH287" s="233" t="str">
        <f>IFERROR(TOWER_DATA[[#This Row],[Top '[m']]]-TOWER_DATA[[#This Row],[Bottom '[m']]], "")</f>
        <v/>
      </c>
      <c r="CI287" s="217" t="str">
        <f>IFERROR(-(TOWER_DATA[[#This Row],[D, bottom '[m']]]-TOWER_DATA[[#This Row],[D, top '[m']]])/(TOWER_DATA[[#This Row],[Bottom '[m']]]-TOWER_DATA[[#This Row],[Top '[m']]]),"")</f>
        <v/>
      </c>
      <c r="CJ287" s="145" t="str">
        <f t="shared" si="11"/>
        <v/>
      </c>
      <c r="CK287" s="234" t="str">
        <f>IFERROR((TOWER_DATA[[#This Row],[D, bottom '[m']]]+TOWER_DATA[[#This Row],[D, top '[m']]])/(2*TOWER_DATA[[#This Row],[t '[mm']]]/1000),"")</f>
        <v/>
      </c>
      <c r="DO287" s="209"/>
      <c r="DP287" s="209"/>
      <c r="DQ287" s="187"/>
      <c r="DT287" s="99"/>
      <c r="DU287" s="99"/>
    </row>
    <row r="288" spans="1:125" ht="18" customHeight="1">
      <c r="A288" s="271"/>
      <c r="D288" s="280"/>
      <c r="E288" s="52"/>
      <c r="K288" s="233" t="str">
        <f>IFERROR(MP_DATA[[#This Row],[Top '[m']]]-MP_DATA[[#This Row],[Bottom '[m']]], "")</f>
        <v/>
      </c>
      <c r="L288" s="217" t="str">
        <f>IFERROR(-(MP_DATA[[#This Row],[D, bottom '[m']]]-MP_DATA[[#This Row],[D, top '[m']]])/(MP_DATA[[#This Row],[Bottom '[m']]]-MP_DATA[[#This Row],[Top '[m']]]),"")</f>
        <v/>
      </c>
      <c r="M288" s="145" t="str">
        <f t="shared" si="12"/>
        <v/>
      </c>
      <c r="N288" s="234" t="str">
        <f>IFERROR((MP_DATA[[#This Row],[D, bottom '[m']]]+MP_DATA[[#This Row],[D, top '[m']]])/(2*MP_DATA[[#This Row],[t '[mm']]]/1000),"")</f>
        <v/>
      </c>
      <c r="Q288" s="209"/>
      <c r="R288" s="209"/>
      <c r="S288" s="187"/>
      <c r="AV288" s="233" t="str">
        <f>IFERROR(TP_DATA[[#This Row],[Top '[m']]]-TP_DATA[[#This Row],[Bottom '[m']]], "")</f>
        <v/>
      </c>
      <c r="AW288" s="208"/>
      <c r="AX288" s="209"/>
      <c r="AY288" s="240"/>
      <c r="BB288" s="99"/>
      <c r="BC288" s="99"/>
      <c r="BD288" s="187"/>
      <c r="CH288" s="233" t="str">
        <f>IFERROR(TOWER_DATA[[#This Row],[Top '[m']]]-TOWER_DATA[[#This Row],[Bottom '[m']]], "")</f>
        <v/>
      </c>
      <c r="CI288" s="217" t="str">
        <f>IFERROR(-(TOWER_DATA[[#This Row],[D, bottom '[m']]]-TOWER_DATA[[#This Row],[D, top '[m']]])/(TOWER_DATA[[#This Row],[Bottom '[m']]]-TOWER_DATA[[#This Row],[Top '[m']]]),"")</f>
        <v/>
      </c>
      <c r="CJ288" s="145" t="str">
        <f t="shared" si="11"/>
        <v/>
      </c>
      <c r="CK288" s="234" t="str">
        <f>IFERROR((TOWER_DATA[[#This Row],[D, bottom '[m']]]+TOWER_DATA[[#This Row],[D, top '[m']]])/(2*TOWER_DATA[[#This Row],[t '[mm']]]/1000),"")</f>
        <v/>
      </c>
      <c r="DO288" s="209"/>
      <c r="DP288" s="209"/>
      <c r="DQ288" s="187"/>
      <c r="DT288" s="99"/>
      <c r="DU288" s="99"/>
    </row>
    <row r="289" spans="1:125" ht="18" customHeight="1">
      <c r="A289" s="271"/>
      <c r="D289" s="280"/>
      <c r="E289" s="52"/>
      <c r="K289" s="233" t="str">
        <f>IFERROR(MP_DATA[[#This Row],[Top '[m']]]-MP_DATA[[#This Row],[Bottom '[m']]], "")</f>
        <v/>
      </c>
      <c r="L289" s="217" t="str">
        <f>IFERROR(-(MP_DATA[[#This Row],[D, bottom '[m']]]-MP_DATA[[#This Row],[D, top '[m']]])/(MP_DATA[[#This Row],[Bottom '[m']]]-MP_DATA[[#This Row],[Top '[m']]]),"")</f>
        <v/>
      </c>
      <c r="M289" s="145" t="str">
        <f t="shared" si="12"/>
        <v/>
      </c>
      <c r="N289" s="234" t="str">
        <f>IFERROR((MP_DATA[[#This Row],[D, bottom '[m']]]+MP_DATA[[#This Row],[D, top '[m']]])/(2*MP_DATA[[#This Row],[t '[mm']]]/1000),"")</f>
        <v/>
      </c>
      <c r="Q289" s="209"/>
      <c r="R289" s="209"/>
      <c r="S289" s="187"/>
      <c r="AV289" s="233" t="str">
        <f>IFERROR(TP_DATA[[#This Row],[Top '[m']]]-TP_DATA[[#This Row],[Bottom '[m']]], "")</f>
        <v/>
      </c>
      <c r="AW289" s="208"/>
      <c r="AX289" s="209"/>
      <c r="AY289" s="240"/>
      <c r="BB289" s="99"/>
      <c r="BC289" s="99"/>
      <c r="BD289" s="187"/>
      <c r="CH289" s="233" t="str">
        <f>IFERROR(TOWER_DATA[[#This Row],[Top '[m']]]-TOWER_DATA[[#This Row],[Bottom '[m']]], "")</f>
        <v/>
      </c>
      <c r="CI289" s="217" t="str">
        <f>IFERROR(-(TOWER_DATA[[#This Row],[D, bottom '[m']]]-TOWER_DATA[[#This Row],[D, top '[m']]])/(TOWER_DATA[[#This Row],[Bottom '[m']]]-TOWER_DATA[[#This Row],[Top '[m']]]),"")</f>
        <v/>
      </c>
      <c r="CJ289" s="145" t="str">
        <f t="shared" si="11"/>
        <v/>
      </c>
      <c r="CK289" s="234" t="str">
        <f>IFERROR((TOWER_DATA[[#This Row],[D, bottom '[m']]]+TOWER_DATA[[#This Row],[D, top '[m']]])/(2*TOWER_DATA[[#This Row],[t '[mm']]]/1000),"")</f>
        <v/>
      </c>
      <c r="DO289" s="209"/>
      <c r="DP289" s="209"/>
      <c r="DQ289" s="187"/>
      <c r="DT289" s="99"/>
      <c r="DU289" s="99"/>
    </row>
    <row r="290" spans="1:125" ht="18" customHeight="1">
      <c r="A290" s="271"/>
      <c r="D290" s="280"/>
      <c r="E290" s="52"/>
      <c r="K290" s="233" t="str">
        <f>IFERROR(MP_DATA[[#This Row],[Top '[m']]]-MP_DATA[[#This Row],[Bottom '[m']]], "")</f>
        <v/>
      </c>
      <c r="L290" s="217" t="str">
        <f>IFERROR(-(MP_DATA[[#This Row],[D, bottom '[m']]]-MP_DATA[[#This Row],[D, top '[m']]])/(MP_DATA[[#This Row],[Bottom '[m']]]-MP_DATA[[#This Row],[Top '[m']]]),"")</f>
        <v/>
      </c>
      <c r="M290" s="145" t="str">
        <f t="shared" si="12"/>
        <v/>
      </c>
      <c r="N290" s="234" t="str">
        <f>IFERROR((MP_DATA[[#This Row],[D, bottom '[m']]]+MP_DATA[[#This Row],[D, top '[m']]])/(2*MP_DATA[[#This Row],[t '[mm']]]/1000),"")</f>
        <v/>
      </c>
      <c r="Q290" s="209"/>
      <c r="R290" s="209"/>
      <c r="S290" s="187"/>
      <c r="AV290" s="233" t="str">
        <f>IFERROR(TP_DATA[[#This Row],[Top '[m']]]-TP_DATA[[#This Row],[Bottom '[m']]], "")</f>
        <v/>
      </c>
      <c r="AW290" s="208"/>
      <c r="AX290" s="209"/>
      <c r="AY290" s="240"/>
      <c r="BB290" s="99"/>
      <c r="BC290" s="99"/>
      <c r="BD290" s="187"/>
      <c r="CH290" s="233" t="str">
        <f>IFERROR(TOWER_DATA[[#This Row],[Top '[m']]]-TOWER_DATA[[#This Row],[Bottom '[m']]], "")</f>
        <v/>
      </c>
      <c r="CI290" s="217" t="str">
        <f>IFERROR(-(TOWER_DATA[[#This Row],[D, bottom '[m']]]-TOWER_DATA[[#This Row],[D, top '[m']]])/(TOWER_DATA[[#This Row],[Bottom '[m']]]-TOWER_DATA[[#This Row],[Top '[m']]]),"")</f>
        <v/>
      </c>
      <c r="CJ290" s="145" t="str">
        <f t="shared" si="11"/>
        <v/>
      </c>
      <c r="CK290" s="234" t="str">
        <f>IFERROR((TOWER_DATA[[#This Row],[D, bottom '[m']]]+TOWER_DATA[[#This Row],[D, top '[m']]])/(2*TOWER_DATA[[#This Row],[t '[mm']]]/1000),"")</f>
        <v/>
      </c>
      <c r="DO290" s="209"/>
      <c r="DP290" s="209"/>
      <c r="DQ290" s="187"/>
      <c r="DT290" s="99"/>
      <c r="DU290" s="99"/>
    </row>
    <row r="291" spans="1:125" ht="18" customHeight="1">
      <c r="A291" s="271"/>
      <c r="D291" s="280"/>
      <c r="E291" s="52"/>
      <c r="K291" s="233" t="str">
        <f>IFERROR(MP_DATA[[#This Row],[Top '[m']]]-MP_DATA[[#This Row],[Bottom '[m']]], "")</f>
        <v/>
      </c>
      <c r="L291" s="217" t="str">
        <f>IFERROR(-(MP_DATA[[#This Row],[D, bottom '[m']]]-MP_DATA[[#This Row],[D, top '[m']]])/(MP_DATA[[#This Row],[Bottom '[m']]]-MP_DATA[[#This Row],[Top '[m']]]),"")</f>
        <v/>
      </c>
      <c r="M291" s="145" t="str">
        <f t="shared" si="12"/>
        <v/>
      </c>
      <c r="N291" s="234" t="str">
        <f>IFERROR((MP_DATA[[#This Row],[D, bottom '[m']]]+MP_DATA[[#This Row],[D, top '[m']]])/(2*MP_DATA[[#This Row],[t '[mm']]]/1000),"")</f>
        <v/>
      </c>
      <c r="Q291" s="209"/>
      <c r="R291" s="209"/>
      <c r="S291" s="187"/>
      <c r="AV291" s="233" t="str">
        <f>IFERROR(TP_DATA[[#This Row],[Top '[m']]]-TP_DATA[[#This Row],[Bottom '[m']]], "")</f>
        <v/>
      </c>
      <c r="AW291" s="208"/>
      <c r="AX291" s="209"/>
      <c r="AY291" s="240"/>
      <c r="BB291" s="99"/>
      <c r="BC291" s="99"/>
      <c r="BD291" s="187"/>
      <c r="CH291" s="233" t="str">
        <f>IFERROR(TOWER_DATA[[#This Row],[Top '[m']]]-TOWER_DATA[[#This Row],[Bottom '[m']]], "")</f>
        <v/>
      </c>
      <c r="CI291" s="217" t="str">
        <f>IFERROR(-(TOWER_DATA[[#This Row],[D, bottom '[m']]]-TOWER_DATA[[#This Row],[D, top '[m']]])/(TOWER_DATA[[#This Row],[Bottom '[m']]]-TOWER_DATA[[#This Row],[Top '[m']]]),"")</f>
        <v/>
      </c>
      <c r="CJ291" s="145" t="str">
        <f t="shared" si="11"/>
        <v/>
      </c>
      <c r="CK291" s="234" t="str">
        <f>IFERROR((TOWER_DATA[[#This Row],[D, bottom '[m']]]+TOWER_DATA[[#This Row],[D, top '[m']]])/(2*TOWER_DATA[[#This Row],[t '[mm']]]/1000),"")</f>
        <v/>
      </c>
      <c r="DO291" s="209"/>
      <c r="DP291" s="209"/>
      <c r="DQ291" s="187"/>
      <c r="DT291" s="99"/>
      <c r="DU291" s="99"/>
    </row>
    <row r="292" spans="1:125" ht="18" customHeight="1">
      <c r="A292" s="271"/>
      <c r="D292" s="280"/>
      <c r="E292" s="52"/>
      <c r="K292" s="233" t="str">
        <f>IFERROR(MP_DATA[[#This Row],[Top '[m']]]-MP_DATA[[#This Row],[Bottom '[m']]], "")</f>
        <v/>
      </c>
      <c r="L292" s="217" t="str">
        <f>IFERROR(-(MP_DATA[[#This Row],[D, bottom '[m']]]-MP_DATA[[#This Row],[D, top '[m']]])/(MP_DATA[[#This Row],[Bottom '[m']]]-MP_DATA[[#This Row],[Top '[m']]]),"")</f>
        <v/>
      </c>
      <c r="M292" s="145" t="str">
        <f t="shared" si="12"/>
        <v/>
      </c>
      <c r="N292" s="234" t="str">
        <f>IFERROR((MP_DATA[[#This Row],[D, bottom '[m']]]+MP_DATA[[#This Row],[D, top '[m']]])/(2*MP_DATA[[#This Row],[t '[mm']]]/1000),"")</f>
        <v/>
      </c>
      <c r="Q292" s="209"/>
      <c r="R292" s="209"/>
      <c r="S292" s="187"/>
      <c r="AV292" s="233" t="str">
        <f>IFERROR(TP_DATA[[#This Row],[Top '[m']]]-TP_DATA[[#This Row],[Bottom '[m']]], "")</f>
        <v/>
      </c>
      <c r="AW292" s="208"/>
      <c r="AX292" s="209"/>
      <c r="AY292" s="240"/>
      <c r="BB292" s="99"/>
      <c r="BC292" s="99"/>
      <c r="BD292" s="187"/>
      <c r="CH292" s="233" t="str">
        <f>IFERROR(TOWER_DATA[[#This Row],[Top '[m']]]-TOWER_DATA[[#This Row],[Bottom '[m']]], "")</f>
        <v/>
      </c>
      <c r="CI292" s="217" t="str">
        <f>IFERROR(-(TOWER_DATA[[#This Row],[D, bottom '[m']]]-TOWER_DATA[[#This Row],[D, top '[m']]])/(TOWER_DATA[[#This Row],[Bottom '[m']]]-TOWER_DATA[[#This Row],[Top '[m']]]),"")</f>
        <v/>
      </c>
      <c r="CJ292" s="145" t="str">
        <f t="shared" si="11"/>
        <v/>
      </c>
      <c r="CK292" s="234" t="str">
        <f>IFERROR((TOWER_DATA[[#This Row],[D, bottom '[m']]]+TOWER_DATA[[#This Row],[D, top '[m']]])/(2*TOWER_DATA[[#This Row],[t '[mm']]]/1000),"")</f>
        <v/>
      </c>
      <c r="DO292" s="209"/>
      <c r="DP292" s="209"/>
      <c r="DQ292" s="187"/>
      <c r="DT292" s="99"/>
      <c r="DU292" s="99"/>
    </row>
    <row r="293" spans="1:125" ht="18" customHeight="1">
      <c r="A293" s="271"/>
      <c r="D293" s="280"/>
      <c r="E293" s="52"/>
      <c r="K293" s="233" t="str">
        <f>IFERROR(MP_DATA[[#This Row],[Top '[m']]]-MP_DATA[[#This Row],[Bottom '[m']]], "")</f>
        <v/>
      </c>
      <c r="L293" s="217" t="str">
        <f>IFERROR(-(MP_DATA[[#This Row],[D, bottom '[m']]]-MP_DATA[[#This Row],[D, top '[m']]])/(MP_DATA[[#This Row],[Bottom '[m']]]-MP_DATA[[#This Row],[Top '[m']]]),"")</f>
        <v/>
      </c>
      <c r="M293" s="145" t="str">
        <f t="shared" si="12"/>
        <v/>
      </c>
      <c r="N293" s="234" t="str">
        <f>IFERROR((MP_DATA[[#This Row],[D, bottom '[m']]]+MP_DATA[[#This Row],[D, top '[m']]])/(2*MP_DATA[[#This Row],[t '[mm']]]/1000),"")</f>
        <v/>
      </c>
      <c r="Q293" s="209"/>
      <c r="R293" s="209"/>
      <c r="S293" s="187"/>
      <c r="AV293" s="233" t="str">
        <f>IFERROR(TP_DATA[[#This Row],[Top '[m']]]-TP_DATA[[#This Row],[Bottom '[m']]], "")</f>
        <v/>
      </c>
      <c r="AW293" s="208"/>
      <c r="AX293" s="209"/>
      <c r="AY293" s="240"/>
      <c r="BB293" s="99"/>
      <c r="BC293" s="99"/>
      <c r="BD293" s="187"/>
      <c r="CH293" s="233" t="str">
        <f>IFERROR(TOWER_DATA[[#This Row],[Top '[m']]]-TOWER_DATA[[#This Row],[Bottom '[m']]], "")</f>
        <v/>
      </c>
      <c r="CI293" s="217" t="str">
        <f>IFERROR(-(TOWER_DATA[[#This Row],[D, bottom '[m']]]-TOWER_DATA[[#This Row],[D, top '[m']]])/(TOWER_DATA[[#This Row],[Bottom '[m']]]-TOWER_DATA[[#This Row],[Top '[m']]]),"")</f>
        <v/>
      </c>
      <c r="CJ293" s="145" t="str">
        <f t="shared" si="11"/>
        <v/>
      </c>
      <c r="CK293" s="234" t="str">
        <f>IFERROR((TOWER_DATA[[#This Row],[D, bottom '[m']]]+TOWER_DATA[[#This Row],[D, top '[m']]])/(2*TOWER_DATA[[#This Row],[t '[mm']]]/1000),"")</f>
        <v/>
      </c>
      <c r="DO293" s="209"/>
      <c r="DP293" s="209"/>
      <c r="DQ293" s="187"/>
      <c r="DT293" s="99"/>
      <c r="DU293" s="99"/>
    </row>
    <row r="294" spans="1:125" ht="18" customHeight="1">
      <c r="A294" s="271"/>
      <c r="D294" s="280"/>
      <c r="E294" s="52"/>
      <c r="K294" s="233" t="str">
        <f>IFERROR(MP_DATA[[#This Row],[Top '[m']]]-MP_DATA[[#This Row],[Bottom '[m']]], "")</f>
        <v/>
      </c>
      <c r="L294" s="217" t="str">
        <f>IFERROR(-(MP_DATA[[#This Row],[D, bottom '[m']]]-MP_DATA[[#This Row],[D, top '[m']]])/(MP_DATA[[#This Row],[Bottom '[m']]]-MP_DATA[[#This Row],[Top '[m']]]),"")</f>
        <v/>
      </c>
      <c r="M294" s="145" t="str">
        <f t="shared" si="12"/>
        <v/>
      </c>
      <c r="N294" s="234" t="str">
        <f>IFERROR((MP_DATA[[#This Row],[D, bottom '[m']]]+MP_DATA[[#This Row],[D, top '[m']]])/(2*MP_DATA[[#This Row],[t '[mm']]]/1000),"")</f>
        <v/>
      </c>
      <c r="Q294" s="209"/>
      <c r="R294" s="209"/>
      <c r="S294" s="187"/>
      <c r="AV294" s="233" t="str">
        <f>IFERROR(TP_DATA[[#This Row],[Top '[m']]]-TP_DATA[[#This Row],[Bottom '[m']]], "")</f>
        <v/>
      </c>
      <c r="AW294" s="208"/>
      <c r="AX294" s="209"/>
      <c r="AY294" s="240"/>
      <c r="BB294" s="99"/>
      <c r="BC294" s="99"/>
      <c r="BD294" s="187"/>
      <c r="CH294" s="233" t="str">
        <f>IFERROR(TOWER_DATA[[#This Row],[Top '[m']]]-TOWER_DATA[[#This Row],[Bottom '[m']]], "")</f>
        <v/>
      </c>
      <c r="CI294" s="217" t="str">
        <f>IFERROR(-(TOWER_DATA[[#This Row],[D, bottom '[m']]]-TOWER_DATA[[#This Row],[D, top '[m']]])/(TOWER_DATA[[#This Row],[Bottom '[m']]]-TOWER_DATA[[#This Row],[Top '[m']]]),"")</f>
        <v/>
      </c>
      <c r="CJ294" s="145" t="str">
        <f t="shared" si="11"/>
        <v/>
      </c>
      <c r="CK294" s="234" t="str">
        <f>IFERROR((TOWER_DATA[[#This Row],[D, bottom '[m']]]+TOWER_DATA[[#This Row],[D, top '[m']]])/(2*TOWER_DATA[[#This Row],[t '[mm']]]/1000),"")</f>
        <v/>
      </c>
      <c r="DO294" s="209"/>
      <c r="DP294" s="209"/>
      <c r="DQ294" s="187"/>
      <c r="DT294" s="99"/>
      <c r="DU294" s="99"/>
    </row>
    <row r="295" spans="1:125" ht="18" customHeight="1">
      <c r="A295" s="271"/>
      <c r="D295" s="280"/>
      <c r="E295" s="52"/>
      <c r="K295" s="233" t="str">
        <f>IFERROR(MP_DATA[[#This Row],[Top '[m']]]-MP_DATA[[#This Row],[Bottom '[m']]], "")</f>
        <v/>
      </c>
      <c r="L295" s="217" t="str">
        <f>IFERROR(-(MP_DATA[[#This Row],[D, bottom '[m']]]-MP_DATA[[#This Row],[D, top '[m']]])/(MP_DATA[[#This Row],[Bottom '[m']]]-MP_DATA[[#This Row],[Top '[m']]]),"")</f>
        <v/>
      </c>
      <c r="M295" s="145" t="str">
        <f t="shared" si="12"/>
        <v/>
      </c>
      <c r="N295" s="234" t="str">
        <f>IFERROR((MP_DATA[[#This Row],[D, bottom '[m']]]+MP_DATA[[#This Row],[D, top '[m']]])/(2*MP_DATA[[#This Row],[t '[mm']]]/1000),"")</f>
        <v/>
      </c>
      <c r="Q295" s="209"/>
      <c r="R295" s="209"/>
      <c r="S295" s="187"/>
      <c r="AV295" s="233" t="str">
        <f>IFERROR(TP_DATA[[#This Row],[Top '[m']]]-TP_DATA[[#This Row],[Bottom '[m']]], "")</f>
        <v/>
      </c>
      <c r="AW295" s="208"/>
      <c r="AX295" s="209"/>
      <c r="AY295" s="240"/>
      <c r="BB295" s="99"/>
      <c r="BC295" s="99"/>
      <c r="BD295" s="187"/>
      <c r="CH295" s="233" t="str">
        <f>IFERROR(TOWER_DATA[[#This Row],[Top '[m']]]-TOWER_DATA[[#This Row],[Bottom '[m']]], "")</f>
        <v/>
      </c>
      <c r="CI295" s="217" t="str">
        <f>IFERROR(-(TOWER_DATA[[#This Row],[D, bottom '[m']]]-TOWER_DATA[[#This Row],[D, top '[m']]])/(TOWER_DATA[[#This Row],[Bottom '[m']]]-TOWER_DATA[[#This Row],[Top '[m']]]),"")</f>
        <v/>
      </c>
      <c r="CJ295" s="145" t="str">
        <f t="shared" si="11"/>
        <v/>
      </c>
      <c r="CK295" s="234" t="str">
        <f>IFERROR((TOWER_DATA[[#This Row],[D, bottom '[m']]]+TOWER_DATA[[#This Row],[D, top '[m']]])/(2*TOWER_DATA[[#This Row],[t '[mm']]]/1000),"")</f>
        <v/>
      </c>
      <c r="DO295" s="209"/>
      <c r="DP295" s="209"/>
      <c r="DQ295" s="187"/>
      <c r="DT295" s="99"/>
      <c r="DU295" s="99"/>
    </row>
    <row r="296" spans="1:125" ht="18" customHeight="1">
      <c r="A296" s="271"/>
      <c r="D296" s="280"/>
      <c r="E296" s="52"/>
      <c r="K296" s="233" t="str">
        <f>IFERROR(MP_DATA[[#This Row],[Top '[m']]]-MP_DATA[[#This Row],[Bottom '[m']]], "")</f>
        <v/>
      </c>
      <c r="L296" s="217" t="str">
        <f>IFERROR(-(MP_DATA[[#This Row],[D, bottom '[m']]]-MP_DATA[[#This Row],[D, top '[m']]])/(MP_DATA[[#This Row],[Bottom '[m']]]-MP_DATA[[#This Row],[Top '[m']]]),"")</f>
        <v/>
      </c>
      <c r="M296" s="145" t="str">
        <f t="shared" si="12"/>
        <v/>
      </c>
      <c r="N296" s="234" t="str">
        <f>IFERROR((MP_DATA[[#This Row],[D, bottom '[m']]]+MP_DATA[[#This Row],[D, top '[m']]])/(2*MP_DATA[[#This Row],[t '[mm']]]/1000),"")</f>
        <v/>
      </c>
      <c r="Q296" s="209"/>
      <c r="R296" s="209"/>
      <c r="S296" s="187"/>
      <c r="AV296" s="233" t="str">
        <f>IFERROR(TP_DATA[[#This Row],[Top '[m']]]-TP_DATA[[#This Row],[Bottom '[m']]], "")</f>
        <v/>
      </c>
      <c r="AW296" s="208"/>
      <c r="AX296" s="209"/>
      <c r="AY296" s="240"/>
      <c r="BB296" s="99"/>
      <c r="BC296" s="99"/>
      <c r="BD296" s="187"/>
      <c r="CH296" s="233" t="str">
        <f>IFERROR(TOWER_DATA[[#This Row],[Top '[m']]]-TOWER_DATA[[#This Row],[Bottom '[m']]], "")</f>
        <v/>
      </c>
      <c r="CI296" s="217" t="str">
        <f>IFERROR(-(TOWER_DATA[[#This Row],[D, bottom '[m']]]-TOWER_DATA[[#This Row],[D, top '[m']]])/(TOWER_DATA[[#This Row],[Bottom '[m']]]-TOWER_DATA[[#This Row],[Top '[m']]]),"")</f>
        <v/>
      </c>
      <c r="CJ296" s="145" t="str">
        <f t="shared" si="11"/>
        <v/>
      </c>
      <c r="CK296" s="234" t="str">
        <f>IFERROR((TOWER_DATA[[#This Row],[D, bottom '[m']]]+TOWER_DATA[[#This Row],[D, top '[m']]])/(2*TOWER_DATA[[#This Row],[t '[mm']]]/1000),"")</f>
        <v/>
      </c>
      <c r="DO296" s="209"/>
      <c r="DP296" s="209"/>
      <c r="DQ296" s="187"/>
      <c r="DT296" s="99"/>
      <c r="DU296" s="99"/>
    </row>
    <row r="297" spans="1:125" ht="18" customHeight="1">
      <c r="A297" s="271"/>
      <c r="D297" s="280"/>
      <c r="E297" s="52"/>
      <c r="K297" s="233" t="str">
        <f>IFERROR(MP_DATA[[#This Row],[Top '[m']]]-MP_DATA[[#This Row],[Bottom '[m']]], "")</f>
        <v/>
      </c>
      <c r="L297" s="217" t="str">
        <f>IFERROR(-(MP_DATA[[#This Row],[D, bottom '[m']]]-MP_DATA[[#This Row],[D, top '[m']]])/(MP_DATA[[#This Row],[Bottom '[m']]]-MP_DATA[[#This Row],[Top '[m']]]),"")</f>
        <v/>
      </c>
      <c r="M297" s="145" t="str">
        <f t="shared" si="12"/>
        <v/>
      </c>
      <c r="N297" s="234" t="str">
        <f>IFERROR((MP_DATA[[#This Row],[D, bottom '[m']]]+MP_DATA[[#This Row],[D, top '[m']]])/(2*MP_DATA[[#This Row],[t '[mm']]]/1000),"")</f>
        <v/>
      </c>
      <c r="Q297" s="209"/>
      <c r="R297" s="209"/>
      <c r="S297" s="187"/>
      <c r="AV297" s="233" t="str">
        <f>IFERROR(TP_DATA[[#This Row],[Top '[m']]]-TP_DATA[[#This Row],[Bottom '[m']]], "")</f>
        <v/>
      </c>
      <c r="AW297" s="208"/>
      <c r="AX297" s="209"/>
      <c r="AY297" s="240"/>
      <c r="BB297" s="99"/>
      <c r="BC297" s="99"/>
      <c r="BD297" s="187"/>
      <c r="CH297" s="233" t="str">
        <f>IFERROR(TOWER_DATA[[#This Row],[Top '[m']]]-TOWER_DATA[[#This Row],[Bottom '[m']]], "")</f>
        <v/>
      </c>
      <c r="CI297" s="217" t="str">
        <f>IFERROR(-(TOWER_DATA[[#This Row],[D, bottom '[m']]]-TOWER_DATA[[#This Row],[D, top '[m']]])/(TOWER_DATA[[#This Row],[Bottom '[m']]]-TOWER_DATA[[#This Row],[Top '[m']]]),"")</f>
        <v/>
      </c>
      <c r="CJ297" s="145" t="str">
        <f t="shared" si="11"/>
        <v/>
      </c>
      <c r="CK297" s="234" t="str">
        <f>IFERROR((TOWER_DATA[[#This Row],[D, bottom '[m']]]+TOWER_DATA[[#This Row],[D, top '[m']]])/(2*TOWER_DATA[[#This Row],[t '[mm']]]/1000),"")</f>
        <v/>
      </c>
      <c r="DO297" s="209"/>
      <c r="DP297" s="209"/>
      <c r="DQ297" s="187"/>
      <c r="DT297" s="99"/>
      <c r="DU297" s="99"/>
    </row>
    <row r="298" spans="1:125" ht="18" customHeight="1">
      <c r="A298" s="271"/>
      <c r="D298" s="280"/>
      <c r="E298" s="52"/>
      <c r="K298" s="233" t="str">
        <f>IFERROR(MP_DATA[[#This Row],[Top '[m']]]-MP_DATA[[#This Row],[Bottom '[m']]], "")</f>
        <v/>
      </c>
      <c r="L298" s="217" t="str">
        <f>IFERROR(-(MP_DATA[[#This Row],[D, bottom '[m']]]-MP_DATA[[#This Row],[D, top '[m']]])/(MP_DATA[[#This Row],[Bottom '[m']]]-MP_DATA[[#This Row],[Top '[m']]]),"")</f>
        <v/>
      </c>
      <c r="M298" s="145" t="str">
        <f t="shared" si="12"/>
        <v/>
      </c>
      <c r="N298" s="234" t="str">
        <f>IFERROR((MP_DATA[[#This Row],[D, bottom '[m']]]+MP_DATA[[#This Row],[D, top '[m']]])/(2*MP_DATA[[#This Row],[t '[mm']]]/1000),"")</f>
        <v/>
      </c>
      <c r="Q298" s="209"/>
      <c r="R298" s="209"/>
      <c r="S298" s="187"/>
      <c r="AV298" s="233" t="str">
        <f>IFERROR(TP_DATA[[#This Row],[Top '[m']]]-TP_DATA[[#This Row],[Bottom '[m']]], "")</f>
        <v/>
      </c>
      <c r="AW298" s="208"/>
      <c r="AX298" s="209"/>
      <c r="AY298" s="240"/>
      <c r="BB298" s="99"/>
      <c r="BC298" s="99"/>
      <c r="BD298" s="187"/>
      <c r="CH298" s="233" t="str">
        <f>IFERROR(TOWER_DATA[[#This Row],[Top '[m']]]-TOWER_DATA[[#This Row],[Bottom '[m']]], "")</f>
        <v/>
      </c>
      <c r="CI298" s="217" t="str">
        <f>IFERROR(-(TOWER_DATA[[#This Row],[D, bottom '[m']]]-TOWER_DATA[[#This Row],[D, top '[m']]])/(TOWER_DATA[[#This Row],[Bottom '[m']]]-TOWER_DATA[[#This Row],[Top '[m']]]),"")</f>
        <v/>
      </c>
      <c r="CJ298" s="145" t="str">
        <f t="shared" si="11"/>
        <v/>
      </c>
      <c r="CK298" s="234" t="str">
        <f>IFERROR((TOWER_DATA[[#This Row],[D, bottom '[m']]]+TOWER_DATA[[#This Row],[D, top '[m']]])/(2*TOWER_DATA[[#This Row],[t '[mm']]]/1000),"")</f>
        <v/>
      </c>
      <c r="DO298" s="209"/>
      <c r="DP298" s="209"/>
      <c r="DQ298" s="187"/>
      <c r="DT298" s="99"/>
      <c r="DU298" s="99"/>
    </row>
    <row r="299" spans="1:125" ht="18" customHeight="1">
      <c r="A299" s="271"/>
      <c r="D299" s="280"/>
      <c r="E299" s="52"/>
      <c r="K299" s="233" t="str">
        <f>IFERROR(MP_DATA[[#This Row],[Top '[m']]]-MP_DATA[[#This Row],[Bottom '[m']]], "")</f>
        <v/>
      </c>
      <c r="L299" s="217" t="str">
        <f>IFERROR(-(MP_DATA[[#This Row],[D, bottom '[m']]]-MP_DATA[[#This Row],[D, top '[m']]])/(MP_DATA[[#This Row],[Bottom '[m']]]-MP_DATA[[#This Row],[Top '[m']]]),"")</f>
        <v/>
      </c>
      <c r="M299" s="145" t="str">
        <f t="shared" si="12"/>
        <v/>
      </c>
      <c r="N299" s="234" t="str">
        <f>IFERROR((MP_DATA[[#This Row],[D, bottom '[m']]]+MP_DATA[[#This Row],[D, top '[m']]])/(2*MP_DATA[[#This Row],[t '[mm']]]/1000),"")</f>
        <v/>
      </c>
      <c r="Q299" s="209"/>
      <c r="R299" s="209"/>
      <c r="S299" s="187"/>
      <c r="AV299" s="233" t="str">
        <f>IFERROR(TP_DATA[[#This Row],[Top '[m']]]-TP_DATA[[#This Row],[Bottom '[m']]], "")</f>
        <v/>
      </c>
      <c r="AW299" s="208"/>
      <c r="AX299" s="209"/>
      <c r="AY299" s="240"/>
      <c r="BB299" s="99"/>
      <c r="BC299" s="99"/>
      <c r="BD299" s="187"/>
      <c r="CH299" s="233" t="str">
        <f>IFERROR(TOWER_DATA[[#This Row],[Top '[m']]]-TOWER_DATA[[#This Row],[Bottom '[m']]], "")</f>
        <v/>
      </c>
      <c r="CI299" s="217" t="str">
        <f>IFERROR(-(TOWER_DATA[[#This Row],[D, bottom '[m']]]-TOWER_DATA[[#This Row],[D, top '[m']]])/(TOWER_DATA[[#This Row],[Bottom '[m']]]-TOWER_DATA[[#This Row],[Top '[m']]]),"")</f>
        <v/>
      </c>
      <c r="CJ299" s="145" t="str">
        <f t="shared" si="11"/>
        <v/>
      </c>
      <c r="CK299" s="234" t="str">
        <f>IFERROR((TOWER_DATA[[#This Row],[D, bottom '[m']]]+TOWER_DATA[[#This Row],[D, top '[m']]])/(2*TOWER_DATA[[#This Row],[t '[mm']]]/1000),"")</f>
        <v/>
      </c>
      <c r="DO299" s="209"/>
      <c r="DP299" s="209"/>
      <c r="DQ299" s="187"/>
      <c r="DT299" s="99"/>
      <c r="DU299" s="99"/>
    </row>
    <row r="300" spans="1:125" ht="18" customHeight="1">
      <c r="A300" s="271"/>
      <c r="D300" s="280"/>
      <c r="E300" s="52"/>
      <c r="K300" s="233" t="str">
        <f>IFERROR(MP_DATA[[#This Row],[Top '[m']]]-MP_DATA[[#This Row],[Bottom '[m']]], "")</f>
        <v/>
      </c>
      <c r="L300" s="217" t="str">
        <f>IFERROR(-(MP_DATA[[#This Row],[D, bottom '[m']]]-MP_DATA[[#This Row],[D, top '[m']]])/(MP_DATA[[#This Row],[Bottom '[m']]]-MP_DATA[[#This Row],[Top '[m']]]),"")</f>
        <v/>
      </c>
      <c r="M300" s="145" t="str">
        <f t="shared" si="12"/>
        <v/>
      </c>
      <c r="N300" s="234" t="str">
        <f>IFERROR((MP_DATA[[#This Row],[D, bottom '[m']]]+MP_DATA[[#This Row],[D, top '[m']]])/(2*MP_DATA[[#This Row],[t '[mm']]]/1000),"")</f>
        <v/>
      </c>
      <c r="Q300" s="209"/>
      <c r="R300" s="209"/>
      <c r="S300" s="187"/>
      <c r="AV300" s="233" t="str">
        <f>IFERROR(TP_DATA[[#This Row],[Top '[m']]]-TP_DATA[[#This Row],[Bottom '[m']]], "")</f>
        <v/>
      </c>
      <c r="AW300" s="208"/>
      <c r="AX300" s="209"/>
      <c r="AY300" s="240"/>
      <c r="BB300" s="99"/>
      <c r="BC300" s="99"/>
      <c r="BD300" s="187"/>
      <c r="CH300" s="233" t="str">
        <f>IFERROR(TOWER_DATA[[#This Row],[Top '[m']]]-TOWER_DATA[[#This Row],[Bottom '[m']]], "")</f>
        <v/>
      </c>
      <c r="CI300" s="217" t="str">
        <f>IFERROR(-(TOWER_DATA[[#This Row],[D, bottom '[m']]]-TOWER_DATA[[#This Row],[D, top '[m']]])/(TOWER_DATA[[#This Row],[Bottom '[m']]]-TOWER_DATA[[#This Row],[Top '[m']]]),"")</f>
        <v/>
      </c>
      <c r="CJ300" s="145" t="str">
        <f t="shared" si="11"/>
        <v/>
      </c>
      <c r="CK300" s="234" t="str">
        <f>IFERROR((TOWER_DATA[[#This Row],[D, bottom '[m']]]+TOWER_DATA[[#This Row],[D, top '[m']]])/(2*TOWER_DATA[[#This Row],[t '[mm']]]/1000),"")</f>
        <v/>
      </c>
      <c r="DO300" s="209"/>
      <c r="DP300" s="209"/>
      <c r="DQ300" s="187"/>
      <c r="DT300" s="99"/>
      <c r="DU300" s="99"/>
    </row>
    <row r="301" spans="1:125" ht="18" customHeight="1">
      <c r="A301" s="271"/>
      <c r="D301" s="280"/>
      <c r="E301" s="52"/>
      <c r="K301" s="233" t="str">
        <f>IFERROR(MP_DATA[[#This Row],[Top '[m']]]-MP_DATA[[#This Row],[Bottom '[m']]], "")</f>
        <v/>
      </c>
      <c r="L301" s="217" t="str">
        <f>IFERROR(-(MP_DATA[[#This Row],[D, bottom '[m']]]-MP_DATA[[#This Row],[D, top '[m']]])/(MP_DATA[[#This Row],[Bottom '[m']]]-MP_DATA[[#This Row],[Top '[m']]]),"")</f>
        <v/>
      </c>
      <c r="M301" s="145" t="str">
        <f t="shared" si="12"/>
        <v/>
      </c>
      <c r="N301" s="234" t="str">
        <f>IFERROR((MP_DATA[[#This Row],[D, bottom '[m']]]+MP_DATA[[#This Row],[D, top '[m']]])/(2*MP_DATA[[#This Row],[t '[mm']]]/1000),"")</f>
        <v/>
      </c>
      <c r="Q301" s="209"/>
      <c r="R301" s="209"/>
      <c r="S301" s="187"/>
      <c r="AV301" s="233" t="str">
        <f>IFERROR(TP_DATA[[#This Row],[Top '[m']]]-TP_DATA[[#This Row],[Bottom '[m']]], "")</f>
        <v/>
      </c>
      <c r="AW301" s="208"/>
      <c r="AX301" s="209"/>
      <c r="AY301" s="240"/>
      <c r="BB301" s="99"/>
      <c r="BC301" s="99"/>
      <c r="BD301" s="187"/>
      <c r="CH301" s="233" t="str">
        <f>IFERROR(TOWER_DATA[[#This Row],[Top '[m']]]-TOWER_DATA[[#This Row],[Bottom '[m']]], "")</f>
        <v/>
      </c>
      <c r="CI301" s="217" t="str">
        <f>IFERROR(-(TOWER_DATA[[#This Row],[D, bottom '[m']]]-TOWER_DATA[[#This Row],[D, top '[m']]])/(TOWER_DATA[[#This Row],[Bottom '[m']]]-TOWER_DATA[[#This Row],[Top '[m']]]),"")</f>
        <v/>
      </c>
      <c r="CJ301" s="145" t="str">
        <f t="shared" si="11"/>
        <v/>
      </c>
      <c r="CK301" s="234" t="str">
        <f>IFERROR((TOWER_DATA[[#This Row],[D, bottom '[m']]]+TOWER_DATA[[#This Row],[D, top '[m']]])/(2*TOWER_DATA[[#This Row],[t '[mm']]]/1000),"")</f>
        <v/>
      </c>
      <c r="DO301" s="209"/>
      <c r="DP301" s="209"/>
      <c r="DQ301" s="187"/>
      <c r="DT301" s="99"/>
      <c r="DU301" s="99"/>
    </row>
    <row r="302" spans="1:125" ht="18" customHeight="1">
      <c r="A302" s="271"/>
      <c r="D302" s="280"/>
      <c r="E302" s="52"/>
      <c r="K302" s="233" t="str">
        <f>IFERROR(MP_DATA[[#This Row],[Top '[m']]]-MP_DATA[[#This Row],[Bottom '[m']]], "")</f>
        <v/>
      </c>
      <c r="L302" s="217" t="str">
        <f>IFERROR(-(MP_DATA[[#This Row],[D, bottom '[m']]]-MP_DATA[[#This Row],[D, top '[m']]])/(MP_DATA[[#This Row],[Bottom '[m']]]-MP_DATA[[#This Row],[Top '[m']]]),"")</f>
        <v/>
      </c>
      <c r="M302" s="145" t="str">
        <f t="shared" si="12"/>
        <v/>
      </c>
      <c r="N302" s="234" t="str">
        <f>IFERROR((MP_DATA[[#This Row],[D, bottom '[m']]]+MP_DATA[[#This Row],[D, top '[m']]])/(2*MP_DATA[[#This Row],[t '[mm']]]/1000),"")</f>
        <v/>
      </c>
      <c r="Q302" s="209"/>
      <c r="R302" s="209"/>
      <c r="S302" s="187"/>
      <c r="AV302" s="233" t="str">
        <f>IFERROR(TP_DATA[[#This Row],[Top '[m']]]-TP_DATA[[#This Row],[Bottom '[m']]], "")</f>
        <v/>
      </c>
      <c r="AW302" s="208"/>
      <c r="AX302" s="209"/>
      <c r="AY302" s="240"/>
      <c r="BB302" s="99"/>
      <c r="BC302" s="99"/>
      <c r="BD302" s="187"/>
      <c r="CH302" s="233" t="str">
        <f>IFERROR(TOWER_DATA[[#This Row],[Top '[m']]]-TOWER_DATA[[#This Row],[Bottom '[m']]], "")</f>
        <v/>
      </c>
      <c r="CI302" s="217" t="str">
        <f>IFERROR(-(TOWER_DATA[[#This Row],[D, bottom '[m']]]-TOWER_DATA[[#This Row],[D, top '[m']]])/(TOWER_DATA[[#This Row],[Bottom '[m']]]-TOWER_DATA[[#This Row],[Top '[m']]]),"")</f>
        <v/>
      </c>
      <c r="CJ302" s="145" t="str">
        <f t="shared" si="11"/>
        <v/>
      </c>
      <c r="CK302" s="234" t="str">
        <f>IFERROR((TOWER_DATA[[#This Row],[D, bottom '[m']]]+TOWER_DATA[[#This Row],[D, top '[m']]])/(2*TOWER_DATA[[#This Row],[t '[mm']]]/1000),"")</f>
        <v/>
      </c>
      <c r="DO302" s="209"/>
      <c r="DP302" s="209"/>
      <c r="DQ302" s="187"/>
      <c r="DT302" s="99"/>
      <c r="DU302" s="99"/>
    </row>
    <row r="303" spans="1:125" ht="18" customHeight="1">
      <c r="A303" s="271"/>
      <c r="D303" s="280"/>
      <c r="E303" s="52"/>
      <c r="K303" s="233" t="str">
        <f>IFERROR(MP_DATA[[#This Row],[Top '[m']]]-MP_DATA[[#This Row],[Bottom '[m']]], "")</f>
        <v/>
      </c>
      <c r="L303" s="217" t="str">
        <f>IFERROR(-(MP_DATA[[#This Row],[D, bottom '[m']]]-MP_DATA[[#This Row],[D, top '[m']]])/(MP_DATA[[#This Row],[Bottom '[m']]]-MP_DATA[[#This Row],[Top '[m']]]),"")</f>
        <v/>
      </c>
      <c r="M303" s="145" t="str">
        <f t="shared" si="12"/>
        <v/>
      </c>
      <c r="N303" s="234" t="str">
        <f>IFERROR((MP_DATA[[#This Row],[D, bottom '[m']]]+MP_DATA[[#This Row],[D, top '[m']]])/(2*MP_DATA[[#This Row],[t '[mm']]]/1000),"")</f>
        <v/>
      </c>
      <c r="Q303" s="209"/>
      <c r="R303" s="209"/>
      <c r="S303" s="187"/>
      <c r="AV303" s="233" t="str">
        <f>IFERROR(TP_DATA[[#This Row],[Top '[m']]]-TP_DATA[[#This Row],[Bottom '[m']]], "")</f>
        <v/>
      </c>
      <c r="AW303" s="208"/>
      <c r="AX303" s="209"/>
      <c r="AY303" s="240"/>
      <c r="BB303" s="99"/>
      <c r="BC303" s="99"/>
      <c r="BD303" s="187"/>
      <c r="CH303" s="233" t="str">
        <f>IFERROR(TOWER_DATA[[#This Row],[Top '[m']]]-TOWER_DATA[[#This Row],[Bottom '[m']]], "")</f>
        <v/>
      </c>
      <c r="CI303" s="217" t="str">
        <f>IFERROR(-(TOWER_DATA[[#This Row],[D, bottom '[m']]]-TOWER_DATA[[#This Row],[D, top '[m']]])/(TOWER_DATA[[#This Row],[Bottom '[m']]]-TOWER_DATA[[#This Row],[Top '[m']]]),"")</f>
        <v/>
      </c>
      <c r="CJ303" s="145" t="str">
        <f t="shared" si="11"/>
        <v/>
      </c>
      <c r="CK303" s="234" t="str">
        <f>IFERROR((TOWER_DATA[[#This Row],[D, bottom '[m']]]+TOWER_DATA[[#This Row],[D, top '[m']]])/(2*TOWER_DATA[[#This Row],[t '[mm']]]/1000),"")</f>
        <v/>
      </c>
      <c r="DO303" s="209"/>
      <c r="DP303" s="209"/>
      <c r="DQ303" s="187"/>
      <c r="DT303" s="99"/>
      <c r="DU303" s="99"/>
    </row>
    <row r="304" spans="1:125" ht="18" customHeight="1">
      <c r="A304" s="271"/>
      <c r="D304" s="280"/>
      <c r="E304" s="52"/>
      <c r="K304" s="233" t="str">
        <f>IFERROR(MP_DATA[[#This Row],[Top '[m']]]-MP_DATA[[#This Row],[Bottom '[m']]], "")</f>
        <v/>
      </c>
      <c r="L304" s="217" t="str">
        <f>IFERROR(-(MP_DATA[[#This Row],[D, bottom '[m']]]-MP_DATA[[#This Row],[D, top '[m']]])/(MP_DATA[[#This Row],[Bottom '[m']]]-MP_DATA[[#This Row],[Top '[m']]]),"")</f>
        <v/>
      </c>
      <c r="M304" s="145" t="str">
        <f t="shared" si="12"/>
        <v/>
      </c>
      <c r="N304" s="234" t="str">
        <f>IFERROR((MP_DATA[[#This Row],[D, bottom '[m']]]+MP_DATA[[#This Row],[D, top '[m']]])/(2*MP_DATA[[#This Row],[t '[mm']]]/1000),"")</f>
        <v/>
      </c>
      <c r="Q304" s="209"/>
      <c r="R304" s="209"/>
      <c r="S304" s="187"/>
      <c r="AV304" s="233" t="str">
        <f>IFERROR(TP_DATA[[#This Row],[Top '[m']]]-TP_DATA[[#This Row],[Bottom '[m']]], "")</f>
        <v/>
      </c>
      <c r="AW304" s="208"/>
      <c r="AX304" s="209"/>
      <c r="AY304" s="240"/>
      <c r="BB304" s="99"/>
      <c r="BC304" s="99"/>
      <c r="BD304" s="187"/>
      <c r="CH304" s="233" t="str">
        <f>IFERROR(TOWER_DATA[[#This Row],[Top '[m']]]-TOWER_DATA[[#This Row],[Bottom '[m']]], "")</f>
        <v/>
      </c>
      <c r="CI304" s="217" t="str">
        <f>IFERROR(-(TOWER_DATA[[#This Row],[D, bottom '[m']]]-TOWER_DATA[[#This Row],[D, top '[m']]])/(TOWER_DATA[[#This Row],[Bottom '[m']]]-TOWER_DATA[[#This Row],[Top '[m']]]),"")</f>
        <v/>
      </c>
      <c r="CJ304" s="145" t="str">
        <f t="shared" si="11"/>
        <v/>
      </c>
      <c r="CK304" s="234" t="str">
        <f>IFERROR((TOWER_DATA[[#This Row],[D, bottom '[m']]]+TOWER_DATA[[#This Row],[D, top '[m']]])/(2*TOWER_DATA[[#This Row],[t '[mm']]]/1000),"")</f>
        <v/>
      </c>
      <c r="DO304" s="209"/>
      <c r="DP304" s="209"/>
      <c r="DQ304" s="187"/>
      <c r="DT304" s="99"/>
      <c r="DU304" s="99"/>
    </row>
    <row r="305" spans="1:125" ht="18" customHeight="1">
      <c r="A305" s="271"/>
      <c r="D305" s="280"/>
      <c r="E305" s="52"/>
      <c r="K305" s="233" t="str">
        <f>IFERROR(MP_DATA[[#This Row],[Top '[m']]]-MP_DATA[[#This Row],[Bottom '[m']]], "")</f>
        <v/>
      </c>
      <c r="L305" s="217" t="str">
        <f>IFERROR(-(MP_DATA[[#This Row],[D, bottom '[m']]]-MP_DATA[[#This Row],[D, top '[m']]])/(MP_DATA[[#This Row],[Bottom '[m']]]-MP_DATA[[#This Row],[Top '[m']]]),"")</f>
        <v/>
      </c>
      <c r="M305" s="145" t="str">
        <f t="shared" si="12"/>
        <v/>
      </c>
      <c r="N305" s="234" t="str">
        <f>IFERROR((MP_DATA[[#This Row],[D, bottom '[m']]]+MP_DATA[[#This Row],[D, top '[m']]])/(2*MP_DATA[[#This Row],[t '[mm']]]/1000),"")</f>
        <v/>
      </c>
      <c r="Q305" s="209"/>
      <c r="R305" s="209"/>
      <c r="S305" s="187"/>
      <c r="AV305" s="233" t="str">
        <f>IFERROR(TP_DATA[[#This Row],[Top '[m']]]-TP_DATA[[#This Row],[Bottom '[m']]], "")</f>
        <v/>
      </c>
      <c r="AW305" s="208"/>
      <c r="AX305" s="209"/>
      <c r="AY305" s="240"/>
      <c r="BB305" s="99"/>
      <c r="BC305" s="99"/>
      <c r="BD305" s="187"/>
      <c r="CH305" s="233" t="str">
        <f>IFERROR(TOWER_DATA[[#This Row],[Top '[m']]]-TOWER_DATA[[#This Row],[Bottom '[m']]], "")</f>
        <v/>
      </c>
      <c r="CI305" s="217" t="str">
        <f>IFERROR(-(TOWER_DATA[[#This Row],[D, bottom '[m']]]-TOWER_DATA[[#This Row],[D, top '[m']]])/(TOWER_DATA[[#This Row],[Bottom '[m']]]-TOWER_DATA[[#This Row],[Top '[m']]]),"")</f>
        <v/>
      </c>
      <c r="CJ305" s="145" t="str">
        <f t="shared" ref="CJ305:CJ368" si="13">IF(7850/1000*(1/3)*PI()*ABS(CC305-CD305)*((CE305/2)^2+(CE305/2)*(CF305/2)+(CF305/2)^2-(CE305/2-CG305/1000)^2-(CE305/2-CG305/1000)*(CF305/2-CG305/1000)-(CF305/2-CG305/1000)^2)=0,"",7850/1000*(1/3)*PI()*ABS(CC305-CD305)*((CE305/2)^2+(CE305/2)*(CF305/2)+(CF305/2)^2-(CE305/2-CG305/1000)^2-(CE305/2-CG305/1000)*(CF305/2-CG305/1000)-(CF305/2-CG305/1000)^2))</f>
        <v/>
      </c>
      <c r="CK305" s="234" t="str">
        <f>IFERROR((TOWER_DATA[[#This Row],[D, bottom '[m']]]+TOWER_DATA[[#This Row],[D, top '[m']]])/(2*TOWER_DATA[[#This Row],[t '[mm']]]/1000),"")</f>
        <v/>
      </c>
      <c r="DO305" s="209"/>
      <c r="DP305" s="209"/>
      <c r="DQ305" s="187"/>
      <c r="DT305" s="99"/>
      <c r="DU305" s="99"/>
    </row>
    <row r="306" spans="1:125" ht="18" customHeight="1">
      <c r="A306" s="271"/>
      <c r="D306" s="280"/>
      <c r="E306" s="52"/>
      <c r="K306" s="233" t="str">
        <f>IFERROR(MP_DATA[[#This Row],[Top '[m']]]-MP_DATA[[#This Row],[Bottom '[m']]], "")</f>
        <v/>
      </c>
      <c r="L306" s="217" t="str">
        <f>IFERROR(-(MP_DATA[[#This Row],[D, bottom '[m']]]-MP_DATA[[#This Row],[D, top '[m']]])/(MP_DATA[[#This Row],[Bottom '[m']]]-MP_DATA[[#This Row],[Top '[m']]]),"")</f>
        <v/>
      </c>
      <c r="M306" s="145" t="str">
        <f t="shared" ref="M306:M369" si="14">IF(7850/1000*(1/3)*PI()*ABS(F306-G306)*((H306/2)^2+(H306/2)*(I306/2)+(I306/2)^2-(H306/2-J306/1000)^2-(H306/2-J306/1000)*(I306/2-J306/1000)-(I306/2-J306/1000)^2)=0,"",7850/1000*(1/3)*PI()*ABS(F306-G306)*((H306/2)^2+(H306/2)*(I306/2)+(I306/2)^2-(H306/2-J306/1000)^2-(H306/2-J306/1000)*(I306/2-J306/1000)-(I306/2-J306/1000)^2))</f>
        <v/>
      </c>
      <c r="N306" s="234" t="str">
        <f>IFERROR((MP_DATA[[#This Row],[D, bottom '[m']]]+MP_DATA[[#This Row],[D, top '[m']]])/(2*MP_DATA[[#This Row],[t '[mm']]]/1000),"")</f>
        <v/>
      </c>
      <c r="Q306" s="209"/>
      <c r="R306" s="209"/>
      <c r="S306" s="187"/>
      <c r="AV306" s="233" t="str">
        <f>IFERROR(TP_DATA[[#This Row],[Top '[m']]]-TP_DATA[[#This Row],[Bottom '[m']]], "")</f>
        <v/>
      </c>
      <c r="AW306" s="208"/>
      <c r="AX306" s="209"/>
      <c r="AY306" s="240"/>
      <c r="BB306" s="99"/>
      <c r="BC306" s="99"/>
      <c r="BD306" s="187"/>
      <c r="CH306" s="233" t="str">
        <f>IFERROR(TOWER_DATA[[#This Row],[Top '[m']]]-TOWER_DATA[[#This Row],[Bottom '[m']]], "")</f>
        <v/>
      </c>
      <c r="CI306" s="217" t="str">
        <f>IFERROR(-(TOWER_DATA[[#This Row],[D, bottom '[m']]]-TOWER_DATA[[#This Row],[D, top '[m']]])/(TOWER_DATA[[#This Row],[Bottom '[m']]]-TOWER_DATA[[#This Row],[Top '[m']]]),"")</f>
        <v/>
      </c>
      <c r="CJ306" s="145" t="str">
        <f t="shared" si="13"/>
        <v/>
      </c>
      <c r="CK306" s="234" t="str">
        <f>IFERROR((TOWER_DATA[[#This Row],[D, bottom '[m']]]+TOWER_DATA[[#This Row],[D, top '[m']]])/(2*TOWER_DATA[[#This Row],[t '[mm']]]/1000),"")</f>
        <v/>
      </c>
      <c r="DO306" s="209"/>
      <c r="DP306" s="209"/>
      <c r="DQ306" s="187"/>
      <c r="DT306" s="99"/>
      <c r="DU306" s="99"/>
    </row>
    <row r="307" spans="1:125" ht="18" customHeight="1">
      <c r="A307" s="271"/>
      <c r="D307" s="280"/>
      <c r="E307" s="52"/>
      <c r="K307" s="233" t="str">
        <f>IFERROR(MP_DATA[[#This Row],[Top '[m']]]-MP_DATA[[#This Row],[Bottom '[m']]], "")</f>
        <v/>
      </c>
      <c r="L307" s="217" t="str">
        <f>IFERROR(-(MP_DATA[[#This Row],[D, bottom '[m']]]-MP_DATA[[#This Row],[D, top '[m']]])/(MP_DATA[[#This Row],[Bottom '[m']]]-MP_DATA[[#This Row],[Top '[m']]]),"")</f>
        <v/>
      </c>
      <c r="M307" s="145" t="str">
        <f t="shared" si="14"/>
        <v/>
      </c>
      <c r="N307" s="234" t="str">
        <f>IFERROR((MP_DATA[[#This Row],[D, bottom '[m']]]+MP_DATA[[#This Row],[D, top '[m']]])/(2*MP_DATA[[#This Row],[t '[mm']]]/1000),"")</f>
        <v/>
      </c>
      <c r="Q307" s="209"/>
      <c r="R307" s="209"/>
      <c r="S307" s="187"/>
      <c r="AV307" s="233" t="str">
        <f>IFERROR(TP_DATA[[#This Row],[Top '[m']]]-TP_DATA[[#This Row],[Bottom '[m']]], "")</f>
        <v/>
      </c>
      <c r="AW307" s="208"/>
      <c r="AX307" s="209"/>
      <c r="AY307" s="240"/>
      <c r="BB307" s="99"/>
      <c r="BC307" s="99"/>
      <c r="BD307" s="187"/>
      <c r="CH307" s="233" t="str">
        <f>IFERROR(TOWER_DATA[[#This Row],[Top '[m']]]-TOWER_DATA[[#This Row],[Bottom '[m']]], "")</f>
        <v/>
      </c>
      <c r="CI307" s="217" t="str">
        <f>IFERROR(-(TOWER_DATA[[#This Row],[D, bottom '[m']]]-TOWER_DATA[[#This Row],[D, top '[m']]])/(TOWER_DATA[[#This Row],[Bottom '[m']]]-TOWER_DATA[[#This Row],[Top '[m']]]),"")</f>
        <v/>
      </c>
      <c r="CJ307" s="145" t="str">
        <f t="shared" si="13"/>
        <v/>
      </c>
      <c r="CK307" s="234" t="str">
        <f>IFERROR((TOWER_DATA[[#This Row],[D, bottom '[m']]]+TOWER_DATA[[#This Row],[D, top '[m']]])/(2*TOWER_DATA[[#This Row],[t '[mm']]]/1000),"")</f>
        <v/>
      </c>
      <c r="DO307" s="209"/>
      <c r="DP307" s="209"/>
      <c r="DQ307" s="187"/>
      <c r="DT307" s="99"/>
      <c r="DU307" s="99"/>
    </row>
    <row r="308" spans="1:125" ht="18" customHeight="1">
      <c r="A308" s="271"/>
      <c r="D308" s="280"/>
      <c r="E308" s="52"/>
      <c r="K308" s="233" t="str">
        <f>IFERROR(MP_DATA[[#This Row],[Top '[m']]]-MP_DATA[[#This Row],[Bottom '[m']]], "")</f>
        <v/>
      </c>
      <c r="L308" s="217" t="str">
        <f>IFERROR(-(MP_DATA[[#This Row],[D, bottom '[m']]]-MP_DATA[[#This Row],[D, top '[m']]])/(MP_DATA[[#This Row],[Bottom '[m']]]-MP_DATA[[#This Row],[Top '[m']]]),"")</f>
        <v/>
      </c>
      <c r="M308" s="145" t="str">
        <f t="shared" si="14"/>
        <v/>
      </c>
      <c r="N308" s="234" t="str">
        <f>IFERROR((MP_DATA[[#This Row],[D, bottom '[m']]]+MP_DATA[[#This Row],[D, top '[m']]])/(2*MP_DATA[[#This Row],[t '[mm']]]/1000),"")</f>
        <v/>
      </c>
      <c r="Q308" s="209"/>
      <c r="R308" s="209"/>
      <c r="S308" s="187"/>
      <c r="AV308" s="233" t="str">
        <f>IFERROR(TP_DATA[[#This Row],[Top '[m']]]-TP_DATA[[#This Row],[Bottom '[m']]], "")</f>
        <v/>
      </c>
      <c r="AW308" s="208"/>
      <c r="AX308" s="209"/>
      <c r="AY308" s="240"/>
      <c r="BB308" s="99"/>
      <c r="BC308" s="99"/>
      <c r="BD308" s="187"/>
      <c r="CH308" s="233" t="str">
        <f>IFERROR(TOWER_DATA[[#This Row],[Top '[m']]]-TOWER_DATA[[#This Row],[Bottom '[m']]], "")</f>
        <v/>
      </c>
      <c r="CI308" s="217" t="str">
        <f>IFERROR(-(TOWER_DATA[[#This Row],[D, bottom '[m']]]-TOWER_DATA[[#This Row],[D, top '[m']]])/(TOWER_DATA[[#This Row],[Bottom '[m']]]-TOWER_DATA[[#This Row],[Top '[m']]]),"")</f>
        <v/>
      </c>
      <c r="CJ308" s="145" t="str">
        <f t="shared" si="13"/>
        <v/>
      </c>
      <c r="CK308" s="234" t="str">
        <f>IFERROR((TOWER_DATA[[#This Row],[D, bottom '[m']]]+TOWER_DATA[[#This Row],[D, top '[m']]])/(2*TOWER_DATA[[#This Row],[t '[mm']]]/1000),"")</f>
        <v/>
      </c>
      <c r="DO308" s="209"/>
      <c r="DP308" s="209"/>
      <c r="DQ308" s="187"/>
      <c r="DT308" s="99"/>
      <c r="DU308" s="99"/>
    </row>
    <row r="309" spans="1:125" ht="18" customHeight="1">
      <c r="A309" s="271"/>
      <c r="D309" s="280"/>
      <c r="E309" s="52"/>
      <c r="K309" s="233" t="str">
        <f>IFERROR(MP_DATA[[#This Row],[Top '[m']]]-MP_DATA[[#This Row],[Bottom '[m']]], "")</f>
        <v/>
      </c>
      <c r="L309" s="217" t="str">
        <f>IFERROR(-(MP_DATA[[#This Row],[D, bottom '[m']]]-MP_DATA[[#This Row],[D, top '[m']]])/(MP_DATA[[#This Row],[Bottom '[m']]]-MP_DATA[[#This Row],[Top '[m']]]),"")</f>
        <v/>
      </c>
      <c r="M309" s="145" t="str">
        <f t="shared" si="14"/>
        <v/>
      </c>
      <c r="N309" s="234" t="str">
        <f>IFERROR((MP_DATA[[#This Row],[D, bottom '[m']]]+MP_DATA[[#This Row],[D, top '[m']]])/(2*MP_DATA[[#This Row],[t '[mm']]]/1000),"")</f>
        <v/>
      </c>
      <c r="Q309" s="209"/>
      <c r="R309" s="209"/>
      <c r="S309" s="187"/>
      <c r="AV309" s="233" t="str">
        <f>IFERROR(TP_DATA[[#This Row],[Top '[m']]]-TP_DATA[[#This Row],[Bottom '[m']]], "")</f>
        <v/>
      </c>
      <c r="AW309" s="208"/>
      <c r="AX309" s="209"/>
      <c r="AY309" s="240"/>
      <c r="BB309" s="99"/>
      <c r="BC309" s="99"/>
      <c r="BD309" s="187"/>
      <c r="CH309" s="233" t="str">
        <f>IFERROR(TOWER_DATA[[#This Row],[Top '[m']]]-TOWER_DATA[[#This Row],[Bottom '[m']]], "")</f>
        <v/>
      </c>
      <c r="CI309" s="217" t="str">
        <f>IFERROR(-(TOWER_DATA[[#This Row],[D, bottom '[m']]]-TOWER_DATA[[#This Row],[D, top '[m']]])/(TOWER_DATA[[#This Row],[Bottom '[m']]]-TOWER_DATA[[#This Row],[Top '[m']]]),"")</f>
        <v/>
      </c>
      <c r="CJ309" s="145" t="str">
        <f t="shared" si="13"/>
        <v/>
      </c>
      <c r="CK309" s="234" t="str">
        <f>IFERROR((TOWER_DATA[[#This Row],[D, bottom '[m']]]+TOWER_DATA[[#This Row],[D, top '[m']]])/(2*TOWER_DATA[[#This Row],[t '[mm']]]/1000),"")</f>
        <v/>
      </c>
      <c r="DO309" s="209"/>
      <c r="DP309" s="209"/>
      <c r="DQ309" s="187"/>
      <c r="DT309" s="99"/>
      <c r="DU309" s="99"/>
    </row>
    <row r="310" spans="1:125" ht="18" customHeight="1">
      <c r="A310" s="271"/>
      <c r="D310" s="280"/>
      <c r="E310" s="52"/>
      <c r="K310" s="233" t="str">
        <f>IFERROR(MP_DATA[[#This Row],[Top '[m']]]-MP_DATA[[#This Row],[Bottom '[m']]], "")</f>
        <v/>
      </c>
      <c r="L310" s="217" t="str">
        <f>IFERROR(-(MP_DATA[[#This Row],[D, bottom '[m']]]-MP_DATA[[#This Row],[D, top '[m']]])/(MP_DATA[[#This Row],[Bottom '[m']]]-MP_DATA[[#This Row],[Top '[m']]]),"")</f>
        <v/>
      </c>
      <c r="M310" s="145" t="str">
        <f t="shared" si="14"/>
        <v/>
      </c>
      <c r="N310" s="234" t="str">
        <f>IFERROR((MP_DATA[[#This Row],[D, bottom '[m']]]+MP_DATA[[#This Row],[D, top '[m']]])/(2*MP_DATA[[#This Row],[t '[mm']]]/1000),"")</f>
        <v/>
      </c>
      <c r="Q310" s="209"/>
      <c r="R310" s="209"/>
      <c r="S310" s="187"/>
      <c r="AV310" s="233" t="str">
        <f>IFERROR(TP_DATA[[#This Row],[Top '[m']]]-TP_DATA[[#This Row],[Bottom '[m']]], "")</f>
        <v/>
      </c>
      <c r="AW310" s="208"/>
      <c r="AX310" s="209"/>
      <c r="AY310" s="240"/>
      <c r="BB310" s="99"/>
      <c r="BC310" s="99"/>
      <c r="BD310" s="187"/>
      <c r="CH310" s="233" t="str">
        <f>IFERROR(TOWER_DATA[[#This Row],[Top '[m']]]-TOWER_DATA[[#This Row],[Bottom '[m']]], "")</f>
        <v/>
      </c>
      <c r="CI310" s="217" t="str">
        <f>IFERROR(-(TOWER_DATA[[#This Row],[D, bottom '[m']]]-TOWER_DATA[[#This Row],[D, top '[m']]])/(TOWER_DATA[[#This Row],[Bottom '[m']]]-TOWER_DATA[[#This Row],[Top '[m']]]),"")</f>
        <v/>
      </c>
      <c r="CJ310" s="145" t="str">
        <f t="shared" si="13"/>
        <v/>
      </c>
      <c r="CK310" s="234" t="str">
        <f>IFERROR((TOWER_DATA[[#This Row],[D, bottom '[m']]]+TOWER_DATA[[#This Row],[D, top '[m']]])/(2*TOWER_DATA[[#This Row],[t '[mm']]]/1000),"")</f>
        <v/>
      </c>
      <c r="DO310" s="209"/>
      <c r="DP310" s="209"/>
      <c r="DQ310" s="187"/>
      <c r="DT310" s="99"/>
      <c r="DU310" s="99"/>
    </row>
    <row r="311" spans="1:125" ht="18" customHeight="1">
      <c r="A311" s="271"/>
      <c r="D311" s="280"/>
      <c r="E311" s="52"/>
      <c r="K311" s="233" t="str">
        <f>IFERROR(MP_DATA[[#This Row],[Top '[m']]]-MP_DATA[[#This Row],[Bottom '[m']]], "")</f>
        <v/>
      </c>
      <c r="L311" s="217" t="str">
        <f>IFERROR(-(MP_DATA[[#This Row],[D, bottom '[m']]]-MP_DATA[[#This Row],[D, top '[m']]])/(MP_DATA[[#This Row],[Bottom '[m']]]-MP_DATA[[#This Row],[Top '[m']]]),"")</f>
        <v/>
      </c>
      <c r="M311" s="145" t="str">
        <f t="shared" si="14"/>
        <v/>
      </c>
      <c r="N311" s="234" t="str">
        <f>IFERROR((MP_DATA[[#This Row],[D, bottom '[m']]]+MP_DATA[[#This Row],[D, top '[m']]])/(2*MP_DATA[[#This Row],[t '[mm']]]/1000),"")</f>
        <v/>
      </c>
      <c r="Q311" s="209"/>
      <c r="R311" s="209"/>
      <c r="S311" s="187"/>
      <c r="AV311" s="233" t="str">
        <f>IFERROR(TP_DATA[[#This Row],[Top '[m']]]-TP_DATA[[#This Row],[Bottom '[m']]], "")</f>
        <v/>
      </c>
      <c r="AW311" s="208"/>
      <c r="AX311" s="209"/>
      <c r="AY311" s="240"/>
      <c r="BB311" s="99"/>
      <c r="BC311" s="99"/>
      <c r="BD311" s="187"/>
      <c r="CH311" s="233" t="str">
        <f>IFERROR(TOWER_DATA[[#This Row],[Top '[m']]]-TOWER_DATA[[#This Row],[Bottom '[m']]], "")</f>
        <v/>
      </c>
      <c r="CI311" s="217" t="str">
        <f>IFERROR(-(TOWER_DATA[[#This Row],[D, bottom '[m']]]-TOWER_DATA[[#This Row],[D, top '[m']]])/(TOWER_DATA[[#This Row],[Bottom '[m']]]-TOWER_DATA[[#This Row],[Top '[m']]]),"")</f>
        <v/>
      </c>
      <c r="CJ311" s="145" t="str">
        <f t="shared" si="13"/>
        <v/>
      </c>
      <c r="CK311" s="234" t="str">
        <f>IFERROR((TOWER_DATA[[#This Row],[D, bottom '[m']]]+TOWER_DATA[[#This Row],[D, top '[m']]])/(2*TOWER_DATA[[#This Row],[t '[mm']]]/1000),"")</f>
        <v/>
      </c>
      <c r="DO311" s="209"/>
      <c r="DP311" s="209"/>
      <c r="DQ311" s="187"/>
      <c r="DT311" s="99"/>
      <c r="DU311" s="99"/>
    </row>
    <row r="312" spans="1:125" ht="18" customHeight="1">
      <c r="A312" s="271"/>
      <c r="D312" s="280"/>
      <c r="E312" s="52"/>
      <c r="K312" s="233" t="str">
        <f>IFERROR(MP_DATA[[#This Row],[Top '[m']]]-MP_DATA[[#This Row],[Bottom '[m']]], "")</f>
        <v/>
      </c>
      <c r="L312" s="217" t="str">
        <f>IFERROR(-(MP_DATA[[#This Row],[D, bottom '[m']]]-MP_DATA[[#This Row],[D, top '[m']]])/(MP_DATA[[#This Row],[Bottom '[m']]]-MP_DATA[[#This Row],[Top '[m']]]),"")</f>
        <v/>
      </c>
      <c r="M312" s="145" t="str">
        <f t="shared" si="14"/>
        <v/>
      </c>
      <c r="N312" s="234" t="str">
        <f>IFERROR((MP_DATA[[#This Row],[D, bottom '[m']]]+MP_DATA[[#This Row],[D, top '[m']]])/(2*MP_DATA[[#This Row],[t '[mm']]]/1000),"")</f>
        <v/>
      </c>
      <c r="Q312" s="209"/>
      <c r="R312" s="209"/>
      <c r="S312" s="187"/>
      <c r="AV312" s="233" t="str">
        <f>IFERROR(TP_DATA[[#This Row],[Top '[m']]]-TP_DATA[[#This Row],[Bottom '[m']]], "")</f>
        <v/>
      </c>
      <c r="AW312" s="208"/>
      <c r="AX312" s="209"/>
      <c r="AY312" s="240"/>
      <c r="BB312" s="99"/>
      <c r="BC312" s="99"/>
      <c r="BD312" s="187"/>
      <c r="CH312" s="233" t="str">
        <f>IFERROR(TOWER_DATA[[#This Row],[Top '[m']]]-TOWER_DATA[[#This Row],[Bottom '[m']]], "")</f>
        <v/>
      </c>
      <c r="CI312" s="217" t="str">
        <f>IFERROR(-(TOWER_DATA[[#This Row],[D, bottom '[m']]]-TOWER_DATA[[#This Row],[D, top '[m']]])/(TOWER_DATA[[#This Row],[Bottom '[m']]]-TOWER_DATA[[#This Row],[Top '[m']]]),"")</f>
        <v/>
      </c>
      <c r="CJ312" s="145" t="str">
        <f t="shared" si="13"/>
        <v/>
      </c>
      <c r="CK312" s="234" t="str">
        <f>IFERROR((TOWER_DATA[[#This Row],[D, bottom '[m']]]+TOWER_DATA[[#This Row],[D, top '[m']]])/(2*TOWER_DATA[[#This Row],[t '[mm']]]/1000),"")</f>
        <v/>
      </c>
      <c r="DO312" s="209"/>
      <c r="DP312" s="209"/>
      <c r="DQ312" s="187"/>
      <c r="DT312" s="99"/>
      <c r="DU312" s="99"/>
    </row>
    <row r="313" spans="1:125" ht="18" customHeight="1">
      <c r="A313" s="271"/>
      <c r="D313" s="280"/>
      <c r="E313" s="52"/>
      <c r="K313" s="233" t="str">
        <f>IFERROR(MP_DATA[[#This Row],[Top '[m']]]-MP_DATA[[#This Row],[Bottom '[m']]], "")</f>
        <v/>
      </c>
      <c r="L313" s="217" t="str">
        <f>IFERROR(-(MP_DATA[[#This Row],[D, bottom '[m']]]-MP_DATA[[#This Row],[D, top '[m']]])/(MP_DATA[[#This Row],[Bottom '[m']]]-MP_DATA[[#This Row],[Top '[m']]]),"")</f>
        <v/>
      </c>
      <c r="M313" s="145" t="str">
        <f t="shared" si="14"/>
        <v/>
      </c>
      <c r="N313" s="234" t="str">
        <f>IFERROR((MP_DATA[[#This Row],[D, bottom '[m']]]+MP_DATA[[#This Row],[D, top '[m']]])/(2*MP_DATA[[#This Row],[t '[mm']]]/1000),"")</f>
        <v/>
      </c>
      <c r="Q313" s="209"/>
      <c r="R313" s="209"/>
      <c r="S313" s="187"/>
      <c r="AV313" s="233" t="str">
        <f>IFERROR(TP_DATA[[#This Row],[Top '[m']]]-TP_DATA[[#This Row],[Bottom '[m']]], "")</f>
        <v/>
      </c>
      <c r="AW313" s="208"/>
      <c r="AX313" s="209"/>
      <c r="AY313" s="240"/>
      <c r="BB313" s="99"/>
      <c r="BC313" s="99"/>
      <c r="BD313" s="187"/>
      <c r="CH313" s="233" t="str">
        <f>IFERROR(TOWER_DATA[[#This Row],[Top '[m']]]-TOWER_DATA[[#This Row],[Bottom '[m']]], "")</f>
        <v/>
      </c>
      <c r="CI313" s="217" t="str">
        <f>IFERROR(-(TOWER_DATA[[#This Row],[D, bottom '[m']]]-TOWER_DATA[[#This Row],[D, top '[m']]])/(TOWER_DATA[[#This Row],[Bottom '[m']]]-TOWER_DATA[[#This Row],[Top '[m']]]),"")</f>
        <v/>
      </c>
      <c r="CJ313" s="145" t="str">
        <f t="shared" si="13"/>
        <v/>
      </c>
      <c r="CK313" s="234" t="str">
        <f>IFERROR((TOWER_DATA[[#This Row],[D, bottom '[m']]]+TOWER_DATA[[#This Row],[D, top '[m']]])/(2*TOWER_DATA[[#This Row],[t '[mm']]]/1000),"")</f>
        <v/>
      </c>
      <c r="DO313" s="209"/>
      <c r="DP313" s="209"/>
      <c r="DQ313" s="187"/>
      <c r="DT313" s="99"/>
      <c r="DU313" s="99"/>
    </row>
    <row r="314" spans="1:125" ht="18" customHeight="1">
      <c r="A314" s="271"/>
      <c r="D314" s="280"/>
      <c r="E314" s="52"/>
      <c r="K314" s="233" t="str">
        <f>IFERROR(MP_DATA[[#This Row],[Top '[m']]]-MP_DATA[[#This Row],[Bottom '[m']]], "")</f>
        <v/>
      </c>
      <c r="L314" s="217" t="str">
        <f>IFERROR(-(MP_DATA[[#This Row],[D, bottom '[m']]]-MP_DATA[[#This Row],[D, top '[m']]])/(MP_DATA[[#This Row],[Bottom '[m']]]-MP_DATA[[#This Row],[Top '[m']]]),"")</f>
        <v/>
      </c>
      <c r="M314" s="145" t="str">
        <f t="shared" si="14"/>
        <v/>
      </c>
      <c r="N314" s="234" t="str">
        <f>IFERROR((MP_DATA[[#This Row],[D, bottom '[m']]]+MP_DATA[[#This Row],[D, top '[m']]])/(2*MP_DATA[[#This Row],[t '[mm']]]/1000),"")</f>
        <v/>
      </c>
      <c r="Q314" s="209"/>
      <c r="R314" s="209"/>
      <c r="S314" s="187"/>
      <c r="AV314" s="233" t="str">
        <f>IFERROR(TP_DATA[[#This Row],[Top '[m']]]-TP_DATA[[#This Row],[Bottom '[m']]], "")</f>
        <v/>
      </c>
      <c r="AW314" s="208"/>
      <c r="AX314" s="209"/>
      <c r="AY314" s="240"/>
      <c r="BB314" s="99"/>
      <c r="BC314" s="99"/>
      <c r="BD314" s="187"/>
      <c r="CH314" s="233" t="str">
        <f>IFERROR(TOWER_DATA[[#This Row],[Top '[m']]]-TOWER_DATA[[#This Row],[Bottom '[m']]], "")</f>
        <v/>
      </c>
      <c r="CI314" s="217" t="str">
        <f>IFERROR(-(TOWER_DATA[[#This Row],[D, bottom '[m']]]-TOWER_DATA[[#This Row],[D, top '[m']]])/(TOWER_DATA[[#This Row],[Bottom '[m']]]-TOWER_DATA[[#This Row],[Top '[m']]]),"")</f>
        <v/>
      </c>
      <c r="CJ314" s="145" t="str">
        <f t="shared" si="13"/>
        <v/>
      </c>
      <c r="CK314" s="234" t="str">
        <f>IFERROR((TOWER_DATA[[#This Row],[D, bottom '[m']]]+TOWER_DATA[[#This Row],[D, top '[m']]])/(2*TOWER_DATA[[#This Row],[t '[mm']]]/1000),"")</f>
        <v/>
      </c>
      <c r="DO314" s="209"/>
      <c r="DP314" s="209"/>
      <c r="DQ314" s="187"/>
      <c r="DT314" s="99"/>
      <c r="DU314" s="99"/>
    </row>
    <row r="315" spans="1:125" ht="18" customHeight="1">
      <c r="A315" s="271"/>
      <c r="D315" s="280"/>
      <c r="E315" s="52"/>
      <c r="K315" s="233" t="str">
        <f>IFERROR(MP_DATA[[#This Row],[Top '[m']]]-MP_DATA[[#This Row],[Bottom '[m']]], "")</f>
        <v/>
      </c>
      <c r="L315" s="217" t="str">
        <f>IFERROR(-(MP_DATA[[#This Row],[D, bottom '[m']]]-MP_DATA[[#This Row],[D, top '[m']]])/(MP_DATA[[#This Row],[Bottom '[m']]]-MP_DATA[[#This Row],[Top '[m']]]),"")</f>
        <v/>
      </c>
      <c r="M315" s="145" t="str">
        <f t="shared" si="14"/>
        <v/>
      </c>
      <c r="N315" s="234" t="str">
        <f>IFERROR((MP_DATA[[#This Row],[D, bottom '[m']]]+MP_DATA[[#This Row],[D, top '[m']]])/(2*MP_DATA[[#This Row],[t '[mm']]]/1000),"")</f>
        <v/>
      </c>
      <c r="Q315" s="209"/>
      <c r="R315" s="209"/>
      <c r="S315" s="187"/>
      <c r="AV315" s="233" t="str">
        <f>IFERROR(TP_DATA[[#This Row],[Top '[m']]]-TP_DATA[[#This Row],[Bottom '[m']]], "")</f>
        <v/>
      </c>
      <c r="AW315" s="208"/>
      <c r="AX315" s="209"/>
      <c r="AY315" s="240"/>
      <c r="BB315" s="99"/>
      <c r="BC315" s="99"/>
      <c r="BD315" s="187"/>
      <c r="CH315" s="233" t="str">
        <f>IFERROR(TOWER_DATA[[#This Row],[Top '[m']]]-TOWER_DATA[[#This Row],[Bottom '[m']]], "")</f>
        <v/>
      </c>
      <c r="CI315" s="217" t="str">
        <f>IFERROR(-(TOWER_DATA[[#This Row],[D, bottom '[m']]]-TOWER_DATA[[#This Row],[D, top '[m']]])/(TOWER_DATA[[#This Row],[Bottom '[m']]]-TOWER_DATA[[#This Row],[Top '[m']]]),"")</f>
        <v/>
      </c>
      <c r="CJ315" s="145" t="str">
        <f t="shared" si="13"/>
        <v/>
      </c>
      <c r="CK315" s="234" t="str">
        <f>IFERROR((TOWER_DATA[[#This Row],[D, bottom '[m']]]+TOWER_DATA[[#This Row],[D, top '[m']]])/(2*TOWER_DATA[[#This Row],[t '[mm']]]/1000),"")</f>
        <v/>
      </c>
      <c r="DO315" s="209"/>
      <c r="DP315" s="209"/>
      <c r="DQ315" s="187"/>
      <c r="DT315" s="99"/>
      <c r="DU315" s="99"/>
    </row>
    <row r="316" spans="1:125" ht="18" customHeight="1">
      <c r="A316" s="271"/>
      <c r="D316" s="280"/>
      <c r="E316" s="52"/>
      <c r="K316" s="233" t="str">
        <f>IFERROR(MP_DATA[[#This Row],[Top '[m']]]-MP_DATA[[#This Row],[Bottom '[m']]], "")</f>
        <v/>
      </c>
      <c r="L316" s="217" t="str">
        <f>IFERROR(-(MP_DATA[[#This Row],[D, bottom '[m']]]-MP_DATA[[#This Row],[D, top '[m']]])/(MP_DATA[[#This Row],[Bottom '[m']]]-MP_DATA[[#This Row],[Top '[m']]]),"")</f>
        <v/>
      </c>
      <c r="M316" s="145" t="str">
        <f t="shared" si="14"/>
        <v/>
      </c>
      <c r="N316" s="234" t="str">
        <f>IFERROR((MP_DATA[[#This Row],[D, bottom '[m']]]+MP_DATA[[#This Row],[D, top '[m']]])/(2*MP_DATA[[#This Row],[t '[mm']]]/1000),"")</f>
        <v/>
      </c>
      <c r="Q316" s="209"/>
      <c r="R316" s="209"/>
      <c r="S316" s="187"/>
      <c r="AV316" s="233" t="str">
        <f>IFERROR(TP_DATA[[#This Row],[Top '[m']]]-TP_DATA[[#This Row],[Bottom '[m']]], "")</f>
        <v/>
      </c>
      <c r="AW316" s="208"/>
      <c r="AX316" s="209"/>
      <c r="AY316" s="240"/>
      <c r="BB316" s="99"/>
      <c r="BC316" s="99"/>
      <c r="BD316" s="187"/>
      <c r="CH316" s="233" t="str">
        <f>IFERROR(TOWER_DATA[[#This Row],[Top '[m']]]-TOWER_DATA[[#This Row],[Bottom '[m']]], "")</f>
        <v/>
      </c>
      <c r="CI316" s="217" t="str">
        <f>IFERROR(-(TOWER_DATA[[#This Row],[D, bottom '[m']]]-TOWER_DATA[[#This Row],[D, top '[m']]])/(TOWER_DATA[[#This Row],[Bottom '[m']]]-TOWER_DATA[[#This Row],[Top '[m']]]),"")</f>
        <v/>
      </c>
      <c r="CJ316" s="145" t="str">
        <f t="shared" si="13"/>
        <v/>
      </c>
      <c r="CK316" s="234" t="str">
        <f>IFERROR((TOWER_DATA[[#This Row],[D, bottom '[m']]]+TOWER_DATA[[#This Row],[D, top '[m']]])/(2*TOWER_DATA[[#This Row],[t '[mm']]]/1000),"")</f>
        <v/>
      </c>
      <c r="DO316" s="209"/>
      <c r="DP316" s="209"/>
      <c r="DQ316" s="187"/>
      <c r="DT316" s="99"/>
      <c r="DU316" s="99"/>
    </row>
    <row r="317" spans="1:125" ht="18" customHeight="1">
      <c r="A317" s="271"/>
      <c r="D317" s="280"/>
      <c r="E317" s="52"/>
      <c r="K317" s="233" t="str">
        <f>IFERROR(MP_DATA[[#This Row],[Top '[m']]]-MP_DATA[[#This Row],[Bottom '[m']]], "")</f>
        <v/>
      </c>
      <c r="L317" s="217" t="str">
        <f>IFERROR(-(MP_DATA[[#This Row],[D, bottom '[m']]]-MP_DATA[[#This Row],[D, top '[m']]])/(MP_DATA[[#This Row],[Bottom '[m']]]-MP_DATA[[#This Row],[Top '[m']]]),"")</f>
        <v/>
      </c>
      <c r="M317" s="145" t="str">
        <f t="shared" si="14"/>
        <v/>
      </c>
      <c r="N317" s="234" t="str">
        <f>IFERROR((MP_DATA[[#This Row],[D, bottom '[m']]]+MP_DATA[[#This Row],[D, top '[m']]])/(2*MP_DATA[[#This Row],[t '[mm']]]/1000),"")</f>
        <v/>
      </c>
      <c r="Q317" s="209"/>
      <c r="R317" s="209"/>
      <c r="S317" s="187"/>
      <c r="AV317" s="233" t="str">
        <f>IFERROR(TP_DATA[[#This Row],[Top '[m']]]-TP_DATA[[#This Row],[Bottom '[m']]], "")</f>
        <v/>
      </c>
      <c r="AW317" s="208"/>
      <c r="AX317" s="209"/>
      <c r="AY317" s="240"/>
      <c r="BB317" s="99"/>
      <c r="BC317" s="99"/>
      <c r="BD317" s="187"/>
      <c r="CH317" s="233" t="str">
        <f>IFERROR(TOWER_DATA[[#This Row],[Top '[m']]]-TOWER_DATA[[#This Row],[Bottom '[m']]], "")</f>
        <v/>
      </c>
      <c r="CI317" s="217" t="str">
        <f>IFERROR(-(TOWER_DATA[[#This Row],[D, bottom '[m']]]-TOWER_DATA[[#This Row],[D, top '[m']]])/(TOWER_DATA[[#This Row],[Bottom '[m']]]-TOWER_DATA[[#This Row],[Top '[m']]]),"")</f>
        <v/>
      </c>
      <c r="CJ317" s="145" t="str">
        <f t="shared" si="13"/>
        <v/>
      </c>
      <c r="CK317" s="234" t="str">
        <f>IFERROR((TOWER_DATA[[#This Row],[D, bottom '[m']]]+TOWER_DATA[[#This Row],[D, top '[m']]])/(2*TOWER_DATA[[#This Row],[t '[mm']]]/1000),"")</f>
        <v/>
      </c>
      <c r="DO317" s="209"/>
      <c r="DP317" s="209"/>
      <c r="DQ317" s="187"/>
      <c r="DT317" s="99"/>
      <c r="DU317" s="99"/>
    </row>
    <row r="318" spans="1:125" ht="18" customHeight="1">
      <c r="A318" s="271"/>
      <c r="D318" s="280"/>
      <c r="E318" s="52"/>
      <c r="K318" s="233" t="str">
        <f>IFERROR(MP_DATA[[#This Row],[Top '[m']]]-MP_DATA[[#This Row],[Bottom '[m']]], "")</f>
        <v/>
      </c>
      <c r="L318" s="217" t="str">
        <f>IFERROR(-(MP_DATA[[#This Row],[D, bottom '[m']]]-MP_DATA[[#This Row],[D, top '[m']]])/(MP_DATA[[#This Row],[Bottom '[m']]]-MP_DATA[[#This Row],[Top '[m']]]),"")</f>
        <v/>
      </c>
      <c r="M318" s="145" t="str">
        <f t="shared" si="14"/>
        <v/>
      </c>
      <c r="N318" s="234" t="str">
        <f>IFERROR((MP_DATA[[#This Row],[D, bottom '[m']]]+MP_DATA[[#This Row],[D, top '[m']]])/(2*MP_DATA[[#This Row],[t '[mm']]]/1000),"")</f>
        <v/>
      </c>
      <c r="Q318" s="209"/>
      <c r="R318" s="209"/>
      <c r="S318" s="187"/>
      <c r="AV318" s="233" t="str">
        <f>IFERROR(TP_DATA[[#This Row],[Top '[m']]]-TP_DATA[[#This Row],[Bottom '[m']]], "")</f>
        <v/>
      </c>
      <c r="AW318" s="208"/>
      <c r="AX318" s="209"/>
      <c r="AY318" s="240"/>
      <c r="BB318" s="99"/>
      <c r="BC318" s="99"/>
      <c r="BD318" s="187"/>
      <c r="CH318" s="233" t="str">
        <f>IFERROR(TOWER_DATA[[#This Row],[Top '[m']]]-TOWER_DATA[[#This Row],[Bottom '[m']]], "")</f>
        <v/>
      </c>
      <c r="CI318" s="217" t="str">
        <f>IFERROR(-(TOWER_DATA[[#This Row],[D, bottom '[m']]]-TOWER_DATA[[#This Row],[D, top '[m']]])/(TOWER_DATA[[#This Row],[Bottom '[m']]]-TOWER_DATA[[#This Row],[Top '[m']]]),"")</f>
        <v/>
      </c>
      <c r="CJ318" s="145" t="str">
        <f t="shared" si="13"/>
        <v/>
      </c>
      <c r="CK318" s="234" t="str">
        <f>IFERROR((TOWER_DATA[[#This Row],[D, bottom '[m']]]+TOWER_DATA[[#This Row],[D, top '[m']]])/(2*TOWER_DATA[[#This Row],[t '[mm']]]/1000),"")</f>
        <v/>
      </c>
      <c r="DO318" s="209"/>
      <c r="DP318" s="209"/>
      <c r="DQ318" s="187"/>
      <c r="DT318" s="99"/>
      <c r="DU318" s="99"/>
    </row>
    <row r="319" spans="1:125" ht="18" customHeight="1">
      <c r="A319" s="271"/>
      <c r="D319" s="280"/>
      <c r="E319" s="52"/>
      <c r="K319" s="233" t="str">
        <f>IFERROR(MP_DATA[[#This Row],[Top '[m']]]-MP_DATA[[#This Row],[Bottom '[m']]], "")</f>
        <v/>
      </c>
      <c r="L319" s="217" t="str">
        <f>IFERROR(-(MP_DATA[[#This Row],[D, bottom '[m']]]-MP_DATA[[#This Row],[D, top '[m']]])/(MP_DATA[[#This Row],[Bottom '[m']]]-MP_DATA[[#This Row],[Top '[m']]]),"")</f>
        <v/>
      </c>
      <c r="M319" s="145" t="str">
        <f t="shared" si="14"/>
        <v/>
      </c>
      <c r="N319" s="234" t="str">
        <f>IFERROR((MP_DATA[[#This Row],[D, bottom '[m']]]+MP_DATA[[#This Row],[D, top '[m']]])/(2*MP_DATA[[#This Row],[t '[mm']]]/1000),"")</f>
        <v/>
      </c>
      <c r="Q319" s="209"/>
      <c r="R319" s="209"/>
      <c r="S319" s="187"/>
      <c r="AV319" s="233" t="str">
        <f>IFERROR(TP_DATA[[#This Row],[Top '[m']]]-TP_DATA[[#This Row],[Bottom '[m']]], "")</f>
        <v/>
      </c>
      <c r="AW319" s="208"/>
      <c r="AX319" s="209"/>
      <c r="AY319" s="240"/>
      <c r="BB319" s="99"/>
      <c r="BC319" s="99"/>
      <c r="BD319" s="187"/>
      <c r="CH319" s="233" t="str">
        <f>IFERROR(TOWER_DATA[[#This Row],[Top '[m']]]-TOWER_DATA[[#This Row],[Bottom '[m']]], "")</f>
        <v/>
      </c>
      <c r="CI319" s="217" t="str">
        <f>IFERROR(-(TOWER_DATA[[#This Row],[D, bottom '[m']]]-TOWER_DATA[[#This Row],[D, top '[m']]])/(TOWER_DATA[[#This Row],[Bottom '[m']]]-TOWER_DATA[[#This Row],[Top '[m']]]),"")</f>
        <v/>
      </c>
      <c r="CJ319" s="145" t="str">
        <f t="shared" si="13"/>
        <v/>
      </c>
      <c r="CK319" s="234" t="str">
        <f>IFERROR((TOWER_DATA[[#This Row],[D, bottom '[m']]]+TOWER_DATA[[#This Row],[D, top '[m']]])/(2*TOWER_DATA[[#This Row],[t '[mm']]]/1000),"")</f>
        <v/>
      </c>
      <c r="DO319" s="209"/>
      <c r="DP319" s="209"/>
      <c r="DQ319" s="187"/>
      <c r="DT319" s="99"/>
      <c r="DU319" s="99"/>
    </row>
    <row r="320" spans="1:125" ht="18" customHeight="1">
      <c r="A320" s="271"/>
      <c r="D320" s="280"/>
      <c r="E320" s="52"/>
      <c r="K320" s="233" t="str">
        <f>IFERROR(MP_DATA[[#This Row],[Top '[m']]]-MP_DATA[[#This Row],[Bottom '[m']]], "")</f>
        <v/>
      </c>
      <c r="L320" s="217" t="str">
        <f>IFERROR(-(MP_DATA[[#This Row],[D, bottom '[m']]]-MP_DATA[[#This Row],[D, top '[m']]])/(MP_DATA[[#This Row],[Bottom '[m']]]-MP_DATA[[#This Row],[Top '[m']]]),"")</f>
        <v/>
      </c>
      <c r="M320" s="145" t="str">
        <f t="shared" si="14"/>
        <v/>
      </c>
      <c r="N320" s="234" t="str">
        <f>IFERROR((MP_DATA[[#This Row],[D, bottom '[m']]]+MP_DATA[[#This Row],[D, top '[m']]])/(2*MP_DATA[[#This Row],[t '[mm']]]/1000),"")</f>
        <v/>
      </c>
      <c r="Q320" s="209"/>
      <c r="R320" s="209"/>
      <c r="S320" s="187"/>
      <c r="AV320" s="233" t="str">
        <f>IFERROR(TP_DATA[[#This Row],[Top '[m']]]-TP_DATA[[#This Row],[Bottom '[m']]], "")</f>
        <v/>
      </c>
      <c r="AW320" s="208"/>
      <c r="AX320" s="209"/>
      <c r="AY320" s="240"/>
      <c r="BB320" s="99"/>
      <c r="BC320" s="99"/>
      <c r="BD320" s="187"/>
      <c r="CH320" s="233" t="str">
        <f>IFERROR(TOWER_DATA[[#This Row],[Top '[m']]]-TOWER_DATA[[#This Row],[Bottom '[m']]], "")</f>
        <v/>
      </c>
      <c r="CI320" s="217" t="str">
        <f>IFERROR(-(TOWER_DATA[[#This Row],[D, bottom '[m']]]-TOWER_DATA[[#This Row],[D, top '[m']]])/(TOWER_DATA[[#This Row],[Bottom '[m']]]-TOWER_DATA[[#This Row],[Top '[m']]]),"")</f>
        <v/>
      </c>
      <c r="CJ320" s="145" t="str">
        <f t="shared" si="13"/>
        <v/>
      </c>
      <c r="CK320" s="234" t="str">
        <f>IFERROR((TOWER_DATA[[#This Row],[D, bottom '[m']]]+TOWER_DATA[[#This Row],[D, top '[m']]])/(2*TOWER_DATA[[#This Row],[t '[mm']]]/1000),"")</f>
        <v/>
      </c>
      <c r="DO320" s="209"/>
      <c r="DP320" s="209"/>
      <c r="DQ320" s="187"/>
      <c r="DT320" s="99"/>
      <c r="DU320" s="99"/>
    </row>
    <row r="321" spans="1:125" ht="18" customHeight="1">
      <c r="A321" s="271"/>
      <c r="D321" s="280"/>
      <c r="E321" s="52"/>
      <c r="K321" s="233" t="str">
        <f>IFERROR(MP_DATA[[#This Row],[Top '[m']]]-MP_DATA[[#This Row],[Bottom '[m']]], "")</f>
        <v/>
      </c>
      <c r="L321" s="217" t="str">
        <f>IFERROR(-(MP_DATA[[#This Row],[D, bottom '[m']]]-MP_DATA[[#This Row],[D, top '[m']]])/(MP_DATA[[#This Row],[Bottom '[m']]]-MP_DATA[[#This Row],[Top '[m']]]),"")</f>
        <v/>
      </c>
      <c r="M321" s="145" t="str">
        <f t="shared" si="14"/>
        <v/>
      </c>
      <c r="N321" s="234" t="str">
        <f>IFERROR((MP_DATA[[#This Row],[D, bottom '[m']]]+MP_DATA[[#This Row],[D, top '[m']]])/(2*MP_DATA[[#This Row],[t '[mm']]]/1000),"")</f>
        <v/>
      </c>
      <c r="Q321" s="209"/>
      <c r="R321" s="209"/>
      <c r="S321" s="187"/>
      <c r="AV321" s="233" t="str">
        <f>IFERROR(TP_DATA[[#This Row],[Top '[m']]]-TP_DATA[[#This Row],[Bottom '[m']]], "")</f>
        <v/>
      </c>
      <c r="AW321" s="208"/>
      <c r="AX321" s="209"/>
      <c r="AY321" s="240"/>
      <c r="BB321" s="99"/>
      <c r="BC321" s="99"/>
      <c r="BD321" s="187"/>
      <c r="CH321" s="233" t="str">
        <f>IFERROR(TOWER_DATA[[#This Row],[Top '[m']]]-TOWER_DATA[[#This Row],[Bottom '[m']]], "")</f>
        <v/>
      </c>
      <c r="CI321" s="217" t="str">
        <f>IFERROR(-(TOWER_DATA[[#This Row],[D, bottom '[m']]]-TOWER_DATA[[#This Row],[D, top '[m']]])/(TOWER_DATA[[#This Row],[Bottom '[m']]]-TOWER_DATA[[#This Row],[Top '[m']]]),"")</f>
        <v/>
      </c>
      <c r="CJ321" s="145" t="str">
        <f t="shared" si="13"/>
        <v/>
      </c>
      <c r="CK321" s="234" t="str">
        <f>IFERROR((TOWER_DATA[[#This Row],[D, bottom '[m']]]+TOWER_DATA[[#This Row],[D, top '[m']]])/(2*TOWER_DATA[[#This Row],[t '[mm']]]/1000),"")</f>
        <v/>
      </c>
      <c r="DO321" s="209"/>
      <c r="DP321" s="209"/>
      <c r="DQ321" s="187"/>
      <c r="DT321" s="99"/>
      <c r="DU321" s="99"/>
    </row>
    <row r="322" spans="1:125" ht="18" customHeight="1">
      <c r="A322" s="271"/>
      <c r="D322" s="280"/>
      <c r="E322" s="52"/>
      <c r="K322" s="233" t="str">
        <f>IFERROR(MP_DATA[[#This Row],[Top '[m']]]-MP_DATA[[#This Row],[Bottom '[m']]], "")</f>
        <v/>
      </c>
      <c r="L322" s="217" t="str">
        <f>IFERROR(-(MP_DATA[[#This Row],[D, bottom '[m']]]-MP_DATA[[#This Row],[D, top '[m']]])/(MP_DATA[[#This Row],[Bottom '[m']]]-MP_DATA[[#This Row],[Top '[m']]]),"")</f>
        <v/>
      </c>
      <c r="M322" s="145" t="str">
        <f t="shared" si="14"/>
        <v/>
      </c>
      <c r="N322" s="234" t="str">
        <f>IFERROR((MP_DATA[[#This Row],[D, bottom '[m']]]+MP_DATA[[#This Row],[D, top '[m']]])/(2*MP_DATA[[#This Row],[t '[mm']]]/1000),"")</f>
        <v/>
      </c>
      <c r="Q322" s="209"/>
      <c r="R322" s="209"/>
      <c r="S322" s="187"/>
      <c r="AV322" s="233" t="str">
        <f>IFERROR(TP_DATA[[#This Row],[Top '[m']]]-TP_DATA[[#This Row],[Bottom '[m']]], "")</f>
        <v/>
      </c>
      <c r="AW322" s="208"/>
      <c r="AX322" s="209"/>
      <c r="AY322" s="240"/>
      <c r="BB322" s="99"/>
      <c r="BC322" s="99"/>
      <c r="BD322" s="187"/>
      <c r="CH322" s="233" t="str">
        <f>IFERROR(TOWER_DATA[[#This Row],[Top '[m']]]-TOWER_DATA[[#This Row],[Bottom '[m']]], "")</f>
        <v/>
      </c>
      <c r="CI322" s="217" t="str">
        <f>IFERROR(-(TOWER_DATA[[#This Row],[D, bottom '[m']]]-TOWER_DATA[[#This Row],[D, top '[m']]])/(TOWER_DATA[[#This Row],[Bottom '[m']]]-TOWER_DATA[[#This Row],[Top '[m']]]),"")</f>
        <v/>
      </c>
      <c r="CJ322" s="145" t="str">
        <f t="shared" si="13"/>
        <v/>
      </c>
      <c r="CK322" s="234" t="str">
        <f>IFERROR((TOWER_DATA[[#This Row],[D, bottom '[m']]]+TOWER_DATA[[#This Row],[D, top '[m']]])/(2*TOWER_DATA[[#This Row],[t '[mm']]]/1000),"")</f>
        <v/>
      </c>
      <c r="DO322" s="209"/>
      <c r="DP322" s="209"/>
      <c r="DQ322" s="187"/>
      <c r="DT322" s="99"/>
      <c r="DU322" s="99"/>
    </row>
    <row r="323" spans="1:125" ht="18" customHeight="1">
      <c r="A323" s="271"/>
      <c r="D323" s="280"/>
      <c r="E323" s="52"/>
      <c r="K323" s="233" t="str">
        <f>IFERROR(MP_DATA[[#This Row],[Top '[m']]]-MP_DATA[[#This Row],[Bottom '[m']]], "")</f>
        <v/>
      </c>
      <c r="L323" s="217" t="str">
        <f>IFERROR(-(MP_DATA[[#This Row],[D, bottom '[m']]]-MP_DATA[[#This Row],[D, top '[m']]])/(MP_DATA[[#This Row],[Bottom '[m']]]-MP_DATA[[#This Row],[Top '[m']]]),"")</f>
        <v/>
      </c>
      <c r="M323" s="145" t="str">
        <f t="shared" si="14"/>
        <v/>
      </c>
      <c r="N323" s="234" t="str">
        <f>IFERROR((MP_DATA[[#This Row],[D, bottom '[m']]]+MP_DATA[[#This Row],[D, top '[m']]])/(2*MP_DATA[[#This Row],[t '[mm']]]/1000),"")</f>
        <v/>
      </c>
      <c r="Q323" s="209"/>
      <c r="R323" s="209"/>
      <c r="S323" s="187"/>
      <c r="AV323" s="233" t="str">
        <f>IFERROR(TP_DATA[[#This Row],[Top '[m']]]-TP_DATA[[#This Row],[Bottom '[m']]], "")</f>
        <v/>
      </c>
      <c r="AW323" s="208"/>
      <c r="AX323" s="209"/>
      <c r="AY323" s="240"/>
      <c r="BB323" s="99"/>
      <c r="BC323" s="99"/>
      <c r="BD323" s="187"/>
      <c r="CH323" s="233" t="str">
        <f>IFERROR(TOWER_DATA[[#This Row],[Top '[m']]]-TOWER_DATA[[#This Row],[Bottom '[m']]], "")</f>
        <v/>
      </c>
      <c r="CI323" s="217" t="str">
        <f>IFERROR(-(TOWER_DATA[[#This Row],[D, bottom '[m']]]-TOWER_DATA[[#This Row],[D, top '[m']]])/(TOWER_DATA[[#This Row],[Bottom '[m']]]-TOWER_DATA[[#This Row],[Top '[m']]]),"")</f>
        <v/>
      </c>
      <c r="CJ323" s="145" t="str">
        <f t="shared" si="13"/>
        <v/>
      </c>
      <c r="CK323" s="234" t="str">
        <f>IFERROR((TOWER_DATA[[#This Row],[D, bottom '[m']]]+TOWER_DATA[[#This Row],[D, top '[m']]])/(2*TOWER_DATA[[#This Row],[t '[mm']]]/1000),"")</f>
        <v/>
      </c>
      <c r="DO323" s="209"/>
      <c r="DP323" s="209"/>
      <c r="DQ323" s="187"/>
      <c r="DT323" s="99"/>
      <c r="DU323" s="99"/>
    </row>
    <row r="324" spans="1:125" ht="18" customHeight="1">
      <c r="A324" s="271"/>
      <c r="D324" s="280"/>
      <c r="E324" s="52"/>
      <c r="K324" s="233" t="str">
        <f>IFERROR(MP_DATA[[#This Row],[Top '[m']]]-MP_DATA[[#This Row],[Bottom '[m']]], "")</f>
        <v/>
      </c>
      <c r="L324" s="217" t="str">
        <f>IFERROR(-(MP_DATA[[#This Row],[D, bottom '[m']]]-MP_DATA[[#This Row],[D, top '[m']]])/(MP_DATA[[#This Row],[Bottom '[m']]]-MP_DATA[[#This Row],[Top '[m']]]),"")</f>
        <v/>
      </c>
      <c r="M324" s="145" t="str">
        <f t="shared" si="14"/>
        <v/>
      </c>
      <c r="N324" s="234" t="str">
        <f>IFERROR((MP_DATA[[#This Row],[D, bottom '[m']]]+MP_DATA[[#This Row],[D, top '[m']]])/(2*MP_DATA[[#This Row],[t '[mm']]]/1000),"")</f>
        <v/>
      </c>
      <c r="Q324" s="209"/>
      <c r="R324" s="209"/>
      <c r="S324" s="187"/>
      <c r="AV324" s="233" t="str">
        <f>IFERROR(TP_DATA[[#This Row],[Top '[m']]]-TP_DATA[[#This Row],[Bottom '[m']]], "")</f>
        <v/>
      </c>
      <c r="AW324" s="208"/>
      <c r="AX324" s="209"/>
      <c r="AY324" s="240"/>
      <c r="BB324" s="99"/>
      <c r="BC324" s="99"/>
      <c r="BD324" s="187"/>
      <c r="CH324" s="233" t="str">
        <f>IFERROR(TOWER_DATA[[#This Row],[Top '[m']]]-TOWER_DATA[[#This Row],[Bottom '[m']]], "")</f>
        <v/>
      </c>
      <c r="CI324" s="217" t="str">
        <f>IFERROR(-(TOWER_DATA[[#This Row],[D, bottom '[m']]]-TOWER_DATA[[#This Row],[D, top '[m']]])/(TOWER_DATA[[#This Row],[Bottom '[m']]]-TOWER_DATA[[#This Row],[Top '[m']]]),"")</f>
        <v/>
      </c>
      <c r="CJ324" s="145" t="str">
        <f t="shared" si="13"/>
        <v/>
      </c>
      <c r="CK324" s="234" t="str">
        <f>IFERROR((TOWER_DATA[[#This Row],[D, bottom '[m']]]+TOWER_DATA[[#This Row],[D, top '[m']]])/(2*TOWER_DATA[[#This Row],[t '[mm']]]/1000),"")</f>
        <v/>
      </c>
      <c r="DO324" s="209"/>
      <c r="DP324" s="209"/>
      <c r="DQ324" s="187"/>
      <c r="DT324" s="99"/>
      <c r="DU324" s="99"/>
    </row>
    <row r="325" spans="1:125" ht="18" customHeight="1">
      <c r="A325" s="271"/>
      <c r="D325" s="280"/>
      <c r="E325" s="52"/>
      <c r="K325" s="233" t="str">
        <f>IFERROR(MP_DATA[[#This Row],[Top '[m']]]-MP_DATA[[#This Row],[Bottom '[m']]], "")</f>
        <v/>
      </c>
      <c r="L325" s="217" t="str">
        <f>IFERROR(-(MP_DATA[[#This Row],[D, bottom '[m']]]-MP_DATA[[#This Row],[D, top '[m']]])/(MP_DATA[[#This Row],[Bottom '[m']]]-MP_DATA[[#This Row],[Top '[m']]]),"")</f>
        <v/>
      </c>
      <c r="M325" s="145" t="str">
        <f t="shared" si="14"/>
        <v/>
      </c>
      <c r="N325" s="234" t="str">
        <f>IFERROR((MP_DATA[[#This Row],[D, bottom '[m']]]+MP_DATA[[#This Row],[D, top '[m']]])/(2*MP_DATA[[#This Row],[t '[mm']]]/1000),"")</f>
        <v/>
      </c>
      <c r="Q325" s="209"/>
      <c r="R325" s="209"/>
      <c r="S325" s="187"/>
      <c r="AV325" s="233" t="str">
        <f>IFERROR(TP_DATA[[#This Row],[Top '[m']]]-TP_DATA[[#This Row],[Bottom '[m']]], "")</f>
        <v/>
      </c>
      <c r="AW325" s="208"/>
      <c r="AX325" s="209"/>
      <c r="AY325" s="240"/>
      <c r="BB325" s="99"/>
      <c r="BC325" s="99"/>
      <c r="BD325" s="187"/>
      <c r="CH325" s="233" t="str">
        <f>IFERROR(TOWER_DATA[[#This Row],[Top '[m']]]-TOWER_DATA[[#This Row],[Bottom '[m']]], "")</f>
        <v/>
      </c>
      <c r="CI325" s="217" t="str">
        <f>IFERROR(-(TOWER_DATA[[#This Row],[D, bottom '[m']]]-TOWER_DATA[[#This Row],[D, top '[m']]])/(TOWER_DATA[[#This Row],[Bottom '[m']]]-TOWER_DATA[[#This Row],[Top '[m']]]),"")</f>
        <v/>
      </c>
      <c r="CJ325" s="145" t="str">
        <f t="shared" si="13"/>
        <v/>
      </c>
      <c r="CK325" s="234" t="str">
        <f>IFERROR((TOWER_DATA[[#This Row],[D, bottom '[m']]]+TOWER_DATA[[#This Row],[D, top '[m']]])/(2*TOWER_DATA[[#This Row],[t '[mm']]]/1000),"")</f>
        <v/>
      </c>
      <c r="DO325" s="209"/>
      <c r="DP325" s="209"/>
      <c r="DQ325" s="187"/>
      <c r="DT325" s="99"/>
      <c r="DU325" s="99"/>
    </row>
    <row r="326" spans="1:125" ht="18" customHeight="1">
      <c r="A326" s="271"/>
      <c r="D326" s="280"/>
      <c r="E326" s="52"/>
      <c r="K326" s="233" t="str">
        <f>IFERROR(MP_DATA[[#This Row],[Top '[m']]]-MP_DATA[[#This Row],[Bottom '[m']]], "")</f>
        <v/>
      </c>
      <c r="L326" s="217" t="str">
        <f>IFERROR(-(MP_DATA[[#This Row],[D, bottom '[m']]]-MP_DATA[[#This Row],[D, top '[m']]])/(MP_DATA[[#This Row],[Bottom '[m']]]-MP_DATA[[#This Row],[Top '[m']]]),"")</f>
        <v/>
      </c>
      <c r="M326" s="145" t="str">
        <f t="shared" si="14"/>
        <v/>
      </c>
      <c r="N326" s="234" t="str">
        <f>IFERROR((MP_DATA[[#This Row],[D, bottom '[m']]]+MP_DATA[[#This Row],[D, top '[m']]])/(2*MP_DATA[[#This Row],[t '[mm']]]/1000),"")</f>
        <v/>
      </c>
      <c r="Q326" s="209"/>
      <c r="R326" s="209"/>
      <c r="S326" s="187"/>
      <c r="AV326" s="233" t="str">
        <f>IFERROR(TP_DATA[[#This Row],[Top '[m']]]-TP_DATA[[#This Row],[Bottom '[m']]], "")</f>
        <v/>
      </c>
      <c r="AW326" s="208"/>
      <c r="AX326" s="209"/>
      <c r="AY326" s="240"/>
      <c r="BB326" s="99"/>
      <c r="BC326" s="99"/>
      <c r="BD326" s="187"/>
      <c r="CH326" s="233" t="str">
        <f>IFERROR(TOWER_DATA[[#This Row],[Top '[m']]]-TOWER_DATA[[#This Row],[Bottom '[m']]], "")</f>
        <v/>
      </c>
      <c r="CI326" s="217" t="str">
        <f>IFERROR(-(TOWER_DATA[[#This Row],[D, bottom '[m']]]-TOWER_DATA[[#This Row],[D, top '[m']]])/(TOWER_DATA[[#This Row],[Bottom '[m']]]-TOWER_DATA[[#This Row],[Top '[m']]]),"")</f>
        <v/>
      </c>
      <c r="CJ326" s="145" t="str">
        <f t="shared" si="13"/>
        <v/>
      </c>
      <c r="CK326" s="234" t="str">
        <f>IFERROR((TOWER_DATA[[#This Row],[D, bottom '[m']]]+TOWER_DATA[[#This Row],[D, top '[m']]])/(2*TOWER_DATA[[#This Row],[t '[mm']]]/1000),"")</f>
        <v/>
      </c>
      <c r="DO326" s="209"/>
      <c r="DP326" s="209"/>
      <c r="DQ326" s="187"/>
      <c r="DT326" s="99"/>
      <c r="DU326" s="99"/>
    </row>
    <row r="327" spans="1:125" ht="18" customHeight="1">
      <c r="A327" s="271"/>
      <c r="D327" s="280"/>
      <c r="E327" s="52"/>
      <c r="K327" s="233" t="str">
        <f>IFERROR(MP_DATA[[#This Row],[Top '[m']]]-MP_DATA[[#This Row],[Bottom '[m']]], "")</f>
        <v/>
      </c>
      <c r="L327" s="217" t="str">
        <f>IFERROR(-(MP_DATA[[#This Row],[D, bottom '[m']]]-MP_DATA[[#This Row],[D, top '[m']]])/(MP_DATA[[#This Row],[Bottom '[m']]]-MP_DATA[[#This Row],[Top '[m']]]),"")</f>
        <v/>
      </c>
      <c r="M327" s="145" t="str">
        <f t="shared" si="14"/>
        <v/>
      </c>
      <c r="N327" s="234" t="str">
        <f>IFERROR((MP_DATA[[#This Row],[D, bottom '[m']]]+MP_DATA[[#This Row],[D, top '[m']]])/(2*MP_DATA[[#This Row],[t '[mm']]]/1000),"")</f>
        <v/>
      </c>
      <c r="Q327" s="209"/>
      <c r="R327" s="209"/>
      <c r="S327" s="187"/>
      <c r="AV327" s="233" t="str">
        <f>IFERROR(TP_DATA[[#This Row],[Top '[m']]]-TP_DATA[[#This Row],[Bottom '[m']]], "")</f>
        <v/>
      </c>
      <c r="AW327" s="208"/>
      <c r="AX327" s="209"/>
      <c r="AY327" s="240"/>
      <c r="BB327" s="99"/>
      <c r="BC327" s="99"/>
      <c r="BD327" s="187"/>
      <c r="CH327" s="233" t="str">
        <f>IFERROR(TOWER_DATA[[#This Row],[Top '[m']]]-TOWER_DATA[[#This Row],[Bottom '[m']]], "")</f>
        <v/>
      </c>
      <c r="CI327" s="217" t="str">
        <f>IFERROR(-(TOWER_DATA[[#This Row],[D, bottom '[m']]]-TOWER_DATA[[#This Row],[D, top '[m']]])/(TOWER_DATA[[#This Row],[Bottom '[m']]]-TOWER_DATA[[#This Row],[Top '[m']]]),"")</f>
        <v/>
      </c>
      <c r="CJ327" s="145" t="str">
        <f t="shared" si="13"/>
        <v/>
      </c>
      <c r="CK327" s="234" t="str">
        <f>IFERROR((TOWER_DATA[[#This Row],[D, bottom '[m']]]+TOWER_DATA[[#This Row],[D, top '[m']]])/(2*TOWER_DATA[[#This Row],[t '[mm']]]/1000),"")</f>
        <v/>
      </c>
      <c r="DO327" s="209"/>
      <c r="DP327" s="209"/>
      <c r="DQ327" s="187"/>
      <c r="DT327" s="99"/>
      <c r="DU327" s="99"/>
    </row>
    <row r="328" spans="1:125" ht="18" customHeight="1">
      <c r="A328" s="271"/>
      <c r="D328" s="280"/>
      <c r="E328" s="52"/>
      <c r="K328" s="233" t="str">
        <f>IFERROR(MP_DATA[[#This Row],[Top '[m']]]-MP_DATA[[#This Row],[Bottom '[m']]], "")</f>
        <v/>
      </c>
      <c r="L328" s="217" t="str">
        <f>IFERROR(-(MP_DATA[[#This Row],[D, bottom '[m']]]-MP_DATA[[#This Row],[D, top '[m']]])/(MP_DATA[[#This Row],[Bottom '[m']]]-MP_DATA[[#This Row],[Top '[m']]]),"")</f>
        <v/>
      </c>
      <c r="M328" s="145" t="str">
        <f t="shared" si="14"/>
        <v/>
      </c>
      <c r="N328" s="234" t="str">
        <f>IFERROR((MP_DATA[[#This Row],[D, bottom '[m']]]+MP_DATA[[#This Row],[D, top '[m']]])/(2*MP_DATA[[#This Row],[t '[mm']]]/1000),"")</f>
        <v/>
      </c>
      <c r="Q328" s="209"/>
      <c r="R328" s="209"/>
      <c r="S328" s="187"/>
      <c r="AV328" s="233" t="str">
        <f>IFERROR(TP_DATA[[#This Row],[Top '[m']]]-TP_DATA[[#This Row],[Bottom '[m']]], "")</f>
        <v/>
      </c>
      <c r="AW328" s="208"/>
      <c r="AX328" s="209"/>
      <c r="AY328" s="240"/>
      <c r="BB328" s="99"/>
      <c r="BC328" s="99"/>
      <c r="BD328" s="187"/>
      <c r="CH328" s="233" t="str">
        <f>IFERROR(TOWER_DATA[[#This Row],[Top '[m']]]-TOWER_DATA[[#This Row],[Bottom '[m']]], "")</f>
        <v/>
      </c>
      <c r="CI328" s="217" t="str">
        <f>IFERROR(-(TOWER_DATA[[#This Row],[D, bottom '[m']]]-TOWER_DATA[[#This Row],[D, top '[m']]])/(TOWER_DATA[[#This Row],[Bottom '[m']]]-TOWER_DATA[[#This Row],[Top '[m']]]),"")</f>
        <v/>
      </c>
      <c r="CJ328" s="145" t="str">
        <f t="shared" si="13"/>
        <v/>
      </c>
      <c r="CK328" s="234" t="str">
        <f>IFERROR((TOWER_DATA[[#This Row],[D, bottom '[m']]]+TOWER_DATA[[#This Row],[D, top '[m']]])/(2*TOWER_DATA[[#This Row],[t '[mm']]]/1000),"")</f>
        <v/>
      </c>
      <c r="DO328" s="209"/>
      <c r="DP328" s="209"/>
      <c r="DQ328" s="187"/>
      <c r="DT328" s="99"/>
      <c r="DU328" s="99"/>
    </row>
    <row r="329" spans="1:125" ht="18" customHeight="1">
      <c r="A329" s="271"/>
      <c r="D329" s="280"/>
      <c r="E329" s="52"/>
      <c r="K329" s="233" t="str">
        <f>IFERROR(MP_DATA[[#This Row],[Top '[m']]]-MP_DATA[[#This Row],[Bottom '[m']]], "")</f>
        <v/>
      </c>
      <c r="L329" s="217" t="str">
        <f>IFERROR(-(MP_DATA[[#This Row],[D, bottom '[m']]]-MP_DATA[[#This Row],[D, top '[m']]])/(MP_DATA[[#This Row],[Bottom '[m']]]-MP_DATA[[#This Row],[Top '[m']]]),"")</f>
        <v/>
      </c>
      <c r="M329" s="145" t="str">
        <f t="shared" si="14"/>
        <v/>
      </c>
      <c r="N329" s="234" t="str">
        <f>IFERROR((MP_DATA[[#This Row],[D, bottom '[m']]]+MP_DATA[[#This Row],[D, top '[m']]])/(2*MP_DATA[[#This Row],[t '[mm']]]/1000),"")</f>
        <v/>
      </c>
      <c r="Q329" s="209"/>
      <c r="R329" s="209"/>
      <c r="S329" s="187"/>
      <c r="AV329" s="233" t="str">
        <f>IFERROR(TP_DATA[[#This Row],[Top '[m']]]-TP_DATA[[#This Row],[Bottom '[m']]], "")</f>
        <v/>
      </c>
      <c r="AW329" s="208"/>
      <c r="AX329" s="209"/>
      <c r="AY329" s="240"/>
      <c r="BB329" s="99"/>
      <c r="BC329" s="99"/>
      <c r="BD329" s="187"/>
      <c r="CH329" s="233" t="str">
        <f>IFERROR(TOWER_DATA[[#This Row],[Top '[m']]]-TOWER_DATA[[#This Row],[Bottom '[m']]], "")</f>
        <v/>
      </c>
      <c r="CI329" s="217" t="str">
        <f>IFERROR(-(TOWER_DATA[[#This Row],[D, bottom '[m']]]-TOWER_DATA[[#This Row],[D, top '[m']]])/(TOWER_DATA[[#This Row],[Bottom '[m']]]-TOWER_DATA[[#This Row],[Top '[m']]]),"")</f>
        <v/>
      </c>
      <c r="CJ329" s="145" t="str">
        <f t="shared" si="13"/>
        <v/>
      </c>
      <c r="CK329" s="234" t="str">
        <f>IFERROR((TOWER_DATA[[#This Row],[D, bottom '[m']]]+TOWER_DATA[[#This Row],[D, top '[m']]])/(2*TOWER_DATA[[#This Row],[t '[mm']]]/1000),"")</f>
        <v/>
      </c>
      <c r="DO329" s="209"/>
      <c r="DP329" s="209"/>
      <c r="DQ329" s="187"/>
      <c r="DT329" s="99"/>
      <c r="DU329" s="99"/>
    </row>
    <row r="330" spans="1:125" ht="18" customHeight="1">
      <c r="A330" s="271"/>
      <c r="D330" s="280"/>
      <c r="E330" s="52"/>
      <c r="K330" s="233" t="str">
        <f>IFERROR(MP_DATA[[#This Row],[Top '[m']]]-MP_DATA[[#This Row],[Bottom '[m']]], "")</f>
        <v/>
      </c>
      <c r="L330" s="217" t="str">
        <f>IFERROR(-(MP_DATA[[#This Row],[D, bottom '[m']]]-MP_DATA[[#This Row],[D, top '[m']]])/(MP_DATA[[#This Row],[Bottom '[m']]]-MP_DATA[[#This Row],[Top '[m']]]),"")</f>
        <v/>
      </c>
      <c r="M330" s="145" t="str">
        <f t="shared" si="14"/>
        <v/>
      </c>
      <c r="N330" s="234" t="str">
        <f>IFERROR((MP_DATA[[#This Row],[D, bottom '[m']]]+MP_DATA[[#This Row],[D, top '[m']]])/(2*MP_DATA[[#This Row],[t '[mm']]]/1000),"")</f>
        <v/>
      </c>
      <c r="Q330" s="209"/>
      <c r="R330" s="209"/>
      <c r="S330" s="187"/>
      <c r="AV330" s="233" t="str">
        <f>IFERROR(TP_DATA[[#This Row],[Top '[m']]]-TP_DATA[[#This Row],[Bottom '[m']]], "")</f>
        <v/>
      </c>
      <c r="AW330" s="208"/>
      <c r="AX330" s="209"/>
      <c r="AY330" s="240"/>
      <c r="BB330" s="99"/>
      <c r="BC330" s="99"/>
      <c r="BD330" s="187"/>
      <c r="CH330" s="233" t="str">
        <f>IFERROR(TOWER_DATA[[#This Row],[Top '[m']]]-TOWER_DATA[[#This Row],[Bottom '[m']]], "")</f>
        <v/>
      </c>
      <c r="CI330" s="217" t="str">
        <f>IFERROR(-(TOWER_DATA[[#This Row],[D, bottom '[m']]]-TOWER_DATA[[#This Row],[D, top '[m']]])/(TOWER_DATA[[#This Row],[Bottom '[m']]]-TOWER_DATA[[#This Row],[Top '[m']]]),"")</f>
        <v/>
      </c>
      <c r="CJ330" s="145" t="str">
        <f t="shared" si="13"/>
        <v/>
      </c>
      <c r="CK330" s="234" t="str">
        <f>IFERROR((TOWER_DATA[[#This Row],[D, bottom '[m']]]+TOWER_DATA[[#This Row],[D, top '[m']]])/(2*TOWER_DATA[[#This Row],[t '[mm']]]/1000),"")</f>
        <v/>
      </c>
      <c r="DO330" s="209"/>
      <c r="DP330" s="209"/>
      <c r="DQ330" s="187"/>
      <c r="DT330" s="99"/>
      <c r="DU330" s="99"/>
    </row>
    <row r="331" spans="1:125" ht="18" customHeight="1">
      <c r="A331" s="271"/>
      <c r="D331" s="280"/>
      <c r="E331" s="52"/>
      <c r="K331" s="233" t="str">
        <f>IFERROR(MP_DATA[[#This Row],[Top '[m']]]-MP_DATA[[#This Row],[Bottom '[m']]], "")</f>
        <v/>
      </c>
      <c r="L331" s="217" t="str">
        <f>IFERROR(-(MP_DATA[[#This Row],[D, bottom '[m']]]-MP_DATA[[#This Row],[D, top '[m']]])/(MP_DATA[[#This Row],[Bottom '[m']]]-MP_DATA[[#This Row],[Top '[m']]]),"")</f>
        <v/>
      </c>
      <c r="M331" s="145" t="str">
        <f t="shared" si="14"/>
        <v/>
      </c>
      <c r="N331" s="234" t="str">
        <f>IFERROR((MP_DATA[[#This Row],[D, bottom '[m']]]+MP_DATA[[#This Row],[D, top '[m']]])/(2*MP_DATA[[#This Row],[t '[mm']]]/1000),"")</f>
        <v/>
      </c>
      <c r="Q331" s="209"/>
      <c r="R331" s="209"/>
      <c r="S331" s="187"/>
      <c r="AV331" s="233" t="str">
        <f>IFERROR(TP_DATA[[#This Row],[Top '[m']]]-TP_DATA[[#This Row],[Bottom '[m']]], "")</f>
        <v/>
      </c>
      <c r="AW331" s="208"/>
      <c r="AX331" s="209"/>
      <c r="AY331" s="240"/>
      <c r="BB331" s="99"/>
      <c r="BC331" s="99"/>
      <c r="BD331" s="187"/>
      <c r="CH331" s="233" t="str">
        <f>IFERROR(TOWER_DATA[[#This Row],[Top '[m']]]-TOWER_DATA[[#This Row],[Bottom '[m']]], "")</f>
        <v/>
      </c>
      <c r="CI331" s="217" t="str">
        <f>IFERROR(-(TOWER_DATA[[#This Row],[D, bottom '[m']]]-TOWER_DATA[[#This Row],[D, top '[m']]])/(TOWER_DATA[[#This Row],[Bottom '[m']]]-TOWER_DATA[[#This Row],[Top '[m']]]),"")</f>
        <v/>
      </c>
      <c r="CJ331" s="145" t="str">
        <f t="shared" si="13"/>
        <v/>
      </c>
      <c r="CK331" s="234" t="str">
        <f>IFERROR((TOWER_DATA[[#This Row],[D, bottom '[m']]]+TOWER_DATA[[#This Row],[D, top '[m']]])/(2*TOWER_DATA[[#This Row],[t '[mm']]]/1000),"")</f>
        <v/>
      </c>
      <c r="DO331" s="209"/>
      <c r="DP331" s="209"/>
      <c r="DQ331" s="187"/>
      <c r="DT331" s="99"/>
      <c r="DU331" s="99"/>
    </row>
    <row r="332" spans="1:125" ht="18" customHeight="1">
      <c r="A332" s="271"/>
      <c r="D332" s="280"/>
      <c r="E332" s="52"/>
      <c r="K332" s="233" t="str">
        <f>IFERROR(MP_DATA[[#This Row],[Top '[m']]]-MP_DATA[[#This Row],[Bottom '[m']]], "")</f>
        <v/>
      </c>
      <c r="L332" s="217" t="str">
        <f>IFERROR(-(MP_DATA[[#This Row],[D, bottom '[m']]]-MP_DATA[[#This Row],[D, top '[m']]])/(MP_DATA[[#This Row],[Bottom '[m']]]-MP_DATA[[#This Row],[Top '[m']]]),"")</f>
        <v/>
      </c>
      <c r="M332" s="145" t="str">
        <f t="shared" si="14"/>
        <v/>
      </c>
      <c r="N332" s="234" t="str">
        <f>IFERROR((MP_DATA[[#This Row],[D, bottom '[m']]]+MP_DATA[[#This Row],[D, top '[m']]])/(2*MP_DATA[[#This Row],[t '[mm']]]/1000),"")</f>
        <v/>
      </c>
      <c r="Q332" s="209"/>
      <c r="R332" s="209"/>
      <c r="S332" s="187"/>
      <c r="AV332" s="233" t="str">
        <f>IFERROR(TP_DATA[[#This Row],[Top '[m']]]-TP_DATA[[#This Row],[Bottom '[m']]], "")</f>
        <v/>
      </c>
      <c r="AW332" s="208"/>
      <c r="AX332" s="209"/>
      <c r="AY332" s="240"/>
      <c r="BB332" s="99"/>
      <c r="BC332" s="99"/>
      <c r="BD332" s="187"/>
      <c r="CH332" s="233" t="str">
        <f>IFERROR(TOWER_DATA[[#This Row],[Top '[m']]]-TOWER_DATA[[#This Row],[Bottom '[m']]], "")</f>
        <v/>
      </c>
      <c r="CI332" s="217" t="str">
        <f>IFERROR(-(TOWER_DATA[[#This Row],[D, bottom '[m']]]-TOWER_DATA[[#This Row],[D, top '[m']]])/(TOWER_DATA[[#This Row],[Bottom '[m']]]-TOWER_DATA[[#This Row],[Top '[m']]]),"")</f>
        <v/>
      </c>
      <c r="CJ332" s="145" t="str">
        <f t="shared" si="13"/>
        <v/>
      </c>
      <c r="CK332" s="234" t="str">
        <f>IFERROR((TOWER_DATA[[#This Row],[D, bottom '[m']]]+TOWER_DATA[[#This Row],[D, top '[m']]])/(2*TOWER_DATA[[#This Row],[t '[mm']]]/1000),"")</f>
        <v/>
      </c>
      <c r="DO332" s="209"/>
      <c r="DP332" s="209"/>
      <c r="DQ332" s="187"/>
      <c r="DT332" s="99"/>
      <c r="DU332" s="99"/>
    </row>
    <row r="333" spans="1:125" ht="18" customHeight="1">
      <c r="A333" s="271"/>
      <c r="D333" s="280"/>
      <c r="E333" s="52"/>
      <c r="K333" s="233" t="str">
        <f>IFERROR(MP_DATA[[#This Row],[Top '[m']]]-MP_DATA[[#This Row],[Bottom '[m']]], "")</f>
        <v/>
      </c>
      <c r="L333" s="217" t="str">
        <f>IFERROR(-(MP_DATA[[#This Row],[D, bottom '[m']]]-MP_DATA[[#This Row],[D, top '[m']]])/(MP_DATA[[#This Row],[Bottom '[m']]]-MP_DATA[[#This Row],[Top '[m']]]),"")</f>
        <v/>
      </c>
      <c r="M333" s="145" t="str">
        <f t="shared" si="14"/>
        <v/>
      </c>
      <c r="N333" s="234" t="str">
        <f>IFERROR((MP_DATA[[#This Row],[D, bottom '[m']]]+MP_DATA[[#This Row],[D, top '[m']]])/(2*MP_DATA[[#This Row],[t '[mm']]]/1000),"")</f>
        <v/>
      </c>
      <c r="Q333" s="209"/>
      <c r="R333" s="209"/>
      <c r="S333" s="187"/>
      <c r="AV333" s="233" t="str">
        <f>IFERROR(TP_DATA[[#This Row],[Top '[m']]]-TP_DATA[[#This Row],[Bottom '[m']]], "")</f>
        <v/>
      </c>
      <c r="AW333" s="208"/>
      <c r="AX333" s="209"/>
      <c r="AY333" s="240"/>
      <c r="BB333" s="99"/>
      <c r="BC333" s="99"/>
      <c r="BD333" s="187"/>
      <c r="CH333" s="233" t="str">
        <f>IFERROR(TOWER_DATA[[#This Row],[Top '[m']]]-TOWER_DATA[[#This Row],[Bottom '[m']]], "")</f>
        <v/>
      </c>
      <c r="CI333" s="217" t="str">
        <f>IFERROR(-(TOWER_DATA[[#This Row],[D, bottom '[m']]]-TOWER_DATA[[#This Row],[D, top '[m']]])/(TOWER_DATA[[#This Row],[Bottom '[m']]]-TOWER_DATA[[#This Row],[Top '[m']]]),"")</f>
        <v/>
      </c>
      <c r="CJ333" s="145" t="str">
        <f t="shared" si="13"/>
        <v/>
      </c>
      <c r="CK333" s="234" t="str">
        <f>IFERROR((TOWER_DATA[[#This Row],[D, bottom '[m']]]+TOWER_DATA[[#This Row],[D, top '[m']]])/(2*TOWER_DATA[[#This Row],[t '[mm']]]/1000),"")</f>
        <v/>
      </c>
      <c r="DO333" s="209"/>
      <c r="DP333" s="209"/>
      <c r="DQ333" s="187"/>
      <c r="DT333" s="99"/>
      <c r="DU333" s="99"/>
    </row>
    <row r="334" spans="1:125" ht="18" customHeight="1">
      <c r="A334" s="271"/>
      <c r="D334" s="280"/>
      <c r="E334" s="52"/>
      <c r="K334" s="233" t="str">
        <f>IFERROR(MP_DATA[[#This Row],[Top '[m']]]-MP_DATA[[#This Row],[Bottom '[m']]], "")</f>
        <v/>
      </c>
      <c r="L334" s="217" t="str">
        <f>IFERROR(-(MP_DATA[[#This Row],[D, bottom '[m']]]-MP_DATA[[#This Row],[D, top '[m']]])/(MP_DATA[[#This Row],[Bottom '[m']]]-MP_DATA[[#This Row],[Top '[m']]]),"")</f>
        <v/>
      </c>
      <c r="M334" s="145" t="str">
        <f t="shared" si="14"/>
        <v/>
      </c>
      <c r="N334" s="234" t="str">
        <f>IFERROR((MP_DATA[[#This Row],[D, bottom '[m']]]+MP_DATA[[#This Row],[D, top '[m']]])/(2*MP_DATA[[#This Row],[t '[mm']]]/1000),"")</f>
        <v/>
      </c>
      <c r="Q334" s="209"/>
      <c r="R334" s="209"/>
      <c r="S334" s="187"/>
      <c r="AV334" s="233" t="str">
        <f>IFERROR(TP_DATA[[#This Row],[Top '[m']]]-TP_DATA[[#This Row],[Bottom '[m']]], "")</f>
        <v/>
      </c>
      <c r="AW334" s="208"/>
      <c r="AX334" s="209"/>
      <c r="AY334" s="240"/>
      <c r="BB334" s="99"/>
      <c r="BC334" s="99"/>
      <c r="BD334" s="187"/>
      <c r="CH334" s="233" t="str">
        <f>IFERROR(TOWER_DATA[[#This Row],[Top '[m']]]-TOWER_DATA[[#This Row],[Bottom '[m']]], "")</f>
        <v/>
      </c>
      <c r="CI334" s="217" t="str">
        <f>IFERROR(-(TOWER_DATA[[#This Row],[D, bottom '[m']]]-TOWER_DATA[[#This Row],[D, top '[m']]])/(TOWER_DATA[[#This Row],[Bottom '[m']]]-TOWER_DATA[[#This Row],[Top '[m']]]),"")</f>
        <v/>
      </c>
      <c r="CJ334" s="145" t="str">
        <f t="shared" si="13"/>
        <v/>
      </c>
      <c r="CK334" s="234" t="str">
        <f>IFERROR((TOWER_DATA[[#This Row],[D, bottom '[m']]]+TOWER_DATA[[#This Row],[D, top '[m']]])/(2*TOWER_DATA[[#This Row],[t '[mm']]]/1000),"")</f>
        <v/>
      </c>
      <c r="DO334" s="209"/>
      <c r="DP334" s="209"/>
      <c r="DQ334" s="187"/>
      <c r="DT334" s="99"/>
      <c r="DU334" s="99"/>
    </row>
    <row r="335" spans="1:125" ht="18" customHeight="1">
      <c r="A335" s="271"/>
      <c r="D335" s="280"/>
      <c r="E335" s="52"/>
      <c r="K335" s="233" t="str">
        <f>IFERROR(MP_DATA[[#This Row],[Top '[m']]]-MP_DATA[[#This Row],[Bottom '[m']]], "")</f>
        <v/>
      </c>
      <c r="L335" s="217" t="str">
        <f>IFERROR(-(MP_DATA[[#This Row],[D, bottom '[m']]]-MP_DATA[[#This Row],[D, top '[m']]])/(MP_DATA[[#This Row],[Bottom '[m']]]-MP_DATA[[#This Row],[Top '[m']]]),"")</f>
        <v/>
      </c>
      <c r="M335" s="145" t="str">
        <f t="shared" si="14"/>
        <v/>
      </c>
      <c r="N335" s="234" t="str">
        <f>IFERROR((MP_DATA[[#This Row],[D, bottom '[m']]]+MP_DATA[[#This Row],[D, top '[m']]])/(2*MP_DATA[[#This Row],[t '[mm']]]/1000),"")</f>
        <v/>
      </c>
      <c r="Q335" s="209"/>
      <c r="R335" s="209"/>
      <c r="S335" s="187"/>
      <c r="AV335" s="233" t="str">
        <f>IFERROR(TP_DATA[[#This Row],[Top '[m']]]-TP_DATA[[#This Row],[Bottom '[m']]], "")</f>
        <v/>
      </c>
      <c r="AW335" s="208"/>
      <c r="AX335" s="209"/>
      <c r="AY335" s="240"/>
      <c r="BB335" s="99"/>
      <c r="BC335" s="99"/>
      <c r="BD335" s="187"/>
      <c r="CH335" s="233" t="str">
        <f>IFERROR(TOWER_DATA[[#This Row],[Top '[m']]]-TOWER_DATA[[#This Row],[Bottom '[m']]], "")</f>
        <v/>
      </c>
      <c r="CI335" s="217" t="str">
        <f>IFERROR(-(TOWER_DATA[[#This Row],[D, bottom '[m']]]-TOWER_DATA[[#This Row],[D, top '[m']]])/(TOWER_DATA[[#This Row],[Bottom '[m']]]-TOWER_DATA[[#This Row],[Top '[m']]]),"")</f>
        <v/>
      </c>
      <c r="CJ335" s="145" t="str">
        <f t="shared" si="13"/>
        <v/>
      </c>
      <c r="CK335" s="234" t="str">
        <f>IFERROR((TOWER_DATA[[#This Row],[D, bottom '[m']]]+TOWER_DATA[[#This Row],[D, top '[m']]])/(2*TOWER_DATA[[#This Row],[t '[mm']]]/1000),"")</f>
        <v/>
      </c>
      <c r="DO335" s="209"/>
      <c r="DP335" s="209"/>
      <c r="DQ335" s="187"/>
      <c r="DT335" s="99"/>
      <c r="DU335" s="99"/>
    </row>
    <row r="336" spans="1:125" ht="18" customHeight="1">
      <c r="A336" s="271"/>
      <c r="D336" s="280"/>
      <c r="E336" s="52"/>
      <c r="K336" s="233" t="str">
        <f>IFERROR(MP_DATA[[#This Row],[Top '[m']]]-MP_DATA[[#This Row],[Bottom '[m']]], "")</f>
        <v/>
      </c>
      <c r="L336" s="217" t="str">
        <f>IFERROR(-(MP_DATA[[#This Row],[D, bottom '[m']]]-MP_DATA[[#This Row],[D, top '[m']]])/(MP_DATA[[#This Row],[Bottom '[m']]]-MP_DATA[[#This Row],[Top '[m']]]),"")</f>
        <v/>
      </c>
      <c r="M336" s="145" t="str">
        <f t="shared" si="14"/>
        <v/>
      </c>
      <c r="N336" s="234" t="str">
        <f>IFERROR((MP_DATA[[#This Row],[D, bottom '[m']]]+MP_DATA[[#This Row],[D, top '[m']]])/(2*MP_DATA[[#This Row],[t '[mm']]]/1000),"")</f>
        <v/>
      </c>
      <c r="Q336" s="209"/>
      <c r="R336" s="209"/>
      <c r="S336" s="187"/>
      <c r="AV336" s="233" t="str">
        <f>IFERROR(TP_DATA[[#This Row],[Top '[m']]]-TP_DATA[[#This Row],[Bottom '[m']]], "")</f>
        <v/>
      </c>
      <c r="AW336" s="208"/>
      <c r="AX336" s="209"/>
      <c r="AY336" s="240"/>
      <c r="BB336" s="99"/>
      <c r="BC336" s="99"/>
      <c r="BD336" s="187"/>
      <c r="CH336" s="233" t="str">
        <f>IFERROR(TOWER_DATA[[#This Row],[Top '[m']]]-TOWER_DATA[[#This Row],[Bottom '[m']]], "")</f>
        <v/>
      </c>
      <c r="CI336" s="217" t="str">
        <f>IFERROR(-(TOWER_DATA[[#This Row],[D, bottom '[m']]]-TOWER_DATA[[#This Row],[D, top '[m']]])/(TOWER_DATA[[#This Row],[Bottom '[m']]]-TOWER_DATA[[#This Row],[Top '[m']]]),"")</f>
        <v/>
      </c>
      <c r="CJ336" s="145" t="str">
        <f t="shared" si="13"/>
        <v/>
      </c>
      <c r="CK336" s="234" t="str">
        <f>IFERROR((TOWER_DATA[[#This Row],[D, bottom '[m']]]+TOWER_DATA[[#This Row],[D, top '[m']]])/(2*TOWER_DATA[[#This Row],[t '[mm']]]/1000),"")</f>
        <v/>
      </c>
      <c r="DO336" s="209"/>
      <c r="DP336" s="209"/>
      <c r="DQ336" s="187"/>
      <c r="DT336" s="99"/>
      <c r="DU336" s="99"/>
    </row>
    <row r="337" spans="1:125" ht="18" customHeight="1">
      <c r="A337" s="271"/>
      <c r="D337" s="280"/>
      <c r="E337" s="52"/>
      <c r="K337" s="233" t="str">
        <f>IFERROR(MP_DATA[[#This Row],[Top '[m']]]-MP_DATA[[#This Row],[Bottom '[m']]], "")</f>
        <v/>
      </c>
      <c r="L337" s="217" t="str">
        <f>IFERROR(-(MP_DATA[[#This Row],[D, bottom '[m']]]-MP_DATA[[#This Row],[D, top '[m']]])/(MP_DATA[[#This Row],[Bottom '[m']]]-MP_DATA[[#This Row],[Top '[m']]]),"")</f>
        <v/>
      </c>
      <c r="M337" s="145" t="str">
        <f t="shared" si="14"/>
        <v/>
      </c>
      <c r="N337" s="234" t="str">
        <f>IFERROR((MP_DATA[[#This Row],[D, bottom '[m']]]+MP_DATA[[#This Row],[D, top '[m']]])/(2*MP_DATA[[#This Row],[t '[mm']]]/1000),"")</f>
        <v/>
      </c>
      <c r="Q337" s="209"/>
      <c r="R337" s="209"/>
      <c r="S337" s="187"/>
      <c r="AV337" s="233" t="str">
        <f>IFERROR(TP_DATA[[#This Row],[Top '[m']]]-TP_DATA[[#This Row],[Bottom '[m']]], "")</f>
        <v/>
      </c>
      <c r="AW337" s="208"/>
      <c r="AX337" s="209"/>
      <c r="AY337" s="240"/>
      <c r="BB337" s="99"/>
      <c r="BC337" s="99"/>
      <c r="BD337" s="187"/>
      <c r="CH337" s="233" t="str">
        <f>IFERROR(TOWER_DATA[[#This Row],[Top '[m']]]-TOWER_DATA[[#This Row],[Bottom '[m']]], "")</f>
        <v/>
      </c>
      <c r="CI337" s="217" t="str">
        <f>IFERROR(-(TOWER_DATA[[#This Row],[D, bottom '[m']]]-TOWER_DATA[[#This Row],[D, top '[m']]])/(TOWER_DATA[[#This Row],[Bottom '[m']]]-TOWER_DATA[[#This Row],[Top '[m']]]),"")</f>
        <v/>
      </c>
      <c r="CJ337" s="145" t="str">
        <f t="shared" si="13"/>
        <v/>
      </c>
      <c r="CK337" s="234" t="str">
        <f>IFERROR((TOWER_DATA[[#This Row],[D, bottom '[m']]]+TOWER_DATA[[#This Row],[D, top '[m']]])/(2*TOWER_DATA[[#This Row],[t '[mm']]]/1000),"")</f>
        <v/>
      </c>
      <c r="DO337" s="209"/>
      <c r="DP337" s="209"/>
      <c r="DQ337" s="187"/>
      <c r="DT337" s="99"/>
      <c r="DU337" s="99"/>
    </row>
    <row r="338" spans="1:125" ht="18" customHeight="1">
      <c r="A338" s="271"/>
      <c r="D338" s="280"/>
      <c r="E338" s="52"/>
      <c r="K338" s="233" t="str">
        <f>IFERROR(MP_DATA[[#This Row],[Top '[m']]]-MP_DATA[[#This Row],[Bottom '[m']]], "")</f>
        <v/>
      </c>
      <c r="L338" s="217" t="str">
        <f>IFERROR(-(MP_DATA[[#This Row],[D, bottom '[m']]]-MP_DATA[[#This Row],[D, top '[m']]])/(MP_DATA[[#This Row],[Bottom '[m']]]-MP_DATA[[#This Row],[Top '[m']]]),"")</f>
        <v/>
      </c>
      <c r="M338" s="145" t="str">
        <f t="shared" si="14"/>
        <v/>
      </c>
      <c r="N338" s="234" t="str">
        <f>IFERROR((MP_DATA[[#This Row],[D, bottom '[m']]]+MP_DATA[[#This Row],[D, top '[m']]])/(2*MP_DATA[[#This Row],[t '[mm']]]/1000),"")</f>
        <v/>
      </c>
      <c r="Q338" s="209"/>
      <c r="R338" s="209"/>
      <c r="S338" s="187"/>
      <c r="AV338" s="233" t="str">
        <f>IFERROR(TP_DATA[[#This Row],[Top '[m']]]-TP_DATA[[#This Row],[Bottom '[m']]], "")</f>
        <v/>
      </c>
      <c r="AW338" s="208"/>
      <c r="AX338" s="209"/>
      <c r="AY338" s="240"/>
      <c r="BB338" s="99"/>
      <c r="BC338" s="99"/>
      <c r="BD338" s="187"/>
      <c r="CH338" s="233" t="str">
        <f>IFERROR(TOWER_DATA[[#This Row],[Top '[m']]]-TOWER_DATA[[#This Row],[Bottom '[m']]], "")</f>
        <v/>
      </c>
      <c r="CI338" s="217" t="str">
        <f>IFERROR(-(TOWER_DATA[[#This Row],[D, bottom '[m']]]-TOWER_DATA[[#This Row],[D, top '[m']]])/(TOWER_DATA[[#This Row],[Bottom '[m']]]-TOWER_DATA[[#This Row],[Top '[m']]]),"")</f>
        <v/>
      </c>
      <c r="CJ338" s="145" t="str">
        <f t="shared" si="13"/>
        <v/>
      </c>
      <c r="CK338" s="234" t="str">
        <f>IFERROR((TOWER_DATA[[#This Row],[D, bottom '[m']]]+TOWER_DATA[[#This Row],[D, top '[m']]])/(2*TOWER_DATA[[#This Row],[t '[mm']]]/1000),"")</f>
        <v/>
      </c>
      <c r="DO338" s="209"/>
      <c r="DP338" s="209"/>
      <c r="DQ338" s="187"/>
      <c r="DT338" s="99"/>
      <c r="DU338" s="99"/>
    </row>
    <row r="339" spans="1:125" ht="18" customHeight="1">
      <c r="A339" s="271"/>
      <c r="D339" s="280"/>
      <c r="E339" s="52"/>
      <c r="K339" s="233" t="str">
        <f>IFERROR(MP_DATA[[#This Row],[Top '[m']]]-MP_DATA[[#This Row],[Bottom '[m']]], "")</f>
        <v/>
      </c>
      <c r="L339" s="217" t="str">
        <f>IFERROR(-(MP_DATA[[#This Row],[D, bottom '[m']]]-MP_DATA[[#This Row],[D, top '[m']]])/(MP_DATA[[#This Row],[Bottom '[m']]]-MP_DATA[[#This Row],[Top '[m']]]),"")</f>
        <v/>
      </c>
      <c r="M339" s="145" t="str">
        <f t="shared" si="14"/>
        <v/>
      </c>
      <c r="N339" s="234" t="str">
        <f>IFERROR((MP_DATA[[#This Row],[D, bottom '[m']]]+MP_DATA[[#This Row],[D, top '[m']]])/(2*MP_DATA[[#This Row],[t '[mm']]]/1000),"")</f>
        <v/>
      </c>
      <c r="Q339" s="209"/>
      <c r="R339" s="209"/>
      <c r="S339" s="187"/>
      <c r="AV339" s="233" t="str">
        <f>IFERROR(TP_DATA[[#This Row],[Top '[m']]]-TP_DATA[[#This Row],[Bottom '[m']]], "")</f>
        <v/>
      </c>
      <c r="AW339" s="208"/>
      <c r="AX339" s="209"/>
      <c r="AY339" s="240"/>
      <c r="BB339" s="99"/>
      <c r="BC339" s="99"/>
      <c r="BD339" s="187"/>
      <c r="CH339" s="233" t="str">
        <f>IFERROR(TOWER_DATA[[#This Row],[Top '[m']]]-TOWER_DATA[[#This Row],[Bottom '[m']]], "")</f>
        <v/>
      </c>
      <c r="CI339" s="217" t="str">
        <f>IFERROR(-(TOWER_DATA[[#This Row],[D, bottom '[m']]]-TOWER_DATA[[#This Row],[D, top '[m']]])/(TOWER_DATA[[#This Row],[Bottom '[m']]]-TOWER_DATA[[#This Row],[Top '[m']]]),"")</f>
        <v/>
      </c>
      <c r="CJ339" s="145" t="str">
        <f t="shared" si="13"/>
        <v/>
      </c>
      <c r="CK339" s="234" t="str">
        <f>IFERROR((TOWER_DATA[[#This Row],[D, bottom '[m']]]+TOWER_DATA[[#This Row],[D, top '[m']]])/(2*TOWER_DATA[[#This Row],[t '[mm']]]/1000),"")</f>
        <v/>
      </c>
      <c r="DO339" s="209"/>
      <c r="DP339" s="209"/>
      <c r="DQ339" s="187"/>
      <c r="DT339" s="99"/>
      <c r="DU339" s="99"/>
    </row>
    <row r="340" spans="1:125" ht="18" customHeight="1">
      <c r="A340" s="271"/>
      <c r="D340" s="280"/>
      <c r="E340" s="52"/>
      <c r="K340" s="233" t="str">
        <f>IFERROR(MP_DATA[[#This Row],[Top '[m']]]-MP_DATA[[#This Row],[Bottom '[m']]], "")</f>
        <v/>
      </c>
      <c r="L340" s="217" t="str">
        <f>IFERROR(-(MP_DATA[[#This Row],[D, bottom '[m']]]-MP_DATA[[#This Row],[D, top '[m']]])/(MP_DATA[[#This Row],[Bottom '[m']]]-MP_DATA[[#This Row],[Top '[m']]]),"")</f>
        <v/>
      </c>
      <c r="M340" s="145" t="str">
        <f t="shared" si="14"/>
        <v/>
      </c>
      <c r="N340" s="234" t="str">
        <f>IFERROR((MP_DATA[[#This Row],[D, bottom '[m']]]+MP_DATA[[#This Row],[D, top '[m']]])/(2*MP_DATA[[#This Row],[t '[mm']]]/1000),"")</f>
        <v/>
      </c>
      <c r="Q340" s="209"/>
      <c r="R340" s="209"/>
      <c r="S340" s="187"/>
      <c r="AV340" s="233" t="str">
        <f>IFERROR(TP_DATA[[#This Row],[Top '[m']]]-TP_DATA[[#This Row],[Bottom '[m']]], "")</f>
        <v/>
      </c>
      <c r="AW340" s="208"/>
      <c r="AX340" s="209"/>
      <c r="AY340" s="240"/>
      <c r="BB340" s="99"/>
      <c r="BC340" s="99"/>
      <c r="BD340" s="187"/>
      <c r="CH340" s="233" t="str">
        <f>IFERROR(TOWER_DATA[[#This Row],[Top '[m']]]-TOWER_DATA[[#This Row],[Bottom '[m']]], "")</f>
        <v/>
      </c>
      <c r="CI340" s="217" t="str">
        <f>IFERROR(-(TOWER_DATA[[#This Row],[D, bottom '[m']]]-TOWER_DATA[[#This Row],[D, top '[m']]])/(TOWER_DATA[[#This Row],[Bottom '[m']]]-TOWER_DATA[[#This Row],[Top '[m']]]),"")</f>
        <v/>
      </c>
      <c r="CJ340" s="145" t="str">
        <f t="shared" si="13"/>
        <v/>
      </c>
      <c r="CK340" s="234" t="str">
        <f>IFERROR((TOWER_DATA[[#This Row],[D, bottom '[m']]]+TOWER_DATA[[#This Row],[D, top '[m']]])/(2*TOWER_DATA[[#This Row],[t '[mm']]]/1000),"")</f>
        <v/>
      </c>
      <c r="DO340" s="209"/>
      <c r="DP340" s="209"/>
      <c r="DQ340" s="187"/>
      <c r="DT340" s="99"/>
      <c r="DU340" s="99"/>
    </row>
    <row r="341" spans="1:125" ht="18" customHeight="1">
      <c r="A341" s="271"/>
      <c r="D341" s="280"/>
      <c r="E341" s="52"/>
      <c r="K341" s="233" t="str">
        <f>IFERROR(MP_DATA[[#This Row],[Top '[m']]]-MP_DATA[[#This Row],[Bottom '[m']]], "")</f>
        <v/>
      </c>
      <c r="L341" s="217" t="str">
        <f>IFERROR(-(MP_DATA[[#This Row],[D, bottom '[m']]]-MP_DATA[[#This Row],[D, top '[m']]])/(MP_DATA[[#This Row],[Bottom '[m']]]-MP_DATA[[#This Row],[Top '[m']]]),"")</f>
        <v/>
      </c>
      <c r="M341" s="145" t="str">
        <f t="shared" si="14"/>
        <v/>
      </c>
      <c r="N341" s="234" t="str">
        <f>IFERROR((MP_DATA[[#This Row],[D, bottom '[m']]]+MP_DATA[[#This Row],[D, top '[m']]])/(2*MP_DATA[[#This Row],[t '[mm']]]/1000),"")</f>
        <v/>
      </c>
      <c r="Q341" s="209"/>
      <c r="R341" s="209"/>
      <c r="S341" s="187"/>
      <c r="AV341" s="233" t="str">
        <f>IFERROR(TP_DATA[[#This Row],[Top '[m']]]-TP_DATA[[#This Row],[Bottom '[m']]], "")</f>
        <v/>
      </c>
      <c r="AW341" s="208"/>
      <c r="AX341" s="209"/>
      <c r="AY341" s="240"/>
      <c r="BB341" s="99"/>
      <c r="BC341" s="99"/>
      <c r="BD341" s="187"/>
      <c r="CH341" s="233" t="str">
        <f>IFERROR(TOWER_DATA[[#This Row],[Top '[m']]]-TOWER_DATA[[#This Row],[Bottom '[m']]], "")</f>
        <v/>
      </c>
      <c r="CI341" s="217" t="str">
        <f>IFERROR(-(TOWER_DATA[[#This Row],[D, bottom '[m']]]-TOWER_DATA[[#This Row],[D, top '[m']]])/(TOWER_DATA[[#This Row],[Bottom '[m']]]-TOWER_DATA[[#This Row],[Top '[m']]]),"")</f>
        <v/>
      </c>
      <c r="CJ341" s="145" t="str">
        <f t="shared" si="13"/>
        <v/>
      </c>
      <c r="CK341" s="234" t="str">
        <f>IFERROR((TOWER_DATA[[#This Row],[D, bottom '[m']]]+TOWER_DATA[[#This Row],[D, top '[m']]])/(2*TOWER_DATA[[#This Row],[t '[mm']]]/1000),"")</f>
        <v/>
      </c>
      <c r="DO341" s="209"/>
      <c r="DP341" s="209"/>
      <c r="DQ341" s="187"/>
      <c r="DT341" s="99"/>
      <c r="DU341" s="99"/>
    </row>
    <row r="342" spans="1:125" ht="18" customHeight="1">
      <c r="A342" s="271"/>
      <c r="D342" s="280"/>
      <c r="E342" s="52"/>
      <c r="K342" s="233" t="str">
        <f>IFERROR(MP_DATA[[#This Row],[Top '[m']]]-MP_DATA[[#This Row],[Bottom '[m']]], "")</f>
        <v/>
      </c>
      <c r="L342" s="217" t="str">
        <f>IFERROR(-(MP_DATA[[#This Row],[D, bottom '[m']]]-MP_DATA[[#This Row],[D, top '[m']]])/(MP_DATA[[#This Row],[Bottom '[m']]]-MP_DATA[[#This Row],[Top '[m']]]),"")</f>
        <v/>
      </c>
      <c r="M342" s="145" t="str">
        <f t="shared" si="14"/>
        <v/>
      </c>
      <c r="N342" s="234" t="str">
        <f>IFERROR((MP_DATA[[#This Row],[D, bottom '[m']]]+MP_DATA[[#This Row],[D, top '[m']]])/(2*MP_DATA[[#This Row],[t '[mm']]]/1000),"")</f>
        <v/>
      </c>
      <c r="Q342" s="209"/>
      <c r="R342" s="209"/>
      <c r="S342" s="187"/>
      <c r="AV342" s="233" t="str">
        <f>IFERROR(TP_DATA[[#This Row],[Top '[m']]]-TP_DATA[[#This Row],[Bottom '[m']]], "")</f>
        <v/>
      </c>
      <c r="AW342" s="208"/>
      <c r="AX342" s="209"/>
      <c r="AY342" s="240"/>
      <c r="BB342" s="99"/>
      <c r="BC342" s="99"/>
      <c r="BD342" s="187"/>
      <c r="CH342" s="233" t="str">
        <f>IFERROR(TOWER_DATA[[#This Row],[Top '[m']]]-TOWER_DATA[[#This Row],[Bottom '[m']]], "")</f>
        <v/>
      </c>
      <c r="CI342" s="217" t="str">
        <f>IFERROR(-(TOWER_DATA[[#This Row],[D, bottom '[m']]]-TOWER_DATA[[#This Row],[D, top '[m']]])/(TOWER_DATA[[#This Row],[Bottom '[m']]]-TOWER_DATA[[#This Row],[Top '[m']]]),"")</f>
        <v/>
      </c>
      <c r="CJ342" s="145" t="str">
        <f t="shared" si="13"/>
        <v/>
      </c>
      <c r="CK342" s="234" t="str">
        <f>IFERROR((TOWER_DATA[[#This Row],[D, bottom '[m']]]+TOWER_DATA[[#This Row],[D, top '[m']]])/(2*TOWER_DATA[[#This Row],[t '[mm']]]/1000),"")</f>
        <v/>
      </c>
      <c r="DO342" s="209"/>
      <c r="DP342" s="209"/>
      <c r="DQ342" s="187"/>
      <c r="DT342" s="99"/>
      <c r="DU342" s="99"/>
    </row>
    <row r="343" spans="1:125" ht="18" customHeight="1">
      <c r="A343" s="271"/>
      <c r="D343" s="280"/>
      <c r="E343" s="52"/>
      <c r="K343" s="233" t="str">
        <f>IFERROR(MP_DATA[[#This Row],[Top '[m']]]-MP_DATA[[#This Row],[Bottom '[m']]], "")</f>
        <v/>
      </c>
      <c r="L343" s="217" t="str">
        <f>IFERROR(-(MP_DATA[[#This Row],[D, bottom '[m']]]-MP_DATA[[#This Row],[D, top '[m']]])/(MP_DATA[[#This Row],[Bottom '[m']]]-MP_DATA[[#This Row],[Top '[m']]]),"")</f>
        <v/>
      </c>
      <c r="M343" s="145" t="str">
        <f t="shared" si="14"/>
        <v/>
      </c>
      <c r="N343" s="234" t="str">
        <f>IFERROR((MP_DATA[[#This Row],[D, bottom '[m']]]+MP_DATA[[#This Row],[D, top '[m']]])/(2*MP_DATA[[#This Row],[t '[mm']]]/1000),"")</f>
        <v/>
      </c>
      <c r="Q343" s="209"/>
      <c r="R343" s="209"/>
      <c r="S343" s="187"/>
      <c r="AV343" s="233" t="str">
        <f>IFERROR(TP_DATA[[#This Row],[Top '[m']]]-TP_DATA[[#This Row],[Bottom '[m']]], "")</f>
        <v/>
      </c>
      <c r="AW343" s="208"/>
      <c r="AX343" s="209"/>
      <c r="AY343" s="240"/>
      <c r="BB343" s="99"/>
      <c r="BC343" s="99"/>
      <c r="BD343" s="187"/>
      <c r="CH343" s="233" t="str">
        <f>IFERROR(TOWER_DATA[[#This Row],[Top '[m']]]-TOWER_DATA[[#This Row],[Bottom '[m']]], "")</f>
        <v/>
      </c>
      <c r="CI343" s="217" t="str">
        <f>IFERROR(-(TOWER_DATA[[#This Row],[D, bottom '[m']]]-TOWER_DATA[[#This Row],[D, top '[m']]])/(TOWER_DATA[[#This Row],[Bottom '[m']]]-TOWER_DATA[[#This Row],[Top '[m']]]),"")</f>
        <v/>
      </c>
      <c r="CJ343" s="145" t="str">
        <f t="shared" si="13"/>
        <v/>
      </c>
      <c r="CK343" s="234" t="str">
        <f>IFERROR((TOWER_DATA[[#This Row],[D, bottom '[m']]]+TOWER_DATA[[#This Row],[D, top '[m']]])/(2*TOWER_DATA[[#This Row],[t '[mm']]]/1000),"")</f>
        <v/>
      </c>
      <c r="DO343" s="209"/>
      <c r="DP343" s="209"/>
      <c r="DQ343" s="187"/>
      <c r="DT343" s="99"/>
      <c r="DU343" s="99"/>
    </row>
    <row r="344" spans="1:125" ht="18" customHeight="1">
      <c r="A344" s="271"/>
      <c r="D344" s="280"/>
      <c r="E344" s="52"/>
      <c r="K344" s="233" t="str">
        <f>IFERROR(MP_DATA[[#This Row],[Top '[m']]]-MP_DATA[[#This Row],[Bottom '[m']]], "")</f>
        <v/>
      </c>
      <c r="L344" s="217" t="str">
        <f>IFERROR(-(MP_DATA[[#This Row],[D, bottom '[m']]]-MP_DATA[[#This Row],[D, top '[m']]])/(MP_DATA[[#This Row],[Bottom '[m']]]-MP_DATA[[#This Row],[Top '[m']]]),"")</f>
        <v/>
      </c>
      <c r="M344" s="145" t="str">
        <f t="shared" si="14"/>
        <v/>
      </c>
      <c r="N344" s="234" t="str">
        <f>IFERROR((MP_DATA[[#This Row],[D, bottom '[m']]]+MP_DATA[[#This Row],[D, top '[m']]])/(2*MP_DATA[[#This Row],[t '[mm']]]/1000),"")</f>
        <v/>
      </c>
      <c r="Q344" s="209"/>
      <c r="R344" s="209"/>
      <c r="S344" s="187"/>
      <c r="AV344" s="233" t="str">
        <f>IFERROR(TP_DATA[[#This Row],[Top '[m']]]-TP_DATA[[#This Row],[Bottom '[m']]], "")</f>
        <v/>
      </c>
      <c r="AW344" s="208"/>
      <c r="AX344" s="209"/>
      <c r="AY344" s="240"/>
      <c r="BB344" s="99"/>
      <c r="BC344" s="99"/>
      <c r="BD344" s="187"/>
      <c r="CH344" s="233" t="str">
        <f>IFERROR(TOWER_DATA[[#This Row],[Top '[m']]]-TOWER_DATA[[#This Row],[Bottom '[m']]], "")</f>
        <v/>
      </c>
      <c r="CI344" s="217" t="str">
        <f>IFERROR(-(TOWER_DATA[[#This Row],[D, bottom '[m']]]-TOWER_DATA[[#This Row],[D, top '[m']]])/(TOWER_DATA[[#This Row],[Bottom '[m']]]-TOWER_DATA[[#This Row],[Top '[m']]]),"")</f>
        <v/>
      </c>
      <c r="CJ344" s="145" t="str">
        <f t="shared" si="13"/>
        <v/>
      </c>
      <c r="CK344" s="234" t="str">
        <f>IFERROR((TOWER_DATA[[#This Row],[D, bottom '[m']]]+TOWER_DATA[[#This Row],[D, top '[m']]])/(2*TOWER_DATA[[#This Row],[t '[mm']]]/1000),"")</f>
        <v/>
      </c>
      <c r="DO344" s="209"/>
      <c r="DP344" s="209"/>
      <c r="DQ344" s="187"/>
      <c r="DT344" s="99"/>
      <c r="DU344" s="99"/>
    </row>
    <row r="345" spans="1:125" ht="18" customHeight="1">
      <c r="A345" s="271"/>
      <c r="D345" s="280"/>
      <c r="E345" s="52"/>
      <c r="K345" s="233" t="str">
        <f>IFERROR(MP_DATA[[#This Row],[Top '[m']]]-MP_DATA[[#This Row],[Bottom '[m']]], "")</f>
        <v/>
      </c>
      <c r="L345" s="217" t="str">
        <f>IFERROR(-(MP_DATA[[#This Row],[D, bottom '[m']]]-MP_DATA[[#This Row],[D, top '[m']]])/(MP_DATA[[#This Row],[Bottom '[m']]]-MP_DATA[[#This Row],[Top '[m']]]),"")</f>
        <v/>
      </c>
      <c r="M345" s="145" t="str">
        <f t="shared" si="14"/>
        <v/>
      </c>
      <c r="N345" s="234" t="str">
        <f>IFERROR((MP_DATA[[#This Row],[D, bottom '[m']]]+MP_DATA[[#This Row],[D, top '[m']]])/(2*MP_DATA[[#This Row],[t '[mm']]]/1000),"")</f>
        <v/>
      </c>
      <c r="Q345" s="209"/>
      <c r="R345" s="209"/>
      <c r="S345" s="187"/>
      <c r="AV345" s="233" t="str">
        <f>IFERROR(TP_DATA[[#This Row],[Top '[m']]]-TP_DATA[[#This Row],[Bottom '[m']]], "")</f>
        <v/>
      </c>
      <c r="AW345" s="208"/>
      <c r="AX345" s="209"/>
      <c r="AY345" s="240"/>
      <c r="BB345" s="99"/>
      <c r="BC345" s="99"/>
      <c r="BD345" s="187"/>
      <c r="CH345" s="233" t="str">
        <f>IFERROR(TOWER_DATA[[#This Row],[Top '[m']]]-TOWER_DATA[[#This Row],[Bottom '[m']]], "")</f>
        <v/>
      </c>
      <c r="CI345" s="217" t="str">
        <f>IFERROR(-(TOWER_DATA[[#This Row],[D, bottom '[m']]]-TOWER_DATA[[#This Row],[D, top '[m']]])/(TOWER_DATA[[#This Row],[Bottom '[m']]]-TOWER_DATA[[#This Row],[Top '[m']]]),"")</f>
        <v/>
      </c>
      <c r="CJ345" s="145" t="str">
        <f t="shared" si="13"/>
        <v/>
      </c>
      <c r="CK345" s="234" t="str">
        <f>IFERROR((TOWER_DATA[[#This Row],[D, bottom '[m']]]+TOWER_DATA[[#This Row],[D, top '[m']]])/(2*TOWER_DATA[[#This Row],[t '[mm']]]/1000),"")</f>
        <v/>
      </c>
      <c r="DO345" s="209"/>
      <c r="DP345" s="209"/>
      <c r="DQ345" s="187"/>
      <c r="DT345" s="99"/>
      <c r="DU345" s="99"/>
    </row>
    <row r="346" spans="1:125" ht="18" customHeight="1">
      <c r="A346" s="271"/>
      <c r="D346" s="280"/>
      <c r="E346" s="52"/>
      <c r="K346" s="233" t="str">
        <f>IFERROR(MP_DATA[[#This Row],[Top '[m']]]-MP_DATA[[#This Row],[Bottom '[m']]], "")</f>
        <v/>
      </c>
      <c r="L346" s="217" t="str">
        <f>IFERROR(-(MP_DATA[[#This Row],[D, bottom '[m']]]-MP_DATA[[#This Row],[D, top '[m']]])/(MP_DATA[[#This Row],[Bottom '[m']]]-MP_DATA[[#This Row],[Top '[m']]]),"")</f>
        <v/>
      </c>
      <c r="M346" s="145" t="str">
        <f t="shared" si="14"/>
        <v/>
      </c>
      <c r="N346" s="234" t="str">
        <f>IFERROR((MP_DATA[[#This Row],[D, bottom '[m']]]+MP_DATA[[#This Row],[D, top '[m']]])/(2*MP_DATA[[#This Row],[t '[mm']]]/1000),"")</f>
        <v/>
      </c>
      <c r="Q346" s="209"/>
      <c r="R346" s="209"/>
      <c r="S346" s="187"/>
      <c r="AV346" s="233" t="str">
        <f>IFERROR(TP_DATA[[#This Row],[Top '[m']]]-TP_DATA[[#This Row],[Bottom '[m']]], "")</f>
        <v/>
      </c>
      <c r="AW346" s="208"/>
      <c r="AX346" s="209"/>
      <c r="AY346" s="240"/>
      <c r="BB346" s="99"/>
      <c r="BC346" s="99"/>
      <c r="BD346" s="187"/>
      <c r="CH346" s="233" t="str">
        <f>IFERROR(TOWER_DATA[[#This Row],[Top '[m']]]-TOWER_DATA[[#This Row],[Bottom '[m']]], "")</f>
        <v/>
      </c>
      <c r="CI346" s="217" t="str">
        <f>IFERROR(-(TOWER_DATA[[#This Row],[D, bottom '[m']]]-TOWER_DATA[[#This Row],[D, top '[m']]])/(TOWER_DATA[[#This Row],[Bottom '[m']]]-TOWER_DATA[[#This Row],[Top '[m']]]),"")</f>
        <v/>
      </c>
      <c r="CJ346" s="145" t="str">
        <f t="shared" si="13"/>
        <v/>
      </c>
      <c r="CK346" s="234" t="str">
        <f>IFERROR((TOWER_DATA[[#This Row],[D, bottom '[m']]]+TOWER_DATA[[#This Row],[D, top '[m']]])/(2*TOWER_DATA[[#This Row],[t '[mm']]]/1000),"")</f>
        <v/>
      </c>
      <c r="DO346" s="209"/>
      <c r="DP346" s="209"/>
      <c r="DQ346" s="187"/>
      <c r="DT346" s="99"/>
      <c r="DU346" s="99"/>
    </row>
    <row r="347" spans="1:125" ht="18" customHeight="1">
      <c r="A347" s="271"/>
      <c r="D347" s="280"/>
      <c r="E347" s="52"/>
      <c r="K347" s="233" t="str">
        <f>IFERROR(MP_DATA[[#This Row],[Top '[m']]]-MP_DATA[[#This Row],[Bottom '[m']]], "")</f>
        <v/>
      </c>
      <c r="L347" s="217" t="str">
        <f>IFERROR(-(MP_DATA[[#This Row],[D, bottom '[m']]]-MP_DATA[[#This Row],[D, top '[m']]])/(MP_DATA[[#This Row],[Bottom '[m']]]-MP_DATA[[#This Row],[Top '[m']]]),"")</f>
        <v/>
      </c>
      <c r="M347" s="145" t="str">
        <f t="shared" si="14"/>
        <v/>
      </c>
      <c r="N347" s="234" t="str">
        <f>IFERROR((MP_DATA[[#This Row],[D, bottom '[m']]]+MP_DATA[[#This Row],[D, top '[m']]])/(2*MP_DATA[[#This Row],[t '[mm']]]/1000),"")</f>
        <v/>
      </c>
      <c r="Q347" s="209"/>
      <c r="R347" s="209"/>
      <c r="S347" s="187"/>
      <c r="AV347" s="233" t="str">
        <f>IFERROR(TP_DATA[[#This Row],[Top '[m']]]-TP_DATA[[#This Row],[Bottom '[m']]], "")</f>
        <v/>
      </c>
      <c r="AW347" s="208"/>
      <c r="AX347" s="209"/>
      <c r="AY347" s="240"/>
      <c r="BB347" s="99"/>
      <c r="BC347" s="99"/>
      <c r="BD347" s="187"/>
      <c r="CH347" s="233" t="str">
        <f>IFERROR(TOWER_DATA[[#This Row],[Top '[m']]]-TOWER_DATA[[#This Row],[Bottom '[m']]], "")</f>
        <v/>
      </c>
      <c r="CI347" s="217" t="str">
        <f>IFERROR(-(TOWER_DATA[[#This Row],[D, bottom '[m']]]-TOWER_DATA[[#This Row],[D, top '[m']]])/(TOWER_DATA[[#This Row],[Bottom '[m']]]-TOWER_DATA[[#This Row],[Top '[m']]]),"")</f>
        <v/>
      </c>
      <c r="CJ347" s="145" t="str">
        <f t="shared" si="13"/>
        <v/>
      </c>
      <c r="CK347" s="234" t="str">
        <f>IFERROR((TOWER_DATA[[#This Row],[D, bottom '[m']]]+TOWER_DATA[[#This Row],[D, top '[m']]])/(2*TOWER_DATA[[#This Row],[t '[mm']]]/1000),"")</f>
        <v/>
      </c>
      <c r="DO347" s="209"/>
      <c r="DP347" s="209"/>
      <c r="DQ347" s="187"/>
      <c r="DT347" s="99"/>
      <c r="DU347" s="99"/>
    </row>
    <row r="348" spans="1:125" ht="18" customHeight="1">
      <c r="A348" s="271"/>
      <c r="D348" s="280"/>
      <c r="E348" s="52"/>
      <c r="K348" s="233" t="str">
        <f>IFERROR(MP_DATA[[#This Row],[Top '[m']]]-MP_DATA[[#This Row],[Bottom '[m']]], "")</f>
        <v/>
      </c>
      <c r="L348" s="217" t="str">
        <f>IFERROR(-(MP_DATA[[#This Row],[D, bottom '[m']]]-MP_DATA[[#This Row],[D, top '[m']]])/(MP_DATA[[#This Row],[Bottom '[m']]]-MP_DATA[[#This Row],[Top '[m']]]),"")</f>
        <v/>
      </c>
      <c r="M348" s="145" t="str">
        <f t="shared" si="14"/>
        <v/>
      </c>
      <c r="N348" s="234" t="str">
        <f>IFERROR((MP_DATA[[#This Row],[D, bottom '[m']]]+MP_DATA[[#This Row],[D, top '[m']]])/(2*MP_DATA[[#This Row],[t '[mm']]]/1000),"")</f>
        <v/>
      </c>
      <c r="Q348" s="209"/>
      <c r="R348" s="209"/>
      <c r="S348" s="187"/>
      <c r="AV348" s="233" t="str">
        <f>IFERROR(TP_DATA[[#This Row],[Top '[m']]]-TP_DATA[[#This Row],[Bottom '[m']]], "")</f>
        <v/>
      </c>
      <c r="AW348" s="208"/>
      <c r="AX348" s="209"/>
      <c r="AY348" s="240"/>
      <c r="BB348" s="99"/>
      <c r="BC348" s="99"/>
      <c r="BD348" s="187"/>
      <c r="CH348" s="233" t="str">
        <f>IFERROR(TOWER_DATA[[#This Row],[Top '[m']]]-TOWER_DATA[[#This Row],[Bottom '[m']]], "")</f>
        <v/>
      </c>
      <c r="CI348" s="217" t="str">
        <f>IFERROR(-(TOWER_DATA[[#This Row],[D, bottom '[m']]]-TOWER_DATA[[#This Row],[D, top '[m']]])/(TOWER_DATA[[#This Row],[Bottom '[m']]]-TOWER_DATA[[#This Row],[Top '[m']]]),"")</f>
        <v/>
      </c>
      <c r="CJ348" s="145" t="str">
        <f t="shared" si="13"/>
        <v/>
      </c>
      <c r="CK348" s="234" t="str">
        <f>IFERROR((TOWER_DATA[[#This Row],[D, bottom '[m']]]+TOWER_DATA[[#This Row],[D, top '[m']]])/(2*TOWER_DATA[[#This Row],[t '[mm']]]/1000),"")</f>
        <v/>
      </c>
      <c r="DO348" s="209"/>
      <c r="DP348" s="209"/>
      <c r="DQ348" s="187"/>
      <c r="DT348" s="99"/>
      <c r="DU348" s="99"/>
    </row>
    <row r="349" spans="1:125" ht="18" customHeight="1">
      <c r="A349" s="271"/>
      <c r="D349" s="280"/>
      <c r="E349" s="52"/>
      <c r="K349" s="233" t="str">
        <f>IFERROR(MP_DATA[[#This Row],[Top '[m']]]-MP_DATA[[#This Row],[Bottom '[m']]], "")</f>
        <v/>
      </c>
      <c r="L349" s="217" t="str">
        <f>IFERROR(-(MP_DATA[[#This Row],[D, bottom '[m']]]-MP_DATA[[#This Row],[D, top '[m']]])/(MP_DATA[[#This Row],[Bottom '[m']]]-MP_DATA[[#This Row],[Top '[m']]]),"")</f>
        <v/>
      </c>
      <c r="M349" s="145" t="str">
        <f t="shared" si="14"/>
        <v/>
      </c>
      <c r="N349" s="234" t="str">
        <f>IFERROR((MP_DATA[[#This Row],[D, bottom '[m']]]+MP_DATA[[#This Row],[D, top '[m']]])/(2*MP_DATA[[#This Row],[t '[mm']]]/1000),"")</f>
        <v/>
      </c>
      <c r="Q349" s="209"/>
      <c r="R349" s="209"/>
      <c r="S349" s="187"/>
      <c r="AV349" s="233" t="str">
        <f>IFERROR(TP_DATA[[#This Row],[Top '[m']]]-TP_DATA[[#This Row],[Bottom '[m']]], "")</f>
        <v/>
      </c>
      <c r="AW349" s="208"/>
      <c r="AX349" s="209"/>
      <c r="AY349" s="240"/>
      <c r="BB349" s="99"/>
      <c r="BC349" s="99"/>
      <c r="BD349" s="187"/>
      <c r="CH349" s="233" t="str">
        <f>IFERROR(TOWER_DATA[[#This Row],[Top '[m']]]-TOWER_DATA[[#This Row],[Bottom '[m']]], "")</f>
        <v/>
      </c>
      <c r="CI349" s="217" t="str">
        <f>IFERROR(-(TOWER_DATA[[#This Row],[D, bottom '[m']]]-TOWER_DATA[[#This Row],[D, top '[m']]])/(TOWER_DATA[[#This Row],[Bottom '[m']]]-TOWER_DATA[[#This Row],[Top '[m']]]),"")</f>
        <v/>
      </c>
      <c r="CJ349" s="145" t="str">
        <f t="shared" si="13"/>
        <v/>
      </c>
      <c r="CK349" s="234" t="str">
        <f>IFERROR((TOWER_DATA[[#This Row],[D, bottom '[m']]]+TOWER_DATA[[#This Row],[D, top '[m']]])/(2*TOWER_DATA[[#This Row],[t '[mm']]]/1000),"")</f>
        <v/>
      </c>
      <c r="DO349" s="209"/>
      <c r="DP349" s="209"/>
      <c r="DQ349" s="187"/>
      <c r="DT349" s="99"/>
      <c r="DU349" s="99"/>
    </row>
    <row r="350" spans="1:125" ht="18" customHeight="1">
      <c r="A350" s="271"/>
      <c r="D350" s="280"/>
      <c r="E350" s="52"/>
      <c r="K350" s="233" t="str">
        <f>IFERROR(MP_DATA[[#This Row],[Top '[m']]]-MP_DATA[[#This Row],[Bottom '[m']]], "")</f>
        <v/>
      </c>
      <c r="L350" s="217" t="str">
        <f>IFERROR(-(MP_DATA[[#This Row],[D, bottom '[m']]]-MP_DATA[[#This Row],[D, top '[m']]])/(MP_DATA[[#This Row],[Bottom '[m']]]-MP_DATA[[#This Row],[Top '[m']]]),"")</f>
        <v/>
      </c>
      <c r="M350" s="145" t="str">
        <f t="shared" si="14"/>
        <v/>
      </c>
      <c r="N350" s="234" t="str">
        <f>IFERROR((MP_DATA[[#This Row],[D, bottom '[m']]]+MP_DATA[[#This Row],[D, top '[m']]])/(2*MP_DATA[[#This Row],[t '[mm']]]/1000),"")</f>
        <v/>
      </c>
      <c r="Q350" s="209"/>
      <c r="R350" s="209"/>
      <c r="S350" s="187"/>
      <c r="AV350" s="233" t="str">
        <f>IFERROR(TP_DATA[[#This Row],[Top '[m']]]-TP_DATA[[#This Row],[Bottom '[m']]], "")</f>
        <v/>
      </c>
      <c r="AW350" s="208"/>
      <c r="AX350" s="209"/>
      <c r="AY350" s="240"/>
      <c r="BB350" s="99"/>
      <c r="BC350" s="99"/>
      <c r="BD350" s="187"/>
      <c r="CH350" s="233" t="str">
        <f>IFERROR(TOWER_DATA[[#This Row],[Top '[m']]]-TOWER_DATA[[#This Row],[Bottom '[m']]], "")</f>
        <v/>
      </c>
      <c r="CI350" s="217" t="str">
        <f>IFERROR(-(TOWER_DATA[[#This Row],[D, bottom '[m']]]-TOWER_DATA[[#This Row],[D, top '[m']]])/(TOWER_DATA[[#This Row],[Bottom '[m']]]-TOWER_DATA[[#This Row],[Top '[m']]]),"")</f>
        <v/>
      </c>
      <c r="CJ350" s="145" t="str">
        <f t="shared" si="13"/>
        <v/>
      </c>
      <c r="CK350" s="234" t="str">
        <f>IFERROR((TOWER_DATA[[#This Row],[D, bottom '[m']]]+TOWER_DATA[[#This Row],[D, top '[m']]])/(2*TOWER_DATA[[#This Row],[t '[mm']]]/1000),"")</f>
        <v/>
      </c>
      <c r="DO350" s="209"/>
      <c r="DP350" s="209"/>
      <c r="DQ350" s="187"/>
      <c r="DT350" s="99"/>
      <c r="DU350" s="99"/>
    </row>
    <row r="351" spans="1:125" ht="18" customHeight="1">
      <c r="A351" s="271"/>
      <c r="D351" s="280"/>
      <c r="E351" s="52"/>
      <c r="K351" s="233" t="str">
        <f>IFERROR(MP_DATA[[#This Row],[Top '[m']]]-MP_DATA[[#This Row],[Bottom '[m']]], "")</f>
        <v/>
      </c>
      <c r="L351" s="217" t="str">
        <f>IFERROR(-(MP_DATA[[#This Row],[D, bottom '[m']]]-MP_DATA[[#This Row],[D, top '[m']]])/(MP_DATA[[#This Row],[Bottom '[m']]]-MP_DATA[[#This Row],[Top '[m']]]),"")</f>
        <v/>
      </c>
      <c r="M351" s="145" t="str">
        <f t="shared" si="14"/>
        <v/>
      </c>
      <c r="N351" s="234" t="str">
        <f>IFERROR((MP_DATA[[#This Row],[D, bottom '[m']]]+MP_DATA[[#This Row],[D, top '[m']]])/(2*MP_DATA[[#This Row],[t '[mm']]]/1000),"")</f>
        <v/>
      </c>
      <c r="Q351" s="209"/>
      <c r="R351" s="209"/>
      <c r="S351" s="187"/>
      <c r="AV351" s="233" t="str">
        <f>IFERROR(TP_DATA[[#This Row],[Top '[m']]]-TP_DATA[[#This Row],[Bottom '[m']]], "")</f>
        <v/>
      </c>
      <c r="AW351" s="208"/>
      <c r="AX351" s="209"/>
      <c r="AY351" s="240"/>
      <c r="BB351" s="99"/>
      <c r="BC351" s="99"/>
      <c r="BD351" s="187"/>
      <c r="CH351" s="233" t="str">
        <f>IFERROR(TOWER_DATA[[#This Row],[Top '[m']]]-TOWER_DATA[[#This Row],[Bottom '[m']]], "")</f>
        <v/>
      </c>
      <c r="CI351" s="217" t="str">
        <f>IFERROR(-(TOWER_DATA[[#This Row],[D, bottom '[m']]]-TOWER_DATA[[#This Row],[D, top '[m']]])/(TOWER_DATA[[#This Row],[Bottom '[m']]]-TOWER_DATA[[#This Row],[Top '[m']]]),"")</f>
        <v/>
      </c>
      <c r="CJ351" s="145" t="str">
        <f t="shared" si="13"/>
        <v/>
      </c>
      <c r="CK351" s="234" t="str">
        <f>IFERROR((TOWER_DATA[[#This Row],[D, bottom '[m']]]+TOWER_DATA[[#This Row],[D, top '[m']]])/(2*TOWER_DATA[[#This Row],[t '[mm']]]/1000),"")</f>
        <v/>
      </c>
      <c r="DO351" s="209"/>
      <c r="DP351" s="209"/>
      <c r="DQ351" s="187"/>
      <c r="DT351" s="99"/>
      <c r="DU351" s="99"/>
    </row>
    <row r="352" spans="1:125" ht="18" customHeight="1">
      <c r="A352" s="271"/>
      <c r="D352" s="280"/>
      <c r="E352" s="52"/>
      <c r="K352" s="233" t="str">
        <f>IFERROR(MP_DATA[[#This Row],[Top '[m']]]-MP_DATA[[#This Row],[Bottom '[m']]], "")</f>
        <v/>
      </c>
      <c r="L352" s="217" t="str">
        <f>IFERROR(-(MP_DATA[[#This Row],[D, bottom '[m']]]-MP_DATA[[#This Row],[D, top '[m']]])/(MP_DATA[[#This Row],[Bottom '[m']]]-MP_DATA[[#This Row],[Top '[m']]]),"")</f>
        <v/>
      </c>
      <c r="M352" s="145" t="str">
        <f t="shared" si="14"/>
        <v/>
      </c>
      <c r="N352" s="234" t="str">
        <f>IFERROR((MP_DATA[[#This Row],[D, bottom '[m']]]+MP_DATA[[#This Row],[D, top '[m']]])/(2*MP_DATA[[#This Row],[t '[mm']]]/1000),"")</f>
        <v/>
      </c>
      <c r="Q352" s="209"/>
      <c r="R352" s="209"/>
      <c r="S352" s="187"/>
      <c r="AV352" s="233" t="str">
        <f>IFERROR(TP_DATA[[#This Row],[Top '[m']]]-TP_DATA[[#This Row],[Bottom '[m']]], "")</f>
        <v/>
      </c>
      <c r="AW352" s="208"/>
      <c r="AX352" s="209"/>
      <c r="AY352" s="240"/>
      <c r="BB352" s="99"/>
      <c r="BC352" s="99"/>
      <c r="BD352" s="187"/>
      <c r="CH352" s="233" t="str">
        <f>IFERROR(TOWER_DATA[[#This Row],[Top '[m']]]-TOWER_DATA[[#This Row],[Bottom '[m']]], "")</f>
        <v/>
      </c>
      <c r="CI352" s="217" t="str">
        <f>IFERROR(-(TOWER_DATA[[#This Row],[D, bottom '[m']]]-TOWER_DATA[[#This Row],[D, top '[m']]])/(TOWER_DATA[[#This Row],[Bottom '[m']]]-TOWER_DATA[[#This Row],[Top '[m']]]),"")</f>
        <v/>
      </c>
      <c r="CJ352" s="145" t="str">
        <f t="shared" si="13"/>
        <v/>
      </c>
      <c r="CK352" s="234" t="str">
        <f>IFERROR((TOWER_DATA[[#This Row],[D, bottom '[m']]]+TOWER_DATA[[#This Row],[D, top '[m']]])/(2*TOWER_DATA[[#This Row],[t '[mm']]]/1000),"")</f>
        <v/>
      </c>
      <c r="DO352" s="209"/>
      <c r="DP352" s="209"/>
      <c r="DQ352" s="187"/>
      <c r="DT352" s="99"/>
      <c r="DU352" s="99"/>
    </row>
    <row r="353" spans="1:125" ht="18" customHeight="1">
      <c r="A353" s="271"/>
      <c r="D353" s="280"/>
      <c r="E353" s="52"/>
      <c r="K353" s="233" t="str">
        <f>IFERROR(MP_DATA[[#This Row],[Top '[m']]]-MP_DATA[[#This Row],[Bottom '[m']]], "")</f>
        <v/>
      </c>
      <c r="L353" s="217" t="str">
        <f>IFERROR(-(MP_DATA[[#This Row],[D, bottom '[m']]]-MP_DATA[[#This Row],[D, top '[m']]])/(MP_DATA[[#This Row],[Bottom '[m']]]-MP_DATA[[#This Row],[Top '[m']]]),"")</f>
        <v/>
      </c>
      <c r="M353" s="145" t="str">
        <f t="shared" si="14"/>
        <v/>
      </c>
      <c r="N353" s="234" t="str">
        <f>IFERROR((MP_DATA[[#This Row],[D, bottom '[m']]]+MP_DATA[[#This Row],[D, top '[m']]])/(2*MP_DATA[[#This Row],[t '[mm']]]/1000),"")</f>
        <v/>
      </c>
      <c r="Q353" s="209"/>
      <c r="R353" s="209"/>
      <c r="S353" s="187"/>
      <c r="AV353" s="233" t="str">
        <f>IFERROR(TP_DATA[[#This Row],[Top '[m']]]-TP_DATA[[#This Row],[Bottom '[m']]], "")</f>
        <v/>
      </c>
      <c r="AW353" s="208"/>
      <c r="AX353" s="209"/>
      <c r="AY353" s="240"/>
      <c r="BB353" s="99"/>
      <c r="BC353" s="99"/>
      <c r="BD353" s="187"/>
      <c r="CH353" s="233" t="str">
        <f>IFERROR(TOWER_DATA[[#This Row],[Top '[m']]]-TOWER_DATA[[#This Row],[Bottom '[m']]], "")</f>
        <v/>
      </c>
      <c r="CI353" s="217" t="str">
        <f>IFERROR(-(TOWER_DATA[[#This Row],[D, bottom '[m']]]-TOWER_DATA[[#This Row],[D, top '[m']]])/(TOWER_DATA[[#This Row],[Bottom '[m']]]-TOWER_DATA[[#This Row],[Top '[m']]]),"")</f>
        <v/>
      </c>
      <c r="CJ353" s="145" t="str">
        <f t="shared" si="13"/>
        <v/>
      </c>
      <c r="CK353" s="234" t="str">
        <f>IFERROR((TOWER_DATA[[#This Row],[D, bottom '[m']]]+TOWER_DATA[[#This Row],[D, top '[m']]])/(2*TOWER_DATA[[#This Row],[t '[mm']]]/1000),"")</f>
        <v/>
      </c>
      <c r="DO353" s="209"/>
      <c r="DP353" s="209"/>
      <c r="DQ353" s="187"/>
      <c r="DT353" s="99"/>
      <c r="DU353" s="99"/>
    </row>
    <row r="354" spans="1:125" ht="18" customHeight="1">
      <c r="A354" s="271"/>
      <c r="D354" s="280"/>
      <c r="E354" s="52"/>
      <c r="K354" s="233" t="str">
        <f>IFERROR(MP_DATA[[#This Row],[Top '[m']]]-MP_DATA[[#This Row],[Bottom '[m']]], "")</f>
        <v/>
      </c>
      <c r="L354" s="217" t="str">
        <f>IFERROR(-(MP_DATA[[#This Row],[D, bottom '[m']]]-MP_DATA[[#This Row],[D, top '[m']]])/(MP_DATA[[#This Row],[Bottom '[m']]]-MP_DATA[[#This Row],[Top '[m']]]),"")</f>
        <v/>
      </c>
      <c r="M354" s="145" t="str">
        <f t="shared" si="14"/>
        <v/>
      </c>
      <c r="N354" s="234" t="str">
        <f>IFERROR((MP_DATA[[#This Row],[D, bottom '[m']]]+MP_DATA[[#This Row],[D, top '[m']]])/(2*MP_DATA[[#This Row],[t '[mm']]]/1000),"")</f>
        <v/>
      </c>
      <c r="Q354" s="209"/>
      <c r="R354" s="209"/>
      <c r="S354" s="187"/>
      <c r="AV354" s="233" t="str">
        <f>IFERROR(TP_DATA[[#This Row],[Top '[m']]]-TP_DATA[[#This Row],[Bottom '[m']]], "")</f>
        <v/>
      </c>
      <c r="AW354" s="208"/>
      <c r="AX354" s="209"/>
      <c r="AY354" s="240"/>
      <c r="BB354" s="99"/>
      <c r="BC354" s="99"/>
      <c r="BD354" s="187"/>
      <c r="CH354" s="233" t="str">
        <f>IFERROR(TOWER_DATA[[#This Row],[Top '[m']]]-TOWER_DATA[[#This Row],[Bottom '[m']]], "")</f>
        <v/>
      </c>
      <c r="CI354" s="217" t="str">
        <f>IFERROR(-(TOWER_DATA[[#This Row],[D, bottom '[m']]]-TOWER_DATA[[#This Row],[D, top '[m']]])/(TOWER_DATA[[#This Row],[Bottom '[m']]]-TOWER_DATA[[#This Row],[Top '[m']]]),"")</f>
        <v/>
      </c>
      <c r="CJ354" s="145" t="str">
        <f t="shared" si="13"/>
        <v/>
      </c>
      <c r="CK354" s="234" t="str">
        <f>IFERROR((TOWER_DATA[[#This Row],[D, bottom '[m']]]+TOWER_DATA[[#This Row],[D, top '[m']]])/(2*TOWER_DATA[[#This Row],[t '[mm']]]/1000),"")</f>
        <v/>
      </c>
      <c r="DO354" s="209"/>
      <c r="DP354" s="209"/>
      <c r="DQ354" s="187"/>
      <c r="DT354" s="99"/>
      <c r="DU354" s="99"/>
    </row>
    <row r="355" spans="1:125" ht="18" customHeight="1">
      <c r="A355" s="271"/>
      <c r="D355" s="280"/>
      <c r="E355" s="52"/>
      <c r="K355" s="233" t="str">
        <f>IFERROR(MP_DATA[[#This Row],[Top '[m']]]-MP_DATA[[#This Row],[Bottom '[m']]], "")</f>
        <v/>
      </c>
      <c r="L355" s="217" t="str">
        <f>IFERROR(-(MP_DATA[[#This Row],[D, bottom '[m']]]-MP_DATA[[#This Row],[D, top '[m']]])/(MP_DATA[[#This Row],[Bottom '[m']]]-MP_DATA[[#This Row],[Top '[m']]]),"")</f>
        <v/>
      </c>
      <c r="M355" s="145" t="str">
        <f t="shared" si="14"/>
        <v/>
      </c>
      <c r="N355" s="234" t="str">
        <f>IFERROR((MP_DATA[[#This Row],[D, bottom '[m']]]+MP_DATA[[#This Row],[D, top '[m']]])/(2*MP_DATA[[#This Row],[t '[mm']]]/1000),"")</f>
        <v/>
      </c>
      <c r="Q355" s="209"/>
      <c r="R355" s="209"/>
      <c r="S355" s="187"/>
      <c r="AV355" s="233" t="str">
        <f>IFERROR(TP_DATA[[#This Row],[Top '[m']]]-TP_DATA[[#This Row],[Bottom '[m']]], "")</f>
        <v/>
      </c>
      <c r="AW355" s="208"/>
      <c r="AX355" s="209"/>
      <c r="AY355" s="240"/>
      <c r="BB355" s="99"/>
      <c r="BC355" s="99"/>
      <c r="BD355" s="187"/>
      <c r="CH355" s="233" t="str">
        <f>IFERROR(TOWER_DATA[[#This Row],[Top '[m']]]-TOWER_DATA[[#This Row],[Bottom '[m']]], "")</f>
        <v/>
      </c>
      <c r="CI355" s="217" t="str">
        <f>IFERROR(-(TOWER_DATA[[#This Row],[D, bottom '[m']]]-TOWER_DATA[[#This Row],[D, top '[m']]])/(TOWER_DATA[[#This Row],[Bottom '[m']]]-TOWER_DATA[[#This Row],[Top '[m']]]),"")</f>
        <v/>
      </c>
      <c r="CJ355" s="145" t="str">
        <f t="shared" si="13"/>
        <v/>
      </c>
      <c r="CK355" s="234" t="str">
        <f>IFERROR((TOWER_DATA[[#This Row],[D, bottom '[m']]]+TOWER_DATA[[#This Row],[D, top '[m']]])/(2*TOWER_DATA[[#This Row],[t '[mm']]]/1000),"")</f>
        <v/>
      </c>
      <c r="DO355" s="209"/>
      <c r="DP355" s="209"/>
      <c r="DQ355" s="187"/>
      <c r="DT355" s="99"/>
      <c r="DU355" s="99"/>
    </row>
    <row r="356" spans="1:125" ht="18" customHeight="1">
      <c r="A356" s="271"/>
      <c r="D356" s="280"/>
      <c r="E356" s="52"/>
      <c r="K356" s="233" t="str">
        <f>IFERROR(MP_DATA[[#This Row],[Top '[m']]]-MP_DATA[[#This Row],[Bottom '[m']]], "")</f>
        <v/>
      </c>
      <c r="L356" s="217" t="str">
        <f>IFERROR(-(MP_DATA[[#This Row],[D, bottom '[m']]]-MP_DATA[[#This Row],[D, top '[m']]])/(MP_DATA[[#This Row],[Bottom '[m']]]-MP_DATA[[#This Row],[Top '[m']]]),"")</f>
        <v/>
      </c>
      <c r="M356" s="145" t="str">
        <f t="shared" si="14"/>
        <v/>
      </c>
      <c r="N356" s="234" t="str">
        <f>IFERROR((MP_DATA[[#This Row],[D, bottom '[m']]]+MP_DATA[[#This Row],[D, top '[m']]])/(2*MP_DATA[[#This Row],[t '[mm']]]/1000),"")</f>
        <v/>
      </c>
      <c r="Q356" s="209"/>
      <c r="R356" s="209"/>
      <c r="S356" s="187"/>
      <c r="AV356" s="233" t="str">
        <f>IFERROR(TP_DATA[[#This Row],[Top '[m']]]-TP_DATA[[#This Row],[Bottom '[m']]], "")</f>
        <v/>
      </c>
      <c r="AW356" s="208"/>
      <c r="AX356" s="209"/>
      <c r="AY356" s="240"/>
      <c r="BB356" s="99"/>
      <c r="BC356" s="99"/>
      <c r="BD356" s="187"/>
      <c r="CH356" s="233" t="str">
        <f>IFERROR(TOWER_DATA[[#This Row],[Top '[m']]]-TOWER_DATA[[#This Row],[Bottom '[m']]], "")</f>
        <v/>
      </c>
      <c r="CI356" s="217" t="str">
        <f>IFERROR(-(TOWER_DATA[[#This Row],[D, bottom '[m']]]-TOWER_DATA[[#This Row],[D, top '[m']]])/(TOWER_DATA[[#This Row],[Bottom '[m']]]-TOWER_DATA[[#This Row],[Top '[m']]]),"")</f>
        <v/>
      </c>
      <c r="CJ356" s="145" t="str">
        <f t="shared" si="13"/>
        <v/>
      </c>
      <c r="CK356" s="234" t="str">
        <f>IFERROR((TOWER_DATA[[#This Row],[D, bottom '[m']]]+TOWER_DATA[[#This Row],[D, top '[m']]])/(2*TOWER_DATA[[#This Row],[t '[mm']]]/1000),"")</f>
        <v/>
      </c>
      <c r="DO356" s="209"/>
      <c r="DP356" s="209"/>
      <c r="DQ356" s="187"/>
      <c r="DT356" s="99"/>
      <c r="DU356" s="99"/>
    </row>
    <row r="357" spans="1:125" ht="18" customHeight="1">
      <c r="A357" s="271"/>
      <c r="D357" s="280"/>
      <c r="E357" s="52"/>
      <c r="K357" s="233" t="str">
        <f>IFERROR(MP_DATA[[#This Row],[Top '[m']]]-MP_DATA[[#This Row],[Bottom '[m']]], "")</f>
        <v/>
      </c>
      <c r="L357" s="217" t="str">
        <f>IFERROR(-(MP_DATA[[#This Row],[D, bottom '[m']]]-MP_DATA[[#This Row],[D, top '[m']]])/(MP_DATA[[#This Row],[Bottom '[m']]]-MP_DATA[[#This Row],[Top '[m']]]),"")</f>
        <v/>
      </c>
      <c r="M357" s="145" t="str">
        <f t="shared" si="14"/>
        <v/>
      </c>
      <c r="N357" s="234" t="str">
        <f>IFERROR((MP_DATA[[#This Row],[D, bottom '[m']]]+MP_DATA[[#This Row],[D, top '[m']]])/(2*MP_DATA[[#This Row],[t '[mm']]]/1000),"")</f>
        <v/>
      </c>
      <c r="Q357" s="209"/>
      <c r="R357" s="209"/>
      <c r="S357" s="187"/>
      <c r="AV357" s="233" t="str">
        <f>IFERROR(TP_DATA[[#This Row],[Top '[m']]]-TP_DATA[[#This Row],[Bottom '[m']]], "")</f>
        <v/>
      </c>
      <c r="AW357" s="208"/>
      <c r="AX357" s="209"/>
      <c r="AY357" s="240"/>
      <c r="BB357" s="99"/>
      <c r="BC357" s="99"/>
      <c r="BD357" s="187"/>
      <c r="CH357" s="233" t="str">
        <f>IFERROR(TOWER_DATA[[#This Row],[Top '[m']]]-TOWER_DATA[[#This Row],[Bottom '[m']]], "")</f>
        <v/>
      </c>
      <c r="CI357" s="217" t="str">
        <f>IFERROR(-(TOWER_DATA[[#This Row],[D, bottom '[m']]]-TOWER_DATA[[#This Row],[D, top '[m']]])/(TOWER_DATA[[#This Row],[Bottom '[m']]]-TOWER_DATA[[#This Row],[Top '[m']]]),"")</f>
        <v/>
      </c>
      <c r="CJ357" s="145" t="str">
        <f t="shared" si="13"/>
        <v/>
      </c>
      <c r="CK357" s="234" t="str">
        <f>IFERROR((TOWER_DATA[[#This Row],[D, bottom '[m']]]+TOWER_DATA[[#This Row],[D, top '[m']]])/(2*TOWER_DATA[[#This Row],[t '[mm']]]/1000),"")</f>
        <v/>
      </c>
      <c r="DO357" s="209"/>
      <c r="DP357" s="209"/>
      <c r="DQ357" s="187"/>
      <c r="DT357" s="99"/>
      <c r="DU357" s="99"/>
    </row>
    <row r="358" spans="1:125" ht="18" customHeight="1">
      <c r="A358" s="271"/>
      <c r="D358" s="280"/>
      <c r="E358" s="52"/>
      <c r="K358" s="233" t="str">
        <f>IFERROR(MP_DATA[[#This Row],[Top '[m']]]-MP_DATA[[#This Row],[Bottom '[m']]], "")</f>
        <v/>
      </c>
      <c r="L358" s="217" t="str">
        <f>IFERROR(-(MP_DATA[[#This Row],[D, bottom '[m']]]-MP_DATA[[#This Row],[D, top '[m']]])/(MP_DATA[[#This Row],[Bottom '[m']]]-MP_DATA[[#This Row],[Top '[m']]]),"")</f>
        <v/>
      </c>
      <c r="M358" s="145" t="str">
        <f t="shared" si="14"/>
        <v/>
      </c>
      <c r="N358" s="234" t="str">
        <f>IFERROR((MP_DATA[[#This Row],[D, bottom '[m']]]+MP_DATA[[#This Row],[D, top '[m']]])/(2*MP_DATA[[#This Row],[t '[mm']]]/1000),"")</f>
        <v/>
      </c>
      <c r="Q358" s="209"/>
      <c r="R358" s="209"/>
      <c r="S358" s="187"/>
      <c r="AV358" s="233" t="str">
        <f>IFERROR(TP_DATA[[#This Row],[Top '[m']]]-TP_DATA[[#This Row],[Bottom '[m']]], "")</f>
        <v/>
      </c>
      <c r="AW358" s="208"/>
      <c r="AX358" s="209"/>
      <c r="AY358" s="240"/>
      <c r="BB358" s="99"/>
      <c r="BC358" s="99"/>
      <c r="BD358" s="187"/>
      <c r="CH358" s="233" t="str">
        <f>IFERROR(TOWER_DATA[[#This Row],[Top '[m']]]-TOWER_DATA[[#This Row],[Bottom '[m']]], "")</f>
        <v/>
      </c>
      <c r="CI358" s="217" t="str">
        <f>IFERROR(-(TOWER_DATA[[#This Row],[D, bottom '[m']]]-TOWER_DATA[[#This Row],[D, top '[m']]])/(TOWER_DATA[[#This Row],[Bottom '[m']]]-TOWER_DATA[[#This Row],[Top '[m']]]),"")</f>
        <v/>
      </c>
      <c r="CJ358" s="145" t="str">
        <f t="shared" si="13"/>
        <v/>
      </c>
      <c r="CK358" s="234" t="str">
        <f>IFERROR((TOWER_DATA[[#This Row],[D, bottom '[m']]]+TOWER_DATA[[#This Row],[D, top '[m']]])/(2*TOWER_DATA[[#This Row],[t '[mm']]]/1000),"")</f>
        <v/>
      </c>
      <c r="DO358" s="209"/>
      <c r="DP358" s="209"/>
      <c r="DQ358" s="187"/>
      <c r="DT358" s="99"/>
      <c r="DU358" s="99"/>
    </row>
    <row r="359" spans="1:125" ht="18" customHeight="1">
      <c r="A359" s="271"/>
      <c r="D359" s="280"/>
      <c r="E359" s="52"/>
      <c r="K359" s="233" t="str">
        <f>IFERROR(MP_DATA[[#This Row],[Top '[m']]]-MP_DATA[[#This Row],[Bottom '[m']]], "")</f>
        <v/>
      </c>
      <c r="L359" s="217" t="str">
        <f>IFERROR(-(MP_DATA[[#This Row],[D, bottom '[m']]]-MP_DATA[[#This Row],[D, top '[m']]])/(MP_DATA[[#This Row],[Bottom '[m']]]-MP_DATA[[#This Row],[Top '[m']]]),"")</f>
        <v/>
      </c>
      <c r="M359" s="145" t="str">
        <f t="shared" si="14"/>
        <v/>
      </c>
      <c r="N359" s="234" t="str">
        <f>IFERROR((MP_DATA[[#This Row],[D, bottom '[m']]]+MP_DATA[[#This Row],[D, top '[m']]])/(2*MP_DATA[[#This Row],[t '[mm']]]/1000),"")</f>
        <v/>
      </c>
      <c r="Q359" s="209"/>
      <c r="R359" s="209"/>
      <c r="S359" s="187"/>
      <c r="AV359" s="233" t="str">
        <f>IFERROR(TP_DATA[[#This Row],[Top '[m']]]-TP_DATA[[#This Row],[Bottom '[m']]], "")</f>
        <v/>
      </c>
      <c r="AW359" s="208"/>
      <c r="AX359" s="209"/>
      <c r="AY359" s="240"/>
      <c r="BB359" s="99"/>
      <c r="BC359" s="99"/>
      <c r="BD359" s="187"/>
      <c r="CH359" s="233" t="str">
        <f>IFERROR(TOWER_DATA[[#This Row],[Top '[m']]]-TOWER_DATA[[#This Row],[Bottom '[m']]], "")</f>
        <v/>
      </c>
      <c r="CI359" s="217" t="str">
        <f>IFERROR(-(TOWER_DATA[[#This Row],[D, bottom '[m']]]-TOWER_DATA[[#This Row],[D, top '[m']]])/(TOWER_DATA[[#This Row],[Bottom '[m']]]-TOWER_DATA[[#This Row],[Top '[m']]]),"")</f>
        <v/>
      </c>
      <c r="CJ359" s="145" t="str">
        <f t="shared" si="13"/>
        <v/>
      </c>
      <c r="CK359" s="234" t="str">
        <f>IFERROR((TOWER_DATA[[#This Row],[D, bottom '[m']]]+TOWER_DATA[[#This Row],[D, top '[m']]])/(2*TOWER_DATA[[#This Row],[t '[mm']]]/1000),"")</f>
        <v/>
      </c>
      <c r="DO359" s="209"/>
      <c r="DP359" s="209"/>
      <c r="DQ359" s="187"/>
      <c r="DT359" s="99"/>
      <c r="DU359" s="99"/>
    </row>
    <row r="360" spans="1:125" ht="18" customHeight="1">
      <c r="A360" s="271"/>
      <c r="D360" s="280"/>
      <c r="E360" s="52"/>
      <c r="K360" s="233" t="str">
        <f>IFERROR(MP_DATA[[#This Row],[Top '[m']]]-MP_DATA[[#This Row],[Bottom '[m']]], "")</f>
        <v/>
      </c>
      <c r="L360" s="217" t="str">
        <f>IFERROR(-(MP_DATA[[#This Row],[D, bottom '[m']]]-MP_DATA[[#This Row],[D, top '[m']]])/(MP_DATA[[#This Row],[Bottom '[m']]]-MP_DATA[[#This Row],[Top '[m']]]),"")</f>
        <v/>
      </c>
      <c r="M360" s="145" t="str">
        <f t="shared" si="14"/>
        <v/>
      </c>
      <c r="N360" s="234" t="str">
        <f>IFERROR((MP_DATA[[#This Row],[D, bottom '[m']]]+MP_DATA[[#This Row],[D, top '[m']]])/(2*MP_DATA[[#This Row],[t '[mm']]]/1000),"")</f>
        <v/>
      </c>
      <c r="Q360" s="209"/>
      <c r="R360" s="209"/>
      <c r="S360" s="187"/>
      <c r="AV360" s="233" t="str">
        <f>IFERROR(TP_DATA[[#This Row],[Top '[m']]]-TP_DATA[[#This Row],[Bottom '[m']]], "")</f>
        <v/>
      </c>
      <c r="AW360" s="208"/>
      <c r="AX360" s="209"/>
      <c r="AY360" s="240"/>
      <c r="BB360" s="99"/>
      <c r="BC360" s="99"/>
      <c r="BD360" s="187"/>
      <c r="CH360" s="233" t="str">
        <f>IFERROR(TOWER_DATA[[#This Row],[Top '[m']]]-TOWER_DATA[[#This Row],[Bottom '[m']]], "")</f>
        <v/>
      </c>
      <c r="CI360" s="217" t="str">
        <f>IFERROR(-(TOWER_DATA[[#This Row],[D, bottom '[m']]]-TOWER_DATA[[#This Row],[D, top '[m']]])/(TOWER_DATA[[#This Row],[Bottom '[m']]]-TOWER_DATA[[#This Row],[Top '[m']]]),"")</f>
        <v/>
      </c>
      <c r="CJ360" s="145" t="str">
        <f t="shared" si="13"/>
        <v/>
      </c>
      <c r="CK360" s="234" t="str">
        <f>IFERROR((TOWER_DATA[[#This Row],[D, bottom '[m']]]+TOWER_DATA[[#This Row],[D, top '[m']]])/(2*TOWER_DATA[[#This Row],[t '[mm']]]/1000),"")</f>
        <v/>
      </c>
      <c r="DO360" s="209"/>
      <c r="DP360" s="209"/>
      <c r="DQ360" s="187"/>
      <c r="DT360" s="99"/>
      <c r="DU360" s="99"/>
    </row>
    <row r="361" spans="1:125" ht="18" customHeight="1">
      <c r="A361" s="271"/>
      <c r="D361" s="280"/>
      <c r="E361" s="52"/>
      <c r="K361" s="233" t="str">
        <f>IFERROR(MP_DATA[[#This Row],[Top '[m']]]-MP_DATA[[#This Row],[Bottom '[m']]], "")</f>
        <v/>
      </c>
      <c r="L361" s="217" t="str">
        <f>IFERROR(-(MP_DATA[[#This Row],[D, bottom '[m']]]-MP_DATA[[#This Row],[D, top '[m']]])/(MP_DATA[[#This Row],[Bottom '[m']]]-MP_DATA[[#This Row],[Top '[m']]]),"")</f>
        <v/>
      </c>
      <c r="M361" s="145" t="str">
        <f t="shared" si="14"/>
        <v/>
      </c>
      <c r="N361" s="234" t="str">
        <f>IFERROR((MP_DATA[[#This Row],[D, bottom '[m']]]+MP_DATA[[#This Row],[D, top '[m']]])/(2*MP_DATA[[#This Row],[t '[mm']]]/1000),"")</f>
        <v/>
      </c>
      <c r="Q361" s="209"/>
      <c r="R361" s="209"/>
      <c r="S361" s="187"/>
      <c r="AV361" s="233" t="str">
        <f>IFERROR(TP_DATA[[#This Row],[Top '[m']]]-TP_DATA[[#This Row],[Bottom '[m']]], "")</f>
        <v/>
      </c>
      <c r="AW361" s="208"/>
      <c r="AX361" s="209"/>
      <c r="AY361" s="240"/>
      <c r="BB361" s="99"/>
      <c r="BC361" s="99"/>
      <c r="BD361" s="187"/>
      <c r="CH361" s="233" t="str">
        <f>IFERROR(TOWER_DATA[[#This Row],[Top '[m']]]-TOWER_DATA[[#This Row],[Bottom '[m']]], "")</f>
        <v/>
      </c>
      <c r="CI361" s="217" t="str">
        <f>IFERROR(-(TOWER_DATA[[#This Row],[D, bottom '[m']]]-TOWER_DATA[[#This Row],[D, top '[m']]])/(TOWER_DATA[[#This Row],[Bottom '[m']]]-TOWER_DATA[[#This Row],[Top '[m']]]),"")</f>
        <v/>
      </c>
      <c r="CJ361" s="145" t="str">
        <f t="shared" si="13"/>
        <v/>
      </c>
      <c r="CK361" s="234" t="str">
        <f>IFERROR((TOWER_DATA[[#This Row],[D, bottom '[m']]]+TOWER_DATA[[#This Row],[D, top '[m']]])/(2*TOWER_DATA[[#This Row],[t '[mm']]]/1000),"")</f>
        <v/>
      </c>
      <c r="DO361" s="209"/>
      <c r="DP361" s="209"/>
      <c r="DQ361" s="187"/>
      <c r="DT361" s="99"/>
      <c r="DU361" s="99"/>
    </row>
    <row r="362" spans="1:125" ht="18" customHeight="1">
      <c r="A362" s="271"/>
      <c r="D362" s="280"/>
      <c r="E362" s="52"/>
      <c r="K362" s="233" t="str">
        <f>IFERROR(MP_DATA[[#This Row],[Top '[m']]]-MP_DATA[[#This Row],[Bottom '[m']]], "")</f>
        <v/>
      </c>
      <c r="L362" s="217" t="str">
        <f>IFERROR(-(MP_DATA[[#This Row],[D, bottom '[m']]]-MP_DATA[[#This Row],[D, top '[m']]])/(MP_DATA[[#This Row],[Bottom '[m']]]-MP_DATA[[#This Row],[Top '[m']]]),"")</f>
        <v/>
      </c>
      <c r="M362" s="145" t="str">
        <f t="shared" si="14"/>
        <v/>
      </c>
      <c r="N362" s="234" t="str">
        <f>IFERROR((MP_DATA[[#This Row],[D, bottom '[m']]]+MP_DATA[[#This Row],[D, top '[m']]])/(2*MP_DATA[[#This Row],[t '[mm']]]/1000),"")</f>
        <v/>
      </c>
      <c r="Q362" s="209"/>
      <c r="R362" s="209"/>
      <c r="S362" s="187"/>
      <c r="AV362" s="233" t="str">
        <f>IFERROR(TP_DATA[[#This Row],[Top '[m']]]-TP_DATA[[#This Row],[Bottom '[m']]], "")</f>
        <v/>
      </c>
      <c r="AW362" s="208"/>
      <c r="AX362" s="209"/>
      <c r="AY362" s="240"/>
      <c r="BB362" s="99"/>
      <c r="BC362" s="99"/>
      <c r="BD362" s="187"/>
      <c r="CH362" s="233" t="str">
        <f>IFERROR(TOWER_DATA[[#This Row],[Top '[m']]]-TOWER_DATA[[#This Row],[Bottom '[m']]], "")</f>
        <v/>
      </c>
      <c r="CI362" s="217" t="str">
        <f>IFERROR(-(TOWER_DATA[[#This Row],[D, bottom '[m']]]-TOWER_DATA[[#This Row],[D, top '[m']]])/(TOWER_DATA[[#This Row],[Bottom '[m']]]-TOWER_DATA[[#This Row],[Top '[m']]]),"")</f>
        <v/>
      </c>
      <c r="CJ362" s="145" t="str">
        <f t="shared" si="13"/>
        <v/>
      </c>
      <c r="CK362" s="234" t="str">
        <f>IFERROR((TOWER_DATA[[#This Row],[D, bottom '[m']]]+TOWER_DATA[[#This Row],[D, top '[m']]])/(2*TOWER_DATA[[#This Row],[t '[mm']]]/1000),"")</f>
        <v/>
      </c>
      <c r="DO362" s="209"/>
      <c r="DP362" s="209"/>
      <c r="DQ362" s="187"/>
      <c r="DT362" s="99"/>
      <c r="DU362" s="99"/>
    </row>
    <row r="363" spans="1:125" ht="18" customHeight="1">
      <c r="A363" s="271"/>
      <c r="D363" s="280"/>
      <c r="E363" s="52"/>
      <c r="K363" s="233" t="str">
        <f>IFERROR(MP_DATA[[#This Row],[Top '[m']]]-MP_DATA[[#This Row],[Bottom '[m']]], "")</f>
        <v/>
      </c>
      <c r="L363" s="217" t="str">
        <f>IFERROR(-(MP_DATA[[#This Row],[D, bottom '[m']]]-MP_DATA[[#This Row],[D, top '[m']]])/(MP_DATA[[#This Row],[Bottom '[m']]]-MP_DATA[[#This Row],[Top '[m']]]),"")</f>
        <v/>
      </c>
      <c r="M363" s="145" t="str">
        <f t="shared" si="14"/>
        <v/>
      </c>
      <c r="N363" s="234" t="str">
        <f>IFERROR((MP_DATA[[#This Row],[D, bottom '[m']]]+MP_DATA[[#This Row],[D, top '[m']]])/(2*MP_DATA[[#This Row],[t '[mm']]]/1000),"")</f>
        <v/>
      </c>
      <c r="Q363" s="209"/>
      <c r="R363" s="209"/>
      <c r="S363" s="187"/>
      <c r="AV363" s="233" t="str">
        <f>IFERROR(TP_DATA[[#This Row],[Top '[m']]]-TP_DATA[[#This Row],[Bottom '[m']]], "")</f>
        <v/>
      </c>
      <c r="AW363" s="208"/>
      <c r="AX363" s="209"/>
      <c r="AY363" s="240"/>
      <c r="BB363" s="99"/>
      <c r="BC363" s="99"/>
      <c r="BD363" s="187"/>
      <c r="CH363" s="233" t="str">
        <f>IFERROR(TOWER_DATA[[#This Row],[Top '[m']]]-TOWER_DATA[[#This Row],[Bottom '[m']]], "")</f>
        <v/>
      </c>
      <c r="CI363" s="217" t="str">
        <f>IFERROR(-(TOWER_DATA[[#This Row],[D, bottom '[m']]]-TOWER_DATA[[#This Row],[D, top '[m']]])/(TOWER_DATA[[#This Row],[Bottom '[m']]]-TOWER_DATA[[#This Row],[Top '[m']]]),"")</f>
        <v/>
      </c>
      <c r="CJ363" s="145" t="str">
        <f t="shared" si="13"/>
        <v/>
      </c>
      <c r="CK363" s="234" t="str">
        <f>IFERROR((TOWER_DATA[[#This Row],[D, bottom '[m']]]+TOWER_DATA[[#This Row],[D, top '[m']]])/(2*TOWER_DATA[[#This Row],[t '[mm']]]/1000),"")</f>
        <v/>
      </c>
      <c r="DO363" s="209"/>
      <c r="DP363" s="209"/>
      <c r="DQ363" s="187"/>
      <c r="DT363" s="99"/>
      <c r="DU363" s="99"/>
    </row>
    <row r="364" spans="1:125" ht="18" customHeight="1">
      <c r="A364" s="271"/>
      <c r="D364" s="280"/>
      <c r="E364" s="52"/>
      <c r="K364" s="233" t="str">
        <f>IFERROR(MP_DATA[[#This Row],[Top '[m']]]-MP_DATA[[#This Row],[Bottom '[m']]], "")</f>
        <v/>
      </c>
      <c r="L364" s="217" t="str">
        <f>IFERROR(-(MP_DATA[[#This Row],[D, bottom '[m']]]-MP_DATA[[#This Row],[D, top '[m']]])/(MP_DATA[[#This Row],[Bottom '[m']]]-MP_DATA[[#This Row],[Top '[m']]]),"")</f>
        <v/>
      </c>
      <c r="M364" s="145" t="str">
        <f t="shared" si="14"/>
        <v/>
      </c>
      <c r="N364" s="234" t="str">
        <f>IFERROR((MP_DATA[[#This Row],[D, bottom '[m']]]+MP_DATA[[#This Row],[D, top '[m']]])/(2*MP_DATA[[#This Row],[t '[mm']]]/1000),"")</f>
        <v/>
      </c>
      <c r="Q364" s="209"/>
      <c r="R364" s="209"/>
      <c r="S364" s="187"/>
      <c r="AV364" s="233" t="str">
        <f>IFERROR(TP_DATA[[#This Row],[Top '[m']]]-TP_DATA[[#This Row],[Bottom '[m']]], "")</f>
        <v/>
      </c>
      <c r="AW364" s="208"/>
      <c r="AX364" s="209"/>
      <c r="AY364" s="240"/>
      <c r="BB364" s="99"/>
      <c r="BC364" s="99"/>
      <c r="BD364" s="187"/>
      <c r="CH364" s="233" t="str">
        <f>IFERROR(TOWER_DATA[[#This Row],[Top '[m']]]-TOWER_DATA[[#This Row],[Bottom '[m']]], "")</f>
        <v/>
      </c>
      <c r="CI364" s="217" t="str">
        <f>IFERROR(-(TOWER_DATA[[#This Row],[D, bottom '[m']]]-TOWER_DATA[[#This Row],[D, top '[m']]])/(TOWER_DATA[[#This Row],[Bottom '[m']]]-TOWER_DATA[[#This Row],[Top '[m']]]),"")</f>
        <v/>
      </c>
      <c r="CJ364" s="145" t="str">
        <f t="shared" si="13"/>
        <v/>
      </c>
      <c r="CK364" s="234" t="str">
        <f>IFERROR((TOWER_DATA[[#This Row],[D, bottom '[m']]]+TOWER_DATA[[#This Row],[D, top '[m']]])/(2*TOWER_DATA[[#This Row],[t '[mm']]]/1000),"")</f>
        <v/>
      </c>
      <c r="DO364" s="209"/>
      <c r="DP364" s="209"/>
      <c r="DQ364" s="187"/>
      <c r="DT364" s="99"/>
      <c r="DU364" s="99"/>
    </row>
    <row r="365" spans="1:125" ht="18" customHeight="1">
      <c r="A365" s="271"/>
      <c r="D365" s="280"/>
      <c r="E365" s="52"/>
      <c r="K365" s="233" t="str">
        <f>IFERROR(MP_DATA[[#This Row],[Top '[m']]]-MP_DATA[[#This Row],[Bottom '[m']]], "")</f>
        <v/>
      </c>
      <c r="L365" s="217" t="str">
        <f>IFERROR(-(MP_DATA[[#This Row],[D, bottom '[m']]]-MP_DATA[[#This Row],[D, top '[m']]])/(MP_DATA[[#This Row],[Bottom '[m']]]-MP_DATA[[#This Row],[Top '[m']]]),"")</f>
        <v/>
      </c>
      <c r="M365" s="145" t="str">
        <f t="shared" si="14"/>
        <v/>
      </c>
      <c r="N365" s="234" t="str">
        <f>IFERROR((MP_DATA[[#This Row],[D, bottom '[m']]]+MP_DATA[[#This Row],[D, top '[m']]])/(2*MP_DATA[[#This Row],[t '[mm']]]/1000),"")</f>
        <v/>
      </c>
      <c r="Q365" s="209"/>
      <c r="R365" s="209"/>
      <c r="S365" s="187"/>
      <c r="AV365" s="233" t="str">
        <f>IFERROR(TP_DATA[[#This Row],[Top '[m']]]-TP_DATA[[#This Row],[Bottom '[m']]], "")</f>
        <v/>
      </c>
      <c r="AW365" s="208"/>
      <c r="AX365" s="209"/>
      <c r="AY365" s="240"/>
      <c r="BB365" s="99"/>
      <c r="BC365" s="99"/>
      <c r="BD365" s="187"/>
      <c r="CH365" s="233" t="str">
        <f>IFERROR(TOWER_DATA[[#This Row],[Top '[m']]]-TOWER_DATA[[#This Row],[Bottom '[m']]], "")</f>
        <v/>
      </c>
      <c r="CI365" s="217" t="str">
        <f>IFERROR(-(TOWER_DATA[[#This Row],[D, bottom '[m']]]-TOWER_DATA[[#This Row],[D, top '[m']]])/(TOWER_DATA[[#This Row],[Bottom '[m']]]-TOWER_DATA[[#This Row],[Top '[m']]]),"")</f>
        <v/>
      </c>
      <c r="CJ365" s="145" t="str">
        <f t="shared" si="13"/>
        <v/>
      </c>
      <c r="CK365" s="234" t="str">
        <f>IFERROR((TOWER_DATA[[#This Row],[D, bottom '[m']]]+TOWER_DATA[[#This Row],[D, top '[m']]])/(2*TOWER_DATA[[#This Row],[t '[mm']]]/1000),"")</f>
        <v/>
      </c>
      <c r="DO365" s="209"/>
      <c r="DP365" s="209"/>
      <c r="DQ365" s="187"/>
      <c r="DT365" s="99"/>
      <c r="DU365" s="99"/>
    </row>
    <row r="366" spans="1:125" ht="18" customHeight="1">
      <c r="A366" s="271"/>
      <c r="D366" s="280"/>
      <c r="E366" s="52"/>
      <c r="K366" s="233" t="str">
        <f>IFERROR(MP_DATA[[#This Row],[Top '[m']]]-MP_DATA[[#This Row],[Bottom '[m']]], "")</f>
        <v/>
      </c>
      <c r="L366" s="217" t="str">
        <f>IFERROR(-(MP_DATA[[#This Row],[D, bottom '[m']]]-MP_DATA[[#This Row],[D, top '[m']]])/(MP_DATA[[#This Row],[Bottom '[m']]]-MP_DATA[[#This Row],[Top '[m']]]),"")</f>
        <v/>
      </c>
      <c r="M366" s="145" t="str">
        <f t="shared" si="14"/>
        <v/>
      </c>
      <c r="N366" s="234" t="str">
        <f>IFERROR((MP_DATA[[#This Row],[D, bottom '[m']]]+MP_DATA[[#This Row],[D, top '[m']]])/(2*MP_DATA[[#This Row],[t '[mm']]]/1000),"")</f>
        <v/>
      </c>
      <c r="Q366" s="209"/>
      <c r="R366" s="209"/>
      <c r="S366" s="187"/>
      <c r="AV366" s="233" t="str">
        <f>IFERROR(TP_DATA[[#This Row],[Top '[m']]]-TP_DATA[[#This Row],[Bottom '[m']]], "")</f>
        <v/>
      </c>
      <c r="AW366" s="208"/>
      <c r="AX366" s="209"/>
      <c r="AY366" s="240"/>
      <c r="BB366" s="99"/>
      <c r="BC366" s="99"/>
      <c r="BD366" s="187"/>
      <c r="CH366" s="233" t="str">
        <f>IFERROR(TOWER_DATA[[#This Row],[Top '[m']]]-TOWER_DATA[[#This Row],[Bottom '[m']]], "")</f>
        <v/>
      </c>
      <c r="CI366" s="217" t="str">
        <f>IFERROR(-(TOWER_DATA[[#This Row],[D, bottom '[m']]]-TOWER_DATA[[#This Row],[D, top '[m']]])/(TOWER_DATA[[#This Row],[Bottom '[m']]]-TOWER_DATA[[#This Row],[Top '[m']]]),"")</f>
        <v/>
      </c>
      <c r="CJ366" s="145" t="str">
        <f t="shared" si="13"/>
        <v/>
      </c>
      <c r="CK366" s="234" t="str">
        <f>IFERROR((TOWER_DATA[[#This Row],[D, bottom '[m']]]+TOWER_DATA[[#This Row],[D, top '[m']]])/(2*TOWER_DATA[[#This Row],[t '[mm']]]/1000),"")</f>
        <v/>
      </c>
      <c r="DO366" s="209"/>
      <c r="DP366" s="209"/>
      <c r="DQ366" s="187"/>
      <c r="DT366" s="99"/>
      <c r="DU366" s="99"/>
    </row>
    <row r="367" spans="1:125" ht="18" customHeight="1">
      <c r="A367" s="271"/>
      <c r="D367" s="280"/>
      <c r="E367" s="52"/>
      <c r="K367" s="233" t="str">
        <f>IFERROR(MP_DATA[[#This Row],[Top '[m']]]-MP_DATA[[#This Row],[Bottom '[m']]], "")</f>
        <v/>
      </c>
      <c r="L367" s="217" t="str">
        <f>IFERROR(-(MP_DATA[[#This Row],[D, bottom '[m']]]-MP_DATA[[#This Row],[D, top '[m']]])/(MP_DATA[[#This Row],[Bottom '[m']]]-MP_DATA[[#This Row],[Top '[m']]]),"")</f>
        <v/>
      </c>
      <c r="M367" s="145" t="str">
        <f t="shared" si="14"/>
        <v/>
      </c>
      <c r="N367" s="234" t="str">
        <f>IFERROR((MP_DATA[[#This Row],[D, bottom '[m']]]+MP_DATA[[#This Row],[D, top '[m']]])/(2*MP_DATA[[#This Row],[t '[mm']]]/1000),"")</f>
        <v/>
      </c>
      <c r="Q367" s="209"/>
      <c r="R367" s="209"/>
      <c r="S367" s="187"/>
      <c r="AV367" s="233" t="str">
        <f>IFERROR(TP_DATA[[#This Row],[Top '[m']]]-TP_DATA[[#This Row],[Bottom '[m']]], "")</f>
        <v/>
      </c>
      <c r="AW367" s="208"/>
      <c r="AX367" s="209"/>
      <c r="AY367" s="240"/>
      <c r="BB367" s="99"/>
      <c r="BC367" s="99"/>
      <c r="BD367" s="187"/>
      <c r="CH367" s="233" t="str">
        <f>IFERROR(TOWER_DATA[[#This Row],[Top '[m']]]-TOWER_DATA[[#This Row],[Bottom '[m']]], "")</f>
        <v/>
      </c>
      <c r="CI367" s="217" t="str">
        <f>IFERROR(-(TOWER_DATA[[#This Row],[D, bottom '[m']]]-TOWER_DATA[[#This Row],[D, top '[m']]])/(TOWER_DATA[[#This Row],[Bottom '[m']]]-TOWER_DATA[[#This Row],[Top '[m']]]),"")</f>
        <v/>
      </c>
      <c r="CJ367" s="145" t="str">
        <f t="shared" si="13"/>
        <v/>
      </c>
      <c r="CK367" s="234" t="str">
        <f>IFERROR((TOWER_DATA[[#This Row],[D, bottom '[m']]]+TOWER_DATA[[#This Row],[D, top '[m']]])/(2*TOWER_DATA[[#This Row],[t '[mm']]]/1000),"")</f>
        <v/>
      </c>
      <c r="DO367" s="209"/>
      <c r="DP367" s="209"/>
      <c r="DQ367" s="187"/>
      <c r="DT367" s="99"/>
      <c r="DU367" s="99"/>
    </row>
    <row r="368" spans="1:125" ht="18" customHeight="1">
      <c r="A368" s="271"/>
      <c r="D368" s="280"/>
      <c r="E368" s="52"/>
      <c r="K368" s="233" t="str">
        <f>IFERROR(MP_DATA[[#This Row],[Top '[m']]]-MP_DATA[[#This Row],[Bottom '[m']]], "")</f>
        <v/>
      </c>
      <c r="L368" s="217" t="str">
        <f>IFERROR(-(MP_DATA[[#This Row],[D, bottom '[m']]]-MP_DATA[[#This Row],[D, top '[m']]])/(MP_DATA[[#This Row],[Bottom '[m']]]-MP_DATA[[#This Row],[Top '[m']]]),"")</f>
        <v/>
      </c>
      <c r="M368" s="145" t="str">
        <f t="shared" si="14"/>
        <v/>
      </c>
      <c r="N368" s="234" t="str">
        <f>IFERROR((MP_DATA[[#This Row],[D, bottom '[m']]]+MP_DATA[[#This Row],[D, top '[m']]])/(2*MP_DATA[[#This Row],[t '[mm']]]/1000),"")</f>
        <v/>
      </c>
      <c r="Q368" s="209"/>
      <c r="R368" s="209"/>
      <c r="S368" s="187"/>
      <c r="AV368" s="233" t="str">
        <f>IFERROR(TP_DATA[[#This Row],[Top '[m']]]-TP_DATA[[#This Row],[Bottom '[m']]], "")</f>
        <v/>
      </c>
      <c r="AW368" s="208"/>
      <c r="AX368" s="209"/>
      <c r="AY368" s="240"/>
      <c r="BB368" s="99"/>
      <c r="BC368" s="99"/>
      <c r="BD368" s="187"/>
      <c r="CH368" s="233" t="str">
        <f>IFERROR(TOWER_DATA[[#This Row],[Top '[m']]]-TOWER_DATA[[#This Row],[Bottom '[m']]], "")</f>
        <v/>
      </c>
      <c r="CI368" s="217" t="str">
        <f>IFERROR(-(TOWER_DATA[[#This Row],[D, bottom '[m']]]-TOWER_DATA[[#This Row],[D, top '[m']]])/(TOWER_DATA[[#This Row],[Bottom '[m']]]-TOWER_DATA[[#This Row],[Top '[m']]]),"")</f>
        <v/>
      </c>
      <c r="CJ368" s="145" t="str">
        <f t="shared" si="13"/>
        <v/>
      </c>
      <c r="CK368" s="234" t="str">
        <f>IFERROR((TOWER_DATA[[#This Row],[D, bottom '[m']]]+TOWER_DATA[[#This Row],[D, top '[m']]])/(2*TOWER_DATA[[#This Row],[t '[mm']]]/1000),"")</f>
        <v/>
      </c>
      <c r="DO368" s="209"/>
      <c r="DP368" s="209"/>
      <c r="DQ368" s="187"/>
      <c r="DT368" s="99"/>
      <c r="DU368" s="99"/>
    </row>
    <row r="369" spans="1:125" ht="18" customHeight="1">
      <c r="A369" s="271"/>
      <c r="D369" s="280"/>
      <c r="E369" s="52"/>
      <c r="K369" s="233" t="str">
        <f>IFERROR(MP_DATA[[#This Row],[Top '[m']]]-MP_DATA[[#This Row],[Bottom '[m']]], "")</f>
        <v/>
      </c>
      <c r="L369" s="217" t="str">
        <f>IFERROR(-(MP_DATA[[#This Row],[D, bottom '[m']]]-MP_DATA[[#This Row],[D, top '[m']]])/(MP_DATA[[#This Row],[Bottom '[m']]]-MP_DATA[[#This Row],[Top '[m']]]),"")</f>
        <v/>
      </c>
      <c r="M369" s="145" t="str">
        <f t="shared" si="14"/>
        <v/>
      </c>
      <c r="N369" s="234" t="str">
        <f>IFERROR((MP_DATA[[#This Row],[D, bottom '[m']]]+MP_DATA[[#This Row],[D, top '[m']]])/(2*MP_DATA[[#This Row],[t '[mm']]]/1000),"")</f>
        <v/>
      </c>
      <c r="Q369" s="209"/>
      <c r="R369" s="209"/>
      <c r="S369" s="187"/>
      <c r="AV369" s="233" t="str">
        <f>IFERROR(TP_DATA[[#This Row],[Top '[m']]]-TP_DATA[[#This Row],[Bottom '[m']]], "")</f>
        <v/>
      </c>
      <c r="AW369" s="208"/>
      <c r="AX369" s="209"/>
      <c r="AY369" s="240"/>
      <c r="BB369" s="99"/>
      <c r="BC369" s="99"/>
      <c r="BD369" s="187"/>
      <c r="CH369" s="233" t="str">
        <f>IFERROR(TOWER_DATA[[#This Row],[Top '[m']]]-TOWER_DATA[[#This Row],[Bottom '[m']]], "")</f>
        <v/>
      </c>
      <c r="CI369" s="217" t="str">
        <f>IFERROR(-(TOWER_DATA[[#This Row],[D, bottom '[m']]]-TOWER_DATA[[#This Row],[D, top '[m']]])/(TOWER_DATA[[#This Row],[Bottom '[m']]]-TOWER_DATA[[#This Row],[Top '[m']]]),"")</f>
        <v/>
      </c>
      <c r="CJ369" s="145" t="str">
        <f t="shared" ref="CJ369:CJ432" si="15">IF(7850/1000*(1/3)*PI()*ABS(CC369-CD369)*((CE369/2)^2+(CE369/2)*(CF369/2)+(CF369/2)^2-(CE369/2-CG369/1000)^2-(CE369/2-CG369/1000)*(CF369/2-CG369/1000)-(CF369/2-CG369/1000)^2)=0,"",7850/1000*(1/3)*PI()*ABS(CC369-CD369)*((CE369/2)^2+(CE369/2)*(CF369/2)+(CF369/2)^2-(CE369/2-CG369/1000)^2-(CE369/2-CG369/1000)*(CF369/2-CG369/1000)-(CF369/2-CG369/1000)^2))</f>
        <v/>
      </c>
      <c r="CK369" s="234" t="str">
        <f>IFERROR((TOWER_DATA[[#This Row],[D, bottom '[m']]]+TOWER_DATA[[#This Row],[D, top '[m']]])/(2*TOWER_DATA[[#This Row],[t '[mm']]]/1000),"")</f>
        <v/>
      </c>
      <c r="DO369" s="209"/>
      <c r="DP369" s="209"/>
      <c r="DQ369" s="187"/>
      <c r="DT369" s="99"/>
      <c r="DU369" s="99"/>
    </row>
    <row r="370" spans="1:125" ht="18" customHeight="1">
      <c r="A370" s="271"/>
      <c r="D370" s="280"/>
      <c r="E370" s="52"/>
      <c r="K370" s="233" t="str">
        <f>IFERROR(MP_DATA[[#This Row],[Top '[m']]]-MP_DATA[[#This Row],[Bottom '[m']]], "")</f>
        <v/>
      </c>
      <c r="L370" s="217" t="str">
        <f>IFERROR(-(MP_DATA[[#This Row],[D, bottom '[m']]]-MP_DATA[[#This Row],[D, top '[m']]])/(MP_DATA[[#This Row],[Bottom '[m']]]-MP_DATA[[#This Row],[Top '[m']]]),"")</f>
        <v/>
      </c>
      <c r="M370" s="145" t="str">
        <f t="shared" ref="M370:M433" si="16">IF(7850/1000*(1/3)*PI()*ABS(F370-G370)*((H370/2)^2+(H370/2)*(I370/2)+(I370/2)^2-(H370/2-J370/1000)^2-(H370/2-J370/1000)*(I370/2-J370/1000)-(I370/2-J370/1000)^2)=0,"",7850/1000*(1/3)*PI()*ABS(F370-G370)*((H370/2)^2+(H370/2)*(I370/2)+(I370/2)^2-(H370/2-J370/1000)^2-(H370/2-J370/1000)*(I370/2-J370/1000)-(I370/2-J370/1000)^2))</f>
        <v/>
      </c>
      <c r="N370" s="234" t="str">
        <f>IFERROR((MP_DATA[[#This Row],[D, bottom '[m']]]+MP_DATA[[#This Row],[D, top '[m']]])/(2*MP_DATA[[#This Row],[t '[mm']]]/1000),"")</f>
        <v/>
      </c>
      <c r="Q370" s="209"/>
      <c r="R370" s="209"/>
      <c r="S370" s="187"/>
      <c r="AV370" s="233" t="str">
        <f>IFERROR(TP_DATA[[#This Row],[Top '[m']]]-TP_DATA[[#This Row],[Bottom '[m']]], "")</f>
        <v/>
      </c>
      <c r="AW370" s="208"/>
      <c r="AX370" s="209"/>
      <c r="AY370" s="240"/>
      <c r="BB370" s="99"/>
      <c r="BC370" s="99"/>
      <c r="BD370" s="187"/>
      <c r="CH370" s="233" t="str">
        <f>IFERROR(TOWER_DATA[[#This Row],[Top '[m']]]-TOWER_DATA[[#This Row],[Bottom '[m']]], "")</f>
        <v/>
      </c>
      <c r="CI370" s="217" t="str">
        <f>IFERROR(-(TOWER_DATA[[#This Row],[D, bottom '[m']]]-TOWER_DATA[[#This Row],[D, top '[m']]])/(TOWER_DATA[[#This Row],[Bottom '[m']]]-TOWER_DATA[[#This Row],[Top '[m']]]),"")</f>
        <v/>
      </c>
      <c r="CJ370" s="145" t="str">
        <f t="shared" si="15"/>
        <v/>
      </c>
      <c r="CK370" s="234" t="str">
        <f>IFERROR((TOWER_DATA[[#This Row],[D, bottom '[m']]]+TOWER_DATA[[#This Row],[D, top '[m']]])/(2*TOWER_DATA[[#This Row],[t '[mm']]]/1000),"")</f>
        <v/>
      </c>
      <c r="DO370" s="209"/>
      <c r="DP370" s="209"/>
      <c r="DQ370" s="187"/>
      <c r="DT370" s="99"/>
      <c r="DU370" s="99"/>
    </row>
    <row r="371" spans="1:125" ht="18" customHeight="1">
      <c r="A371" s="271"/>
      <c r="D371" s="280"/>
      <c r="E371" s="52"/>
      <c r="K371" s="233" t="str">
        <f>IFERROR(MP_DATA[[#This Row],[Top '[m']]]-MP_DATA[[#This Row],[Bottom '[m']]], "")</f>
        <v/>
      </c>
      <c r="L371" s="217" t="str">
        <f>IFERROR(-(MP_DATA[[#This Row],[D, bottom '[m']]]-MP_DATA[[#This Row],[D, top '[m']]])/(MP_DATA[[#This Row],[Bottom '[m']]]-MP_DATA[[#This Row],[Top '[m']]]),"")</f>
        <v/>
      </c>
      <c r="M371" s="145" t="str">
        <f t="shared" si="16"/>
        <v/>
      </c>
      <c r="N371" s="234" t="str">
        <f>IFERROR((MP_DATA[[#This Row],[D, bottom '[m']]]+MP_DATA[[#This Row],[D, top '[m']]])/(2*MP_DATA[[#This Row],[t '[mm']]]/1000),"")</f>
        <v/>
      </c>
      <c r="Q371" s="209"/>
      <c r="R371" s="209"/>
      <c r="S371" s="187"/>
      <c r="AV371" s="233" t="str">
        <f>IFERROR(TP_DATA[[#This Row],[Top '[m']]]-TP_DATA[[#This Row],[Bottom '[m']]], "")</f>
        <v/>
      </c>
      <c r="AW371" s="208"/>
      <c r="AX371" s="209"/>
      <c r="AY371" s="240"/>
      <c r="BB371" s="99"/>
      <c r="BC371" s="99"/>
      <c r="BD371" s="187"/>
      <c r="CH371" s="233" t="str">
        <f>IFERROR(TOWER_DATA[[#This Row],[Top '[m']]]-TOWER_DATA[[#This Row],[Bottom '[m']]], "")</f>
        <v/>
      </c>
      <c r="CI371" s="217" t="str">
        <f>IFERROR(-(TOWER_DATA[[#This Row],[D, bottom '[m']]]-TOWER_DATA[[#This Row],[D, top '[m']]])/(TOWER_DATA[[#This Row],[Bottom '[m']]]-TOWER_DATA[[#This Row],[Top '[m']]]),"")</f>
        <v/>
      </c>
      <c r="CJ371" s="145" t="str">
        <f t="shared" si="15"/>
        <v/>
      </c>
      <c r="CK371" s="234" t="str">
        <f>IFERROR((TOWER_DATA[[#This Row],[D, bottom '[m']]]+TOWER_DATA[[#This Row],[D, top '[m']]])/(2*TOWER_DATA[[#This Row],[t '[mm']]]/1000),"")</f>
        <v/>
      </c>
      <c r="DO371" s="209"/>
      <c r="DP371" s="209"/>
      <c r="DQ371" s="187"/>
      <c r="DT371" s="99"/>
      <c r="DU371" s="99"/>
    </row>
    <row r="372" spans="1:125" ht="18" customHeight="1">
      <c r="A372" s="271"/>
      <c r="D372" s="280"/>
      <c r="E372" s="52"/>
      <c r="K372" s="233" t="str">
        <f>IFERROR(MP_DATA[[#This Row],[Top '[m']]]-MP_DATA[[#This Row],[Bottom '[m']]], "")</f>
        <v/>
      </c>
      <c r="L372" s="217" t="str">
        <f>IFERROR(-(MP_DATA[[#This Row],[D, bottom '[m']]]-MP_DATA[[#This Row],[D, top '[m']]])/(MP_DATA[[#This Row],[Bottom '[m']]]-MP_DATA[[#This Row],[Top '[m']]]),"")</f>
        <v/>
      </c>
      <c r="M372" s="145" t="str">
        <f t="shared" si="16"/>
        <v/>
      </c>
      <c r="N372" s="234" t="str">
        <f>IFERROR((MP_DATA[[#This Row],[D, bottom '[m']]]+MP_DATA[[#This Row],[D, top '[m']]])/(2*MP_DATA[[#This Row],[t '[mm']]]/1000),"")</f>
        <v/>
      </c>
      <c r="Q372" s="209"/>
      <c r="R372" s="209"/>
      <c r="S372" s="187"/>
      <c r="AV372" s="233" t="str">
        <f>IFERROR(TP_DATA[[#This Row],[Top '[m']]]-TP_DATA[[#This Row],[Bottom '[m']]], "")</f>
        <v/>
      </c>
      <c r="AW372" s="208"/>
      <c r="AX372" s="209"/>
      <c r="AY372" s="240"/>
      <c r="BB372" s="99"/>
      <c r="BC372" s="99"/>
      <c r="BD372" s="187"/>
      <c r="CH372" s="233" t="str">
        <f>IFERROR(TOWER_DATA[[#This Row],[Top '[m']]]-TOWER_DATA[[#This Row],[Bottom '[m']]], "")</f>
        <v/>
      </c>
      <c r="CI372" s="217" t="str">
        <f>IFERROR(-(TOWER_DATA[[#This Row],[D, bottom '[m']]]-TOWER_DATA[[#This Row],[D, top '[m']]])/(TOWER_DATA[[#This Row],[Bottom '[m']]]-TOWER_DATA[[#This Row],[Top '[m']]]),"")</f>
        <v/>
      </c>
      <c r="CJ372" s="145" t="str">
        <f t="shared" si="15"/>
        <v/>
      </c>
      <c r="CK372" s="234" t="str">
        <f>IFERROR((TOWER_DATA[[#This Row],[D, bottom '[m']]]+TOWER_DATA[[#This Row],[D, top '[m']]])/(2*TOWER_DATA[[#This Row],[t '[mm']]]/1000),"")</f>
        <v/>
      </c>
      <c r="DO372" s="209"/>
      <c r="DP372" s="209"/>
      <c r="DQ372" s="187"/>
      <c r="DT372" s="99"/>
      <c r="DU372" s="99"/>
    </row>
    <row r="373" spans="1:125" ht="18" customHeight="1">
      <c r="A373" s="271"/>
      <c r="D373" s="280"/>
      <c r="E373" s="52"/>
      <c r="K373" s="233" t="str">
        <f>IFERROR(MP_DATA[[#This Row],[Top '[m']]]-MP_DATA[[#This Row],[Bottom '[m']]], "")</f>
        <v/>
      </c>
      <c r="L373" s="217" t="str">
        <f>IFERROR(-(MP_DATA[[#This Row],[D, bottom '[m']]]-MP_DATA[[#This Row],[D, top '[m']]])/(MP_DATA[[#This Row],[Bottom '[m']]]-MP_DATA[[#This Row],[Top '[m']]]),"")</f>
        <v/>
      </c>
      <c r="M373" s="145" t="str">
        <f t="shared" si="16"/>
        <v/>
      </c>
      <c r="N373" s="234" t="str">
        <f>IFERROR((MP_DATA[[#This Row],[D, bottom '[m']]]+MP_DATA[[#This Row],[D, top '[m']]])/(2*MP_DATA[[#This Row],[t '[mm']]]/1000),"")</f>
        <v/>
      </c>
      <c r="Q373" s="209"/>
      <c r="R373" s="209"/>
      <c r="S373" s="187"/>
      <c r="AV373" s="233" t="str">
        <f>IFERROR(TP_DATA[[#This Row],[Top '[m']]]-TP_DATA[[#This Row],[Bottom '[m']]], "")</f>
        <v/>
      </c>
      <c r="AW373" s="208"/>
      <c r="AX373" s="209"/>
      <c r="AY373" s="240"/>
      <c r="BB373" s="99"/>
      <c r="BC373" s="99"/>
      <c r="BD373" s="187"/>
      <c r="CH373" s="233" t="str">
        <f>IFERROR(TOWER_DATA[[#This Row],[Top '[m']]]-TOWER_DATA[[#This Row],[Bottom '[m']]], "")</f>
        <v/>
      </c>
      <c r="CI373" s="217" t="str">
        <f>IFERROR(-(TOWER_DATA[[#This Row],[D, bottom '[m']]]-TOWER_DATA[[#This Row],[D, top '[m']]])/(TOWER_DATA[[#This Row],[Bottom '[m']]]-TOWER_DATA[[#This Row],[Top '[m']]]),"")</f>
        <v/>
      </c>
      <c r="CJ373" s="145" t="str">
        <f t="shared" si="15"/>
        <v/>
      </c>
      <c r="CK373" s="234" t="str">
        <f>IFERROR((TOWER_DATA[[#This Row],[D, bottom '[m']]]+TOWER_DATA[[#This Row],[D, top '[m']]])/(2*TOWER_DATA[[#This Row],[t '[mm']]]/1000),"")</f>
        <v/>
      </c>
      <c r="DO373" s="209"/>
      <c r="DP373" s="209"/>
      <c r="DQ373" s="187"/>
      <c r="DT373" s="99"/>
      <c r="DU373" s="99"/>
    </row>
    <row r="374" spans="1:125" ht="18" customHeight="1">
      <c r="A374" s="271"/>
      <c r="D374" s="280"/>
      <c r="E374" s="52"/>
      <c r="K374" s="233" t="str">
        <f>IFERROR(MP_DATA[[#This Row],[Top '[m']]]-MP_DATA[[#This Row],[Bottom '[m']]], "")</f>
        <v/>
      </c>
      <c r="L374" s="217" t="str">
        <f>IFERROR(-(MP_DATA[[#This Row],[D, bottom '[m']]]-MP_DATA[[#This Row],[D, top '[m']]])/(MP_DATA[[#This Row],[Bottom '[m']]]-MP_DATA[[#This Row],[Top '[m']]]),"")</f>
        <v/>
      </c>
      <c r="M374" s="145" t="str">
        <f t="shared" si="16"/>
        <v/>
      </c>
      <c r="N374" s="234" t="str">
        <f>IFERROR((MP_DATA[[#This Row],[D, bottom '[m']]]+MP_DATA[[#This Row],[D, top '[m']]])/(2*MP_DATA[[#This Row],[t '[mm']]]/1000),"")</f>
        <v/>
      </c>
      <c r="Q374" s="209"/>
      <c r="R374" s="209"/>
      <c r="S374" s="187"/>
      <c r="AV374" s="233" t="str">
        <f>IFERROR(TP_DATA[[#This Row],[Top '[m']]]-TP_DATA[[#This Row],[Bottom '[m']]], "")</f>
        <v/>
      </c>
      <c r="AW374" s="208"/>
      <c r="AX374" s="209"/>
      <c r="AY374" s="240"/>
      <c r="BB374" s="99"/>
      <c r="BC374" s="99"/>
      <c r="BD374" s="187"/>
      <c r="CH374" s="233" t="str">
        <f>IFERROR(TOWER_DATA[[#This Row],[Top '[m']]]-TOWER_DATA[[#This Row],[Bottom '[m']]], "")</f>
        <v/>
      </c>
      <c r="CI374" s="217" t="str">
        <f>IFERROR(-(TOWER_DATA[[#This Row],[D, bottom '[m']]]-TOWER_DATA[[#This Row],[D, top '[m']]])/(TOWER_DATA[[#This Row],[Bottom '[m']]]-TOWER_DATA[[#This Row],[Top '[m']]]),"")</f>
        <v/>
      </c>
      <c r="CJ374" s="145" t="str">
        <f t="shared" si="15"/>
        <v/>
      </c>
      <c r="CK374" s="234" t="str">
        <f>IFERROR((TOWER_DATA[[#This Row],[D, bottom '[m']]]+TOWER_DATA[[#This Row],[D, top '[m']]])/(2*TOWER_DATA[[#This Row],[t '[mm']]]/1000),"")</f>
        <v/>
      </c>
      <c r="DO374" s="209"/>
      <c r="DP374" s="209"/>
      <c r="DQ374" s="187"/>
      <c r="DT374" s="99"/>
      <c r="DU374" s="99"/>
    </row>
    <row r="375" spans="1:125" ht="18" customHeight="1">
      <c r="A375" s="271"/>
      <c r="D375" s="280"/>
      <c r="E375" s="52"/>
      <c r="K375" s="233" t="str">
        <f>IFERROR(MP_DATA[[#This Row],[Top '[m']]]-MP_DATA[[#This Row],[Bottom '[m']]], "")</f>
        <v/>
      </c>
      <c r="L375" s="217" t="str">
        <f>IFERROR(-(MP_DATA[[#This Row],[D, bottom '[m']]]-MP_DATA[[#This Row],[D, top '[m']]])/(MP_DATA[[#This Row],[Bottom '[m']]]-MP_DATA[[#This Row],[Top '[m']]]),"")</f>
        <v/>
      </c>
      <c r="M375" s="145" t="str">
        <f t="shared" si="16"/>
        <v/>
      </c>
      <c r="N375" s="234" t="str">
        <f>IFERROR((MP_DATA[[#This Row],[D, bottom '[m']]]+MP_DATA[[#This Row],[D, top '[m']]])/(2*MP_DATA[[#This Row],[t '[mm']]]/1000),"")</f>
        <v/>
      </c>
      <c r="Q375" s="209"/>
      <c r="R375" s="209"/>
      <c r="S375" s="187"/>
      <c r="AV375" s="233" t="str">
        <f>IFERROR(TP_DATA[[#This Row],[Top '[m']]]-TP_DATA[[#This Row],[Bottom '[m']]], "")</f>
        <v/>
      </c>
      <c r="AW375" s="208"/>
      <c r="AX375" s="209"/>
      <c r="AY375" s="240"/>
      <c r="BB375" s="99"/>
      <c r="BC375" s="99"/>
      <c r="BD375" s="187"/>
      <c r="CH375" s="233" t="str">
        <f>IFERROR(TOWER_DATA[[#This Row],[Top '[m']]]-TOWER_DATA[[#This Row],[Bottom '[m']]], "")</f>
        <v/>
      </c>
      <c r="CI375" s="217" t="str">
        <f>IFERROR(-(TOWER_DATA[[#This Row],[D, bottom '[m']]]-TOWER_DATA[[#This Row],[D, top '[m']]])/(TOWER_DATA[[#This Row],[Bottom '[m']]]-TOWER_DATA[[#This Row],[Top '[m']]]),"")</f>
        <v/>
      </c>
      <c r="CJ375" s="145" t="str">
        <f t="shared" si="15"/>
        <v/>
      </c>
      <c r="CK375" s="234" t="str">
        <f>IFERROR((TOWER_DATA[[#This Row],[D, bottom '[m']]]+TOWER_DATA[[#This Row],[D, top '[m']]])/(2*TOWER_DATA[[#This Row],[t '[mm']]]/1000),"")</f>
        <v/>
      </c>
      <c r="DO375" s="209"/>
      <c r="DP375" s="209"/>
      <c r="DQ375" s="187"/>
      <c r="DT375" s="99"/>
      <c r="DU375" s="99"/>
    </row>
    <row r="376" spans="1:125" ht="18" customHeight="1">
      <c r="A376" s="271"/>
      <c r="D376" s="280"/>
      <c r="E376" s="52"/>
      <c r="K376" s="233" t="str">
        <f>IFERROR(MP_DATA[[#This Row],[Top '[m']]]-MP_DATA[[#This Row],[Bottom '[m']]], "")</f>
        <v/>
      </c>
      <c r="L376" s="217" t="str">
        <f>IFERROR(-(MP_DATA[[#This Row],[D, bottom '[m']]]-MP_DATA[[#This Row],[D, top '[m']]])/(MP_DATA[[#This Row],[Bottom '[m']]]-MP_DATA[[#This Row],[Top '[m']]]),"")</f>
        <v/>
      </c>
      <c r="M376" s="145" t="str">
        <f t="shared" si="16"/>
        <v/>
      </c>
      <c r="N376" s="234" t="str">
        <f>IFERROR((MP_DATA[[#This Row],[D, bottom '[m']]]+MP_DATA[[#This Row],[D, top '[m']]])/(2*MP_DATA[[#This Row],[t '[mm']]]/1000),"")</f>
        <v/>
      </c>
      <c r="Q376" s="209"/>
      <c r="R376" s="209"/>
      <c r="S376" s="187"/>
      <c r="AV376" s="233" t="str">
        <f>IFERROR(TP_DATA[[#This Row],[Top '[m']]]-TP_DATA[[#This Row],[Bottom '[m']]], "")</f>
        <v/>
      </c>
      <c r="AW376" s="208"/>
      <c r="AX376" s="209"/>
      <c r="AY376" s="240"/>
      <c r="BB376" s="99"/>
      <c r="BC376" s="99"/>
      <c r="BD376" s="187"/>
      <c r="CH376" s="233" t="str">
        <f>IFERROR(TOWER_DATA[[#This Row],[Top '[m']]]-TOWER_DATA[[#This Row],[Bottom '[m']]], "")</f>
        <v/>
      </c>
      <c r="CI376" s="217" t="str">
        <f>IFERROR(-(TOWER_DATA[[#This Row],[D, bottom '[m']]]-TOWER_DATA[[#This Row],[D, top '[m']]])/(TOWER_DATA[[#This Row],[Bottom '[m']]]-TOWER_DATA[[#This Row],[Top '[m']]]),"")</f>
        <v/>
      </c>
      <c r="CJ376" s="145" t="str">
        <f t="shared" si="15"/>
        <v/>
      </c>
      <c r="CK376" s="234" t="str">
        <f>IFERROR((TOWER_DATA[[#This Row],[D, bottom '[m']]]+TOWER_DATA[[#This Row],[D, top '[m']]])/(2*TOWER_DATA[[#This Row],[t '[mm']]]/1000),"")</f>
        <v/>
      </c>
      <c r="DO376" s="209"/>
      <c r="DP376" s="209"/>
      <c r="DQ376" s="187"/>
      <c r="DT376" s="99"/>
      <c r="DU376" s="99"/>
    </row>
    <row r="377" spans="1:125" ht="18" customHeight="1">
      <c r="A377" s="271"/>
      <c r="D377" s="280"/>
      <c r="E377" s="52"/>
      <c r="K377" s="233" t="str">
        <f>IFERROR(MP_DATA[[#This Row],[Top '[m']]]-MP_DATA[[#This Row],[Bottom '[m']]], "")</f>
        <v/>
      </c>
      <c r="L377" s="217" t="str">
        <f>IFERROR(-(MP_DATA[[#This Row],[D, bottom '[m']]]-MP_DATA[[#This Row],[D, top '[m']]])/(MP_DATA[[#This Row],[Bottom '[m']]]-MP_DATA[[#This Row],[Top '[m']]]),"")</f>
        <v/>
      </c>
      <c r="M377" s="145" t="str">
        <f t="shared" si="16"/>
        <v/>
      </c>
      <c r="N377" s="234" t="str">
        <f>IFERROR((MP_DATA[[#This Row],[D, bottom '[m']]]+MP_DATA[[#This Row],[D, top '[m']]])/(2*MP_DATA[[#This Row],[t '[mm']]]/1000),"")</f>
        <v/>
      </c>
      <c r="Q377" s="209"/>
      <c r="R377" s="209"/>
      <c r="S377" s="187"/>
      <c r="AV377" s="233" t="str">
        <f>IFERROR(TP_DATA[[#This Row],[Top '[m']]]-TP_DATA[[#This Row],[Bottom '[m']]], "")</f>
        <v/>
      </c>
      <c r="AW377" s="208"/>
      <c r="AX377" s="209"/>
      <c r="AY377" s="240"/>
      <c r="BB377" s="99"/>
      <c r="BC377" s="99"/>
      <c r="BD377" s="187"/>
      <c r="CH377" s="233" t="str">
        <f>IFERROR(TOWER_DATA[[#This Row],[Top '[m']]]-TOWER_DATA[[#This Row],[Bottom '[m']]], "")</f>
        <v/>
      </c>
      <c r="CI377" s="217" t="str">
        <f>IFERROR(-(TOWER_DATA[[#This Row],[D, bottom '[m']]]-TOWER_DATA[[#This Row],[D, top '[m']]])/(TOWER_DATA[[#This Row],[Bottom '[m']]]-TOWER_DATA[[#This Row],[Top '[m']]]),"")</f>
        <v/>
      </c>
      <c r="CJ377" s="145" t="str">
        <f t="shared" si="15"/>
        <v/>
      </c>
      <c r="CK377" s="234" t="str">
        <f>IFERROR((TOWER_DATA[[#This Row],[D, bottom '[m']]]+TOWER_DATA[[#This Row],[D, top '[m']]])/(2*TOWER_DATA[[#This Row],[t '[mm']]]/1000),"")</f>
        <v/>
      </c>
      <c r="DO377" s="209"/>
      <c r="DP377" s="209"/>
      <c r="DQ377" s="187"/>
      <c r="DT377" s="99"/>
      <c r="DU377" s="99"/>
    </row>
    <row r="378" spans="1:125" ht="18" customHeight="1">
      <c r="A378" s="271"/>
      <c r="D378" s="280"/>
      <c r="E378" s="52"/>
      <c r="K378" s="233" t="str">
        <f>IFERROR(MP_DATA[[#This Row],[Top '[m']]]-MP_DATA[[#This Row],[Bottom '[m']]], "")</f>
        <v/>
      </c>
      <c r="L378" s="217" t="str">
        <f>IFERROR(-(MP_DATA[[#This Row],[D, bottom '[m']]]-MP_DATA[[#This Row],[D, top '[m']]])/(MP_DATA[[#This Row],[Bottom '[m']]]-MP_DATA[[#This Row],[Top '[m']]]),"")</f>
        <v/>
      </c>
      <c r="M378" s="145" t="str">
        <f t="shared" si="16"/>
        <v/>
      </c>
      <c r="N378" s="234" t="str">
        <f>IFERROR((MP_DATA[[#This Row],[D, bottom '[m']]]+MP_DATA[[#This Row],[D, top '[m']]])/(2*MP_DATA[[#This Row],[t '[mm']]]/1000),"")</f>
        <v/>
      </c>
      <c r="Q378" s="209"/>
      <c r="R378" s="209"/>
      <c r="S378" s="187"/>
      <c r="AV378" s="233" t="str">
        <f>IFERROR(TP_DATA[[#This Row],[Top '[m']]]-TP_DATA[[#This Row],[Bottom '[m']]], "")</f>
        <v/>
      </c>
      <c r="AW378" s="208"/>
      <c r="AX378" s="209"/>
      <c r="AY378" s="240"/>
      <c r="BB378" s="99"/>
      <c r="BC378" s="99"/>
      <c r="BD378" s="187"/>
      <c r="CH378" s="233" t="str">
        <f>IFERROR(TOWER_DATA[[#This Row],[Top '[m']]]-TOWER_DATA[[#This Row],[Bottom '[m']]], "")</f>
        <v/>
      </c>
      <c r="CI378" s="217" t="str">
        <f>IFERROR(-(TOWER_DATA[[#This Row],[D, bottom '[m']]]-TOWER_DATA[[#This Row],[D, top '[m']]])/(TOWER_DATA[[#This Row],[Bottom '[m']]]-TOWER_DATA[[#This Row],[Top '[m']]]),"")</f>
        <v/>
      </c>
      <c r="CJ378" s="145" t="str">
        <f t="shared" si="15"/>
        <v/>
      </c>
      <c r="CK378" s="234" t="str">
        <f>IFERROR((TOWER_DATA[[#This Row],[D, bottom '[m']]]+TOWER_DATA[[#This Row],[D, top '[m']]])/(2*TOWER_DATA[[#This Row],[t '[mm']]]/1000),"")</f>
        <v/>
      </c>
      <c r="DO378" s="209"/>
      <c r="DP378" s="209"/>
      <c r="DQ378" s="187"/>
      <c r="DT378" s="99"/>
      <c r="DU378" s="99"/>
    </row>
    <row r="379" spans="1:125" ht="18" customHeight="1">
      <c r="A379" s="271"/>
      <c r="D379" s="280"/>
      <c r="E379" s="52"/>
      <c r="K379" s="233" t="str">
        <f>IFERROR(MP_DATA[[#This Row],[Top '[m']]]-MP_DATA[[#This Row],[Bottom '[m']]], "")</f>
        <v/>
      </c>
      <c r="L379" s="217" t="str">
        <f>IFERROR(-(MP_DATA[[#This Row],[D, bottom '[m']]]-MP_DATA[[#This Row],[D, top '[m']]])/(MP_DATA[[#This Row],[Bottom '[m']]]-MP_DATA[[#This Row],[Top '[m']]]),"")</f>
        <v/>
      </c>
      <c r="M379" s="145" t="str">
        <f t="shared" si="16"/>
        <v/>
      </c>
      <c r="N379" s="234" t="str">
        <f>IFERROR((MP_DATA[[#This Row],[D, bottom '[m']]]+MP_DATA[[#This Row],[D, top '[m']]])/(2*MP_DATA[[#This Row],[t '[mm']]]/1000),"")</f>
        <v/>
      </c>
      <c r="Q379" s="209"/>
      <c r="R379" s="209"/>
      <c r="S379" s="187"/>
      <c r="AV379" s="233" t="str">
        <f>IFERROR(TP_DATA[[#This Row],[Top '[m']]]-TP_DATA[[#This Row],[Bottom '[m']]], "")</f>
        <v/>
      </c>
      <c r="AW379" s="208"/>
      <c r="AX379" s="209"/>
      <c r="AY379" s="240"/>
      <c r="BB379" s="99"/>
      <c r="BC379" s="99"/>
      <c r="BD379" s="187"/>
      <c r="CH379" s="233" t="str">
        <f>IFERROR(TOWER_DATA[[#This Row],[Top '[m']]]-TOWER_DATA[[#This Row],[Bottom '[m']]], "")</f>
        <v/>
      </c>
      <c r="CI379" s="217" t="str">
        <f>IFERROR(-(TOWER_DATA[[#This Row],[D, bottom '[m']]]-TOWER_DATA[[#This Row],[D, top '[m']]])/(TOWER_DATA[[#This Row],[Bottom '[m']]]-TOWER_DATA[[#This Row],[Top '[m']]]),"")</f>
        <v/>
      </c>
      <c r="CJ379" s="145" t="str">
        <f t="shared" si="15"/>
        <v/>
      </c>
      <c r="CK379" s="234" t="str">
        <f>IFERROR((TOWER_DATA[[#This Row],[D, bottom '[m']]]+TOWER_DATA[[#This Row],[D, top '[m']]])/(2*TOWER_DATA[[#This Row],[t '[mm']]]/1000),"")</f>
        <v/>
      </c>
      <c r="DO379" s="209"/>
      <c r="DP379" s="209"/>
      <c r="DQ379" s="187"/>
      <c r="DT379" s="99"/>
      <c r="DU379" s="99"/>
    </row>
    <row r="380" spans="1:125" ht="18" customHeight="1">
      <c r="A380" s="271"/>
      <c r="D380" s="280"/>
      <c r="E380" s="52"/>
      <c r="K380" s="233" t="str">
        <f>IFERROR(MP_DATA[[#This Row],[Top '[m']]]-MP_DATA[[#This Row],[Bottom '[m']]], "")</f>
        <v/>
      </c>
      <c r="L380" s="217" t="str">
        <f>IFERROR(-(MP_DATA[[#This Row],[D, bottom '[m']]]-MP_DATA[[#This Row],[D, top '[m']]])/(MP_DATA[[#This Row],[Bottom '[m']]]-MP_DATA[[#This Row],[Top '[m']]]),"")</f>
        <v/>
      </c>
      <c r="M380" s="145" t="str">
        <f t="shared" si="16"/>
        <v/>
      </c>
      <c r="N380" s="234" t="str">
        <f>IFERROR((MP_DATA[[#This Row],[D, bottom '[m']]]+MP_DATA[[#This Row],[D, top '[m']]])/(2*MP_DATA[[#This Row],[t '[mm']]]/1000),"")</f>
        <v/>
      </c>
      <c r="Q380" s="209"/>
      <c r="R380" s="209"/>
      <c r="S380" s="187"/>
      <c r="AV380" s="233" t="str">
        <f>IFERROR(TP_DATA[[#This Row],[Top '[m']]]-TP_DATA[[#This Row],[Bottom '[m']]], "")</f>
        <v/>
      </c>
      <c r="AW380" s="208"/>
      <c r="AX380" s="209"/>
      <c r="AY380" s="240"/>
      <c r="BB380" s="99"/>
      <c r="BC380" s="99"/>
      <c r="BD380" s="187"/>
      <c r="CH380" s="233" t="str">
        <f>IFERROR(TOWER_DATA[[#This Row],[Top '[m']]]-TOWER_DATA[[#This Row],[Bottom '[m']]], "")</f>
        <v/>
      </c>
      <c r="CI380" s="217" t="str">
        <f>IFERROR(-(TOWER_DATA[[#This Row],[D, bottom '[m']]]-TOWER_DATA[[#This Row],[D, top '[m']]])/(TOWER_DATA[[#This Row],[Bottom '[m']]]-TOWER_DATA[[#This Row],[Top '[m']]]),"")</f>
        <v/>
      </c>
      <c r="CJ380" s="145" t="str">
        <f t="shared" si="15"/>
        <v/>
      </c>
      <c r="CK380" s="234" t="str">
        <f>IFERROR((TOWER_DATA[[#This Row],[D, bottom '[m']]]+TOWER_DATA[[#This Row],[D, top '[m']]])/(2*TOWER_DATA[[#This Row],[t '[mm']]]/1000),"")</f>
        <v/>
      </c>
      <c r="DO380" s="209"/>
      <c r="DP380" s="209"/>
      <c r="DQ380" s="187"/>
      <c r="DT380" s="99"/>
      <c r="DU380" s="99"/>
    </row>
    <row r="381" spans="1:125" ht="18" customHeight="1">
      <c r="A381" s="271"/>
      <c r="D381" s="280"/>
      <c r="E381" s="52"/>
      <c r="K381" s="233" t="str">
        <f>IFERROR(MP_DATA[[#This Row],[Top '[m']]]-MP_DATA[[#This Row],[Bottom '[m']]], "")</f>
        <v/>
      </c>
      <c r="L381" s="217" t="str">
        <f>IFERROR(-(MP_DATA[[#This Row],[D, bottom '[m']]]-MP_DATA[[#This Row],[D, top '[m']]])/(MP_DATA[[#This Row],[Bottom '[m']]]-MP_DATA[[#This Row],[Top '[m']]]),"")</f>
        <v/>
      </c>
      <c r="M381" s="145" t="str">
        <f t="shared" si="16"/>
        <v/>
      </c>
      <c r="N381" s="234" t="str">
        <f>IFERROR((MP_DATA[[#This Row],[D, bottom '[m']]]+MP_DATA[[#This Row],[D, top '[m']]])/(2*MP_DATA[[#This Row],[t '[mm']]]/1000),"")</f>
        <v/>
      </c>
      <c r="Q381" s="209"/>
      <c r="R381" s="209"/>
      <c r="S381" s="187"/>
      <c r="AV381" s="233" t="str">
        <f>IFERROR(TP_DATA[[#This Row],[Top '[m']]]-TP_DATA[[#This Row],[Bottom '[m']]], "")</f>
        <v/>
      </c>
      <c r="AW381" s="208"/>
      <c r="AX381" s="209"/>
      <c r="AY381" s="240"/>
      <c r="BB381" s="99"/>
      <c r="BC381" s="99"/>
      <c r="BD381" s="187"/>
      <c r="CH381" s="233" t="str">
        <f>IFERROR(TOWER_DATA[[#This Row],[Top '[m']]]-TOWER_DATA[[#This Row],[Bottom '[m']]], "")</f>
        <v/>
      </c>
      <c r="CI381" s="217" t="str">
        <f>IFERROR(-(TOWER_DATA[[#This Row],[D, bottom '[m']]]-TOWER_DATA[[#This Row],[D, top '[m']]])/(TOWER_DATA[[#This Row],[Bottom '[m']]]-TOWER_DATA[[#This Row],[Top '[m']]]),"")</f>
        <v/>
      </c>
      <c r="CJ381" s="145" t="str">
        <f t="shared" si="15"/>
        <v/>
      </c>
      <c r="CK381" s="234" t="str">
        <f>IFERROR((TOWER_DATA[[#This Row],[D, bottom '[m']]]+TOWER_DATA[[#This Row],[D, top '[m']]])/(2*TOWER_DATA[[#This Row],[t '[mm']]]/1000),"")</f>
        <v/>
      </c>
      <c r="DO381" s="209"/>
      <c r="DP381" s="209"/>
      <c r="DQ381" s="187"/>
      <c r="DT381" s="99"/>
      <c r="DU381" s="99"/>
    </row>
    <row r="382" spans="1:125" ht="18" customHeight="1">
      <c r="A382" s="271"/>
      <c r="D382" s="280"/>
      <c r="E382" s="52"/>
      <c r="K382" s="233" t="str">
        <f>IFERROR(MP_DATA[[#This Row],[Top '[m']]]-MP_DATA[[#This Row],[Bottom '[m']]], "")</f>
        <v/>
      </c>
      <c r="L382" s="217" t="str">
        <f>IFERROR(-(MP_DATA[[#This Row],[D, bottom '[m']]]-MP_DATA[[#This Row],[D, top '[m']]])/(MP_DATA[[#This Row],[Bottom '[m']]]-MP_DATA[[#This Row],[Top '[m']]]),"")</f>
        <v/>
      </c>
      <c r="M382" s="145" t="str">
        <f t="shared" si="16"/>
        <v/>
      </c>
      <c r="N382" s="234" t="str">
        <f>IFERROR((MP_DATA[[#This Row],[D, bottom '[m']]]+MP_DATA[[#This Row],[D, top '[m']]])/(2*MP_DATA[[#This Row],[t '[mm']]]/1000),"")</f>
        <v/>
      </c>
      <c r="Q382" s="209"/>
      <c r="R382" s="209"/>
      <c r="S382" s="187"/>
      <c r="AV382" s="233" t="str">
        <f>IFERROR(TP_DATA[[#This Row],[Top '[m']]]-TP_DATA[[#This Row],[Bottom '[m']]], "")</f>
        <v/>
      </c>
      <c r="AW382" s="208"/>
      <c r="AX382" s="209"/>
      <c r="AY382" s="240"/>
      <c r="BB382" s="99"/>
      <c r="BC382" s="99"/>
      <c r="BD382" s="187"/>
      <c r="CH382" s="233" t="str">
        <f>IFERROR(TOWER_DATA[[#This Row],[Top '[m']]]-TOWER_DATA[[#This Row],[Bottom '[m']]], "")</f>
        <v/>
      </c>
      <c r="CI382" s="217" t="str">
        <f>IFERROR(-(TOWER_DATA[[#This Row],[D, bottom '[m']]]-TOWER_DATA[[#This Row],[D, top '[m']]])/(TOWER_DATA[[#This Row],[Bottom '[m']]]-TOWER_DATA[[#This Row],[Top '[m']]]),"")</f>
        <v/>
      </c>
      <c r="CJ382" s="145" t="str">
        <f t="shared" si="15"/>
        <v/>
      </c>
      <c r="CK382" s="234" t="str">
        <f>IFERROR((TOWER_DATA[[#This Row],[D, bottom '[m']]]+TOWER_DATA[[#This Row],[D, top '[m']]])/(2*TOWER_DATA[[#This Row],[t '[mm']]]/1000),"")</f>
        <v/>
      </c>
      <c r="DO382" s="209"/>
      <c r="DP382" s="209"/>
      <c r="DQ382" s="187"/>
      <c r="DT382" s="99"/>
      <c r="DU382" s="99"/>
    </row>
    <row r="383" spans="1:125" ht="18" customHeight="1">
      <c r="A383" s="271"/>
      <c r="D383" s="280"/>
      <c r="E383" s="52"/>
      <c r="K383" s="233" t="str">
        <f>IFERROR(MP_DATA[[#This Row],[Top '[m']]]-MP_DATA[[#This Row],[Bottom '[m']]], "")</f>
        <v/>
      </c>
      <c r="L383" s="217" t="str">
        <f>IFERROR(-(MP_DATA[[#This Row],[D, bottom '[m']]]-MP_DATA[[#This Row],[D, top '[m']]])/(MP_DATA[[#This Row],[Bottom '[m']]]-MP_DATA[[#This Row],[Top '[m']]]),"")</f>
        <v/>
      </c>
      <c r="M383" s="145" t="str">
        <f t="shared" si="16"/>
        <v/>
      </c>
      <c r="N383" s="234" t="str">
        <f>IFERROR((MP_DATA[[#This Row],[D, bottom '[m']]]+MP_DATA[[#This Row],[D, top '[m']]])/(2*MP_DATA[[#This Row],[t '[mm']]]/1000),"")</f>
        <v/>
      </c>
      <c r="Q383" s="209"/>
      <c r="R383" s="209"/>
      <c r="S383" s="187"/>
      <c r="AV383" s="233" t="str">
        <f>IFERROR(TP_DATA[[#This Row],[Top '[m']]]-TP_DATA[[#This Row],[Bottom '[m']]], "")</f>
        <v/>
      </c>
      <c r="AW383" s="208"/>
      <c r="AX383" s="209"/>
      <c r="AY383" s="240"/>
      <c r="BB383" s="99"/>
      <c r="BC383" s="99"/>
      <c r="BD383" s="187"/>
      <c r="CH383" s="233" t="str">
        <f>IFERROR(TOWER_DATA[[#This Row],[Top '[m']]]-TOWER_DATA[[#This Row],[Bottom '[m']]], "")</f>
        <v/>
      </c>
      <c r="CI383" s="217" t="str">
        <f>IFERROR(-(TOWER_DATA[[#This Row],[D, bottom '[m']]]-TOWER_DATA[[#This Row],[D, top '[m']]])/(TOWER_DATA[[#This Row],[Bottom '[m']]]-TOWER_DATA[[#This Row],[Top '[m']]]),"")</f>
        <v/>
      </c>
      <c r="CJ383" s="145" t="str">
        <f t="shared" si="15"/>
        <v/>
      </c>
      <c r="CK383" s="234" t="str">
        <f>IFERROR((TOWER_DATA[[#This Row],[D, bottom '[m']]]+TOWER_DATA[[#This Row],[D, top '[m']]])/(2*TOWER_DATA[[#This Row],[t '[mm']]]/1000),"")</f>
        <v/>
      </c>
      <c r="DO383" s="209"/>
      <c r="DP383" s="209"/>
      <c r="DQ383" s="187"/>
      <c r="DT383" s="99"/>
      <c r="DU383" s="99"/>
    </row>
    <row r="384" spans="1:125" ht="18" customHeight="1">
      <c r="A384" s="271"/>
      <c r="D384" s="280"/>
      <c r="E384" s="52"/>
      <c r="K384" s="233" t="str">
        <f>IFERROR(MP_DATA[[#This Row],[Top '[m']]]-MP_DATA[[#This Row],[Bottom '[m']]], "")</f>
        <v/>
      </c>
      <c r="L384" s="217" t="str">
        <f>IFERROR(-(MP_DATA[[#This Row],[D, bottom '[m']]]-MP_DATA[[#This Row],[D, top '[m']]])/(MP_DATA[[#This Row],[Bottom '[m']]]-MP_DATA[[#This Row],[Top '[m']]]),"")</f>
        <v/>
      </c>
      <c r="M384" s="145" t="str">
        <f t="shared" si="16"/>
        <v/>
      </c>
      <c r="N384" s="234" t="str">
        <f>IFERROR((MP_DATA[[#This Row],[D, bottom '[m']]]+MP_DATA[[#This Row],[D, top '[m']]])/(2*MP_DATA[[#This Row],[t '[mm']]]/1000),"")</f>
        <v/>
      </c>
      <c r="Q384" s="209"/>
      <c r="R384" s="209"/>
      <c r="S384" s="187"/>
      <c r="AV384" s="233" t="str">
        <f>IFERROR(TP_DATA[[#This Row],[Top '[m']]]-TP_DATA[[#This Row],[Bottom '[m']]], "")</f>
        <v/>
      </c>
      <c r="AW384" s="208"/>
      <c r="AX384" s="209"/>
      <c r="AY384" s="240"/>
      <c r="BB384" s="99"/>
      <c r="BC384" s="99"/>
      <c r="BD384" s="187"/>
      <c r="CH384" s="233" t="str">
        <f>IFERROR(TOWER_DATA[[#This Row],[Top '[m']]]-TOWER_DATA[[#This Row],[Bottom '[m']]], "")</f>
        <v/>
      </c>
      <c r="CI384" s="217" t="str">
        <f>IFERROR(-(TOWER_DATA[[#This Row],[D, bottom '[m']]]-TOWER_DATA[[#This Row],[D, top '[m']]])/(TOWER_DATA[[#This Row],[Bottom '[m']]]-TOWER_DATA[[#This Row],[Top '[m']]]),"")</f>
        <v/>
      </c>
      <c r="CJ384" s="145" t="str">
        <f t="shared" si="15"/>
        <v/>
      </c>
      <c r="CK384" s="234" t="str">
        <f>IFERROR((TOWER_DATA[[#This Row],[D, bottom '[m']]]+TOWER_DATA[[#This Row],[D, top '[m']]])/(2*TOWER_DATA[[#This Row],[t '[mm']]]/1000),"")</f>
        <v/>
      </c>
      <c r="DO384" s="209"/>
      <c r="DP384" s="209"/>
      <c r="DQ384" s="187"/>
      <c r="DT384" s="99"/>
      <c r="DU384" s="99"/>
    </row>
    <row r="385" spans="1:125" ht="18" customHeight="1">
      <c r="A385" s="271"/>
      <c r="D385" s="280"/>
      <c r="E385" s="52"/>
      <c r="K385" s="233" t="str">
        <f>IFERROR(MP_DATA[[#This Row],[Top '[m']]]-MP_DATA[[#This Row],[Bottom '[m']]], "")</f>
        <v/>
      </c>
      <c r="L385" s="217" t="str">
        <f>IFERROR(-(MP_DATA[[#This Row],[D, bottom '[m']]]-MP_DATA[[#This Row],[D, top '[m']]])/(MP_DATA[[#This Row],[Bottom '[m']]]-MP_DATA[[#This Row],[Top '[m']]]),"")</f>
        <v/>
      </c>
      <c r="M385" s="145" t="str">
        <f t="shared" si="16"/>
        <v/>
      </c>
      <c r="N385" s="234" t="str">
        <f>IFERROR((MP_DATA[[#This Row],[D, bottom '[m']]]+MP_DATA[[#This Row],[D, top '[m']]])/(2*MP_DATA[[#This Row],[t '[mm']]]/1000),"")</f>
        <v/>
      </c>
      <c r="Q385" s="209"/>
      <c r="R385" s="209"/>
      <c r="S385" s="187"/>
      <c r="AV385" s="233" t="str">
        <f>IFERROR(TP_DATA[[#This Row],[Top '[m']]]-TP_DATA[[#This Row],[Bottom '[m']]], "")</f>
        <v/>
      </c>
      <c r="AW385" s="208"/>
      <c r="AX385" s="209"/>
      <c r="AY385" s="240"/>
      <c r="BB385" s="99"/>
      <c r="BC385" s="99"/>
      <c r="BD385" s="187"/>
      <c r="CH385" s="233" t="str">
        <f>IFERROR(TOWER_DATA[[#This Row],[Top '[m']]]-TOWER_DATA[[#This Row],[Bottom '[m']]], "")</f>
        <v/>
      </c>
      <c r="CI385" s="217" t="str">
        <f>IFERROR(-(TOWER_DATA[[#This Row],[D, bottom '[m']]]-TOWER_DATA[[#This Row],[D, top '[m']]])/(TOWER_DATA[[#This Row],[Bottom '[m']]]-TOWER_DATA[[#This Row],[Top '[m']]]),"")</f>
        <v/>
      </c>
      <c r="CJ385" s="145" t="str">
        <f t="shared" si="15"/>
        <v/>
      </c>
      <c r="CK385" s="234" t="str">
        <f>IFERROR((TOWER_DATA[[#This Row],[D, bottom '[m']]]+TOWER_DATA[[#This Row],[D, top '[m']]])/(2*TOWER_DATA[[#This Row],[t '[mm']]]/1000),"")</f>
        <v/>
      </c>
      <c r="DO385" s="209"/>
      <c r="DP385" s="209"/>
      <c r="DQ385" s="187"/>
      <c r="DT385" s="99"/>
      <c r="DU385" s="99"/>
    </row>
    <row r="386" spans="1:125" ht="18" customHeight="1">
      <c r="A386" s="271"/>
      <c r="D386" s="280"/>
      <c r="E386" s="52"/>
      <c r="K386" s="233" t="str">
        <f>IFERROR(MP_DATA[[#This Row],[Top '[m']]]-MP_DATA[[#This Row],[Bottom '[m']]], "")</f>
        <v/>
      </c>
      <c r="L386" s="217" t="str">
        <f>IFERROR(-(MP_DATA[[#This Row],[D, bottom '[m']]]-MP_DATA[[#This Row],[D, top '[m']]])/(MP_DATA[[#This Row],[Bottom '[m']]]-MP_DATA[[#This Row],[Top '[m']]]),"")</f>
        <v/>
      </c>
      <c r="M386" s="145" t="str">
        <f t="shared" si="16"/>
        <v/>
      </c>
      <c r="N386" s="234" t="str">
        <f>IFERROR((MP_DATA[[#This Row],[D, bottom '[m']]]+MP_DATA[[#This Row],[D, top '[m']]])/(2*MP_DATA[[#This Row],[t '[mm']]]/1000),"")</f>
        <v/>
      </c>
      <c r="Q386" s="209"/>
      <c r="R386" s="209"/>
      <c r="S386" s="187"/>
      <c r="AV386" s="233" t="str">
        <f>IFERROR(TP_DATA[[#This Row],[Top '[m']]]-TP_DATA[[#This Row],[Bottom '[m']]], "")</f>
        <v/>
      </c>
      <c r="AW386" s="208"/>
      <c r="AX386" s="209"/>
      <c r="AY386" s="240"/>
      <c r="BB386" s="99"/>
      <c r="BC386" s="99"/>
      <c r="BD386" s="187"/>
      <c r="CH386" s="233" t="str">
        <f>IFERROR(TOWER_DATA[[#This Row],[Top '[m']]]-TOWER_DATA[[#This Row],[Bottom '[m']]], "")</f>
        <v/>
      </c>
      <c r="CI386" s="217" t="str">
        <f>IFERROR(-(TOWER_DATA[[#This Row],[D, bottom '[m']]]-TOWER_DATA[[#This Row],[D, top '[m']]])/(TOWER_DATA[[#This Row],[Bottom '[m']]]-TOWER_DATA[[#This Row],[Top '[m']]]),"")</f>
        <v/>
      </c>
      <c r="CJ386" s="145" t="str">
        <f t="shared" si="15"/>
        <v/>
      </c>
      <c r="CK386" s="234" t="str">
        <f>IFERROR((TOWER_DATA[[#This Row],[D, bottom '[m']]]+TOWER_DATA[[#This Row],[D, top '[m']]])/(2*TOWER_DATA[[#This Row],[t '[mm']]]/1000),"")</f>
        <v/>
      </c>
      <c r="DO386" s="209"/>
      <c r="DP386" s="209"/>
      <c r="DQ386" s="187"/>
      <c r="DT386" s="99"/>
      <c r="DU386" s="99"/>
    </row>
    <row r="387" spans="1:125" ht="18" customHeight="1">
      <c r="A387" s="271"/>
      <c r="D387" s="280"/>
      <c r="E387" s="52"/>
      <c r="K387" s="233" t="str">
        <f>IFERROR(MP_DATA[[#This Row],[Top '[m']]]-MP_DATA[[#This Row],[Bottom '[m']]], "")</f>
        <v/>
      </c>
      <c r="L387" s="217" t="str">
        <f>IFERROR(-(MP_DATA[[#This Row],[D, bottom '[m']]]-MP_DATA[[#This Row],[D, top '[m']]])/(MP_DATA[[#This Row],[Bottom '[m']]]-MP_DATA[[#This Row],[Top '[m']]]),"")</f>
        <v/>
      </c>
      <c r="M387" s="145" t="str">
        <f t="shared" si="16"/>
        <v/>
      </c>
      <c r="N387" s="234" t="str">
        <f>IFERROR((MP_DATA[[#This Row],[D, bottom '[m']]]+MP_DATA[[#This Row],[D, top '[m']]])/(2*MP_DATA[[#This Row],[t '[mm']]]/1000),"")</f>
        <v/>
      </c>
      <c r="Q387" s="209"/>
      <c r="R387" s="209"/>
      <c r="S387" s="187"/>
      <c r="AV387" s="233" t="str">
        <f>IFERROR(TP_DATA[[#This Row],[Top '[m']]]-TP_DATA[[#This Row],[Bottom '[m']]], "")</f>
        <v/>
      </c>
      <c r="AW387" s="208"/>
      <c r="AX387" s="209"/>
      <c r="AY387" s="240"/>
      <c r="BB387" s="99"/>
      <c r="BC387" s="99"/>
      <c r="BD387" s="187"/>
      <c r="CH387" s="233" t="str">
        <f>IFERROR(TOWER_DATA[[#This Row],[Top '[m']]]-TOWER_DATA[[#This Row],[Bottom '[m']]], "")</f>
        <v/>
      </c>
      <c r="CI387" s="217" t="str">
        <f>IFERROR(-(TOWER_DATA[[#This Row],[D, bottom '[m']]]-TOWER_DATA[[#This Row],[D, top '[m']]])/(TOWER_DATA[[#This Row],[Bottom '[m']]]-TOWER_DATA[[#This Row],[Top '[m']]]),"")</f>
        <v/>
      </c>
      <c r="CJ387" s="145" t="str">
        <f t="shared" si="15"/>
        <v/>
      </c>
      <c r="CK387" s="234" t="str">
        <f>IFERROR((TOWER_DATA[[#This Row],[D, bottom '[m']]]+TOWER_DATA[[#This Row],[D, top '[m']]])/(2*TOWER_DATA[[#This Row],[t '[mm']]]/1000),"")</f>
        <v/>
      </c>
      <c r="DO387" s="209"/>
      <c r="DP387" s="209"/>
      <c r="DQ387" s="187"/>
      <c r="DT387" s="99"/>
      <c r="DU387" s="99"/>
    </row>
    <row r="388" spans="1:125" ht="18" customHeight="1">
      <c r="A388" s="271"/>
      <c r="D388" s="280"/>
      <c r="E388" s="52"/>
      <c r="K388" s="233" t="str">
        <f>IFERROR(MP_DATA[[#This Row],[Top '[m']]]-MP_DATA[[#This Row],[Bottom '[m']]], "")</f>
        <v/>
      </c>
      <c r="L388" s="217" t="str">
        <f>IFERROR(-(MP_DATA[[#This Row],[D, bottom '[m']]]-MP_DATA[[#This Row],[D, top '[m']]])/(MP_DATA[[#This Row],[Bottom '[m']]]-MP_DATA[[#This Row],[Top '[m']]]),"")</f>
        <v/>
      </c>
      <c r="M388" s="145" t="str">
        <f t="shared" si="16"/>
        <v/>
      </c>
      <c r="N388" s="234" t="str">
        <f>IFERROR((MP_DATA[[#This Row],[D, bottom '[m']]]+MP_DATA[[#This Row],[D, top '[m']]])/(2*MP_DATA[[#This Row],[t '[mm']]]/1000),"")</f>
        <v/>
      </c>
      <c r="Q388" s="209"/>
      <c r="R388" s="209"/>
      <c r="S388" s="187"/>
      <c r="AV388" s="233" t="str">
        <f>IFERROR(TP_DATA[[#This Row],[Top '[m']]]-TP_DATA[[#This Row],[Bottom '[m']]], "")</f>
        <v/>
      </c>
      <c r="AW388" s="208"/>
      <c r="AX388" s="209"/>
      <c r="AY388" s="240"/>
      <c r="BB388" s="99"/>
      <c r="BC388" s="99"/>
      <c r="BD388" s="187"/>
      <c r="CH388" s="233" t="str">
        <f>IFERROR(TOWER_DATA[[#This Row],[Top '[m']]]-TOWER_DATA[[#This Row],[Bottom '[m']]], "")</f>
        <v/>
      </c>
      <c r="CI388" s="217" t="str">
        <f>IFERROR(-(TOWER_DATA[[#This Row],[D, bottom '[m']]]-TOWER_DATA[[#This Row],[D, top '[m']]])/(TOWER_DATA[[#This Row],[Bottom '[m']]]-TOWER_DATA[[#This Row],[Top '[m']]]),"")</f>
        <v/>
      </c>
      <c r="CJ388" s="145" t="str">
        <f t="shared" si="15"/>
        <v/>
      </c>
      <c r="CK388" s="234" t="str">
        <f>IFERROR((TOWER_DATA[[#This Row],[D, bottom '[m']]]+TOWER_DATA[[#This Row],[D, top '[m']]])/(2*TOWER_DATA[[#This Row],[t '[mm']]]/1000),"")</f>
        <v/>
      </c>
      <c r="DO388" s="209"/>
      <c r="DP388" s="209"/>
      <c r="DQ388" s="187"/>
      <c r="DT388" s="99"/>
      <c r="DU388" s="99"/>
    </row>
    <row r="389" spans="1:125" ht="18" customHeight="1">
      <c r="A389" s="271"/>
      <c r="D389" s="280"/>
      <c r="E389" s="52"/>
      <c r="K389" s="233" t="str">
        <f>IFERROR(MP_DATA[[#This Row],[Top '[m']]]-MP_DATA[[#This Row],[Bottom '[m']]], "")</f>
        <v/>
      </c>
      <c r="L389" s="217" t="str">
        <f>IFERROR(-(MP_DATA[[#This Row],[D, bottom '[m']]]-MP_DATA[[#This Row],[D, top '[m']]])/(MP_DATA[[#This Row],[Bottom '[m']]]-MP_DATA[[#This Row],[Top '[m']]]),"")</f>
        <v/>
      </c>
      <c r="M389" s="145" t="str">
        <f t="shared" si="16"/>
        <v/>
      </c>
      <c r="N389" s="234" t="str">
        <f>IFERROR((MP_DATA[[#This Row],[D, bottom '[m']]]+MP_DATA[[#This Row],[D, top '[m']]])/(2*MP_DATA[[#This Row],[t '[mm']]]/1000),"")</f>
        <v/>
      </c>
      <c r="Q389" s="209"/>
      <c r="R389" s="209"/>
      <c r="S389" s="187"/>
      <c r="AV389" s="233" t="str">
        <f>IFERROR(TP_DATA[[#This Row],[Top '[m']]]-TP_DATA[[#This Row],[Bottom '[m']]], "")</f>
        <v/>
      </c>
      <c r="AW389" s="208"/>
      <c r="AX389" s="209"/>
      <c r="AY389" s="240"/>
      <c r="BB389" s="99"/>
      <c r="BC389" s="99"/>
      <c r="BD389" s="187"/>
      <c r="CH389" s="233" t="str">
        <f>IFERROR(TOWER_DATA[[#This Row],[Top '[m']]]-TOWER_DATA[[#This Row],[Bottom '[m']]], "")</f>
        <v/>
      </c>
      <c r="CI389" s="217" t="str">
        <f>IFERROR(-(TOWER_DATA[[#This Row],[D, bottom '[m']]]-TOWER_DATA[[#This Row],[D, top '[m']]])/(TOWER_DATA[[#This Row],[Bottom '[m']]]-TOWER_DATA[[#This Row],[Top '[m']]]),"")</f>
        <v/>
      </c>
      <c r="CJ389" s="145" t="str">
        <f t="shared" si="15"/>
        <v/>
      </c>
      <c r="CK389" s="234" t="str">
        <f>IFERROR((TOWER_DATA[[#This Row],[D, bottom '[m']]]+TOWER_DATA[[#This Row],[D, top '[m']]])/(2*TOWER_DATA[[#This Row],[t '[mm']]]/1000),"")</f>
        <v/>
      </c>
      <c r="DO389" s="209"/>
      <c r="DP389" s="209"/>
      <c r="DQ389" s="187"/>
      <c r="DT389" s="99"/>
      <c r="DU389" s="99"/>
    </row>
    <row r="390" spans="1:125" ht="18" customHeight="1">
      <c r="A390" s="271"/>
      <c r="D390" s="280"/>
      <c r="E390" s="52"/>
      <c r="K390" s="233" t="str">
        <f>IFERROR(MP_DATA[[#This Row],[Top '[m']]]-MP_DATA[[#This Row],[Bottom '[m']]], "")</f>
        <v/>
      </c>
      <c r="L390" s="217" t="str">
        <f>IFERROR(-(MP_DATA[[#This Row],[D, bottom '[m']]]-MP_DATA[[#This Row],[D, top '[m']]])/(MP_DATA[[#This Row],[Bottom '[m']]]-MP_DATA[[#This Row],[Top '[m']]]),"")</f>
        <v/>
      </c>
      <c r="M390" s="145" t="str">
        <f t="shared" si="16"/>
        <v/>
      </c>
      <c r="N390" s="234" t="str">
        <f>IFERROR((MP_DATA[[#This Row],[D, bottom '[m']]]+MP_DATA[[#This Row],[D, top '[m']]])/(2*MP_DATA[[#This Row],[t '[mm']]]/1000),"")</f>
        <v/>
      </c>
      <c r="Q390" s="209"/>
      <c r="R390" s="209"/>
      <c r="S390" s="187"/>
      <c r="AV390" s="233" t="str">
        <f>IFERROR(TP_DATA[[#This Row],[Top '[m']]]-TP_DATA[[#This Row],[Bottom '[m']]], "")</f>
        <v/>
      </c>
      <c r="AW390" s="208"/>
      <c r="AX390" s="209"/>
      <c r="AY390" s="240"/>
      <c r="BB390" s="99"/>
      <c r="BC390" s="99"/>
      <c r="BD390" s="187"/>
      <c r="CH390" s="233" t="str">
        <f>IFERROR(TOWER_DATA[[#This Row],[Top '[m']]]-TOWER_DATA[[#This Row],[Bottom '[m']]], "")</f>
        <v/>
      </c>
      <c r="CI390" s="217" t="str">
        <f>IFERROR(-(TOWER_DATA[[#This Row],[D, bottom '[m']]]-TOWER_DATA[[#This Row],[D, top '[m']]])/(TOWER_DATA[[#This Row],[Bottom '[m']]]-TOWER_DATA[[#This Row],[Top '[m']]]),"")</f>
        <v/>
      </c>
      <c r="CJ390" s="145" t="str">
        <f t="shared" si="15"/>
        <v/>
      </c>
      <c r="CK390" s="234" t="str">
        <f>IFERROR((TOWER_DATA[[#This Row],[D, bottom '[m']]]+TOWER_DATA[[#This Row],[D, top '[m']]])/(2*TOWER_DATA[[#This Row],[t '[mm']]]/1000),"")</f>
        <v/>
      </c>
      <c r="DO390" s="209"/>
      <c r="DP390" s="209"/>
      <c r="DQ390" s="187"/>
      <c r="DT390" s="99"/>
      <c r="DU390" s="99"/>
    </row>
    <row r="391" spans="1:125" ht="18" customHeight="1">
      <c r="A391" s="271"/>
      <c r="D391" s="280"/>
      <c r="E391" s="52"/>
      <c r="K391" s="233" t="str">
        <f>IFERROR(MP_DATA[[#This Row],[Top '[m']]]-MP_DATA[[#This Row],[Bottom '[m']]], "")</f>
        <v/>
      </c>
      <c r="L391" s="217" t="str">
        <f>IFERROR(-(MP_DATA[[#This Row],[D, bottom '[m']]]-MP_DATA[[#This Row],[D, top '[m']]])/(MP_DATA[[#This Row],[Bottom '[m']]]-MP_DATA[[#This Row],[Top '[m']]]),"")</f>
        <v/>
      </c>
      <c r="M391" s="145" t="str">
        <f t="shared" si="16"/>
        <v/>
      </c>
      <c r="N391" s="234" t="str">
        <f>IFERROR((MP_DATA[[#This Row],[D, bottom '[m']]]+MP_DATA[[#This Row],[D, top '[m']]])/(2*MP_DATA[[#This Row],[t '[mm']]]/1000),"")</f>
        <v/>
      </c>
      <c r="Q391" s="209"/>
      <c r="R391" s="209"/>
      <c r="S391" s="187"/>
      <c r="AV391" s="233" t="str">
        <f>IFERROR(TP_DATA[[#This Row],[Top '[m']]]-TP_DATA[[#This Row],[Bottom '[m']]], "")</f>
        <v/>
      </c>
      <c r="AW391" s="208"/>
      <c r="AX391" s="209"/>
      <c r="AY391" s="240"/>
      <c r="BB391" s="99"/>
      <c r="BC391" s="99"/>
      <c r="BD391" s="187"/>
      <c r="CH391" s="233" t="str">
        <f>IFERROR(TOWER_DATA[[#This Row],[Top '[m']]]-TOWER_DATA[[#This Row],[Bottom '[m']]], "")</f>
        <v/>
      </c>
      <c r="CI391" s="217" t="str">
        <f>IFERROR(-(TOWER_DATA[[#This Row],[D, bottom '[m']]]-TOWER_DATA[[#This Row],[D, top '[m']]])/(TOWER_DATA[[#This Row],[Bottom '[m']]]-TOWER_DATA[[#This Row],[Top '[m']]]),"")</f>
        <v/>
      </c>
      <c r="CJ391" s="145" t="str">
        <f t="shared" si="15"/>
        <v/>
      </c>
      <c r="CK391" s="234" t="str">
        <f>IFERROR((TOWER_DATA[[#This Row],[D, bottom '[m']]]+TOWER_DATA[[#This Row],[D, top '[m']]])/(2*TOWER_DATA[[#This Row],[t '[mm']]]/1000),"")</f>
        <v/>
      </c>
      <c r="DO391" s="209"/>
      <c r="DP391" s="209"/>
      <c r="DQ391" s="187"/>
      <c r="DT391" s="99"/>
      <c r="DU391" s="99"/>
    </row>
    <row r="392" spans="1:125" ht="18" customHeight="1">
      <c r="A392" s="271"/>
      <c r="D392" s="280"/>
      <c r="E392" s="52"/>
      <c r="K392" s="233" t="str">
        <f>IFERROR(MP_DATA[[#This Row],[Top '[m']]]-MP_DATA[[#This Row],[Bottom '[m']]], "")</f>
        <v/>
      </c>
      <c r="L392" s="217" t="str">
        <f>IFERROR(-(MP_DATA[[#This Row],[D, bottom '[m']]]-MP_DATA[[#This Row],[D, top '[m']]])/(MP_DATA[[#This Row],[Bottom '[m']]]-MP_DATA[[#This Row],[Top '[m']]]),"")</f>
        <v/>
      </c>
      <c r="M392" s="145" t="str">
        <f t="shared" si="16"/>
        <v/>
      </c>
      <c r="N392" s="234" t="str">
        <f>IFERROR((MP_DATA[[#This Row],[D, bottom '[m']]]+MP_DATA[[#This Row],[D, top '[m']]])/(2*MP_DATA[[#This Row],[t '[mm']]]/1000),"")</f>
        <v/>
      </c>
      <c r="Q392" s="209"/>
      <c r="R392" s="209"/>
      <c r="S392" s="187"/>
      <c r="AV392" s="233" t="str">
        <f>IFERROR(TP_DATA[[#This Row],[Top '[m']]]-TP_DATA[[#This Row],[Bottom '[m']]], "")</f>
        <v/>
      </c>
      <c r="AW392" s="208"/>
      <c r="AX392" s="209"/>
      <c r="AY392" s="240"/>
      <c r="BB392" s="99"/>
      <c r="BC392" s="99"/>
      <c r="BD392" s="187"/>
      <c r="CH392" s="233" t="str">
        <f>IFERROR(TOWER_DATA[[#This Row],[Top '[m']]]-TOWER_DATA[[#This Row],[Bottom '[m']]], "")</f>
        <v/>
      </c>
      <c r="CI392" s="217" t="str">
        <f>IFERROR(-(TOWER_DATA[[#This Row],[D, bottom '[m']]]-TOWER_DATA[[#This Row],[D, top '[m']]])/(TOWER_DATA[[#This Row],[Bottom '[m']]]-TOWER_DATA[[#This Row],[Top '[m']]]),"")</f>
        <v/>
      </c>
      <c r="CJ392" s="145" t="str">
        <f t="shared" si="15"/>
        <v/>
      </c>
      <c r="CK392" s="234" t="str">
        <f>IFERROR((TOWER_DATA[[#This Row],[D, bottom '[m']]]+TOWER_DATA[[#This Row],[D, top '[m']]])/(2*TOWER_DATA[[#This Row],[t '[mm']]]/1000),"")</f>
        <v/>
      </c>
      <c r="DO392" s="209"/>
      <c r="DP392" s="209"/>
      <c r="DQ392" s="187"/>
      <c r="DT392" s="99"/>
      <c r="DU392" s="99"/>
    </row>
    <row r="393" spans="1:125" ht="18" customHeight="1">
      <c r="A393" s="271"/>
      <c r="D393" s="280"/>
      <c r="E393" s="52"/>
      <c r="K393" s="233" t="str">
        <f>IFERROR(MP_DATA[[#This Row],[Top '[m']]]-MP_DATA[[#This Row],[Bottom '[m']]], "")</f>
        <v/>
      </c>
      <c r="L393" s="217" t="str">
        <f>IFERROR(-(MP_DATA[[#This Row],[D, bottom '[m']]]-MP_DATA[[#This Row],[D, top '[m']]])/(MP_DATA[[#This Row],[Bottom '[m']]]-MP_DATA[[#This Row],[Top '[m']]]),"")</f>
        <v/>
      </c>
      <c r="M393" s="145" t="str">
        <f t="shared" si="16"/>
        <v/>
      </c>
      <c r="N393" s="234" t="str">
        <f>IFERROR((MP_DATA[[#This Row],[D, bottom '[m']]]+MP_DATA[[#This Row],[D, top '[m']]])/(2*MP_DATA[[#This Row],[t '[mm']]]/1000),"")</f>
        <v/>
      </c>
      <c r="Q393" s="209"/>
      <c r="R393" s="209"/>
      <c r="S393" s="187"/>
      <c r="AV393" s="233" t="str">
        <f>IFERROR(TP_DATA[[#This Row],[Top '[m']]]-TP_DATA[[#This Row],[Bottom '[m']]], "")</f>
        <v/>
      </c>
      <c r="AW393" s="208"/>
      <c r="AX393" s="209"/>
      <c r="AY393" s="240"/>
      <c r="BB393" s="99"/>
      <c r="BC393" s="99"/>
      <c r="BD393" s="187"/>
      <c r="CH393" s="233" t="str">
        <f>IFERROR(TOWER_DATA[[#This Row],[Top '[m']]]-TOWER_DATA[[#This Row],[Bottom '[m']]], "")</f>
        <v/>
      </c>
      <c r="CI393" s="217" t="str">
        <f>IFERROR(-(TOWER_DATA[[#This Row],[D, bottom '[m']]]-TOWER_DATA[[#This Row],[D, top '[m']]])/(TOWER_DATA[[#This Row],[Bottom '[m']]]-TOWER_DATA[[#This Row],[Top '[m']]]),"")</f>
        <v/>
      </c>
      <c r="CJ393" s="145" t="str">
        <f t="shared" si="15"/>
        <v/>
      </c>
      <c r="CK393" s="234" t="str">
        <f>IFERROR((TOWER_DATA[[#This Row],[D, bottom '[m']]]+TOWER_DATA[[#This Row],[D, top '[m']]])/(2*TOWER_DATA[[#This Row],[t '[mm']]]/1000),"")</f>
        <v/>
      </c>
      <c r="DO393" s="209"/>
      <c r="DP393" s="209"/>
      <c r="DQ393" s="187"/>
      <c r="DT393" s="99"/>
      <c r="DU393" s="99"/>
    </row>
    <row r="394" spans="1:125" ht="18" customHeight="1">
      <c r="A394" s="271"/>
      <c r="D394" s="280"/>
      <c r="E394" s="52"/>
      <c r="K394" s="233" t="str">
        <f>IFERROR(MP_DATA[[#This Row],[Top '[m']]]-MP_DATA[[#This Row],[Bottom '[m']]], "")</f>
        <v/>
      </c>
      <c r="L394" s="217" t="str">
        <f>IFERROR(-(MP_DATA[[#This Row],[D, bottom '[m']]]-MP_DATA[[#This Row],[D, top '[m']]])/(MP_DATA[[#This Row],[Bottom '[m']]]-MP_DATA[[#This Row],[Top '[m']]]),"")</f>
        <v/>
      </c>
      <c r="M394" s="145" t="str">
        <f t="shared" si="16"/>
        <v/>
      </c>
      <c r="N394" s="234" t="str">
        <f>IFERROR((MP_DATA[[#This Row],[D, bottom '[m']]]+MP_DATA[[#This Row],[D, top '[m']]])/(2*MP_DATA[[#This Row],[t '[mm']]]/1000),"")</f>
        <v/>
      </c>
      <c r="Q394" s="209"/>
      <c r="R394" s="209"/>
      <c r="S394" s="187"/>
      <c r="AV394" s="233" t="str">
        <f>IFERROR(TP_DATA[[#This Row],[Top '[m']]]-TP_DATA[[#This Row],[Bottom '[m']]], "")</f>
        <v/>
      </c>
      <c r="AW394" s="208"/>
      <c r="AX394" s="209"/>
      <c r="AY394" s="240"/>
      <c r="BB394" s="99"/>
      <c r="BC394" s="99"/>
      <c r="BD394" s="187"/>
      <c r="CH394" s="233" t="str">
        <f>IFERROR(TOWER_DATA[[#This Row],[Top '[m']]]-TOWER_DATA[[#This Row],[Bottom '[m']]], "")</f>
        <v/>
      </c>
      <c r="CI394" s="217" t="str">
        <f>IFERROR(-(TOWER_DATA[[#This Row],[D, bottom '[m']]]-TOWER_DATA[[#This Row],[D, top '[m']]])/(TOWER_DATA[[#This Row],[Bottom '[m']]]-TOWER_DATA[[#This Row],[Top '[m']]]),"")</f>
        <v/>
      </c>
      <c r="CJ394" s="145" t="str">
        <f t="shared" si="15"/>
        <v/>
      </c>
      <c r="CK394" s="234" t="str">
        <f>IFERROR((TOWER_DATA[[#This Row],[D, bottom '[m']]]+TOWER_DATA[[#This Row],[D, top '[m']]])/(2*TOWER_DATA[[#This Row],[t '[mm']]]/1000),"")</f>
        <v/>
      </c>
      <c r="DO394" s="209"/>
      <c r="DP394" s="209"/>
      <c r="DQ394" s="187"/>
      <c r="DT394" s="99"/>
      <c r="DU394" s="99"/>
    </row>
    <row r="395" spans="1:125" ht="18" customHeight="1">
      <c r="A395" s="271"/>
      <c r="D395" s="280"/>
      <c r="E395" s="52"/>
      <c r="K395" s="233" t="str">
        <f>IFERROR(MP_DATA[[#This Row],[Top '[m']]]-MP_DATA[[#This Row],[Bottom '[m']]], "")</f>
        <v/>
      </c>
      <c r="L395" s="217" t="str">
        <f>IFERROR(-(MP_DATA[[#This Row],[D, bottom '[m']]]-MP_DATA[[#This Row],[D, top '[m']]])/(MP_DATA[[#This Row],[Bottom '[m']]]-MP_DATA[[#This Row],[Top '[m']]]),"")</f>
        <v/>
      </c>
      <c r="M395" s="145" t="str">
        <f t="shared" si="16"/>
        <v/>
      </c>
      <c r="N395" s="234" t="str">
        <f>IFERROR((MP_DATA[[#This Row],[D, bottom '[m']]]+MP_DATA[[#This Row],[D, top '[m']]])/(2*MP_DATA[[#This Row],[t '[mm']]]/1000),"")</f>
        <v/>
      </c>
      <c r="Q395" s="209"/>
      <c r="R395" s="209"/>
      <c r="S395" s="187"/>
      <c r="AV395" s="233" t="str">
        <f>IFERROR(TP_DATA[[#This Row],[Top '[m']]]-TP_DATA[[#This Row],[Bottom '[m']]], "")</f>
        <v/>
      </c>
      <c r="AW395" s="208"/>
      <c r="AX395" s="209"/>
      <c r="AY395" s="240"/>
      <c r="BB395" s="99"/>
      <c r="BC395" s="99"/>
      <c r="BD395" s="187"/>
      <c r="CH395" s="233" t="str">
        <f>IFERROR(TOWER_DATA[[#This Row],[Top '[m']]]-TOWER_DATA[[#This Row],[Bottom '[m']]], "")</f>
        <v/>
      </c>
      <c r="CI395" s="217" t="str">
        <f>IFERROR(-(TOWER_DATA[[#This Row],[D, bottom '[m']]]-TOWER_DATA[[#This Row],[D, top '[m']]])/(TOWER_DATA[[#This Row],[Bottom '[m']]]-TOWER_DATA[[#This Row],[Top '[m']]]),"")</f>
        <v/>
      </c>
      <c r="CJ395" s="145" t="str">
        <f t="shared" si="15"/>
        <v/>
      </c>
      <c r="CK395" s="234" t="str">
        <f>IFERROR((TOWER_DATA[[#This Row],[D, bottom '[m']]]+TOWER_DATA[[#This Row],[D, top '[m']]])/(2*TOWER_DATA[[#This Row],[t '[mm']]]/1000),"")</f>
        <v/>
      </c>
      <c r="DO395" s="209"/>
      <c r="DP395" s="209"/>
      <c r="DQ395" s="187"/>
      <c r="DT395" s="99"/>
      <c r="DU395" s="99"/>
    </row>
    <row r="396" spans="1:125" ht="18" customHeight="1">
      <c r="A396" s="271"/>
      <c r="D396" s="280"/>
      <c r="E396" s="52"/>
      <c r="K396" s="233" t="str">
        <f>IFERROR(MP_DATA[[#This Row],[Top '[m']]]-MP_DATA[[#This Row],[Bottom '[m']]], "")</f>
        <v/>
      </c>
      <c r="L396" s="217" t="str">
        <f>IFERROR(-(MP_DATA[[#This Row],[D, bottom '[m']]]-MP_DATA[[#This Row],[D, top '[m']]])/(MP_DATA[[#This Row],[Bottom '[m']]]-MP_DATA[[#This Row],[Top '[m']]]),"")</f>
        <v/>
      </c>
      <c r="M396" s="145" t="str">
        <f t="shared" si="16"/>
        <v/>
      </c>
      <c r="N396" s="234" t="str">
        <f>IFERROR((MP_DATA[[#This Row],[D, bottom '[m']]]+MP_DATA[[#This Row],[D, top '[m']]])/(2*MP_DATA[[#This Row],[t '[mm']]]/1000),"")</f>
        <v/>
      </c>
      <c r="Q396" s="209"/>
      <c r="R396" s="209"/>
      <c r="S396" s="187"/>
      <c r="AV396" s="233" t="str">
        <f>IFERROR(TP_DATA[[#This Row],[Top '[m']]]-TP_DATA[[#This Row],[Bottom '[m']]], "")</f>
        <v/>
      </c>
      <c r="AW396" s="208"/>
      <c r="AX396" s="209"/>
      <c r="AY396" s="240"/>
      <c r="BB396" s="99"/>
      <c r="BC396" s="99"/>
      <c r="BD396" s="187"/>
      <c r="CH396" s="233" t="str">
        <f>IFERROR(TOWER_DATA[[#This Row],[Top '[m']]]-TOWER_DATA[[#This Row],[Bottom '[m']]], "")</f>
        <v/>
      </c>
      <c r="CI396" s="217" t="str">
        <f>IFERROR(-(TOWER_DATA[[#This Row],[D, bottom '[m']]]-TOWER_DATA[[#This Row],[D, top '[m']]])/(TOWER_DATA[[#This Row],[Bottom '[m']]]-TOWER_DATA[[#This Row],[Top '[m']]]),"")</f>
        <v/>
      </c>
      <c r="CJ396" s="145" t="str">
        <f t="shared" si="15"/>
        <v/>
      </c>
      <c r="CK396" s="234" t="str">
        <f>IFERROR((TOWER_DATA[[#This Row],[D, bottom '[m']]]+TOWER_DATA[[#This Row],[D, top '[m']]])/(2*TOWER_DATA[[#This Row],[t '[mm']]]/1000),"")</f>
        <v/>
      </c>
      <c r="DO396" s="209"/>
      <c r="DP396" s="209"/>
      <c r="DQ396" s="187"/>
      <c r="DT396" s="99"/>
      <c r="DU396" s="99"/>
    </row>
    <row r="397" spans="1:125" ht="18" customHeight="1">
      <c r="A397" s="271"/>
      <c r="D397" s="280"/>
      <c r="E397" s="52"/>
      <c r="K397" s="233" t="str">
        <f>IFERROR(MP_DATA[[#This Row],[Top '[m']]]-MP_DATA[[#This Row],[Bottom '[m']]], "")</f>
        <v/>
      </c>
      <c r="L397" s="217" t="str">
        <f>IFERROR(-(MP_DATA[[#This Row],[D, bottom '[m']]]-MP_DATA[[#This Row],[D, top '[m']]])/(MP_DATA[[#This Row],[Bottom '[m']]]-MP_DATA[[#This Row],[Top '[m']]]),"")</f>
        <v/>
      </c>
      <c r="M397" s="145" t="str">
        <f t="shared" si="16"/>
        <v/>
      </c>
      <c r="N397" s="234" t="str">
        <f>IFERROR((MP_DATA[[#This Row],[D, bottom '[m']]]+MP_DATA[[#This Row],[D, top '[m']]])/(2*MP_DATA[[#This Row],[t '[mm']]]/1000),"")</f>
        <v/>
      </c>
      <c r="Q397" s="209"/>
      <c r="R397" s="209"/>
      <c r="S397" s="187"/>
      <c r="AV397" s="233" t="str">
        <f>IFERROR(TP_DATA[[#This Row],[Top '[m']]]-TP_DATA[[#This Row],[Bottom '[m']]], "")</f>
        <v/>
      </c>
      <c r="AW397" s="208"/>
      <c r="AX397" s="209"/>
      <c r="AY397" s="240"/>
      <c r="BB397" s="99"/>
      <c r="BC397" s="99"/>
      <c r="BD397" s="187"/>
      <c r="CH397" s="233" t="str">
        <f>IFERROR(TOWER_DATA[[#This Row],[Top '[m']]]-TOWER_DATA[[#This Row],[Bottom '[m']]], "")</f>
        <v/>
      </c>
      <c r="CI397" s="217" t="str">
        <f>IFERROR(-(TOWER_DATA[[#This Row],[D, bottom '[m']]]-TOWER_DATA[[#This Row],[D, top '[m']]])/(TOWER_DATA[[#This Row],[Bottom '[m']]]-TOWER_DATA[[#This Row],[Top '[m']]]),"")</f>
        <v/>
      </c>
      <c r="CJ397" s="145" t="str">
        <f t="shared" si="15"/>
        <v/>
      </c>
      <c r="CK397" s="234" t="str">
        <f>IFERROR((TOWER_DATA[[#This Row],[D, bottom '[m']]]+TOWER_DATA[[#This Row],[D, top '[m']]])/(2*TOWER_DATA[[#This Row],[t '[mm']]]/1000),"")</f>
        <v/>
      </c>
      <c r="DO397" s="209"/>
      <c r="DP397" s="209"/>
      <c r="DQ397" s="187"/>
      <c r="DT397" s="99"/>
      <c r="DU397" s="99"/>
    </row>
    <row r="398" spans="1:125" ht="18" customHeight="1">
      <c r="A398" s="271"/>
      <c r="D398" s="280"/>
      <c r="E398" s="52"/>
      <c r="K398" s="233" t="str">
        <f>IFERROR(MP_DATA[[#This Row],[Top '[m']]]-MP_DATA[[#This Row],[Bottom '[m']]], "")</f>
        <v/>
      </c>
      <c r="L398" s="217" t="str">
        <f>IFERROR(-(MP_DATA[[#This Row],[D, bottom '[m']]]-MP_DATA[[#This Row],[D, top '[m']]])/(MP_DATA[[#This Row],[Bottom '[m']]]-MP_DATA[[#This Row],[Top '[m']]]),"")</f>
        <v/>
      </c>
      <c r="M398" s="145" t="str">
        <f t="shared" si="16"/>
        <v/>
      </c>
      <c r="N398" s="234" t="str">
        <f>IFERROR((MP_DATA[[#This Row],[D, bottom '[m']]]+MP_DATA[[#This Row],[D, top '[m']]])/(2*MP_DATA[[#This Row],[t '[mm']]]/1000),"")</f>
        <v/>
      </c>
      <c r="Q398" s="209"/>
      <c r="R398" s="209"/>
      <c r="S398" s="187"/>
      <c r="AV398" s="233" t="str">
        <f>IFERROR(TP_DATA[[#This Row],[Top '[m']]]-TP_DATA[[#This Row],[Bottom '[m']]], "")</f>
        <v/>
      </c>
      <c r="AW398" s="208"/>
      <c r="AX398" s="209"/>
      <c r="AY398" s="240"/>
      <c r="BB398" s="99"/>
      <c r="BC398" s="99"/>
      <c r="BD398" s="187"/>
      <c r="CH398" s="233" t="str">
        <f>IFERROR(TOWER_DATA[[#This Row],[Top '[m']]]-TOWER_DATA[[#This Row],[Bottom '[m']]], "")</f>
        <v/>
      </c>
      <c r="CI398" s="217" t="str">
        <f>IFERROR(-(TOWER_DATA[[#This Row],[D, bottom '[m']]]-TOWER_DATA[[#This Row],[D, top '[m']]])/(TOWER_DATA[[#This Row],[Bottom '[m']]]-TOWER_DATA[[#This Row],[Top '[m']]]),"")</f>
        <v/>
      </c>
      <c r="CJ398" s="145" t="str">
        <f t="shared" si="15"/>
        <v/>
      </c>
      <c r="CK398" s="234" t="str">
        <f>IFERROR((TOWER_DATA[[#This Row],[D, bottom '[m']]]+TOWER_DATA[[#This Row],[D, top '[m']]])/(2*TOWER_DATA[[#This Row],[t '[mm']]]/1000),"")</f>
        <v/>
      </c>
      <c r="DO398" s="209"/>
      <c r="DP398" s="209"/>
      <c r="DQ398" s="187"/>
      <c r="DT398" s="99"/>
      <c r="DU398" s="99"/>
    </row>
    <row r="399" spans="1:125" ht="18" customHeight="1">
      <c r="A399" s="271"/>
      <c r="D399" s="280"/>
      <c r="E399" s="52"/>
      <c r="K399" s="233" t="str">
        <f>IFERROR(MP_DATA[[#This Row],[Top '[m']]]-MP_DATA[[#This Row],[Bottom '[m']]], "")</f>
        <v/>
      </c>
      <c r="L399" s="217" t="str">
        <f>IFERROR(-(MP_DATA[[#This Row],[D, bottom '[m']]]-MP_DATA[[#This Row],[D, top '[m']]])/(MP_DATA[[#This Row],[Bottom '[m']]]-MP_DATA[[#This Row],[Top '[m']]]),"")</f>
        <v/>
      </c>
      <c r="M399" s="145" t="str">
        <f t="shared" si="16"/>
        <v/>
      </c>
      <c r="N399" s="234" t="str">
        <f>IFERROR((MP_DATA[[#This Row],[D, bottom '[m']]]+MP_DATA[[#This Row],[D, top '[m']]])/(2*MP_DATA[[#This Row],[t '[mm']]]/1000),"")</f>
        <v/>
      </c>
      <c r="Q399" s="209"/>
      <c r="R399" s="209"/>
      <c r="S399" s="187"/>
      <c r="AV399" s="233" t="str">
        <f>IFERROR(TP_DATA[[#This Row],[Top '[m']]]-TP_DATA[[#This Row],[Bottom '[m']]], "")</f>
        <v/>
      </c>
      <c r="AW399" s="208"/>
      <c r="AX399" s="209"/>
      <c r="AY399" s="240"/>
      <c r="BB399" s="99"/>
      <c r="BC399" s="99"/>
      <c r="BD399" s="187"/>
      <c r="CH399" s="233" t="str">
        <f>IFERROR(TOWER_DATA[[#This Row],[Top '[m']]]-TOWER_DATA[[#This Row],[Bottom '[m']]], "")</f>
        <v/>
      </c>
      <c r="CI399" s="217" t="str">
        <f>IFERROR(-(TOWER_DATA[[#This Row],[D, bottom '[m']]]-TOWER_DATA[[#This Row],[D, top '[m']]])/(TOWER_DATA[[#This Row],[Bottom '[m']]]-TOWER_DATA[[#This Row],[Top '[m']]]),"")</f>
        <v/>
      </c>
      <c r="CJ399" s="145" t="str">
        <f t="shared" si="15"/>
        <v/>
      </c>
      <c r="CK399" s="234" t="str">
        <f>IFERROR((TOWER_DATA[[#This Row],[D, bottom '[m']]]+TOWER_DATA[[#This Row],[D, top '[m']]])/(2*TOWER_DATA[[#This Row],[t '[mm']]]/1000),"")</f>
        <v/>
      </c>
      <c r="DO399" s="209"/>
      <c r="DP399" s="209"/>
      <c r="DQ399" s="187"/>
      <c r="DT399" s="99"/>
      <c r="DU399" s="99"/>
    </row>
    <row r="400" spans="1:125" ht="18" customHeight="1">
      <c r="A400" s="271"/>
      <c r="D400" s="280"/>
      <c r="E400" s="52"/>
      <c r="K400" s="233" t="str">
        <f>IFERROR(MP_DATA[[#This Row],[Top '[m']]]-MP_DATA[[#This Row],[Bottom '[m']]], "")</f>
        <v/>
      </c>
      <c r="L400" s="217" t="str">
        <f>IFERROR(-(MP_DATA[[#This Row],[D, bottom '[m']]]-MP_DATA[[#This Row],[D, top '[m']]])/(MP_DATA[[#This Row],[Bottom '[m']]]-MP_DATA[[#This Row],[Top '[m']]]),"")</f>
        <v/>
      </c>
      <c r="M400" s="145" t="str">
        <f t="shared" si="16"/>
        <v/>
      </c>
      <c r="N400" s="234" t="str">
        <f>IFERROR((MP_DATA[[#This Row],[D, bottom '[m']]]+MP_DATA[[#This Row],[D, top '[m']]])/(2*MP_DATA[[#This Row],[t '[mm']]]/1000),"")</f>
        <v/>
      </c>
      <c r="Q400" s="209"/>
      <c r="R400" s="209"/>
      <c r="S400" s="187"/>
      <c r="AV400" s="233" t="str">
        <f>IFERROR(TP_DATA[[#This Row],[Top '[m']]]-TP_DATA[[#This Row],[Bottom '[m']]], "")</f>
        <v/>
      </c>
      <c r="AW400" s="208"/>
      <c r="AX400" s="209"/>
      <c r="AY400" s="240"/>
      <c r="BB400" s="99"/>
      <c r="BC400" s="99"/>
      <c r="BD400" s="187"/>
      <c r="CH400" s="233" t="str">
        <f>IFERROR(TOWER_DATA[[#This Row],[Top '[m']]]-TOWER_DATA[[#This Row],[Bottom '[m']]], "")</f>
        <v/>
      </c>
      <c r="CI400" s="217" t="str">
        <f>IFERROR(-(TOWER_DATA[[#This Row],[D, bottom '[m']]]-TOWER_DATA[[#This Row],[D, top '[m']]])/(TOWER_DATA[[#This Row],[Bottom '[m']]]-TOWER_DATA[[#This Row],[Top '[m']]]),"")</f>
        <v/>
      </c>
      <c r="CJ400" s="145" t="str">
        <f t="shared" si="15"/>
        <v/>
      </c>
      <c r="CK400" s="234" t="str">
        <f>IFERROR((TOWER_DATA[[#This Row],[D, bottom '[m']]]+TOWER_DATA[[#This Row],[D, top '[m']]])/(2*TOWER_DATA[[#This Row],[t '[mm']]]/1000),"")</f>
        <v/>
      </c>
      <c r="DO400" s="209"/>
      <c r="DP400" s="209"/>
      <c r="DQ400" s="187"/>
      <c r="DT400" s="99"/>
      <c r="DU400" s="99"/>
    </row>
    <row r="401" spans="1:125" ht="18" customHeight="1">
      <c r="A401" s="271"/>
      <c r="D401" s="280"/>
      <c r="E401" s="52"/>
      <c r="K401" s="233" t="str">
        <f>IFERROR(MP_DATA[[#This Row],[Top '[m']]]-MP_DATA[[#This Row],[Bottom '[m']]], "")</f>
        <v/>
      </c>
      <c r="L401" s="217" t="str">
        <f>IFERROR(-(MP_DATA[[#This Row],[D, bottom '[m']]]-MP_DATA[[#This Row],[D, top '[m']]])/(MP_DATA[[#This Row],[Bottom '[m']]]-MP_DATA[[#This Row],[Top '[m']]]),"")</f>
        <v/>
      </c>
      <c r="M401" s="145" t="str">
        <f t="shared" si="16"/>
        <v/>
      </c>
      <c r="N401" s="234" t="str">
        <f>IFERROR((MP_DATA[[#This Row],[D, bottom '[m']]]+MP_DATA[[#This Row],[D, top '[m']]])/(2*MP_DATA[[#This Row],[t '[mm']]]/1000),"")</f>
        <v/>
      </c>
      <c r="Q401" s="209"/>
      <c r="R401" s="209"/>
      <c r="S401" s="187"/>
      <c r="AV401" s="233" t="str">
        <f>IFERROR(TP_DATA[[#This Row],[Top '[m']]]-TP_DATA[[#This Row],[Bottom '[m']]], "")</f>
        <v/>
      </c>
      <c r="AW401" s="208"/>
      <c r="AX401" s="209"/>
      <c r="AY401" s="240"/>
      <c r="BB401" s="99"/>
      <c r="BC401" s="99"/>
      <c r="BD401" s="187"/>
      <c r="CH401" s="233" t="str">
        <f>IFERROR(TOWER_DATA[[#This Row],[Top '[m']]]-TOWER_DATA[[#This Row],[Bottom '[m']]], "")</f>
        <v/>
      </c>
      <c r="CI401" s="217" t="str">
        <f>IFERROR(-(TOWER_DATA[[#This Row],[D, bottom '[m']]]-TOWER_DATA[[#This Row],[D, top '[m']]])/(TOWER_DATA[[#This Row],[Bottom '[m']]]-TOWER_DATA[[#This Row],[Top '[m']]]),"")</f>
        <v/>
      </c>
      <c r="CJ401" s="145" t="str">
        <f t="shared" si="15"/>
        <v/>
      </c>
      <c r="CK401" s="234" t="str">
        <f>IFERROR((TOWER_DATA[[#This Row],[D, bottom '[m']]]+TOWER_DATA[[#This Row],[D, top '[m']]])/(2*TOWER_DATA[[#This Row],[t '[mm']]]/1000),"")</f>
        <v/>
      </c>
      <c r="DO401" s="209"/>
      <c r="DP401" s="209"/>
      <c r="DQ401" s="187"/>
      <c r="DT401" s="99"/>
      <c r="DU401" s="99"/>
    </row>
    <row r="402" spans="1:125" ht="18" customHeight="1">
      <c r="A402" s="271"/>
      <c r="D402" s="280"/>
      <c r="E402" s="52"/>
      <c r="K402" s="233" t="str">
        <f>IFERROR(MP_DATA[[#This Row],[Top '[m']]]-MP_DATA[[#This Row],[Bottom '[m']]], "")</f>
        <v/>
      </c>
      <c r="L402" s="217" t="str">
        <f>IFERROR(-(MP_DATA[[#This Row],[D, bottom '[m']]]-MP_DATA[[#This Row],[D, top '[m']]])/(MP_DATA[[#This Row],[Bottom '[m']]]-MP_DATA[[#This Row],[Top '[m']]]),"")</f>
        <v/>
      </c>
      <c r="M402" s="145" t="str">
        <f t="shared" si="16"/>
        <v/>
      </c>
      <c r="N402" s="234" t="str">
        <f>IFERROR((MP_DATA[[#This Row],[D, bottom '[m']]]+MP_DATA[[#This Row],[D, top '[m']]])/(2*MP_DATA[[#This Row],[t '[mm']]]/1000),"")</f>
        <v/>
      </c>
      <c r="Q402" s="209"/>
      <c r="R402" s="209"/>
      <c r="S402" s="187"/>
      <c r="AV402" s="233" t="str">
        <f>IFERROR(TP_DATA[[#This Row],[Top '[m']]]-TP_DATA[[#This Row],[Bottom '[m']]], "")</f>
        <v/>
      </c>
      <c r="AW402" s="208"/>
      <c r="AX402" s="209"/>
      <c r="AY402" s="240"/>
      <c r="BB402" s="99"/>
      <c r="BC402" s="99"/>
      <c r="BD402" s="187"/>
      <c r="CH402" s="233" t="str">
        <f>IFERROR(TOWER_DATA[[#This Row],[Top '[m']]]-TOWER_DATA[[#This Row],[Bottom '[m']]], "")</f>
        <v/>
      </c>
      <c r="CI402" s="217" t="str">
        <f>IFERROR(-(TOWER_DATA[[#This Row],[D, bottom '[m']]]-TOWER_DATA[[#This Row],[D, top '[m']]])/(TOWER_DATA[[#This Row],[Bottom '[m']]]-TOWER_DATA[[#This Row],[Top '[m']]]),"")</f>
        <v/>
      </c>
      <c r="CJ402" s="145" t="str">
        <f t="shared" si="15"/>
        <v/>
      </c>
      <c r="CK402" s="234" t="str">
        <f>IFERROR((TOWER_DATA[[#This Row],[D, bottom '[m']]]+TOWER_DATA[[#This Row],[D, top '[m']]])/(2*TOWER_DATA[[#This Row],[t '[mm']]]/1000),"")</f>
        <v/>
      </c>
      <c r="DO402" s="209"/>
      <c r="DP402" s="209"/>
      <c r="DQ402" s="187"/>
      <c r="DT402" s="99"/>
      <c r="DU402" s="99"/>
    </row>
    <row r="403" spans="1:125" ht="18" customHeight="1">
      <c r="A403" s="271"/>
      <c r="D403" s="280"/>
      <c r="E403" s="52"/>
      <c r="K403" s="233" t="str">
        <f>IFERROR(MP_DATA[[#This Row],[Top '[m']]]-MP_DATA[[#This Row],[Bottom '[m']]], "")</f>
        <v/>
      </c>
      <c r="L403" s="217" t="str">
        <f>IFERROR(-(MP_DATA[[#This Row],[D, bottom '[m']]]-MP_DATA[[#This Row],[D, top '[m']]])/(MP_DATA[[#This Row],[Bottom '[m']]]-MP_DATA[[#This Row],[Top '[m']]]),"")</f>
        <v/>
      </c>
      <c r="M403" s="145" t="str">
        <f t="shared" si="16"/>
        <v/>
      </c>
      <c r="N403" s="234" t="str">
        <f>IFERROR((MP_DATA[[#This Row],[D, bottom '[m']]]+MP_DATA[[#This Row],[D, top '[m']]])/(2*MP_DATA[[#This Row],[t '[mm']]]/1000),"")</f>
        <v/>
      </c>
      <c r="Q403" s="209"/>
      <c r="R403" s="209"/>
      <c r="S403" s="187"/>
      <c r="AV403" s="233" t="str">
        <f>IFERROR(TP_DATA[[#This Row],[Top '[m']]]-TP_DATA[[#This Row],[Bottom '[m']]], "")</f>
        <v/>
      </c>
      <c r="AW403" s="208"/>
      <c r="AX403" s="209"/>
      <c r="AY403" s="240"/>
      <c r="BB403" s="99"/>
      <c r="BC403" s="99"/>
      <c r="BD403" s="187"/>
      <c r="CH403" s="233" t="str">
        <f>IFERROR(TOWER_DATA[[#This Row],[Top '[m']]]-TOWER_DATA[[#This Row],[Bottom '[m']]], "")</f>
        <v/>
      </c>
      <c r="CI403" s="217" t="str">
        <f>IFERROR(-(TOWER_DATA[[#This Row],[D, bottom '[m']]]-TOWER_DATA[[#This Row],[D, top '[m']]])/(TOWER_DATA[[#This Row],[Bottom '[m']]]-TOWER_DATA[[#This Row],[Top '[m']]]),"")</f>
        <v/>
      </c>
      <c r="CJ403" s="145" t="str">
        <f t="shared" si="15"/>
        <v/>
      </c>
      <c r="CK403" s="234" t="str">
        <f>IFERROR((TOWER_DATA[[#This Row],[D, bottom '[m']]]+TOWER_DATA[[#This Row],[D, top '[m']]])/(2*TOWER_DATA[[#This Row],[t '[mm']]]/1000),"")</f>
        <v/>
      </c>
      <c r="DO403" s="209"/>
      <c r="DP403" s="209"/>
      <c r="DQ403" s="187"/>
      <c r="DT403" s="99"/>
      <c r="DU403" s="99"/>
    </row>
    <row r="404" spans="1:125" ht="18" customHeight="1">
      <c r="A404" s="271"/>
      <c r="D404" s="280"/>
      <c r="E404" s="52"/>
      <c r="K404" s="233" t="str">
        <f>IFERROR(MP_DATA[[#This Row],[Top '[m']]]-MP_DATA[[#This Row],[Bottom '[m']]], "")</f>
        <v/>
      </c>
      <c r="L404" s="217" t="str">
        <f>IFERROR(-(MP_DATA[[#This Row],[D, bottom '[m']]]-MP_DATA[[#This Row],[D, top '[m']]])/(MP_DATA[[#This Row],[Bottom '[m']]]-MP_DATA[[#This Row],[Top '[m']]]),"")</f>
        <v/>
      </c>
      <c r="M404" s="145" t="str">
        <f t="shared" si="16"/>
        <v/>
      </c>
      <c r="N404" s="234" t="str">
        <f>IFERROR((MP_DATA[[#This Row],[D, bottom '[m']]]+MP_DATA[[#This Row],[D, top '[m']]])/(2*MP_DATA[[#This Row],[t '[mm']]]/1000),"")</f>
        <v/>
      </c>
      <c r="Q404" s="209"/>
      <c r="R404" s="209"/>
      <c r="S404" s="187"/>
      <c r="AV404" s="233" t="str">
        <f>IFERROR(TP_DATA[[#This Row],[Top '[m']]]-TP_DATA[[#This Row],[Bottom '[m']]], "")</f>
        <v/>
      </c>
      <c r="AW404" s="208"/>
      <c r="AX404" s="209"/>
      <c r="AY404" s="240"/>
      <c r="BB404" s="99"/>
      <c r="BC404" s="99"/>
      <c r="BD404" s="187"/>
      <c r="CH404" s="233" t="str">
        <f>IFERROR(TOWER_DATA[[#This Row],[Top '[m']]]-TOWER_DATA[[#This Row],[Bottom '[m']]], "")</f>
        <v/>
      </c>
      <c r="CI404" s="217" t="str">
        <f>IFERROR(-(TOWER_DATA[[#This Row],[D, bottom '[m']]]-TOWER_DATA[[#This Row],[D, top '[m']]])/(TOWER_DATA[[#This Row],[Bottom '[m']]]-TOWER_DATA[[#This Row],[Top '[m']]]),"")</f>
        <v/>
      </c>
      <c r="CJ404" s="145" t="str">
        <f t="shared" si="15"/>
        <v/>
      </c>
      <c r="CK404" s="234" t="str">
        <f>IFERROR((TOWER_DATA[[#This Row],[D, bottom '[m']]]+TOWER_DATA[[#This Row],[D, top '[m']]])/(2*TOWER_DATA[[#This Row],[t '[mm']]]/1000),"")</f>
        <v/>
      </c>
      <c r="DO404" s="209"/>
      <c r="DP404" s="209"/>
      <c r="DQ404" s="187"/>
      <c r="DT404" s="99"/>
      <c r="DU404" s="99"/>
    </row>
    <row r="405" spans="1:125" ht="18" customHeight="1">
      <c r="A405" s="271"/>
      <c r="D405" s="280"/>
      <c r="E405" s="52"/>
      <c r="K405" s="233" t="str">
        <f>IFERROR(MP_DATA[[#This Row],[Top '[m']]]-MP_DATA[[#This Row],[Bottom '[m']]], "")</f>
        <v/>
      </c>
      <c r="L405" s="217" t="str">
        <f>IFERROR(-(MP_DATA[[#This Row],[D, bottom '[m']]]-MP_DATA[[#This Row],[D, top '[m']]])/(MP_DATA[[#This Row],[Bottom '[m']]]-MP_DATA[[#This Row],[Top '[m']]]),"")</f>
        <v/>
      </c>
      <c r="M405" s="145" t="str">
        <f t="shared" si="16"/>
        <v/>
      </c>
      <c r="N405" s="234" t="str">
        <f>IFERROR((MP_DATA[[#This Row],[D, bottom '[m']]]+MP_DATA[[#This Row],[D, top '[m']]])/(2*MP_DATA[[#This Row],[t '[mm']]]/1000),"")</f>
        <v/>
      </c>
      <c r="Q405" s="209"/>
      <c r="R405" s="209"/>
      <c r="S405" s="187"/>
      <c r="AV405" s="233" t="str">
        <f>IFERROR(TP_DATA[[#This Row],[Top '[m']]]-TP_DATA[[#This Row],[Bottom '[m']]], "")</f>
        <v/>
      </c>
      <c r="AW405" s="208"/>
      <c r="AX405" s="209"/>
      <c r="AY405" s="240"/>
      <c r="BB405" s="99"/>
      <c r="BC405" s="99"/>
      <c r="BD405" s="187"/>
      <c r="CH405" s="233" t="str">
        <f>IFERROR(TOWER_DATA[[#This Row],[Top '[m']]]-TOWER_DATA[[#This Row],[Bottom '[m']]], "")</f>
        <v/>
      </c>
      <c r="CI405" s="217" t="str">
        <f>IFERROR(-(TOWER_DATA[[#This Row],[D, bottom '[m']]]-TOWER_DATA[[#This Row],[D, top '[m']]])/(TOWER_DATA[[#This Row],[Bottom '[m']]]-TOWER_DATA[[#This Row],[Top '[m']]]),"")</f>
        <v/>
      </c>
      <c r="CJ405" s="145" t="str">
        <f t="shared" si="15"/>
        <v/>
      </c>
      <c r="CK405" s="234" t="str">
        <f>IFERROR((TOWER_DATA[[#This Row],[D, bottom '[m']]]+TOWER_DATA[[#This Row],[D, top '[m']]])/(2*TOWER_DATA[[#This Row],[t '[mm']]]/1000),"")</f>
        <v/>
      </c>
      <c r="DO405" s="209"/>
      <c r="DP405" s="209"/>
      <c r="DQ405" s="187"/>
      <c r="DT405" s="99"/>
      <c r="DU405" s="99"/>
    </row>
    <row r="406" spans="1:125" ht="18" customHeight="1">
      <c r="A406" s="271"/>
      <c r="D406" s="280"/>
      <c r="E406" s="52"/>
      <c r="K406" s="233" t="str">
        <f>IFERROR(MP_DATA[[#This Row],[Top '[m']]]-MP_DATA[[#This Row],[Bottom '[m']]], "")</f>
        <v/>
      </c>
      <c r="L406" s="217" t="str">
        <f>IFERROR(-(MP_DATA[[#This Row],[D, bottom '[m']]]-MP_DATA[[#This Row],[D, top '[m']]])/(MP_DATA[[#This Row],[Bottom '[m']]]-MP_DATA[[#This Row],[Top '[m']]]),"")</f>
        <v/>
      </c>
      <c r="M406" s="145" t="str">
        <f t="shared" si="16"/>
        <v/>
      </c>
      <c r="N406" s="234" t="str">
        <f>IFERROR((MP_DATA[[#This Row],[D, bottom '[m']]]+MP_DATA[[#This Row],[D, top '[m']]])/(2*MP_DATA[[#This Row],[t '[mm']]]/1000),"")</f>
        <v/>
      </c>
      <c r="Q406" s="209"/>
      <c r="R406" s="209"/>
      <c r="S406" s="187"/>
      <c r="AV406" s="233" t="str">
        <f>IFERROR(TP_DATA[[#This Row],[Top '[m']]]-TP_DATA[[#This Row],[Bottom '[m']]], "")</f>
        <v/>
      </c>
      <c r="AW406" s="208"/>
      <c r="AX406" s="209"/>
      <c r="AY406" s="240"/>
      <c r="BB406" s="99"/>
      <c r="BC406" s="99"/>
      <c r="BD406" s="187"/>
      <c r="CH406" s="233" t="str">
        <f>IFERROR(TOWER_DATA[[#This Row],[Top '[m']]]-TOWER_DATA[[#This Row],[Bottom '[m']]], "")</f>
        <v/>
      </c>
      <c r="CI406" s="217" t="str">
        <f>IFERROR(-(TOWER_DATA[[#This Row],[D, bottom '[m']]]-TOWER_DATA[[#This Row],[D, top '[m']]])/(TOWER_DATA[[#This Row],[Bottom '[m']]]-TOWER_DATA[[#This Row],[Top '[m']]]),"")</f>
        <v/>
      </c>
      <c r="CJ406" s="145" t="str">
        <f t="shared" si="15"/>
        <v/>
      </c>
      <c r="CK406" s="234" t="str">
        <f>IFERROR((TOWER_DATA[[#This Row],[D, bottom '[m']]]+TOWER_DATA[[#This Row],[D, top '[m']]])/(2*TOWER_DATA[[#This Row],[t '[mm']]]/1000),"")</f>
        <v/>
      </c>
      <c r="DO406" s="209"/>
      <c r="DP406" s="209"/>
      <c r="DQ406" s="187"/>
      <c r="DT406" s="99"/>
      <c r="DU406" s="99"/>
    </row>
    <row r="407" spans="1:125" ht="18" customHeight="1">
      <c r="A407" s="271"/>
      <c r="D407" s="280"/>
      <c r="E407" s="52"/>
      <c r="K407" s="233" t="str">
        <f>IFERROR(MP_DATA[[#This Row],[Top '[m']]]-MP_DATA[[#This Row],[Bottom '[m']]], "")</f>
        <v/>
      </c>
      <c r="L407" s="217" t="str">
        <f>IFERROR(-(MP_DATA[[#This Row],[D, bottom '[m']]]-MP_DATA[[#This Row],[D, top '[m']]])/(MP_DATA[[#This Row],[Bottom '[m']]]-MP_DATA[[#This Row],[Top '[m']]]),"")</f>
        <v/>
      </c>
      <c r="M407" s="145" t="str">
        <f t="shared" si="16"/>
        <v/>
      </c>
      <c r="N407" s="234" t="str">
        <f>IFERROR((MP_DATA[[#This Row],[D, bottom '[m']]]+MP_DATA[[#This Row],[D, top '[m']]])/(2*MP_DATA[[#This Row],[t '[mm']]]/1000),"")</f>
        <v/>
      </c>
      <c r="Q407" s="209"/>
      <c r="R407" s="209"/>
      <c r="S407" s="187"/>
      <c r="AV407" s="233" t="str">
        <f>IFERROR(TP_DATA[[#This Row],[Top '[m']]]-TP_DATA[[#This Row],[Bottom '[m']]], "")</f>
        <v/>
      </c>
      <c r="AW407" s="208"/>
      <c r="AX407" s="209"/>
      <c r="AY407" s="240"/>
      <c r="BB407" s="99"/>
      <c r="BC407" s="99"/>
      <c r="BD407" s="187"/>
      <c r="CH407" s="233" t="str">
        <f>IFERROR(TOWER_DATA[[#This Row],[Top '[m']]]-TOWER_DATA[[#This Row],[Bottom '[m']]], "")</f>
        <v/>
      </c>
      <c r="CI407" s="217" t="str">
        <f>IFERROR(-(TOWER_DATA[[#This Row],[D, bottom '[m']]]-TOWER_DATA[[#This Row],[D, top '[m']]])/(TOWER_DATA[[#This Row],[Bottom '[m']]]-TOWER_DATA[[#This Row],[Top '[m']]]),"")</f>
        <v/>
      </c>
      <c r="CJ407" s="145" t="str">
        <f t="shared" si="15"/>
        <v/>
      </c>
      <c r="CK407" s="234" t="str">
        <f>IFERROR((TOWER_DATA[[#This Row],[D, bottom '[m']]]+TOWER_DATA[[#This Row],[D, top '[m']]])/(2*TOWER_DATA[[#This Row],[t '[mm']]]/1000),"")</f>
        <v/>
      </c>
      <c r="DO407" s="209"/>
      <c r="DP407" s="209"/>
      <c r="DQ407" s="187"/>
      <c r="DT407" s="99"/>
      <c r="DU407" s="99"/>
    </row>
    <row r="408" spans="1:125" ht="18" customHeight="1">
      <c r="A408" s="271"/>
      <c r="D408" s="280"/>
      <c r="E408" s="52"/>
      <c r="K408" s="233" t="str">
        <f>IFERROR(MP_DATA[[#This Row],[Top '[m']]]-MP_DATA[[#This Row],[Bottom '[m']]], "")</f>
        <v/>
      </c>
      <c r="L408" s="217" t="str">
        <f>IFERROR(-(MP_DATA[[#This Row],[D, bottom '[m']]]-MP_DATA[[#This Row],[D, top '[m']]])/(MP_DATA[[#This Row],[Bottom '[m']]]-MP_DATA[[#This Row],[Top '[m']]]),"")</f>
        <v/>
      </c>
      <c r="M408" s="145" t="str">
        <f t="shared" si="16"/>
        <v/>
      </c>
      <c r="N408" s="234" t="str">
        <f>IFERROR((MP_DATA[[#This Row],[D, bottom '[m']]]+MP_DATA[[#This Row],[D, top '[m']]])/(2*MP_DATA[[#This Row],[t '[mm']]]/1000),"")</f>
        <v/>
      </c>
      <c r="Q408" s="209"/>
      <c r="R408" s="209"/>
      <c r="S408" s="187"/>
      <c r="AV408" s="233" t="str">
        <f>IFERROR(TP_DATA[[#This Row],[Top '[m']]]-TP_DATA[[#This Row],[Bottom '[m']]], "")</f>
        <v/>
      </c>
      <c r="AW408" s="208"/>
      <c r="AX408" s="209"/>
      <c r="AY408" s="240"/>
      <c r="BB408" s="99"/>
      <c r="BC408" s="99"/>
      <c r="BD408" s="187"/>
      <c r="CH408" s="233" t="str">
        <f>IFERROR(TOWER_DATA[[#This Row],[Top '[m']]]-TOWER_DATA[[#This Row],[Bottom '[m']]], "")</f>
        <v/>
      </c>
      <c r="CI408" s="217" t="str">
        <f>IFERROR(-(TOWER_DATA[[#This Row],[D, bottom '[m']]]-TOWER_DATA[[#This Row],[D, top '[m']]])/(TOWER_DATA[[#This Row],[Bottom '[m']]]-TOWER_DATA[[#This Row],[Top '[m']]]),"")</f>
        <v/>
      </c>
      <c r="CJ408" s="145" t="str">
        <f t="shared" si="15"/>
        <v/>
      </c>
      <c r="CK408" s="234" t="str">
        <f>IFERROR((TOWER_DATA[[#This Row],[D, bottom '[m']]]+TOWER_DATA[[#This Row],[D, top '[m']]])/(2*TOWER_DATA[[#This Row],[t '[mm']]]/1000),"")</f>
        <v/>
      </c>
      <c r="DO408" s="209"/>
      <c r="DP408" s="209"/>
      <c r="DQ408" s="187"/>
      <c r="DT408" s="99"/>
      <c r="DU408" s="99"/>
    </row>
    <row r="409" spans="1:125" ht="18" customHeight="1">
      <c r="A409" s="271"/>
      <c r="D409" s="280"/>
      <c r="E409" s="52"/>
      <c r="K409" s="233" t="str">
        <f>IFERROR(MP_DATA[[#This Row],[Top '[m']]]-MP_DATA[[#This Row],[Bottom '[m']]], "")</f>
        <v/>
      </c>
      <c r="L409" s="217" t="str">
        <f>IFERROR(-(MP_DATA[[#This Row],[D, bottom '[m']]]-MP_DATA[[#This Row],[D, top '[m']]])/(MP_DATA[[#This Row],[Bottom '[m']]]-MP_DATA[[#This Row],[Top '[m']]]),"")</f>
        <v/>
      </c>
      <c r="M409" s="145" t="str">
        <f t="shared" si="16"/>
        <v/>
      </c>
      <c r="N409" s="234" t="str">
        <f>IFERROR((MP_DATA[[#This Row],[D, bottom '[m']]]+MP_DATA[[#This Row],[D, top '[m']]])/(2*MP_DATA[[#This Row],[t '[mm']]]/1000),"")</f>
        <v/>
      </c>
      <c r="Q409" s="209"/>
      <c r="R409" s="209"/>
      <c r="S409" s="187"/>
      <c r="AV409" s="233" t="str">
        <f>IFERROR(TP_DATA[[#This Row],[Top '[m']]]-TP_DATA[[#This Row],[Bottom '[m']]], "")</f>
        <v/>
      </c>
      <c r="AW409" s="208"/>
      <c r="AX409" s="209"/>
      <c r="AY409" s="240"/>
      <c r="BB409" s="99"/>
      <c r="BC409" s="99"/>
      <c r="BD409" s="187"/>
      <c r="CH409" s="233" t="str">
        <f>IFERROR(TOWER_DATA[[#This Row],[Top '[m']]]-TOWER_DATA[[#This Row],[Bottom '[m']]], "")</f>
        <v/>
      </c>
      <c r="CI409" s="217" t="str">
        <f>IFERROR(-(TOWER_DATA[[#This Row],[D, bottom '[m']]]-TOWER_DATA[[#This Row],[D, top '[m']]])/(TOWER_DATA[[#This Row],[Bottom '[m']]]-TOWER_DATA[[#This Row],[Top '[m']]]),"")</f>
        <v/>
      </c>
      <c r="CJ409" s="145" t="str">
        <f t="shared" si="15"/>
        <v/>
      </c>
      <c r="CK409" s="234" t="str">
        <f>IFERROR((TOWER_DATA[[#This Row],[D, bottom '[m']]]+TOWER_DATA[[#This Row],[D, top '[m']]])/(2*TOWER_DATA[[#This Row],[t '[mm']]]/1000),"")</f>
        <v/>
      </c>
      <c r="DO409" s="209"/>
      <c r="DP409" s="209"/>
      <c r="DQ409" s="187"/>
      <c r="DT409" s="99"/>
      <c r="DU409" s="99"/>
    </row>
    <row r="410" spans="1:125" ht="18" customHeight="1">
      <c r="A410" s="271"/>
      <c r="D410" s="280"/>
      <c r="E410" s="52"/>
      <c r="K410" s="233" t="str">
        <f>IFERROR(MP_DATA[[#This Row],[Top '[m']]]-MP_DATA[[#This Row],[Bottom '[m']]], "")</f>
        <v/>
      </c>
      <c r="L410" s="217" t="str">
        <f>IFERROR(-(MP_DATA[[#This Row],[D, bottom '[m']]]-MP_DATA[[#This Row],[D, top '[m']]])/(MP_DATA[[#This Row],[Bottom '[m']]]-MP_DATA[[#This Row],[Top '[m']]]),"")</f>
        <v/>
      </c>
      <c r="M410" s="145" t="str">
        <f t="shared" si="16"/>
        <v/>
      </c>
      <c r="N410" s="234" t="str">
        <f>IFERROR((MP_DATA[[#This Row],[D, bottom '[m']]]+MP_DATA[[#This Row],[D, top '[m']]])/(2*MP_DATA[[#This Row],[t '[mm']]]/1000),"")</f>
        <v/>
      </c>
      <c r="Q410" s="209"/>
      <c r="R410" s="209"/>
      <c r="S410" s="187"/>
      <c r="AV410" s="233" t="str">
        <f>IFERROR(TP_DATA[[#This Row],[Top '[m']]]-TP_DATA[[#This Row],[Bottom '[m']]], "")</f>
        <v/>
      </c>
      <c r="AW410" s="208"/>
      <c r="AX410" s="209"/>
      <c r="AY410" s="240"/>
      <c r="BB410" s="99"/>
      <c r="BC410" s="99"/>
      <c r="BD410" s="187"/>
      <c r="CH410" s="233" t="str">
        <f>IFERROR(TOWER_DATA[[#This Row],[Top '[m']]]-TOWER_DATA[[#This Row],[Bottom '[m']]], "")</f>
        <v/>
      </c>
      <c r="CI410" s="217" t="str">
        <f>IFERROR(-(TOWER_DATA[[#This Row],[D, bottom '[m']]]-TOWER_DATA[[#This Row],[D, top '[m']]])/(TOWER_DATA[[#This Row],[Bottom '[m']]]-TOWER_DATA[[#This Row],[Top '[m']]]),"")</f>
        <v/>
      </c>
      <c r="CJ410" s="145" t="str">
        <f t="shared" si="15"/>
        <v/>
      </c>
      <c r="CK410" s="234" t="str">
        <f>IFERROR((TOWER_DATA[[#This Row],[D, bottom '[m']]]+TOWER_DATA[[#This Row],[D, top '[m']]])/(2*TOWER_DATA[[#This Row],[t '[mm']]]/1000),"")</f>
        <v/>
      </c>
      <c r="DO410" s="209"/>
      <c r="DP410" s="209"/>
      <c r="DQ410" s="187"/>
      <c r="DT410" s="99"/>
      <c r="DU410" s="99"/>
    </row>
    <row r="411" spans="1:125" ht="18" customHeight="1">
      <c r="A411" s="271"/>
      <c r="D411" s="280"/>
      <c r="E411" s="52"/>
      <c r="K411" s="233" t="str">
        <f>IFERROR(MP_DATA[[#This Row],[Top '[m']]]-MP_DATA[[#This Row],[Bottom '[m']]], "")</f>
        <v/>
      </c>
      <c r="L411" s="217" t="str">
        <f>IFERROR(-(MP_DATA[[#This Row],[D, bottom '[m']]]-MP_DATA[[#This Row],[D, top '[m']]])/(MP_DATA[[#This Row],[Bottom '[m']]]-MP_DATA[[#This Row],[Top '[m']]]),"")</f>
        <v/>
      </c>
      <c r="M411" s="145" t="str">
        <f t="shared" si="16"/>
        <v/>
      </c>
      <c r="N411" s="234" t="str">
        <f>IFERROR((MP_DATA[[#This Row],[D, bottom '[m']]]+MP_DATA[[#This Row],[D, top '[m']]])/(2*MP_DATA[[#This Row],[t '[mm']]]/1000),"")</f>
        <v/>
      </c>
      <c r="Q411" s="209"/>
      <c r="R411" s="209"/>
      <c r="S411" s="187"/>
      <c r="AV411" s="233" t="str">
        <f>IFERROR(TP_DATA[[#This Row],[Top '[m']]]-TP_DATA[[#This Row],[Bottom '[m']]], "")</f>
        <v/>
      </c>
      <c r="AW411" s="208"/>
      <c r="AX411" s="209"/>
      <c r="AY411" s="240"/>
      <c r="BB411" s="99"/>
      <c r="BC411" s="99"/>
      <c r="BD411" s="187"/>
      <c r="CH411" s="233" t="str">
        <f>IFERROR(TOWER_DATA[[#This Row],[Top '[m']]]-TOWER_DATA[[#This Row],[Bottom '[m']]], "")</f>
        <v/>
      </c>
      <c r="CI411" s="217" t="str">
        <f>IFERROR(-(TOWER_DATA[[#This Row],[D, bottom '[m']]]-TOWER_DATA[[#This Row],[D, top '[m']]])/(TOWER_DATA[[#This Row],[Bottom '[m']]]-TOWER_DATA[[#This Row],[Top '[m']]]),"")</f>
        <v/>
      </c>
      <c r="CJ411" s="145" t="str">
        <f t="shared" si="15"/>
        <v/>
      </c>
      <c r="CK411" s="234" t="str">
        <f>IFERROR((TOWER_DATA[[#This Row],[D, bottom '[m']]]+TOWER_DATA[[#This Row],[D, top '[m']]])/(2*TOWER_DATA[[#This Row],[t '[mm']]]/1000),"")</f>
        <v/>
      </c>
      <c r="DO411" s="209"/>
      <c r="DP411" s="209"/>
      <c r="DQ411" s="187"/>
      <c r="DT411" s="99"/>
      <c r="DU411" s="99"/>
    </row>
    <row r="412" spans="1:125" ht="18" customHeight="1">
      <c r="A412" s="271"/>
      <c r="D412" s="280"/>
      <c r="E412" s="52"/>
      <c r="K412" s="233" t="str">
        <f>IFERROR(MP_DATA[[#This Row],[Top '[m']]]-MP_DATA[[#This Row],[Bottom '[m']]], "")</f>
        <v/>
      </c>
      <c r="L412" s="217" t="str">
        <f>IFERROR(-(MP_DATA[[#This Row],[D, bottom '[m']]]-MP_DATA[[#This Row],[D, top '[m']]])/(MP_DATA[[#This Row],[Bottom '[m']]]-MP_DATA[[#This Row],[Top '[m']]]),"")</f>
        <v/>
      </c>
      <c r="M412" s="145" t="str">
        <f t="shared" si="16"/>
        <v/>
      </c>
      <c r="N412" s="234" t="str">
        <f>IFERROR((MP_DATA[[#This Row],[D, bottom '[m']]]+MP_DATA[[#This Row],[D, top '[m']]])/(2*MP_DATA[[#This Row],[t '[mm']]]/1000),"")</f>
        <v/>
      </c>
      <c r="Q412" s="209"/>
      <c r="R412" s="209"/>
      <c r="S412" s="187"/>
      <c r="AV412" s="233" t="str">
        <f>IFERROR(TP_DATA[[#This Row],[Top '[m']]]-TP_DATA[[#This Row],[Bottom '[m']]], "")</f>
        <v/>
      </c>
      <c r="AW412" s="208"/>
      <c r="AX412" s="209"/>
      <c r="AY412" s="240"/>
      <c r="BB412" s="99"/>
      <c r="BC412" s="99"/>
      <c r="BD412" s="187"/>
      <c r="CH412" s="233" t="str">
        <f>IFERROR(TOWER_DATA[[#This Row],[Top '[m']]]-TOWER_DATA[[#This Row],[Bottom '[m']]], "")</f>
        <v/>
      </c>
      <c r="CI412" s="217" t="str">
        <f>IFERROR(-(TOWER_DATA[[#This Row],[D, bottom '[m']]]-TOWER_DATA[[#This Row],[D, top '[m']]])/(TOWER_DATA[[#This Row],[Bottom '[m']]]-TOWER_DATA[[#This Row],[Top '[m']]]),"")</f>
        <v/>
      </c>
      <c r="CJ412" s="145" t="str">
        <f t="shared" si="15"/>
        <v/>
      </c>
      <c r="CK412" s="234" t="str">
        <f>IFERROR((TOWER_DATA[[#This Row],[D, bottom '[m']]]+TOWER_DATA[[#This Row],[D, top '[m']]])/(2*TOWER_DATA[[#This Row],[t '[mm']]]/1000),"")</f>
        <v/>
      </c>
      <c r="DO412" s="209"/>
      <c r="DP412" s="209"/>
      <c r="DQ412" s="187"/>
      <c r="DT412" s="99"/>
      <c r="DU412" s="99"/>
    </row>
    <row r="413" spans="1:125" ht="18" customHeight="1">
      <c r="A413" s="271"/>
      <c r="D413" s="280"/>
      <c r="E413" s="52"/>
      <c r="K413" s="233" t="str">
        <f>IFERROR(MP_DATA[[#This Row],[Top '[m']]]-MP_DATA[[#This Row],[Bottom '[m']]], "")</f>
        <v/>
      </c>
      <c r="L413" s="217" t="str">
        <f>IFERROR(-(MP_DATA[[#This Row],[D, bottom '[m']]]-MP_DATA[[#This Row],[D, top '[m']]])/(MP_DATA[[#This Row],[Bottom '[m']]]-MP_DATA[[#This Row],[Top '[m']]]),"")</f>
        <v/>
      </c>
      <c r="M413" s="145" t="str">
        <f t="shared" si="16"/>
        <v/>
      </c>
      <c r="N413" s="234" t="str">
        <f>IFERROR((MP_DATA[[#This Row],[D, bottom '[m']]]+MP_DATA[[#This Row],[D, top '[m']]])/(2*MP_DATA[[#This Row],[t '[mm']]]/1000),"")</f>
        <v/>
      </c>
      <c r="Q413" s="209"/>
      <c r="R413" s="209"/>
      <c r="S413" s="187"/>
      <c r="AV413" s="233" t="str">
        <f>IFERROR(TP_DATA[[#This Row],[Top '[m']]]-TP_DATA[[#This Row],[Bottom '[m']]], "")</f>
        <v/>
      </c>
      <c r="AW413" s="208"/>
      <c r="AX413" s="209"/>
      <c r="AY413" s="240"/>
      <c r="BB413" s="99"/>
      <c r="BC413" s="99"/>
      <c r="BD413" s="187"/>
      <c r="CH413" s="233" t="str">
        <f>IFERROR(TOWER_DATA[[#This Row],[Top '[m']]]-TOWER_DATA[[#This Row],[Bottom '[m']]], "")</f>
        <v/>
      </c>
      <c r="CI413" s="217" t="str">
        <f>IFERROR(-(TOWER_DATA[[#This Row],[D, bottom '[m']]]-TOWER_DATA[[#This Row],[D, top '[m']]])/(TOWER_DATA[[#This Row],[Bottom '[m']]]-TOWER_DATA[[#This Row],[Top '[m']]]),"")</f>
        <v/>
      </c>
      <c r="CJ413" s="145" t="str">
        <f t="shared" si="15"/>
        <v/>
      </c>
      <c r="CK413" s="234" t="str">
        <f>IFERROR((TOWER_DATA[[#This Row],[D, bottom '[m']]]+TOWER_DATA[[#This Row],[D, top '[m']]])/(2*TOWER_DATA[[#This Row],[t '[mm']]]/1000),"")</f>
        <v/>
      </c>
      <c r="DO413" s="209"/>
      <c r="DP413" s="209"/>
      <c r="DQ413" s="187"/>
      <c r="DT413" s="99"/>
      <c r="DU413" s="99"/>
    </row>
    <row r="414" spans="1:125" ht="18" customHeight="1">
      <c r="A414" s="271"/>
      <c r="D414" s="280"/>
      <c r="E414" s="52"/>
      <c r="K414" s="233" t="str">
        <f>IFERROR(MP_DATA[[#This Row],[Top '[m']]]-MP_DATA[[#This Row],[Bottom '[m']]], "")</f>
        <v/>
      </c>
      <c r="L414" s="217" t="str">
        <f>IFERROR(-(MP_DATA[[#This Row],[D, bottom '[m']]]-MP_DATA[[#This Row],[D, top '[m']]])/(MP_DATA[[#This Row],[Bottom '[m']]]-MP_DATA[[#This Row],[Top '[m']]]),"")</f>
        <v/>
      </c>
      <c r="M414" s="145" t="str">
        <f t="shared" si="16"/>
        <v/>
      </c>
      <c r="N414" s="234" t="str">
        <f>IFERROR((MP_DATA[[#This Row],[D, bottom '[m']]]+MP_DATA[[#This Row],[D, top '[m']]])/(2*MP_DATA[[#This Row],[t '[mm']]]/1000),"")</f>
        <v/>
      </c>
      <c r="Q414" s="209"/>
      <c r="R414" s="209"/>
      <c r="S414" s="187"/>
      <c r="AV414" s="233" t="str">
        <f>IFERROR(TP_DATA[[#This Row],[Top '[m']]]-TP_DATA[[#This Row],[Bottom '[m']]], "")</f>
        <v/>
      </c>
      <c r="AW414" s="208"/>
      <c r="AX414" s="209"/>
      <c r="AY414" s="240"/>
      <c r="BB414" s="99"/>
      <c r="BC414" s="99"/>
      <c r="BD414" s="187"/>
      <c r="CH414" s="233" t="str">
        <f>IFERROR(TOWER_DATA[[#This Row],[Top '[m']]]-TOWER_DATA[[#This Row],[Bottom '[m']]], "")</f>
        <v/>
      </c>
      <c r="CI414" s="217" t="str">
        <f>IFERROR(-(TOWER_DATA[[#This Row],[D, bottom '[m']]]-TOWER_DATA[[#This Row],[D, top '[m']]])/(TOWER_DATA[[#This Row],[Bottom '[m']]]-TOWER_DATA[[#This Row],[Top '[m']]]),"")</f>
        <v/>
      </c>
      <c r="CJ414" s="145" t="str">
        <f t="shared" si="15"/>
        <v/>
      </c>
      <c r="CK414" s="234" t="str">
        <f>IFERROR((TOWER_DATA[[#This Row],[D, bottom '[m']]]+TOWER_DATA[[#This Row],[D, top '[m']]])/(2*TOWER_DATA[[#This Row],[t '[mm']]]/1000),"")</f>
        <v/>
      </c>
      <c r="DO414" s="209"/>
      <c r="DP414" s="209"/>
      <c r="DQ414" s="187"/>
      <c r="DT414" s="99"/>
      <c r="DU414" s="99"/>
    </row>
    <row r="415" spans="1:125" ht="18" customHeight="1">
      <c r="A415" s="271"/>
      <c r="D415" s="280"/>
      <c r="E415" s="52"/>
      <c r="K415" s="233" t="str">
        <f>IFERROR(MP_DATA[[#This Row],[Top '[m']]]-MP_DATA[[#This Row],[Bottom '[m']]], "")</f>
        <v/>
      </c>
      <c r="L415" s="217" t="str">
        <f>IFERROR(-(MP_DATA[[#This Row],[D, bottom '[m']]]-MP_DATA[[#This Row],[D, top '[m']]])/(MP_DATA[[#This Row],[Bottom '[m']]]-MP_DATA[[#This Row],[Top '[m']]]),"")</f>
        <v/>
      </c>
      <c r="M415" s="145" t="str">
        <f t="shared" si="16"/>
        <v/>
      </c>
      <c r="N415" s="234" t="str">
        <f>IFERROR((MP_DATA[[#This Row],[D, bottom '[m']]]+MP_DATA[[#This Row],[D, top '[m']]])/(2*MP_DATA[[#This Row],[t '[mm']]]/1000),"")</f>
        <v/>
      </c>
      <c r="Q415" s="209"/>
      <c r="R415" s="209"/>
      <c r="S415" s="187"/>
      <c r="AV415" s="233" t="str">
        <f>IFERROR(TP_DATA[[#This Row],[Top '[m']]]-TP_DATA[[#This Row],[Bottom '[m']]], "")</f>
        <v/>
      </c>
      <c r="AW415" s="208"/>
      <c r="AX415" s="209"/>
      <c r="AY415" s="240"/>
      <c r="BB415" s="99"/>
      <c r="BC415" s="99"/>
      <c r="BD415" s="187"/>
      <c r="CH415" s="233" t="str">
        <f>IFERROR(TOWER_DATA[[#This Row],[Top '[m']]]-TOWER_DATA[[#This Row],[Bottom '[m']]], "")</f>
        <v/>
      </c>
      <c r="CI415" s="217" t="str">
        <f>IFERROR(-(TOWER_DATA[[#This Row],[D, bottom '[m']]]-TOWER_DATA[[#This Row],[D, top '[m']]])/(TOWER_DATA[[#This Row],[Bottom '[m']]]-TOWER_DATA[[#This Row],[Top '[m']]]),"")</f>
        <v/>
      </c>
      <c r="CJ415" s="145" t="str">
        <f t="shared" si="15"/>
        <v/>
      </c>
      <c r="CK415" s="234" t="str">
        <f>IFERROR((TOWER_DATA[[#This Row],[D, bottom '[m']]]+TOWER_DATA[[#This Row],[D, top '[m']]])/(2*TOWER_DATA[[#This Row],[t '[mm']]]/1000),"")</f>
        <v/>
      </c>
      <c r="DO415" s="209"/>
      <c r="DP415" s="209"/>
      <c r="DQ415" s="187"/>
      <c r="DT415" s="99"/>
      <c r="DU415" s="99"/>
    </row>
    <row r="416" spans="1:125" ht="18" customHeight="1">
      <c r="A416" s="271"/>
      <c r="D416" s="280"/>
      <c r="E416" s="52"/>
      <c r="K416" s="233" t="str">
        <f>IFERROR(MP_DATA[[#This Row],[Top '[m']]]-MP_DATA[[#This Row],[Bottom '[m']]], "")</f>
        <v/>
      </c>
      <c r="L416" s="217" t="str">
        <f>IFERROR(-(MP_DATA[[#This Row],[D, bottom '[m']]]-MP_DATA[[#This Row],[D, top '[m']]])/(MP_DATA[[#This Row],[Bottom '[m']]]-MP_DATA[[#This Row],[Top '[m']]]),"")</f>
        <v/>
      </c>
      <c r="M416" s="145" t="str">
        <f t="shared" si="16"/>
        <v/>
      </c>
      <c r="N416" s="234" t="str">
        <f>IFERROR((MP_DATA[[#This Row],[D, bottom '[m']]]+MP_DATA[[#This Row],[D, top '[m']]])/(2*MP_DATA[[#This Row],[t '[mm']]]/1000),"")</f>
        <v/>
      </c>
      <c r="Q416" s="209"/>
      <c r="R416" s="209"/>
      <c r="S416" s="187"/>
      <c r="AV416" s="233" t="str">
        <f>IFERROR(TP_DATA[[#This Row],[Top '[m']]]-TP_DATA[[#This Row],[Bottom '[m']]], "")</f>
        <v/>
      </c>
      <c r="AW416" s="208"/>
      <c r="AX416" s="209"/>
      <c r="AY416" s="240"/>
      <c r="BB416" s="99"/>
      <c r="BC416" s="99"/>
      <c r="BD416" s="187"/>
      <c r="CH416" s="233" t="str">
        <f>IFERROR(TOWER_DATA[[#This Row],[Top '[m']]]-TOWER_DATA[[#This Row],[Bottom '[m']]], "")</f>
        <v/>
      </c>
      <c r="CI416" s="217" t="str">
        <f>IFERROR(-(TOWER_DATA[[#This Row],[D, bottom '[m']]]-TOWER_DATA[[#This Row],[D, top '[m']]])/(TOWER_DATA[[#This Row],[Bottom '[m']]]-TOWER_DATA[[#This Row],[Top '[m']]]),"")</f>
        <v/>
      </c>
      <c r="CJ416" s="145" t="str">
        <f t="shared" si="15"/>
        <v/>
      </c>
      <c r="CK416" s="234" t="str">
        <f>IFERROR((TOWER_DATA[[#This Row],[D, bottom '[m']]]+TOWER_DATA[[#This Row],[D, top '[m']]])/(2*TOWER_DATA[[#This Row],[t '[mm']]]/1000),"")</f>
        <v/>
      </c>
      <c r="DO416" s="209"/>
      <c r="DP416" s="209"/>
      <c r="DQ416" s="187"/>
      <c r="DT416" s="99"/>
      <c r="DU416" s="99"/>
    </row>
    <row r="417" spans="1:125" ht="18" customHeight="1">
      <c r="A417" s="271"/>
      <c r="D417" s="280"/>
      <c r="E417" s="52"/>
      <c r="K417" s="233" t="str">
        <f>IFERROR(MP_DATA[[#This Row],[Top '[m']]]-MP_DATA[[#This Row],[Bottom '[m']]], "")</f>
        <v/>
      </c>
      <c r="L417" s="217" t="str">
        <f>IFERROR(-(MP_DATA[[#This Row],[D, bottom '[m']]]-MP_DATA[[#This Row],[D, top '[m']]])/(MP_DATA[[#This Row],[Bottom '[m']]]-MP_DATA[[#This Row],[Top '[m']]]),"")</f>
        <v/>
      </c>
      <c r="M417" s="145" t="str">
        <f t="shared" si="16"/>
        <v/>
      </c>
      <c r="N417" s="234" t="str">
        <f>IFERROR((MP_DATA[[#This Row],[D, bottom '[m']]]+MP_DATA[[#This Row],[D, top '[m']]])/(2*MP_DATA[[#This Row],[t '[mm']]]/1000),"")</f>
        <v/>
      </c>
      <c r="Q417" s="209"/>
      <c r="R417" s="209"/>
      <c r="S417" s="187"/>
      <c r="AV417" s="233" t="str">
        <f>IFERROR(TP_DATA[[#This Row],[Top '[m']]]-TP_DATA[[#This Row],[Bottom '[m']]], "")</f>
        <v/>
      </c>
      <c r="AW417" s="208"/>
      <c r="AX417" s="209"/>
      <c r="AY417" s="240"/>
      <c r="BB417" s="99"/>
      <c r="BC417" s="99"/>
      <c r="BD417" s="187"/>
      <c r="CH417" s="233" t="str">
        <f>IFERROR(TOWER_DATA[[#This Row],[Top '[m']]]-TOWER_DATA[[#This Row],[Bottom '[m']]], "")</f>
        <v/>
      </c>
      <c r="CI417" s="217" t="str">
        <f>IFERROR(-(TOWER_DATA[[#This Row],[D, bottom '[m']]]-TOWER_DATA[[#This Row],[D, top '[m']]])/(TOWER_DATA[[#This Row],[Bottom '[m']]]-TOWER_DATA[[#This Row],[Top '[m']]]),"")</f>
        <v/>
      </c>
      <c r="CJ417" s="145" t="str">
        <f t="shared" si="15"/>
        <v/>
      </c>
      <c r="CK417" s="234" t="str">
        <f>IFERROR((TOWER_DATA[[#This Row],[D, bottom '[m']]]+TOWER_DATA[[#This Row],[D, top '[m']]])/(2*TOWER_DATA[[#This Row],[t '[mm']]]/1000),"")</f>
        <v/>
      </c>
      <c r="DO417" s="209"/>
      <c r="DP417" s="209"/>
      <c r="DQ417" s="187"/>
      <c r="DT417" s="99"/>
      <c r="DU417" s="99"/>
    </row>
    <row r="418" spans="1:125" ht="18" customHeight="1">
      <c r="A418" s="271"/>
      <c r="D418" s="280"/>
      <c r="E418" s="52"/>
      <c r="K418" s="233" t="str">
        <f>IFERROR(MP_DATA[[#This Row],[Top '[m']]]-MP_DATA[[#This Row],[Bottom '[m']]], "")</f>
        <v/>
      </c>
      <c r="L418" s="217" t="str">
        <f>IFERROR(-(MP_DATA[[#This Row],[D, bottom '[m']]]-MP_DATA[[#This Row],[D, top '[m']]])/(MP_DATA[[#This Row],[Bottom '[m']]]-MP_DATA[[#This Row],[Top '[m']]]),"")</f>
        <v/>
      </c>
      <c r="M418" s="145" t="str">
        <f t="shared" si="16"/>
        <v/>
      </c>
      <c r="N418" s="234" t="str">
        <f>IFERROR((MP_DATA[[#This Row],[D, bottom '[m']]]+MP_DATA[[#This Row],[D, top '[m']]])/(2*MP_DATA[[#This Row],[t '[mm']]]/1000),"")</f>
        <v/>
      </c>
      <c r="Q418" s="209"/>
      <c r="R418" s="209"/>
      <c r="S418" s="187"/>
      <c r="AV418" s="233" t="str">
        <f>IFERROR(TP_DATA[[#This Row],[Top '[m']]]-TP_DATA[[#This Row],[Bottom '[m']]], "")</f>
        <v/>
      </c>
      <c r="AW418" s="208"/>
      <c r="AX418" s="209"/>
      <c r="AY418" s="240"/>
      <c r="BB418" s="99"/>
      <c r="BC418" s="99"/>
      <c r="BD418" s="187"/>
      <c r="CH418" s="233" t="str">
        <f>IFERROR(TOWER_DATA[[#This Row],[Top '[m']]]-TOWER_DATA[[#This Row],[Bottom '[m']]], "")</f>
        <v/>
      </c>
      <c r="CI418" s="217" t="str">
        <f>IFERROR(-(TOWER_DATA[[#This Row],[D, bottom '[m']]]-TOWER_DATA[[#This Row],[D, top '[m']]])/(TOWER_DATA[[#This Row],[Bottom '[m']]]-TOWER_DATA[[#This Row],[Top '[m']]]),"")</f>
        <v/>
      </c>
      <c r="CJ418" s="145" t="str">
        <f t="shared" si="15"/>
        <v/>
      </c>
      <c r="CK418" s="234" t="str">
        <f>IFERROR((TOWER_DATA[[#This Row],[D, bottom '[m']]]+TOWER_DATA[[#This Row],[D, top '[m']]])/(2*TOWER_DATA[[#This Row],[t '[mm']]]/1000),"")</f>
        <v/>
      </c>
      <c r="DO418" s="209"/>
      <c r="DP418" s="209"/>
      <c r="DQ418" s="187"/>
      <c r="DT418" s="99"/>
      <c r="DU418" s="99"/>
    </row>
    <row r="419" spans="1:125" ht="18" customHeight="1">
      <c r="A419" s="271"/>
      <c r="D419" s="280"/>
      <c r="E419" s="52"/>
      <c r="K419" s="233" t="str">
        <f>IFERROR(MP_DATA[[#This Row],[Top '[m']]]-MP_DATA[[#This Row],[Bottom '[m']]], "")</f>
        <v/>
      </c>
      <c r="L419" s="217" t="str">
        <f>IFERROR(-(MP_DATA[[#This Row],[D, bottom '[m']]]-MP_DATA[[#This Row],[D, top '[m']]])/(MP_DATA[[#This Row],[Bottom '[m']]]-MP_DATA[[#This Row],[Top '[m']]]),"")</f>
        <v/>
      </c>
      <c r="M419" s="145" t="str">
        <f t="shared" si="16"/>
        <v/>
      </c>
      <c r="N419" s="234" t="str">
        <f>IFERROR((MP_DATA[[#This Row],[D, bottom '[m']]]+MP_DATA[[#This Row],[D, top '[m']]])/(2*MP_DATA[[#This Row],[t '[mm']]]/1000),"")</f>
        <v/>
      </c>
      <c r="Q419" s="209"/>
      <c r="R419" s="209"/>
      <c r="S419" s="187"/>
      <c r="AV419" s="233" t="str">
        <f>IFERROR(TP_DATA[[#This Row],[Top '[m']]]-TP_DATA[[#This Row],[Bottom '[m']]], "")</f>
        <v/>
      </c>
      <c r="AW419" s="208"/>
      <c r="AX419" s="209"/>
      <c r="AY419" s="240"/>
      <c r="BB419" s="99"/>
      <c r="BC419" s="99"/>
      <c r="BD419" s="187"/>
      <c r="CH419" s="233" t="str">
        <f>IFERROR(TOWER_DATA[[#This Row],[Top '[m']]]-TOWER_DATA[[#This Row],[Bottom '[m']]], "")</f>
        <v/>
      </c>
      <c r="CI419" s="217" t="str">
        <f>IFERROR(-(TOWER_DATA[[#This Row],[D, bottom '[m']]]-TOWER_DATA[[#This Row],[D, top '[m']]])/(TOWER_DATA[[#This Row],[Bottom '[m']]]-TOWER_DATA[[#This Row],[Top '[m']]]),"")</f>
        <v/>
      </c>
      <c r="CJ419" s="145" t="str">
        <f t="shared" si="15"/>
        <v/>
      </c>
      <c r="CK419" s="234" t="str">
        <f>IFERROR((TOWER_DATA[[#This Row],[D, bottom '[m']]]+TOWER_DATA[[#This Row],[D, top '[m']]])/(2*TOWER_DATA[[#This Row],[t '[mm']]]/1000),"")</f>
        <v/>
      </c>
      <c r="DO419" s="209"/>
      <c r="DP419" s="209"/>
      <c r="DQ419" s="187"/>
      <c r="DT419" s="99"/>
      <c r="DU419" s="99"/>
    </row>
    <row r="420" spans="1:125" ht="18" customHeight="1">
      <c r="A420" s="271"/>
      <c r="D420" s="280"/>
      <c r="E420" s="52"/>
      <c r="K420" s="233" t="str">
        <f>IFERROR(MP_DATA[[#This Row],[Top '[m']]]-MP_DATA[[#This Row],[Bottom '[m']]], "")</f>
        <v/>
      </c>
      <c r="L420" s="217" t="str">
        <f>IFERROR(-(MP_DATA[[#This Row],[D, bottom '[m']]]-MP_DATA[[#This Row],[D, top '[m']]])/(MP_DATA[[#This Row],[Bottom '[m']]]-MP_DATA[[#This Row],[Top '[m']]]),"")</f>
        <v/>
      </c>
      <c r="M420" s="145" t="str">
        <f t="shared" si="16"/>
        <v/>
      </c>
      <c r="N420" s="234" t="str">
        <f>IFERROR((MP_DATA[[#This Row],[D, bottom '[m']]]+MP_DATA[[#This Row],[D, top '[m']]])/(2*MP_DATA[[#This Row],[t '[mm']]]/1000),"")</f>
        <v/>
      </c>
      <c r="Q420" s="209"/>
      <c r="R420" s="209"/>
      <c r="S420" s="187"/>
      <c r="AV420" s="233" t="str">
        <f>IFERROR(TP_DATA[[#This Row],[Top '[m']]]-TP_DATA[[#This Row],[Bottom '[m']]], "")</f>
        <v/>
      </c>
      <c r="AW420" s="208"/>
      <c r="AX420" s="209"/>
      <c r="AY420" s="240"/>
      <c r="BB420" s="99"/>
      <c r="BC420" s="99"/>
      <c r="BD420" s="187"/>
      <c r="CH420" s="233" t="str">
        <f>IFERROR(TOWER_DATA[[#This Row],[Top '[m']]]-TOWER_DATA[[#This Row],[Bottom '[m']]], "")</f>
        <v/>
      </c>
      <c r="CI420" s="217" t="str">
        <f>IFERROR(-(TOWER_DATA[[#This Row],[D, bottom '[m']]]-TOWER_DATA[[#This Row],[D, top '[m']]])/(TOWER_DATA[[#This Row],[Bottom '[m']]]-TOWER_DATA[[#This Row],[Top '[m']]]),"")</f>
        <v/>
      </c>
      <c r="CJ420" s="145" t="str">
        <f t="shared" si="15"/>
        <v/>
      </c>
      <c r="CK420" s="234" t="str">
        <f>IFERROR((TOWER_DATA[[#This Row],[D, bottom '[m']]]+TOWER_DATA[[#This Row],[D, top '[m']]])/(2*TOWER_DATA[[#This Row],[t '[mm']]]/1000),"")</f>
        <v/>
      </c>
      <c r="DO420" s="209"/>
      <c r="DP420" s="209"/>
      <c r="DQ420" s="187"/>
      <c r="DT420" s="99"/>
      <c r="DU420" s="99"/>
    </row>
    <row r="421" spans="1:125" ht="18" customHeight="1">
      <c r="A421" s="271"/>
      <c r="D421" s="280"/>
      <c r="E421" s="52"/>
      <c r="K421" s="233" t="str">
        <f>IFERROR(MP_DATA[[#This Row],[Top '[m']]]-MP_DATA[[#This Row],[Bottom '[m']]], "")</f>
        <v/>
      </c>
      <c r="L421" s="217" t="str">
        <f>IFERROR(-(MP_DATA[[#This Row],[D, bottom '[m']]]-MP_DATA[[#This Row],[D, top '[m']]])/(MP_DATA[[#This Row],[Bottom '[m']]]-MP_DATA[[#This Row],[Top '[m']]]),"")</f>
        <v/>
      </c>
      <c r="M421" s="145" t="str">
        <f t="shared" si="16"/>
        <v/>
      </c>
      <c r="N421" s="234" t="str">
        <f>IFERROR((MP_DATA[[#This Row],[D, bottom '[m']]]+MP_DATA[[#This Row],[D, top '[m']]])/(2*MP_DATA[[#This Row],[t '[mm']]]/1000),"")</f>
        <v/>
      </c>
      <c r="Q421" s="209"/>
      <c r="R421" s="209"/>
      <c r="S421" s="187"/>
      <c r="AV421" s="233" t="str">
        <f>IFERROR(TP_DATA[[#This Row],[Top '[m']]]-TP_DATA[[#This Row],[Bottom '[m']]], "")</f>
        <v/>
      </c>
      <c r="AW421" s="208"/>
      <c r="AX421" s="209"/>
      <c r="AY421" s="240"/>
      <c r="BB421" s="99"/>
      <c r="BC421" s="99"/>
      <c r="BD421" s="187"/>
      <c r="CH421" s="233" t="str">
        <f>IFERROR(TOWER_DATA[[#This Row],[Top '[m']]]-TOWER_DATA[[#This Row],[Bottom '[m']]], "")</f>
        <v/>
      </c>
      <c r="CI421" s="217" t="str">
        <f>IFERROR(-(TOWER_DATA[[#This Row],[D, bottom '[m']]]-TOWER_DATA[[#This Row],[D, top '[m']]])/(TOWER_DATA[[#This Row],[Bottom '[m']]]-TOWER_DATA[[#This Row],[Top '[m']]]),"")</f>
        <v/>
      </c>
      <c r="CJ421" s="145" t="str">
        <f t="shared" si="15"/>
        <v/>
      </c>
      <c r="CK421" s="234" t="str">
        <f>IFERROR((TOWER_DATA[[#This Row],[D, bottom '[m']]]+TOWER_DATA[[#This Row],[D, top '[m']]])/(2*TOWER_DATA[[#This Row],[t '[mm']]]/1000),"")</f>
        <v/>
      </c>
      <c r="DO421" s="209"/>
      <c r="DP421" s="209"/>
      <c r="DQ421" s="187"/>
      <c r="DT421" s="99"/>
      <c r="DU421" s="99"/>
    </row>
    <row r="422" spans="1:125" ht="18" customHeight="1">
      <c r="A422" s="271"/>
      <c r="D422" s="280"/>
      <c r="E422" s="52"/>
      <c r="K422" s="233" t="str">
        <f>IFERROR(MP_DATA[[#This Row],[Top '[m']]]-MP_DATA[[#This Row],[Bottom '[m']]], "")</f>
        <v/>
      </c>
      <c r="L422" s="217" t="str">
        <f>IFERROR(-(MP_DATA[[#This Row],[D, bottom '[m']]]-MP_DATA[[#This Row],[D, top '[m']]])/(MP_DATA[[#This Row],[Bottom '[m']]]-MP_DATA[[#This Row],[Top '[m']]]),"")</f>
        <v/>
      </c>
      <c r="M422" s="145" t="str">
        <f t="shared" si="16"/>
        <v/>
      </c>
      <c r="N422" s="234" t="str">
        <f>IFERROR((MP_DATA[[#This Row],[D, bottom '[m']]]+MP_DATA[[#This Row],[D, top '[m']]])/(2*MP_DATA[[#This Row],[t '[mm']]]/1000),"")</f>
        <v/>
      </c>
      <c r="Q422" s="209"/>
      <c r="R422" s="209"/>
      <c r="S422" s="187"/>
      <c r="AV422" s="233" t="str">
        <f>IFERROR(TP_DATA[[#This Row],[Top '[m']]]-TP_DATA[[#This Row],[Bottom '[m']]], "")</f>
        <v/>
      </c>
      <c r="AW422" s="208"/>
      <c r="AX422" s="209"/>
      <c r="AY422" s="240"/>
      <c r="BB422" s="99"/>
      <c r="BC422" s="99"/>
      <c r="BD422" s="187"/>
      <c r="CH422" s="233" t="str">
        <f>IFERROR(TOWER_DATA[[#This Row],[Top '[m']]]-TOWER_DATA[[#This Row],[Bottom '[m']]], "")</f>
        <v/>
      </c>
      <c r="CI422" s="217" t="str">
        <f>IFERROR(-(TOWER_DATA[[#This Row],[D, bottom '[m']]]-TOWER_DATA[[#This Row],[D, top '[m']]])/(TOWER_DATA[[#This Row],[Bottom '[m']]]-TOWER_DATA[[#This Row],[Top '[m']]]),"")</f>
        <v/>
      </c>
      <c r="CJ422" s="145" t="str">
        <f t="shared" si="15"/>
        <v/>
      </c>
      <c r="CK422" s="234" t="str">
        <f>IFERROR((TOWER_DATA[[#This Row],[D, bottom '[m']]]+TOWER_DATA[[#This Row],[D, top '[m']]])/(2*TOWER_DATA[[#This Row],[t '[mm']]]/1000),"")</f>
        <v/>
      </c>
      <c r="DO422" s="209"/>
      <c r="DP422" s="209"/>
      <c r="DQ422" s="187"/>
      <c r="DT422" s="99"/>
      <c r="DU422" s="99"/>
    </row>
    <row r="423" spans="1:125" ht="18" customHeight="1">
      <c r="A423" s="271"/>
      <c r="D423" s="280"/>
      <c r="E423" s="52"/>
      <c r="K423" s="233" t="str">
        <f>IFERROR(MP_DATA[[#This Row],[Top '[m']]]-MP_DATA[[#This Row],[Bottom '[m']]], "")</f>
        <v/>
      </c>
      <c r="L423" s="217" t="str">
        <f>IFERROR(-(MP_DATA[[#This Row],[D, bottom '[m']]]-MP_DATA[[#This Row],[D, top '[m']]])/(MP_DATA[[#This Row],[Bottom '[m']]]-MP_DATA[[#This Row],[Top '[m']]]),"")</f>
        <v/>
      </c>
      <c r="M423" s="145" t="str">
        <f t="shared" si="16"/>
        <v/>
      </c>
      <c r="N423" s="234" t="str">
        <f>IFERROR((MP_DATA[[#This Row],[D, bottom '[m']]]+MP_DATA[[#This Row],[D, top '[m']]])/(2*MP_DATA[[#This Row],[t '[mm']]]/1000),"")</f>
        <v/>
      </c>
      <c r="Q423" s="209"/>
      <c r="R423" s="209"/>
      <c r="S423" s="187"/>
      <c r="AV423" s="233" t="str">
        <f>IFERROR(TP_DATA[[#This Row],[Top '[m']]]-TP_DATA[[#This Row],[Bottom '[m']]], "")</f>
        <v/>
      </c>
      <c r="AW423" s="208"/>
      <c r="AX423" s="209"/>
      <c r="AY423" s="240"/>
      <c r="BB423" s="99"/>
      <c r="BC423" s="99"/>
      <c r="BD423" s="187"/>
      <c r="CH423" s="233" t="str">
        <f>IFERROR(TOWER_DATA[[#This Row],[Top '[m']]]-TOWER_DATA[[#This Row],[Bottom '[m']]], "")</f>
        <v/>
      </c>
      <c r="CI423" s="217" t="str">
        <f>IFERROR(-(TOWER_DATA[[#This Row],[D, bottom '[m']]]-TOWER_DATA[[#This Row],[D, top '[m']]])/(TOWER_DATA[[#This Row],[Bottom '[m']]]-TOWER_DATA[[#This Row],[Top '[m']]]),"")</f>
        <v/>
      </c>
      <c r="CJ423" s="145" t="str">
        <f t="shared" si="15"/>
        <v/>
      </c>
      <c r="CK423" s="234" t="str">
        <f>IFERROR((TOWER_DATA[[#This Row],[D, bottom '[m']]]+TOWER_DATA[[#This Row],[D, top '[m']]])/(2*TOWER_DATA[[#This Row],[t '[mm']]]/1000),"")</f>
        <v/>
      </c>
      <c r="DO423" s="209"/>
      <c r="DP423" s="209"/>
      <c r="DQ423" s="187"/>
      <c r="DT423" s="99"/>
      <c r="DU423" s="99"/>
    </row>
    <row r="424" spans="1:125" ht="18" customHeight="1">
      <c r="A424" s="271"/>
      <c r="D424" s="280"/>
      <c r="E424" s="52"/>
      <c r="K424" s="233" t="str">
        <f>IFERROR(MP_DATA[[#This Row],[Top '[m']]]-MP_DATA[[#This Row],[Bottom '[m']]], "")</f>
        <v/>
      </c>
      <c r="L424" s="217" t="str">
        <f>IFERROR(-(MP_DATA[[#This Row],[D, bottom '[m']]]-MP_DATA[[#This Row],[D, top '[m']]])/(MP_DATA[[#This Row],[Bottom '[m']]]-MP_DATA[[#This Row],[Top '[m']]]),"")</f>
        <v/>
      </c>
      <c r="M424" s="145" t="str">
        <f t="shared" si="16"/>
        <v/>
      </c>
      <c r="N424" s="234" t="str">
        <f>IFERROR((MP_DATA[[#This Row],[D, bottom '[m']]]+MP_DATA[[#This Row],[D, top '[m']]])/(2*MP_DATA[[#This Row],[t '[mm']]]/1000),"")</f>
        <v/>
      </c>
      <c r="Q424" s="209"/>
      <c r="R424" s="209"/>
      <c r="S424" s="187"/>
      <c r="AV424" s="233" t="str">
        <f>IFERROR(TP_DATA[[#This Row],[Top '[m']]]-TP_DATA[[#This Row],[Bottom '[m']]], "")</f>
        <v/>
      </c>
      <c r="AW424" s="208"/>
      <c r="AX424" s="209"/>
      <c r="AY424" s="240"/>
      <c r="BB424" s="99"/>
      <c r="BC424" s="99"/>
      <c r="BD424" s="187"/>
      <c r="CH424" s="233" t="str">
        <f>IFERROR(TOWER_DATA[[#This Row],[Top '[m']]]-TOWER_DATA[[#This Row],[Bottom '[m']]], "")</f>
        <v/>
      </c>
      <c r="CI424" s="217" t="str">
        <f>IFERROR(-(TOWER_DATA[[#This Row],[D, bottom '[m']]]-TOWER_DATA[[#This Row],[D, top '[m']]])/(TOWER_DATA[[#This Row],[Bottom '[m']]]-TOWER_DATA[[#This Row],[Top '[m']]]),"")</f>
        <v/>
      </c>
      <c r="CJ424" s="145" t="str">
        <f t="shared" si="15"/>
        <v/>
      </c>
      <c r="CK424" s="234" t="str">
        <f>IFERROR((TOWER_DATA[[#This Row],[D, bottom '[m']]]+TOWER_DATA[[#This Row],[D, top '[m']]])/(2*TOWER_DATA[[#This Row],[t '[mm']]]/1000),"")</f>
        <v/>
      </c>
      <c r="DO424" s="209"/>
      <c r="DP424" s="209"/>
      <c r="DQ424" s="187"/>
      <c r="DT424" s="99"/>
      <c r="DU424" s="99"/>
    </row>
    <row r="425" spans="1:125" ht="18" customHeight="1">
      <c r="A425" s="271"/>
      <c r="D425" s="280"/>
      <c r="E425" s="52"/>
      <c r="K425" s="233" t="str">
        <f>IFERROR(MP_DATA[[#This Row],[Top '[m']]]-MP_DATA[[#This Row],[Bottom '[m']]], "")</f>
        <v/>
      </c>
      <c r="L425" s="217" t="str">
        <f>IFERROR(-(MP_DATA[[#This Row],[D, bottom '[m']]]-MP_DATA[[#This Row],[D, top '[m']]])/(MP_DATA[[#This Row],[Bottom '[m']]]-MP_DATA[[#This Row],[Top '[m']]]),"")</f>
        <v/>
      </c>
      <c r="M425" s="145" t="str">
        <f t="shared" si="16"/>
        <v/>
      </c>
      <c r="N425" s="234" t="str">
        <f>IFERROR((MP_DATA[[#This Row],[D, bottom '[m']]]+MP_DATA[[#This Row],[D, top '[m']]])/(2*MP_DATA[[#This Row],[t '[mm']]]/1000),"")</f>
        <v/>
      </c>
      <c r="Q425" s="209"/>
      <c r="R425" s="209"/>
      <c r="S425" s="187"/>
      <c r="AV425" s="233" t="str">
        <f>IFERROR(TP_DATA[[#This Row],[Top '[m']]]-TP_DATA[[#This Row],[Bottom '[m']]], "")</f>
        <v/>
      </c>
      <c r="AW425" s="208"/>
      <c r="AX425" s="209"/>
      <c r="AY425" s="240"/>
      <c r="BB425" s="99"/>
      <c r="BC425" s="99"/>
      <c r="BD425" s="187"/>
      <c r="CH425" s="233" t="str">
        <f>IFERROR(TOWER_DATA[[#This Row],[Top '[m']]]-TOWER_DATA[[#This Row],[Bottom '[m']]], "")</f>
        <v/>
      </c>
      <c r="CI425" s="217" t="str">
        <f>IFERROR(-(TOWER_DATA[[#This Row],[D, bottom '[m']]]-TOWER_DATA[[#This Row],[D, top '[m']]])/(TOWER_DATA[[#This Row],[Bottom '[m']]]-TOWER_DATA[[#This Row],[Top '[m']]]),"")</f>
        <v/>
      </c>
      <c r="CJ425" s="145" t="str">
        <f t="shared" si="15"/>
        <v/>
      </c>
      <c r="CK425" s="234" t="str">
        <f>IFERROR((TOWER_DATA[[#This Row],[D, bottom '[m']]]+TOWER_DATA[[#This Row],[D, top '[m']]])/(2*TOWER_DATA[[#This Row],[t '[mm']]]/1000),"")</f>
        <v/>
      </c>
      <c r="DO425" s="209"/>
      <c r="DP425" s="209"/>
      <c r="DQ425" s="187"/>
      <c r="DT425" s="99"/>
      <c r="DU425" s="99"/>
    </row>
    <row r="426" spans="1:125" ht="18" customHeight="1">
      <c r="A426" s="271"/>
      <c r="D426" s="280"/>
      <c r="E426" s="52"/>
      <c r="K426" s="233" t="str">
        <f>IFERROR(MP_DATA[[#This Row],[Top '[m']]]-MP_DATA[[#This Row],[Bottom '[m']]], "")</f>
        <v/>
      </c>
      <c r="L426" s="217" t="str">
        <f>IFERROR(-(MP_DATA[[#This Row],[D, bottom '[m']]]-MP_DATA[[#This Row],[D, top '[m']]])/(MP_DATA[[#This Row],[Bottom '[m']]]-MP_DATA[[#This Row],[Top '[m']]]),"")</f>
        <v/>
      </c>
      <c r="M426" s="145" t="str">
        <f t="shared" si="16"/>
        <v/>
      </c>
      <c r="N426" s="234" t="str">
        <f>IFERROR((MP_DATA[[#This Row],[D, bottom '[m']]]+MP_DATA[[#This Row],[D, top '[m']]])/(2*MP_DATA[[#This Row],[t '[mm']]]/1000),"")</f>
        <v/>
      </c>
      <c r="Q426" s="209"/>
      <c r="R426" s="209"/>
      <c r="S426" s="187"/>
      <c r="AV426" s="233" t="str">
        <f>IFERROR(TP_DATA[[#This Row],[Top '[m']]]-TP_DATA[[#This Row],[Bottom '[m']]], "")</f>
        <v/>
      </c>
      <c r="AW426" s="208"/>
      <c r="AX426" s="209"/>
      <c r="AY426" s="240"/>
      <c r="BB426" s="99"/>
      <c r="BC426" s="99"/>
      <c r="BD426" s="187"/>
      <c r="CH426" s="233" t="str">
        <f>IFERROR(TOWER_DATA[[#This Row],[Top '[m']]]-TOWER_DATA[[#This Row],[Bottom '[m']]], "")</f>
        <v/>
      </c>
      <c r="CI426" s="217" t="str">
        <f>IFERROR(-(TOWER_DATA[[#This Row],[D, bottom '[m']]]-TOWER_DATA[[#This Row],[D, top '[m']]])/(TOWER_DATA[[#This Row],[Bottom '[m']]]-TOWER_DATA[[#This Row],[Top '[m']]]),"")</f>
        <v/>
      </c>
      <c r="CJ426" s="145" t="str">
        <f t="shared" si="15"/>
        <v/>
      </c>
      <c r="CK426" s="234" t="str">
        <f>IFERROR((TOWER_DATA[[#This Row],[D, bottom '[m']]]+TOWER_DATA[[#This Row],[D, top '[m']]])/(2*TOWER_DATA[[#This Row],[t '[mm']]]/1000),"")</f>
        <v/>
      </c>
      <c r="DO426" s="209"/>
      <c r="DP426" s="209"/>
      <c r="DQ426" s="187"/>
      <c r="DT426" s="99"/>
      <c r="DU426" s="99"/>
    </row>
    <row r="427" spans="1:125" ht="18" customHeight="1">
      <c r="A427" s="271"/>
      <c r="D427" s="280"/>
      <c r="E427" s="52"/>
      <c r="K427" s="233" t="str">
        <f>IFERROR(MP_DATA[[#This Row],[Top '[m']]]-MP_DATA[[#This Row],[Bottom '[m']]], "")</f>
        <v/>
      </c>
      <c r="L427" s="217" t="str">
        <f>IFERROR(-(MP_DATA[[#This Row],[D, bottom '[m']]]-MP_DATA[[#This Row],[D, top '[m']]])/(MP_DATA[[#This Row],[Bottom '[m']]]-MP_DATA[[#This Row],[Top '[m']]]),"")</f>
        <v/>
      </c>
      <c r="M427" s="145" t="str">
        <f t="shared" si="16"/>
        <v/>
      </c>
      <c r="N427" s="234" t="str">
        <f>IFERROR((MP_DATA[[#This Row],[D, bottom '[m']]]+MP_DATA[[#This Row],[D, top '[m']]])/(2*MP_DATA[[#This Row],[t '[mm']]]/1000),"")</f>
        <v/>
      </c>
      <c r="Q427" s="209"/>
      <c r="R427" s="209"/>
      <c r="S427" s="187"/>
      <c r="AV427" s="233" t="str">
        <f>IFERROR(TP_DATA[[#This Row],[Top '[m']]]-TP_DATA[[#This Row],[Bottom '[m']]], "")</f>
        <v/>
      </c>
      <c r="AW427" s="208"/>
      <c r="AX427" s="209"/>
      <c r="AY427" s="240"/>
      <c r="BB427" s="99"/>
      <c r="BC427" s="99"/>
      <c r="BD427" s="187"/>
      <c r="CH427" s="233" t="str">
        <f>IFERROR(TOWER_DATA[[#This Row],[Top '[m']]]-TOWER_DATA[[#This Row],[Bottom '[m']]], "")</f>
        <v/>
      </c>
      <c r="CI427" s="217" t="str">
        <f>IFERROR(-(TOWER_DATA[[#This Row],[D, bottom '[m']]]-TOWER_DATA[[#This Row],[D, top '[m']]])/(TOWER_DATA[[#This Row],[Bottom '[m']]]-TOWER_DATA[[#This Row],[Top '[m']]]),"")</f>
        <v/>
      </c>
      <c r="CJ427" s="145" t="str">
        <f t="shared" si="15"/>
        <v/>
      </c>
      <c r="CK427" s="234" t="str">
        <f>IFERROR((TOWER_DATA[[#This Row],[D, bottom '[m']]]+TOWER_DATA[[#This Row],[D, top '[m']]])/(2*TOWER_DATA[[#This Row],[t '[mm']]]/1000),"")</f>
        <v/>
      </c>
      <c r="DO427" s="209"/>
      <c r="DP427" s="209"/>
      <c r="DQ427" s="187"/>
      <c r="DT427" s="99"/>
      <c r="DU427" s="99"/>
    </row>
    <row r="428" spans="1:125" ht="18" customHeight="1">
      <c r="A428" s="271"/>
      <c r="D428" s="280"/>
      <c r="E428" s="52"/>
      <c r="K428" s="233" t="str">
        <f>IFERROR(MP_DATA[[#This Row],[Top '[m']]]-MP_DATA[[#This Row],[Bottom '[m']]], "")</f>
        <v/>
      </c>
      <c r="L428" s="217" t="str">
        <f>IFERROR(-(MP_DATA[[#This Row],[D, bottom '[m']]]-MP_DATA[[#This Row],[D, top '[m']]])/(MP_DATA[[#This Row],[Bottom '[m']]]-MP_DATA[[#This Row],[Top '[m']]]),"")</f>
        <v/>
      </c>
      <c r="M428" s="145" t="str">
        <f t="shared" si="16"/>
        <v/>
      </c>
      <c r="N428" s="234" t="str">
        <f>IFERROR((MP_DATA[[#This Row],[D, bottom '[m']]]+MP_DATA[[#This Row],[D, top '[m']]])/(2*MP_DATA[[#This Row],[t '[mm']]]/1000),"")</f>
        <v/>
      </c>
      <c r="Q428" s="209"/>
      <c r="R428" s="209"/>
      <c r="S428" s="187"/>
      <c r="AV428" s="233" t="str">
        <f>IFERROR(TP_DATA[[#This Row],[Top '[m']]]-TP_DATA[[#This Row],[Bottom '[m']]], "")</f>
        <v/>
      </c>
      <c r="AW428" s="208"/>
      <c r="AX428" s="209"/>
      <c r="AY428" s="240"/>
      <c r="BB428" s="99"/>
      <c r="BC428" s="99"/>
      <c r="BD428" s="187"/>
      <c r="CH428" s="233" t="str">
        <f>IFERROR(TOWER_DATA[[#This Row],[Top '[m']]]-TOWER_DATA[[#This Row],[Bottom '[m']]], "")</f>
        <v/>
      </c>
      <c r="CI428" s="217" t="str">
        <f>IFERROR(-(TOWER_DATA[[#This Row],[D, bottom '[m']]]-TOWER_DATA[[#This Row],[D, top '[m']]])/(TOWER_DATA[[#This Row],[Bottom '[m']]]-TOWER_DATA[[#This Row],[Top '[m']]]),"")</f>
        <v/>
      </c>
      <c r="CJ428" s="145" t="str">
        <f t="shared" si="15"/>
        <v/>
      </c>
      <c r="CK428" s="234" t="str">
        <f>IFERROR((TOWER_DATA[[#This Row],[D, bottom '[m']]]+TOWER_DATA[[#This Row],[D, top '[m']]])/(2*TOWER_DATA[[#This Row],[t '[mm']]]/1000),"")</f>
        <v/>
      </c>
      <c r="DO428" s="209"/>
      <c r="DP428" s="209"/>
      <c r="DQ428" s="187"/>
      <c r="DT428" s="99"/>
      <c r="DU428" s="99"/>
    </row>
    <row r="429" spans="1:125" ht="18" customHeight="1">
      <c r="A429" s="271"/>
      <c r="D429" s="280"/>
      <c r="E429" s="52"/>
      <c r="K429" s="233" t="str">
        <f>IFERROR(MP_DATA[[#This Row],[Top '[m']]]-MP_DATA[[#This Row],[Bottom '[m']]], "")</f>
        <v/>
      </c>
      <c r="L429" s="217" t="str">
        <f>IFERROR(-(MP_DATA[[#This Row],[D, bottom '[m']]]-MP_DATA[[#This Row],[D, top '[m']]])/(MP_DATA[[#This Row],[Bottom '[m']]]-MP_DATA[[#This Row],[Top '[m']]]),"")</f>
        <v/>
      </c>
      <c r="M429" s="145" t="str">
        <f t="shared" si="16"/>
        <v/>
      </c>
      <c r="N429" s="234" t="str">
        <f>IFERROR((MP_DATA[[#This Row],[D, bottom '[m']]]+MP_DATA[[#This Row],[D, top '[m']]])/(2*MP_DATA[[#This Row],[t '[mm']]]/1000),"")</f>
        <v/>
      </c>
      <c r="Q429" s="209"/>
      <c r="R429" s="209"/>
      <c r="S429" s="187"/>
      <c r="AV429" s="233" t="str">
        <f>IFERROR(TP_DATA[[#This Row],[Top '[m']]]-TP_DATA[[#This Row],[Bottom '[m']]], "")</f>
        <v/>
      </c>
      <c r="AW429" s="208"/>
      <c r="AX429" s="209"/>
      <c r="AY429" s="240"/>
      <c r="BB429" s="99"/>
      <c r="BC429" s="99"/>
      <c r="BD429" s="187"/>
      <c r="CH429" s="233" t="str">
        <f>IFERROR(TOWER_DATA[[#This Row],[Top '[m']]]-TOWER_DATA[[#This Row],[Bottom '[m']]], "")</f>
        <v/>
      </c>
      <c r="CI429" s="217" t="str">
        <f>IFERROR(-(TOWER_DATA[[#This Row],[D, bottom '[m']]]-TOWER_DATA[[#This Row],[D, top '[m']]])/(TOWER_DATA[[#This Row],[Bottom '[m']]]-TOWER_DATA[[#This Row],[Top '[m']]]),"")</f>
        <v/>
      </c>
      <c r="CJ429" s="145" t="str">
        <f t="shared" si="15"/>
        <v/>
      </c>
      <c r="CK429" s="234" t="str">
        <f>IFERROR((TOWER_DATA[[#This Row],[D, bottom '[m']]]+TOWER_DATA[[#This Row],[D, top '[m']]])/(2*TOWER_DATA[[#This Row],[t '[mm']]]/1000),"")</f>
        <v/>
      </c>
      <c r="DO429" s="209"/>
      <c r="DP429" s="209"/>
      <c r="DQ429" s="187"/>
      <c r="DT429" s="99"/>
      <c r="DU429" s="99"/>
    </row>
    <row r="430" spans="1:125" ht="18" customHeight="1">
      <c r="A430" s="271"/>
      <c r="D430" s="280"/>
      <c r="E430" s="52"/>
      <c r="K430" s="233" t="str">
        <f>IFERROR(MP_DATA[[#This Row],[Top '[m']]]-MP_DATA[[#This Row],[Bottom '[m']]], "")</f>
        <v/>
      </c>
      <c r="L430" s="217" t="str">
        <f>IFERROR(-(MP_DATA[[#This Row],[D, bottom '[m']]]-MP_DATA[[#This Row],[D, top '[m']]])/(MP_DATA[[#This Row],[Bottom '[m']]]-MP_DATA[[#This Row],[Top '[m']]]),"")</f>
        <v/>
      </c>
      <c r="M430" s="145" t="str">
        <f t="shared" si="16"/>
        <v/>
      </c>
      <c r="N430" s="234" t="str">
        <f>IFERROR((MP_DATA[[#This Row],[D, bottom '[m']]]+MP_DATA[[#This Row],[D, top '[m']]])/(2*MP_DATA[[#This Row],[t '[mm']]]/1000),"")</f>
        <v/>
      </c>
      <c r="Q430" s="209"/>
      <c r="R430" s="209"/>
      <c r="S430" s="187"/>
      <c r="AV430" s="233" t="str">
        <f>IFERROR(TP_DATA[[#This Row],[Top '[m']]]-TP_DATA[[#This Row],[Bottom '[m']]], "")</f>
        <v/>
      </c>
      <c r="AW430" s="208"/>
      <c r="AX430" s="209"/>
      <c r="AY430" s="240"/>
      <c r="BB430" s="99"/>
      <c r="BC430" s="99"/>
      <c r="BD430" s="187"/>
      <c r="CH430" s="233" t="str">
        <f>IFERROR(TOWER_DATA[[#This Row],[Top '[m']]]-TOWER_DATA[[#This Row],[Bottom '[m']]], "")</f>
        <v/>
      </c>
      <c r="CI430" s="217" t="str">
        <f>IFERROR(-(TOWER_DATA[[#This Row],[D, bottom '[m']]]-TOWER_DATA[[#This Row],[D, top '[m']]])/(TOWER_DATA[[#This Row],[Bottom '[m']]]-TOWER_DATA[[#This Row],[Top '[m']]]),"")</f>
        <v/>
      </c>
      <c r="CJ430" s="145" t="str">
        <f t="shared" si="15"/>
        <v/>
      </c>
      <c r="CK430" s="234" t="str">
        <f>IFERROR((TOWER_DATA[[#This Row],[D, bottom '[m']]]+TOWER_DATA[[#This Row],[D, top '[m']]])/(2*TOWER_DATA[[#This Row],[t '[mm']]]/1000),"")</f>
        <v/>
      </c>
      <c r="DO430" s="209"/>
      <c r="DP430" s="209"/>
      <c r="DQ430" s="187"/>
      <c r="DT430" s="99"/>
      <c r="DU430" s="99"/>
    </row>
    <row r="431" spans="1:125" ht="18" customHeight="1">
      <c r="A431" s="271"/>
      <c r="D431" s="280"/>
      <c r="E431" s="52"/>
      <c r="K431" s="233" t="str">
        <f>IFERROR(MP_DATA[[#This Row],[Top '[m']]]-MP_DATA[[#This Row],[Bottom '[m']]], "")</f>
        <v/>
      </c>
      <c r="L431" s="217" t="str">
        <f>IFERROR(-(MP_DATA[[#This Row],[D, bottom '[m']]]-MP_DATA[[#This Row],[D, top '[m']]])/(MP_DATA[[#This Row],[Bottom '[m']]]-MP_DATA[[#This Row],[Top '[m']]]),"")</f>
        <v/>
      </c>
      <c r="M431" s="145" t="str">
        <f t="shared" si="16"/>
        <v/>
      </c>
      <c r="N431" s="234" t="str">
        <f>IFERROR((MP_DATA[[#This Row],[D, bottom '[m']]]+MP_DATA[[#This Row],[D, top '[m']]])/(2*MP_DATA[[#This Row],[t '[mm']]]/1000),"")</f>
        <v/>
      </c>
      <c r="Q431" s="209"/>
      <c r="R431" s="209"/>
      <c r="S431" s="187"/>
      <c r="AV431" s="233" t="str">
        <f>IFERROR(TP_DATA[[#This Row],[Top '[m']]]-TP_DATA[[#This Row],[Bottom '[m']]], "")</f>
        <v/>
      </c>
      <c r="AW431" s="208"/>
      <c r="AX431" s="209"/>
      <c r="AY431" s="240"/>
      <c r="BB431" s="99"/>
      <c r="BC431" s="99"/>
      <c r="BD431" s="187"/>
      <c r="CH431" s="233" t="str">
        <f>IFERROR(TOWER_DATA[[#This Row],[Top '[m']]]-TOWER_DATA[[#This Row],[Bottom '[m']]], "")</f>
        <v/>
      </c>
      <c r="CI431" s="217" t="str">
        <f>IFERROR(-(TOWER_DATA[[#This Row],[D, bottom '[m']]]-TOWER_DATA[[#This Row],[D, top '[m']]])/(TOWER_DATA[[#This Row],[Bottom '[m']]]-TOWER_DATA[[#This Row],[Top '[m']]]),"")</f>
        <v/>
      </c>
      <c r="CJ431" s="145" t="str">
        <f t="shared" si="15"/>
        <v/>
      </c>
      <c r="CK431" s="234" t="str">
        <f>IFERROR((TOWER_DATA[[#This Row],[D, bottom '[m']]]+TOWER_DATA[[#This Row],[D, top '[m']]])/(2*TOWER_DATA[[#This Row],[t '[mm']]]/1000),"")</f>
        <v/>
      </c>
      <c r="DO431" s="209"/>
      <c r="DP431" s="209"/>
      <c r="DQ431" s="187"/>
      <c r="DT431" s="99"/>
      <c r="DU431" s="99"/>
    </row>
    <row r="432" spans="1:125" ht="18" customHeight="1">
      <c r="A432" s="271"/>
      <c r="D432" s="280"/>
      <c r="E432" s="52"/>
      <c r="K432" s="233" t="str">
        <f>IFERROR(MP_DATA[[#This Row],[Top '[m']]]-MP_DATA[[#This Row],[Bottom '[m']]], "")</f>
        <v/>
      </c>
      <c r="L432" s="217" t="str">
        <f>IFERROR(-(MP_DATA[[#This Row],[D, bottom '[m']]]-MP_DATA[[#This Row],[D, top '[m']]])/(MP_DATA[[#This Row],[Bottom '[m']]]-MP_DATA[[#This Row],[Top '[m']]]),"")</f>
        <v/>
      </c>
      <c r="M432" s="145" t="str">
        <f t="shared" si="16"/>
        <v/>
      </c>
      <c r="N432" s="234" t="str">
        <f>IFERROR((MP_DATA[[#This Row],[D, bottom '[m']]]+MP_DATA[[#This Row],[D, top '[m']]])/(2*MP_DATA[[#This Row],[t '[mm']]]/1000),"")</f>
        <v/>
      </c>
      <c r="Q432" s="209"/>
      <c r="R432" s="209"/>
      <c r="S432" s="187"/>
      <c r="AV432" s="233" t="str">
        <f>IFERROR(TP_DATA[[#This Row],[Top '[m']]]-TP_DATA[[#This Row],[Bottom '[m']]], "")</f>
        <v/>
      </c>
      <c r="AW432" s="208"/>
      <c r="AX432" s="209"/>
      <c r="AY432" s="240"/>
      <c r="BB432" s="99"/>
      <c r="BC432" s="99"/>
      <c r="BD432" s="187"/>
      <c r="CH432" s="233" t="str">
        <f>IFERROR(TOWER_DATA[[#This Row],[Top '[m']]]-TOWER_DATA[[#This Row],[Bottom '[m']]], "")</f>
        <v/>
      </c>
      <c r="CI432" s="217" t="str">
        <f>IFERROR(-(TOWER_DATA[[#This Row],[D, bottom '[m']]]-TOWER_DATA[[#This Row],[D, top '[m']]])/(TOWER_DATA[[#This Row],[Bottom '[m']]]-TOWER_DATA[[#This Row],[Top '[m']]]),"")</f>
        <v/>
      </c>
      <c r="CJ432" s="145" t="str">
        <f t="shared" si="15"/>
        <v/>
      </c>
      <c r="CK432" s="234" t="str">
        <f>IFERROR((TOWER_DATA[[#This Row],[D, bottom '[m']]]+TOWER_DATA[[#This Row],[D, top '[m']]])/(2*TOWER_DATA[[#This Row],[t '[mm']]]/1000),"")</f>
        <v/>
      </c>
      <c r="DO432" s="209"/>
      <c r="DP432" s="209"/>
      <c r="DQ432" s="187"/>
      <c r="DT432" s="99"/>
      <c r="DU432" s="99"/>
    </row>
    <row r="433" spans="1:125" ht="18" customHeight="1">
      <c r="A433" s="271"/>
      <c r="D433" s="280"/>
      <c r="E433" s="52"/>
      <c r="K433" s="233" t="str">
        <f>IFERROR(MP_DATA[[#This Row],[Top '[m']]]-MP_DATA[[#This Row],[Bottom '[m']]], "")</f>
        <v/>
      </c>
      <c r="L433" s="217" t="str">
        <f>IFERROR(-(MP_DATA[[#This Row],[D, bottom '[m']]]-MP_DATA[[#This Row],[D, top '[m']]])/(MP_DATA[[#This Row],[Bottom '[m']]]-MP_DATA[[#This Row],[Top '[m']]]),"")</f>
        <v/>
      </c>
      <c r="M433" s="145" t="str">
        <f t="shared" si="16"/>
        <v/>
      </c>
      <c r="N433" s="234" t="str">
        <f>IFERROR((MP_DATA[[#This Row],[D, bottom '[m']]]+MP_DATA[[#This Row],[D, top '[m']]])/(2*MP_DATA[[#This Row],[t '[mm']]]/1000),"")</f>
        <v/>
      </c>
      <c r="Q433" s="209"/>
      <c r="R433" s="209"/>
      <c r="S433" s="187"/>
      <c r="AV433" s="233" t="str">
        <f>IFERROR(TP_DATA[[#This Row],[Top '[m']]]-TP_DATA[[#This Row],[Bottom '[m']]], "")</f>
        <v/>
      </c>
      <c r="AW433" s="208"/>
      <c r="AX433" s="209"/>
      <c r="AY433" s="240"/>
      <c r="BB433" s="99"/>
      <c r="BC433" s="99"/>
      <c r="BD433" s="187"/>
      <c r="CH433" s="233" t="str">
        <f>IFERROR(TOWER_DATA[[#This Row],[Top '[m']]]-TOWER_DATA[[#This Row],[Bottom '[m']]], "")</f>
        <v/>
      </c>
      <c r="CI433" s="217" t="str">
        <f>IFERROR(-(TOWER_DATA[[#This Row],[D, bottom '[m']]]-TOWER_DATA[[#This Row],[D, top '[m']]])/(TOWER_DATA[[#This Row],[Bottom '[m']]]-TOWER_DATA[[#This Row],[Top '[m']]]),"")</f>
        <v/>
      </c>
      <c r="CJ433" s="145" t="str">
        <f t="shared" ref="CJ433:CJ496" si="17">IF(7850/1000*(1/3)*PI()*ABS(CC433-CD433)*((CE433/2)^2+(CE433/2)*(CF433/2)+(CF433/2)^2-(CE433/2-CG433/1000)^2-(CE433/2-CG433/1000)*(CF433/2-CG433/1000)-(CF433/2-CG433/1000)^2)=0,"",7850/1000*(1/3)*PI()*ABS(CC433-CD433)*((CE433/2)^2+(CE433/2)*(CF433/2)+(CF433/2)^2-(CE433/2-CG433/1000)^2-(CE433/2-CG433/1000)*(CF433/2-CG433/1000)-(CF433/2-CG433/1000)^2))</f>
        <v/>
      </c>
      <c r="CK433" s="234" t="str">
        <f>IFERROR((TOWER_DATA[[#This Row],[D, bottom '[m']]]+TOWER_DATA[[#This Row],[D, top '[m']]])/(2*TOWER_DATA[[#This Row],[t '[mm']]]/1000),"")</f>
        <v/>
      </c>
      <c r="DO433" s="209"/>
      <c r="DP433" s="209"/>
      <c r="DQ433" s="187"/>
      <c r="DT433" s="99"/>
      <c r="DU433" s="99"/>
    </row>
    <row r="434" spans="1:125" ht="18" customHeight="1">
      <c r="A434" s="271"/>
      <c r="D434" s="280"/>
      <c r="E434" s="52"/>
      <c r="K434" s="233" t="str">
        <f>IFERROR(MP_DATA[[#This Row],[Top '[m']]]-MP_DATA[[#This Row],[Bottom '[m']]], "")</f>
        <v/>
      </c>
      <c r="L434" s="217" t="str">
        <f>IFERROR(-(MP_DATA[[#This Row],[D, bottom '[m']]]-MP_DATA[[#This Row],[D, top '[m']]])/(MP_DATA[[#This Row],[Bottom '[m']]]-MP_DATA[[#This Row],[Top '[m']]]),"")</f>
        <v/>
      </c>
      <c r="M434" s="145" t="str">
        <f t="shared" ref="M434:M497" si="18">IF(7850/1000*(1/3)*PI()*ABS(F434-G434)*((H434/2)^2+(H434/2)*(I434/2)+(I434/2)^2-(H434/2-J434/1000)^2-(H434/2-J434/1000)*(I434/2-J434/1000)-(I434/2-J434/1000)^2)=0,"",7850/1000*(1/3)*PI()*ABS(F434-G434)*((H434/2)^2+(H434/2)*(I434/2)+(I434/2)^2-(H434/2-J434/1000)^2-(H434/2-J434/1000)*(I434/2-J434/1000)-(I434/2-J434/1000)^2))</f>
        <v/>
      </c>
      <c r="N434" s="234" t="str">
        <f>IFERROR((MP_DATA[[#This Row],[D, bottom '[m']]]+MP_DATA[[#This Row],[D, top '[m']]])/(2*MP_DATA[[#This Row],[t '[mm']]]/1000),"")</f>
        <v/>
      </c>
      <c r="Q434" s="209"/>
      <c r="R434" s="209"/>
      <c r="S434" s="187"/>
      <c r="AV434" s="233" t="str">
        <f>IFERROR(TP_DATA[[#This Row],[Top '[m']]]-TP_DATA[[#This Row],[Bottom '[m']]], "")</f>
        <v/>
      </c>
      <c r="AW434" s="208"/>
      <c r="AX434" s="209"/>
      <c r="AY434" s="240"/>
      <c r="BB434" s="99"/>
      <c r="BC434" s="99"/>
      <c r="BD434" s="187"/>
      <c r="CH434" s="233" t="str">
        <f>IFERROR(TOWER_DATA[[#This Row],[Top '[m']]]-TOWER_DATA[[#This Row],[Bottom '[m']]], "")</f>
        <v/>
      </c>
      <c r="CI434" s="217" t="str">
        <f>IFERROR(-(TOWER_DATA[[#This Row],[D, bottom '[m']]]-TOWER_DATA[[#This Row],[D, top '[m']]])/(TOWER_DATA[[#This Row],[Bottom '[m']]]-TOWER_DATA[[#This Row],[Top '[m']]]),"")</f>
        <v/>
      </c>
      <c r="CJ434" s="145" t="str">
        <f t="shared" si="17"/>
        <v/>
      </c>
      <c r="CK434" s="234" t="str">
        <f>IFERROR((TOWER_DATA[[#This Row],[D, bottom '[m']]]+TOWER_DATA[[#This Row],[D, top '[m']]])/(2*TOWER_DATA[[#This Row],[t '[mm']]]/1000),"")</f>
        <v/>
      </c>
      <c r="DO434" s="209"/>
      <c r="DP434" s="209"/>
      <c r="DQ434" s="187"/>
      <c r="DT434" s="99"/>
      <c r="DU434" s="99"/>
    </row>
    <row r="435" spans="1:125" ht="18" customHeight="1">
      <c r="A435" s="271"/>
      <c r="D435" s="280"/>
      <c r="E435" s="52"/>
      <c r="K435" s="233" t="str">
        <f>IFERROR(MP_DATA[[#This Row],[Top '[m']]]-MP_DATA[[#This Row],[Bottom '[m']]], "")</f>
        <v/>
      </c>
      <c r="L435" s="217" t="str">
        <f>IFERROR(-(MP_DATA[[#This Row],[D, bottom '[m']]]-MP_DATA[[#This Row],[D, top '[m']]])/(MP_DATA[[#This Row],[Bottom '[m']]]-MP_DATA[[#This Row],[Top '[m']]]),"")</f>
        <v/>
      </c>
      <c r="M435" s="145" t="str">
        <f t="shared" si="18"/>
        <v/>
      </c>
      <c r="N435" s="234" t="str">
        <f>IFERROR((MP_DATA[[#This Row],[D, bottom '[m']]]+MP_DATA[[#This Row],[D, top '[m']]])/(2*MP_DATA[[#This Row],[t '[mm']]]/1000),"")</f>
        <v/>
      </c>
      <c r="Q435" s="209"/>
      <c r="R435" s="209"/>
      <c r="S435" s="187"/>
      <c r="AV435" s="233" t="str">
        <f>IFERROR(TP_DATA[[#This Row],[Top '[m']]]-TP_DATA[[#This Row],[Bottom '[m']]], "")</f>
        <v/>
      </c>
      <c r="AW435" s="208"/>
      <c r="AX435" s="209"/>
      <c r="AY435" s="240"/>
      <c r="BB435" s="99"/>
      <c r="BC435" s="99"/>
      <c r="BD435" s="187"/>
      <c r="CH435" s="233" t="str">
        <f>IFERROR(TOWER_DATA[[#This Row],[Top '[m']]]-TOWER_DATA[[#This Row],[Bottom '[m']]], "")</f>
        <v/>
      </c>
      <c r="CI435" s="217" t="str">
        <f>IFERROR(-(TOWER_DATA[[#This Row],[D, bottom '[m']]]-TOWER_DATA[[#This Row],[D, top '[m']]])/(TOWER_DATA[[#This Row],[Bottom '[m']]]-TOWER_DATA[[#This Row],[Top '[m']]]),"")</f>
        <v/>
      </c>
      <c r="CJ435" s="145" t="str">
        <f t="shared" si="17"/>
        <v/>
      </c>
      <c r="CK435" s="234" t="str">
        <f>IFERROR((TOWER_DATA[[#This Row],[D, bottom '[m']]]+TOWER_DATA[[#This Row],[D, top '[m']]])/(2*TOWER_DATA[[#This Row],[t '[mm']]]/1000),"")</f>
        <v/>
      </c>
      <c r="DO435" s="209"/>
      <c r="DP435" s="209"/>
      <c r="DQ435" s="187"/>
      <c r="DT435" s="99"/>
      <c r="DU435" s="99"/>
    </row>
    <row r="436" spans="1:125" ht="18" customHeight="1">
      <c r="A436" s="271"/>
      <c r="D436" s="280"/>
      <c r="E436" s="52"/>
      <c r="K436" s="233" t="str">
        <f>IFERROR(MP_DATA[[#This Row],[Top '[m']]]-MP_DATA[[#This Row],[Bottom '[m']]], "")</f>
        <v/>
      </c>
      <c r="L436" s="217" t="str">
        <f>IFERROR(-(MP_DATA[[#This Row],[D, bottom '[m']]]-MP_DATA[[#This Row],[D, top '[m']]])/(MP_DATA[[#This Row],[Bottom '[m']]]-MP_DATA[[#This Row],[Top '[m']]]),"")</f>
        <v/>
      </c>
      <c r="M436" s="145" t="str">
        <f t="shared" si="18"/>
        <v/>
      </c>
      <c r="N436" s="234" t="str">
        <f>IFERROR((MP_DATA[[#This Row],[D, bottom '[m']]]+MP_DATA[[#This Row],[D, top '[m']]])/(2*MP_DATA[[#This Row],[t '[mm']]]/1000),"")</f>
        <v/>
      </c>
      <c r="Q436" s="209"/>
      <c r="R436" s="209"/>
      <c r="S436" s="187"/>
      <c r="AV436" s="233" t="str">
        <f>IFERROR(TP_DATA[[#This Row],[Top '[m']]]-TP_DATA[[#This Row],[Bottom '[m']]], "")</f>
        <v/>
      </c>
      <c r="AW436" s="208"/>
      <c r="AX436" s="209"/>
      <c r="AY436" s="240"/>
      <c r="BB436" s="99"/>
      <c r="BC436" s="99"/>
      <c r="BD436" s="187"/>
      <c r="CH436" s="233" t="str">
        <f>IFERROR(TOWER_DATA[[#This Row],[Top '[m']]]-TOWER_DATA[[#This Row],[Bottom '[m']]], "")</f>
        <v/>
      </c>
      <c r="CI436" s="217" t="str">
        <f>IFERROR(-(TOWER_DATA[[#This Row],[D, bottom '[m']]]-TOWER_DATA[[#This Row],[D, top '[m']]])/(TOWER_DATA[[#This Row],[Bottom '[m']]]-TOWER_DATA[[#This Row],[Top '[m']]]),"")</f>
        <v/>
      </c>
      <c r="CJ436" s="145" t="str">
        <f t="shared" si="17"/>
        <v/>
      </c>
      <c r="CK436" s="234" t="str">
        <f>IFERROR((TOWER_DATA[[#This Row],[D, bottom '[m']]]+TOWER_DATA[[#This Row],[D, top '[m']]])/(2*TOWER_DATA[[#This Row],[t '[mm']]]/1000),"")</f>
        <v/>
      </c>
      <c r="DO436" s="209"/>
      <c r="DP436" s="209"/>
      <c r="DQ436" s="187"/>
      <c r="DT436" s="99"/>
      <c r="DU436" s="99"/>
    </row>
    <row r="437" spans="1:125" ht="18" customHeight="1">
      <c r="A437" s="271"/>
      <c r="D437" s="280"/>
      <c r="E437" s="52"/>
      <c r="K437" s="233" t="str">
        <f>IFERROR(MP_DATA[[#This Row],[Top '[m']]]-MP_DATA[[#This Row],[Bottom '[m']]], "")</f>
        <v/>
      </c>
      <c r="L437" s="217" t="str">
        <f>IFERROR(-(MP_DATA[[#This Row],[D, bottom '[m']]]-MP_DATA[[#This Row],[D, top '[m']]])/(MP_DATA[[#This Row],[Bottom '[m']]]-MP_DATA[[#This Row],[Top '[m']]]),"")</f>
        <v/>
      </c>
      <c r="M437" s="145" t="str">
        <f t="shared" si="18"/>
        <v/>
      </c>
      <c r="N437" s="234" t="str">
        <f>IFERROR((MP_DATA[[#This Row],[D, bottom '[m']]]+MP_DATA[[#This Row],[D, top '[m']]])/(2*MP_DATA[[#This Row],[t '[mm']]]/1000),"")</f>
        <v/>
      </c>
      <c r="Q437" s="209"/>
      <c r="R437" s="209"/>
      <c r="S437" s="187"/>
      <c r="AV437" s="233" t="str">
        <f>IFERROR(TP_DATA[[#This Row],[Top '[m']]]-TP_DATA[[#This Row],[Bottom '[m']]], "")</f>
        <v/>
      </c>
      <c r="AW437" s="208"/>
      <c r="AX437" s="209"/>
      <c r="AY437" s="240"/>
      <c r="BB437" s="99"/>
      <c r="BC437" s="99"/>
      <c r="BD437" s="187"/>
      <c r="CH437" s="235" t="str">
        <f>IFERROR(TOWER_DATA[[#This Row],[Top '[m']]]-TOWER_DATA[[#This Row],[Bottom '[m']]], "")</f>
        <v/>
      </c>
      <c r="CI437" s="236" t="str">
        <f>IFERROR(-(TOWER_DATA[[#This Row],[D, bottom '[m']]]-TOWER_DATA[[#This Row],[D, top '[m']]])/(TOWER_DATA[[#This Row],[Bottom '[m']]]-TOWER_DATA[[#This Row],[Top '[m']]]),"")</f>
        <v/>
      </c>
      <c r="CJ437" s="237" t="str">
        <f t="shared" si="17"/>
        <v/>
      </c>
      <c r="CK437" s="238" t="str">
        <f>IFERROR((TOWER_DATA[[#This Row],[D, bottom '[m']]]+TOWER_DATA[[#This Row],[D, top '[m']]])/(2*TOWER_DATA[[#This Row],[t '[mm']]]/1000),"")</f>
        <v/>
      </c>
      <c r="DO437" s="209"/>
      <c r="DP437" s="209"/>
      <c r="DQ437" s="187"/>
      <c r="DT437" s="99"/>
      <c r="DU437" s="99"/>
    </row>
    <row r="438" spans="1:125" ht="18" customHeight="1">
      <c r="A438" s="271"/>
      <c r="D438" s="280"/>
      <c r="E438" s="52"/>
      <c r="K438" s="233" t="str">
        <f>IFERROR(MP_DATA[[#This Row],[Top '[m']]]-MP_DATA[[#This Row],[Bottom '[m']]], "")</f>
        <v/>
      </c>
      <c r="L438" s="217" t="str">
        <f>IFERROR(-(MP_DATA[[#This Row],[D, bottom '[m']]]-MP_DATA[[#This Row],[D, top '[m']]])/(MP_DATA[[#This Row],[Bottom '[m']]]-MP_DATA[[#This Row],[Top '[m']]]),"")</f>
        <v/>
      </c>
      <c r="M438" s="145" t="str">
        <f t="shared" si="18"/>
        <v/>
      </c>
      <c r="N438" s="234" t="str">
        <f>IFERROR((MP_DATA[[#This Row],[D, bottom '[m']]]+MP_DATA[[#This Row],[D, top '[m']]])/(2*MP_DATA[[#This Row],[t '[mm']]]/1000),"")</f>
        <v/>
      </c>
      <c r="Q438" s="209"/>
      <c r="R438" s="209"/>
      <c r="S438" s="187"/>
      <c r="AV438" s="233" t="str">
        <f>IFERROR(TP_DATA[[#This Row],[Top '[m']]]-TP_DATA[[#This Row],[Bottom '[m']]], "")</f>
        <v/>
      </c>
      <c r="AW438" s="208"/>
      <c r="AX438" s="209"/>
      <c r="AY438" s="240"/>
      <c r="BB438" s="99"/>
      <c r="BC438" s="99"/>
      <c r="BD438" s="187"/>
      <c r="CH438" s="53" t="str">
        <f>IFERROR(TOWER_DATA[[#This Row],[Top '[m']]]-TOWER_DATA[[#This Row],[Bottom '[m']]], "")</f>
        <v/>
      </c>
      <c r="CI438" s="217" t="str">
        <f>IFERROR(-(TOWER_DATA[[#This Row],[D, bottom '[m']]]-TOWER_DATA[[#This Row],[D, top '[m']]])/(TOWER_DATA[[#This Row],[Bottom '[m']]]-TOWER_DATA[[#This Row],[Top '[m']]]),"")</f>
        <v/>
      </c>
      <c r="CJ438" s="145" t="str">
        <f t="shared" si="17"/>
        <v/>
      </c>
      <c r="CK438" s="220" t="str">
        <f>IFERROR((TOWER_DATA[[#This Row],[D, bottom '[m']]]+TOWER_DATA[[#This Row],[D, top '[m']]])/(2*TOWER_DATA[[#This Row],[t '[mm']]]/1000),"")</f>
        <v/>
      </c>
      <c r="DO438" s="209"/>
      <c r="DP438" s="209"/>
      <c r="DQ438" s="187"/>
      <c r="DT438" s="99"/>
      <c r="DU438" s="99"/>
    </row>
    <row r="439" spans="1:125" ht="18" customHeight="1">
      <c r="A439" s="271"/>
      <c r="D439" s="280"/>
      <c r="E439" s="52"/>
      <c r="K439" s="233" t="str">
        <f>IFERROR(MP_DATA[[#This Row],[Top '[m']]]-MP_DATA[[#This Row],[Bottom '[m']]], "")</f>
        <v/>
      </c>
      <c r="L439" s="217" t="str">
        <f>IFERROR(-(MP_DATA[[#This Row],[D, bottom '[m']]]-MP_DATA[[#This Row],[D, top '[m']]])/(MP_DATA[[#This Row],[Bottom '[m']]]-MP_DATA[[#This Row],[Top '[m']]]),"")</f>
        <v/>
      </c>
      <c r="M439" s="145" t="str">
        <f t="shared" si="18"/>
        <v/>
      </c>
      <c r="N439" s="234" t="str">
        <f>IFERROR((MP_DATA[[#This Row],[D, bottom '[m']]]+MP_DATA[[#This Row],[D, top '[m']]])/(2*MP_DATA[[#This Row],[t '[mm']]]/1000),"")</f>
        <v/>
      </c>
      <c r="Q439" s="209"/>
      <c r="R439" s="209"/>
      <c r="S439" s="187"/>
      <c r="AV439" s="233" t="str">
        <f>IFERROR(TP_DATA[[#This Row],[Top '[m']]]-TP_DATA[[#This Row],[Bottom '[m']]], "")</f>
        <v/>
      </c>
      <c r="AW439" s="208"/>
      <c r="AX439" s="209"/>
      <c r="AY439" s="240"/>
      <c r="BB439" s="99"/>
      <c r="BC439" s="99"/>
      <c r="BD439" s="187"/>
      <c r="CH439" s="53" t="str">
        <f>IFERROR(TOWER_DATA[[#This Row],[Top '[m']]]-TOWER_DATA[[#This Row],[Bottom '[m']]], "")</f>
        <v/>
      </c>
      <c r="CI439" s="217" t="str">
        <f>IFERROR(-(TOWER_DATA[[#This Row],[D, bottom '[m']]]-TOWER_DATA[[#This Row],[D, top '[m']]])/(TOWER_DATA[[#This Row],[Bottom '[m']]]-TOWER_DATA[[#This Row],[Top '[m']]]),"")</f>
        <v/>
      </c>
      <c r="CJ439" s="145" t="str">
        <f t="shared" si="17"/>
        <v/>
      </c>
      <c r="CK439" s="220" t="str">
        <f>IFERROR((TOWER_DATA[[#This Row],[D, bottom '[m']]]+TOWER_DATA[[#This Row],[D, top '[m']]])/(2*TOWER_DATA[[#This Row],[t '[mm']]]/1000),"")</f>
        <v/>
      </c>
      <c r="DO439" s="209"/>
      <c r="DP439" s="209"/>
      <c r="DQ439" s="187"/>
      <c r="DT439" s="99"/>
      <c r="DU439" s="99"/>
    </row>
    <row r="440" spans="1:125" ht="18" customHeight="1">
      <c r="A440" s="271"/>
      <c r="D440" s="280"/>
      <c r="E440" s="52"/>
      <c r="K440" s="233" t="str">
        <f>IFERROR(MP_DATA[[#This Row],[Top '[m']]]-MP_DATA[[#This Row],[Bottom '[m']]], "")</f>
        <v/>
      </c>
      <c r="L440" s="217" t="str">
        <f>IFERROR(-(MP_DATA[[#This Row],[D, bottom '[m']]]-MP_DATA[[#This Row],[D, top '[m']]])/(MP_DATA[[#This Row],[Bottom '[m']]]-MP_DATA[[#This Row],[Top '[m']]]),"")</f>
        <v/>
      </c>
      <c r="M440" s="145" t="str">
        <f t="shared" si="18"/>
        <v/>
      </c>
      <c r="N440" s="234" t="str">
        <f>IFERROR((MP_DATA[[#This Row],[D, bottom '[m']]]+MP_DATA[[#This Row],[D, top '[m']]])/(2*MP_DATA[[#This Row],[t '[mm']]]/1000),"")</f>
        <v/>
      </c>
      <c r="Q440" s="209"/>
      <c r="R440" s="209"/>
      <c r="S440" s="187"/>
      <c r="AV440" s="233" t="str">
        <f>IFERROR(TP_DATA[[#This Row],[Top '[m']]]-TP_DATA[[#This Row],[Bottom '[m']]], "")</f>
        <v/>
      </c>
      <c r="AW440" s="208"/>
      <c r="AX440" s="209"/>
      <c r="AY440" s="240"/>
      <c r="BB440" s="99"/>
      <c r="BC440" s="99"/>
      <c r="BD440" s="187"/>
      <c r="CH440" s="53" t="str">
        <f>IFERROR(TOWER_DATA[[#This Row],[Top '[m']]]-TOWER_DATA[[#This Row],[Bottom '[m']]], "")</f>
        <v/>
      </c>
      <c r="CI440" s="217" t="str">
        <f>IFERROR(-(TOWER_DATA[[#This Row],[D, bottom '[m']]]-TOWER_DATA[[#This Row],[D, top '[m']]])/(TOWER_DATA[[#This Row],[Bottom '[m']]]-TOWER_DATA[[#This Row],[Top '[m']]]),"")</f>
        <v/>
      </c>
      <c r="CJ440" s="145" t="str">
        <f t="shared" si="17"/>
        <v/>
      </c>
      <c r="CK440" s="220" t="str">
        <f>IFERROR((TOWER_DATA[[#This Row],[D, bottom '[m']]]+TOWER_DATA[[#This Row],[D, top '[m']]])/(2*TOWER_DATA[[#This Row],[t '[mm']]]/1000),"")</f>
        <v/>
      </c>
      <c r="DO440" s="209"/>
      <c r="DP440" s="209"/>
      <c r="DQ440" s="187"/>
      <c r="DT440" s="99"/>
      <c r="DU440" s="99"/>
    </row>
    <row r="441" spans="1:125" ht="18" customHeight="1">
      <c r="A441" s="271"/>
      <c r="D441" s="280"/>
      <c r="E441" s="52"/>
      <c r="K441" s="233" t="str">
        <f>IFERROR(MP_DATA[[#This Row],[Top '[m']]]-MP_DATA[[#This Row],[Bottom '[m']]], "")</f>
        <v/>
      </c>
      <c r="L441" s="217" t="str">
        <f>IFERROR(-(MP_DATA[[#This Row],[D, bottom '[m']]]-MP_DATA[[#This Row],[D, top '[m']]])/(MP_DATA[[#This Row],[Bottom '[m']]]-MP_DATA[[#This Row],[Top '[m']]]),"")</f>
        <v/>
      </c>
      <c r="M441" s="145" t="str">
        <f t="shared" si="18"/>
        <v/>
      </c>
      <c r="N441" s="234" t="str">
        <f>IFERROR((MP_DATA[[#This Row],[D, bottom '[m']]]+MP_DATA[[#This Row],[D, top '[m']]])/(2*MP_DATA[[#This Row],[t '[mm']]]/1000),"")</f>
        <v/>
      </c>
      <c r="Q441" s="209"/>
      <c r="R441" s="209"/>
      <c r="S441" s="187"/>
      <c r="AV441" s="233" t="str">
        <f>IFERROR(TP_DATA[[#This Row],[Top '[m']]]-TP_DATA[[#This Row],[Bottom '[m']]], "")</f>
        <v/>
      </c>
      <c r="AW441" s="208"/>
      <c r="AX441" s="209"/>
      <c r="AY441" s="240"/>
      <c r="BB441" s="99"/>
      <c r="BC441" s="99"/>
      <c r="BD441" s="187"/>
      <c r="CH441" s="53" t="str">
        <f>IFERROR(TOWER_DATA[[#This Row],[Top '[m']]]-TOWER_DATA[[#This Row],[Bottom '[m']]], "")</f>
        <v/>
      </c>
      <c r="CI441" s="217" t="str">
        <f>IFERROR(-(TOWER_DATA[[#This Row],[D, bottom '[m']]]-TOWER_DATA[[#This Row],[D, top '[m']]])/(TOWER_DATA[[#This Row],[Bottom '[m']]]-TOWER_DATA[[#This Row],[Top '[m']]]),"")</f>
        <v/>
      </c>
      <c r="CJ441" s="145" t="str">
        <f t="shared" si="17"/>
        <v/>
      </c>
      <c r="CK441" s="220" t="str">
        <f>IFERROR((TOWER_DATA[[#This Row],[D, bottom '[m']]]+TOWER_DATA[[#This Row],[D, top '[m']]])/(2*TOWER_DATA[[#This Row],[t '[mm']]]/1000),"")</f>
        <v/>
      </c>
      <c r="DO441" s="209"/>
      <c r="DP441" s="209"/>
      <c r="DQ441" s="187"/>
      <c r="DT441" s="99"/>
      <c r="DU441" s="99"/>
    </row>
    <row r="442" spans="1:125" ht="18" customHeight="1">
      <c r="A442" s="271"/>
      <c r="D442" s="280"/>
      <c r="E442" s="52"/>
      <c r="K442" s="233" t="str">
        <f>IFERROR(MP_DATA[[#This Row],[Top '[m']]]-MP_DATA[[#This Row],[Bottom '[m']]], "")</f>
        <v/>
      </c>
      <c r="L442" s="217" t="str">
        <f>IFERROR(-(MP_DATA[[#This Row],[D, bottom '[m']]]-MP_DATA[[#This Row],[D, top '[m']]])/(MP_DATA[[#This Row],[Bottom '[m']]]-MP_DATA[[#This Row],[Top '[m']]]),"")</f>
        <v/>
      </c>
      <c r="M442" s="145" t="str">
        <f t="shared" si="18"/>
        <v/>
      </c>
      <c r="N442" s="234" t="str">
        <f>IFERROR((MP_DATA[[#This Row],[D, bottom '[m']]]+MP_DATA[[#This Row],[D, top '[m']]])/(2*MP_DATA[[#This Row],[t '[mm']]]/1000),"")</f>
        <v/>
      </c>
      <c r="Q442" s="209"/>
      <c r="R442" s="209"/>
      <c r="S442" s="187"/>
      <c r="AV442" s="233" t="str">
        <f>IFERROR(TP_DATA[[#This Row],[Top '[m']]]-TP_DATA[[#This Row],[Bottom '[m']]], "")</f>
        <v/>
      </c>
      <c r="AW442" s="208"/>
      <c r="AX442" s="209"/>
      <c r="AY442" s="240"/>
      <c r="BB442" s="99"/>
      <c r="BC442" s="99"/>
      <c r="BD442" s="187"/>
      <c r="CH442" s="53" t="str">
        <f>IFERROR(TOWER_DATA[[#This Row],[Top '[m']]]-TOWER_DATA[[#This Row],[Bottom '[m']]], "")</f>
        <v/>
      </c>
      <c r="CI442" s="217" t="str">
        <f>IFERROR(-(TOWER_DATA[[#This Row],[D, bottom '[m']]]-TOWER_DATA[[#This Row],[D, top '[m']]])/(TOWER_DATA[[#This Row],[Bottom '[m']]]-TOWER_DATA[[#This Row],[Top '[m']]]),"")</f>
        <v/>
      </c>
      <c r="CJ442" s="145" t="str">
        <f t="shared" si="17"/>
        <v/>
      </c>
      <c r="CK442" s="220" t="str">
        <f>IFERROR((TOWER_DATA[[#This Row],[D, bottom '[m']]]+TOWER_DATA[[#This Row],[D, top '[m']]])/(2*TOWER_DATA[[#This Row],[t '[mm']]]/1000),"")</f>
        <v/>
      </c>
      <c r="DO442" s="209"/>
      <c r="DP442" s="209"/>
      <c r="DQ442" s="187"/>
      <c r="DT442" s="99"/>
      <c r="DU442" s="99"/>
    </row>
    <row r="443" spans="1:125" ht="18" customHeight="1">
      <c r="A443" s="271"/>
      <c r="D443" s="280"/>
      <c r="E443" s="52"/>
      <c r="K443" s="233" t="str">
        <f>IFERROR(MP_DATA[[#This Row],[Top '[m']]]-MP_DATA[[#This Row],[Bottom '[m']]], "")</f>
        <v/>
      </c>
      <c r="L443" s="217" t="str">
        <f>IFERROR(-(MP_DATA[[#This Row],[D, bottom '[m']]]-MP_DATA[[#This Row],[D, top '[m']]])/(MP_DATA[[#This Row],[Bottom '[m']]]-MP_DATA[[#This Row],[Top '[m']]]),"")</f>
        <v/>
      </c>
      <c r="M443" s="145" t="str">
        <f t="shared" si="18"/>
        <v/>
      </c>
      <c r="N443" s="234" t="str">
        <f>IFERROR((MP_DATA[[#This Row],[D, bottom '[m']]]+MP_DATA[[#This Row],[D, top '[m']]])/(2*MP_DATA[[#This Row],[t '[mm']]]/1000),"")</f>
        <v/>
      </c>
      <c r="Q443" s="209"/>
      <c r="R443" s="209"/>
      <c r="S443" s="187"/>
      <c r="AV443" s="233" t="str">
        <f>IFERROR(TP_DATA[[#This Row],[Top '[m']]]-TP_DATA[[#This Row],[Bottom '[m']]], "")</f>
        <v/>
      </c>
      <c r="AW443" s="208"/>
      <c r="AX443" s="209"/>
      <c r="AY443" s="240"/>
      <c r="BB443" s="99"/>
      <c r="BC443" s="99"/>
      <c r="BD443" s="187"/>
      <c r="CH443" s="53" t="str">
        <f>IFERROR(TOWER_DATA[[#This Row],[Top '[m']]]-TOWER_DATA[[#This Row],[Bottom '[m']]], "")</f>
        <v/>
      </c>
      <c r="CI443" s="217" t="str">
        <f>IFERROR(-(TOWER_DATA[[#This Row],[D, bottom '[m']]]-TOWER_DATA[[#This Row],[D, top '[m']]])/(TOWER_DATA[[#This Row],[Bottom '[m']]]-TOWER_DATA[[#This Row],[Top '[m']]]),"")</f>
        <v/>
      </c>
      <c r="CJ443" s="145" t="str">
        <f t="shared" si="17"/>
        <v/>
      </c>
      <c r="CK443" s="220" t="str">
        <f>IFERROR((TOWER_DATA[[#This Row],[D, bottom '[m']]]+TOWER_DATA[[#This Row],[D, top '[m']]])/(2*TOWER_DATA[[#This Row],[t '[mm']]]/1000),"")</f>
        <v/>
      </c>
      <c r="DO443" s="209"/>
      <c r="DP443" s="209"/>
      <c r="DQ443" s="187"/>
      <c r="DT443" s="99"/>
      <c r="DU443" s="99"/>
    </row>
    <row r="444" spans="1:125" ht="18" customHeight="1">
      <c r="A444" s="271"/>
      <c r="D444" s="280"/>
      <c r="E444" s="52"/>
      <c r="K444" s="233" t="str">
        <f>IFERROR(MP_DATA[[#This Row],[Top '[m']]]-MP_DATA[[#This Row],[Bottom '[m']]], "")</f>
        <v/>
      </c>
      <c r="L444" s="217" t="str">
        <f>IFERROR(-(MP_DATA[[#This Row],[D, bottom '[m']]]-MP_DATA[[#This Row],[D, top '[m']]])/(MP_DATA[[#This Row],[Bottom '[m']]]-MP_DATA[[#This Row],[Top '[m']]]),"")</f>
        <v/>
      </c>
      <c r="M444" s="145" t="str">
        <f t="shared" si="18"/>
        <v/>
      </c>
      <c r="N444" s="234" t="str">
        <f>IFERROR((MP_DATA[[#This Row],[D, bottom '[m']]]+MP_DATA[[#This Row],[D, top '[m']]])/(2*MP_DATA[[#This Row],[t '[mm']]]/1000),"")</f>
        <v/>
      </c>
      <c r="Q444" s="209"/>
      <c r="R444" s="209"/>
      <c r="S444" s="187"/>
      <c r="AV444" s="233" t="str">
        <f>IFERROR(TP_DATA[[#This Row],[Top '[m']]]-TP_DATA[[#This Row],[Bottom '[m']]], "")</f>
        <v/>
      </c>
      <c r="AW444" s="208"/>
      <c r="AX444" s="209"/>
      <c r="AY444" s="240"/>
      <c r="BB444" s="99"/>
      <c r="BC444" s="99"/>
      <c r="BD444" s="187"/>
      <c r="CH444" s="53" t="str">
        <f>IFERROR(TOWER_DATA[[#This Row],[Top '[m']]]-TOWER_DATA[[#This Row],[Bottom '[m']]], "")</f>
        <v/>
      </c>
      <c r="CI444" s="217" t="str">
        <f>IFERROR(-(TOWER_DATA[[#This Row],[D, bottom '[m']]]-TOWER_DATA[[#This Row],[D, top '[m']]])/(TOWER_DATA[[#This Row],[Bottom '[m']]]-TOWER_DATA[[#This Row],[Top '[m']]]),"")</f>
        <v/>
      </c>
      <c r="CJ444" s="145" t="str">
        <f t="shared" si="17"/>
        <v/>
      </c>
      <c r="CK444" s="220" t="str">
        <f>IFERROR((TOWER_DATA[[#This Row],[D, bottom '[m']]]+TOWER_DATA[[#This Row],[D, top '[m']]])/(2*TOWER_DATA[[#This Row],[t '[mm']]]/1000),"")</f>
        <v/>
      </c>
      <c r="DO444" s="209"/>
      <c r="DP444" s="209"/>
      <c r="DQ444" s="187"/>
      <c r="DT444" s="99"/>
      <c r="DU444" s="99"/>
    </row>
    <row r="445" spans="1:125" ht="18" customHeight="1">
      <c r="A445" s="271"/>
      <c r="D445" s="280"/>
      <c r="E445" s="52"/>
      <c r="K445" s="233" t="str">
        <f>IFERROR(MP_DATA[[#This Row],[Top '[m']]]-MP_DATA[[#This Row],[Bottom '[m']]], "")</f>
        <v/>
      </c>
      <c r="L445" s="217" t="str">
        <f>IFERROR(-(MP_DATA[[#This Row],[D, bottom '[m']]]-MP_DATA[[#This Row],[D, top '[m']]])/(MP_DATA[[#This Row],[Bottom '[m']]]-MP_DATA[[#This Row],[Top '[m']]]),"")</f>
        <v/>
      </c>
      <c r="M445" s="145" t="str">
        <f t="shared" si="18"/>
        <v/>
      </c>
      <c r="N445" s="234" t="str">
        <f>IFERROR((MP_DATA[[#This Row],[D, bottom '[m']]]+MP_DATA[[#This Row],[D, top '[m']]])/(2*MP_DATA[[#This Row],[t '[mm']]]/1000),"")</f>
        <v/>
      </c>
      <c r="Q445" s="209"/>
      <c r="R445" s="209"/>
      <c r="S445" s="187"/>
      <c r="AV445" s="233" t="str">
        <f>IFERROR(TP_DATA[[#This Row],[Top '[m']]]-TP_DATA[[#This Row],[Bottom '[m']]], "")</f>
        <v/>
      </c>
      <c r="AW445" s="208"/>
      <c r="AX445" s="209"/>
      <c r="AY445" s="240"/>
      <c r="BB445" s="99"/>
      <c r="BC445" s="99"/>
      <c r="BD445" s="187"/>
      <c r="CH445" s="53" t="str">
        <f>IFERROR(TOWER_DATA[[#This Row],[Top '[m']]]-TOWER_DATA[[#This Row],[Bottom '[m']]], "")</f>
        <v/>
      </c>
      <c r="CI445" s="217" t="str">
        <f>IFERROR(-(TOWER_DATA[[#This Row],[D, bottom '[m']]]-TOWER_DATA[[#This Row],[D, top '[m']]])/(TOWER_DATA[[#This Row],[Bottom '[m']]]-TOWER_DATA[[#This Row],[Top '[m']]]),"")</f>
        <v/>
      </c>
      <c r="CJ445" s="145" t="str">
        <f t="shared" si="17"/>
        <v/>
      </c>
      <c r="CK445" s="220" t="str">
        <f>IFERROR((TOWER_DATA[[#This Row],[D, bottom '[m']]]+TOWER_DATA[[#This Row],[D, top '[m']]])/(2*TOWER_DATA[[#This Row],[t '[mm']]]/1000),"")</f>
        <v/>
      </c>
      <c r="DO445" s="209"/>
      <c r="DP445" s="209"/>
      <c r="DQ445" s="187"/>
      <c r="DT445" s="99"/>
      <c r="DU445" s="99"/>
    </row>
    <row r="446" spans="1:125" ht="18" customHeight="1">
      <c r="A446" s="271"/>
      <c r="D446" s="280"/>
      <c r="E446" s="52"/>
      <c r="K446" s="233" t="str">
        <f>IFERROR(MP_DATA[[#This Row],[Top '[m']]]-MP_DATA[[#This Row],[Bottom '[m']]], "")</f>
        <v/>
      </c>
      <c r="L446" s="217" t="str">
        <f>IFERROR(-(MP_DATA[[#This Row],[D, bottom '[m']]]-MP_DATA[[#This Row],[D, top '[m']]])/(MP_DATA[[#This Row],[Bottom '[m']]]-MP_DATA[[#This Row],[Top '[m']]]),"")</f>
        <v/>
      </c>
      <c r="M446" s="145" t="str">
        <f t="shared" si="18"/>
        <v/>
      </c>
      <c r="N446" s="234" t="str">
        <f>IFERROR((MP_DATA[[#This Row],[D, bottom '[m']]]+MP_DATA[[#This Row],[D, top '[m']]])/(2*MP_DATA[[#This Row],[t '[mm']]]/1000),"")</f>
        <v/>
      </c>
      <c r="Q446" s="209"/>
      <c r="R446" s="209"/>
      <c r="S446" s="187"/>
      <c r="AV446" s="233" t="str">
        <f>IFERROR(TP_DATA[[#This Row],[Top '[m']]]-TP_DATA[[#This Row],[Bottom '[m']]], "")</f>
        <v/>
      </c>
      <c r="AW446" s="208"/>
      <c r="AX446" s="209"/>
      <c r="AY446" s="240"/>
      <c r="BB446" s="99"/>
      <c r="BC446" s="99"/>
      <c r="BD446" s="187"/>
      <c r="CH446" s="53" t="str">
        <f>IFERROR(TOWER_DATA[[#This Row],[Top '[m']]]-TOWER_DATA[[#This Row],[Bottom '[m']]], "")</f>
        <v/>
      </c>
      <c r="CI446" s="217" t="str">
        <f>IFERROR(-(TOWER_DATA[[#This Row],[D, bottom '[m']]]-TOWER_DATA[[#This Row],[D, top '[m']]])/(TOWER_DATA[[#This Row],[Bottom '[m']]]-TOWER_DATA[[#This Row],[Top '[m']]]),"")</f>
        <v/>
      </c>
      <c r="CJ446" s="145" t="str">
        <f t="shared" si="17"/>
        <v/>
      </c>
      <c r="CK446" s="220" t="str">
        <f>IFERROR((TOWER_DATA[[#This Row],[D, bottom '[m']]]+TOWER_DATA[[#This Row],[D, top '[m']]])/(2*TOWER_DATA[[#This Row],[t '[mm']]]/1000),"")</f>
        <v/>
      </c>
      <c r="DO446" s="209"/>
      <c r="DP446" s="209"/>
      <c r="DQ446" s="187"/>
      <c r="DT446" s="99"/>
      <c r="DU446" s="99"/>
    </row>
    <row r="447" spans="1:125" ht="18" customHeight="1">
      <c r="A447" s="271"/>
      <c r="D447" s="280"/>
      <c r="E447" s="52"/>
      <c r="K447" s="233" t="str">
        <f>IFERROR(MP_DATA[[#This Row],[Top '[m']]]-MP_DATA[[#This Row],[Bottom '[m']]], "")</f>
        <v/>
      </c>
      <c r="L447" s="217" t="str">
        <f>IFERROR(-(MP_DATA[[#This Row],[D, bottom '[m']]]-MP_DATA[[#This Row],[D, top '[m']]])/(MP_DATA[[#This Row],[Bottom '[m']]]-MP_DATA[[#This Row],[Top '[m']]]),"")</f>
        <v/>
      </c>
      <c r="M447" s="145" t="str">
        <f t="shared" si="18"/>
        <v/>
      </c>
      <c r="N447" s="234" t="str">
        <f>IFERROR((MP_DATA[[#This Row],[D, bottom '[m']]]+MP_DATA[[#This Row],[D, top '[m']]])/(2*MP_DATA[[#This Row],[t '[mm']]]/1000),"")</f>
        <v/>
      </c>
      <c r="Q447" s="209"/>
      <c r="R447" s="209"/>
      <c r="S447" s="187"/>
      <c r="AV447" s="233" t="str">
        <f>IFERROR(TP_DATA[[#This Row],[Top '[m']]]-TP_DATA[[#This Row],[Bottom '[m']]], "")</f>
        <v/>
      </c>
      <c r="AW447" s="208"/>
      <c r="AX447" s="209"/>
      <c r="AY447" s="240"/>
      <c r="BB447" s="99"/>
      <c r="BC447" s="99"/>
      <c r="BD447" s="187"/>
      <c r="CH447" s="53" t="str">
        <f>IFERROR(TOWER_DATA[[#This Row],[Top '[m']]]-TOWER_DATA[[#This Row],[Bottom '[m']]], "")</f>
        <v/>
      </c>
      <c r="CI447" s="217" t="str">
        <f>IFERROR(-(TOWER_DATA[[#This Row],[D, bottom '[m']]]-TOWER_DATA[[#This Row],[D, top '[m']]])/(TOWER_DATA[[#This Row],[Bottom '[m']]]-TOWER_DATA[[#This Row],[Top '[m']]]),"")</f>
        <v/>
      </c>
      <c r="CJ447" s="145" t="str">
        <f t="shared" si="17"/>
        <v/>
      </c>
      <c r="CK447" s="220" t="str">
        <f>IFERROR((TOWER_DATA[[#This Row],[D, bottom '[m']]]+TOWER_DATA[[#This Row],[D, top '[m']]])/(2*TOWER_DATA[[#This Row],[t '[mm']]]/1000),"")</f>
        <v/>
      </c>
      <c r="DO447" s="209"/>
      <c r="DP447" s="209"/>
      <c r="DQ447" s="187"/>
      <c r="DT447" s="99"/>
      <c r="DU447" s="99"/>
    </row>
    <row r="448" spans="1:125" ht="18" customHeight="1">
      <c r="A448" s="271"/>
      <c r="D448" s="280"/>
      <c r="E448" s="52"/>
      <c r="K448" s="233" t="str">
        <f>IFERROR(MP_DATA[[#This Row],[Top '[m']]]-MP_DATA[[#This Row],[Bottom '[m']]], "")</f>
        <v/>
      </c>
      <c r="L448" s="217" t="str">
        <f>IFERROR(-(MP_DATA[[#This Row],[D, bottom '[m']]]-MP_DATA[[#This Row],[D, top '[m']]])/(MP_DATA[[#This Row],[Bottom '[m']]]-MP_DATA[[#This Row],[Top '[m']]]),"")</f>
        <v/>
      </c>
      <c r="M448" s="145" t="str">
        <f t="shared" si="18"/>
        <v/>
      </c>
      <c r="N448" s="234" t="str">
        <f>IFERROR((MP_DATA[[#This Row],[D, bottom '[m']]]+MP_DATA[[#This Row],[D, top '[m']]])/(2*MP_DATA[[#This Row],[t '[mm']]]/1000),"")</f>
        <v/>
      </c>
      <c r="Q448" s="209"/>
      <c r="R448" s="209"/>
      <c r="S448" s="187"/>
      <c r="AV448" s="233" t="str">
        <f>IFERROR(TP_DATA[[#This Row],[Top '[m']]]-TP_DATA[[#This Row],[Bottom '[m']]], "")</f>
        <v/>
      </c>
      <c r="AW448" s="208"/>
      <c r="AX448" s="209"/>
      <c r="AY448" s="240"/>
      <c r="BB448" s="99"/>
      <c r="BC448" s="99"/>
      <c r="BD448" s="187"/>
      <c r="CH448" s="53" t="str">
        <f>IFERROR(TOWER_DATA[[#This Row],[Top '[m']]]-TOWER_DATA[[#This Row],[Bottom '[m']]], "")</f>
        <v/>
      </c>
      <c r="CI448" s="217" t="str">
        <f>IFERROR(-(TOWER_DATA[[#This Row],[D, bottom '[m']]]-TOWER_DATA[[#This Row],[D, top '[m']]])/(TOWER_DATA[[#This Row],[Bottom '[m']]]-TOWER_DATA[[#This Row],[Top '[m']]]),"")</f>
        <v/>
      </c>
      <c r="CJ448" s="145" t="str">
        <f t="shared" si="17"/>
        <v/>
      </c>
      <c r="CK448" s="220" t="str">
        <f>IFERROR((TOWER_DATA[[#This Row],[D, bottom '[m']]]+TOWER_DATA[[#This Row],[D, top '[m']]])/(2*TOWER_DATA[[#This Row],[t '[mm']]]/1000),"")</f>
        <v/>
      </c>
      <c r="DO448" s="209"/>
      <c r="DP448" s="209"/>
      <c r="DQ448" s="187"/>
      <c r="DT448" s="99"/>
      <c r="DU448" s="99"/>
    </row>
    <row r="449" spans="1:125" ht="18" customHeight="1">
      <c r="A449" s="271"/>
      <c r="D449" s="280"/>
      <c r="E449" s="52"/>
      <c r="K449" s="233" t="str">
        <f>IFERROR(MP_DATA[[#This Row],[Top '[m']]]-MP_DATA[[#This Row],[Bottom '[m']]], "")</f>
        <v/>
      </c>
      <c r="L449" s="217" t="str">
        <f>IFERROR(-(MP_DATA[[#This Row],[D, bottom '[m']]]-MP_DATA[[#This Row],[D, top '[m']]])/(MP_DATA[[#This Row],[Bottom '[m']]]-MP_DATA[[#This Row],[Top '[m']]]),"")</f>
        <v/>
      </c>
      <c r="M449" s="145" t="str">
        <f t="shared" si="18"/>
        <v/>
      </c>
      <c r="N449" s="234" t="str">
        <f>IFERROR((MP_DATA[[#This Row],[D, bottom '[m']]]+MP_DATA[[#This Row],[D, top '[m']]])/(2*MP_DATA[[#This Row],[t '[mm']]]/1000),"")</f>
        <v/>
      </c>
      <c r="Q449" s="209"/>
      <c r="R449" s="209"/>
      <c r="S449" s="187"/>
      <c r="AV449" s="233" t="str">
        <f>IFERROR(TP_DATA[[#This Row],[Top '[m']]]-TP_DATA[[#This Row],[Bottom '[m']]], "")</f>
        <v/>
      </c>
      <c r="AW449" s="208"/>
      <c r="AX449" s="209"/>
      <c r="AY449" s="240"/>
      <c r="BB449" s="99"/>
      <c r="BC449" s="99"/>
      <c r="BD449" s="187"/>
      <c r="CH449" s="53" t="str">
        <f>IFERROR(TOWER_DATA[[#This Row],[Top '[m']]]-TOWER_DATA[[#This Row],[Bottom '[m']]], "")</f>
        <v/>
      </c>
      <c r="CI449" s="217" t="str">
        <f>IFERROR(-(TOWER_DATA[[#This Row],[D, bottom '[m']]]-TOWER_DATA[[#This Row],[D, top '[m']]])/(TOWER_DATA[[#This Row],[Bottom '[m']]]-TOWER_DATA[[#This Row],[Top '[m']]]),"")</f>
        <v/>
      </c>
      <c r="CJ449" s="145" t="str">
        <f t="shared" si="17"/>
        <v/>
      </c>
      <c r="CK449" s="220" t="str">
        <f>IFERROR((TOWER_DATA[[#This Row],[D, bottom '[m']]]+TOWER_DATA[[#This Row],[D, top '[m']]])/(2*TOWER_DATA[[#This Row],[t '[mm']]]/1000),"")</f>
        <v/>
      </c>
      <c r="DO449" s="209"/>
      <c r="DP449" s="209"/>
      <c r="DQ449" s="187"/>
      <c r="DT449" s="99"/>
      <c r="DU449" s="99"/>
    </row>
    <row r="450" spans="1:125" ht="18" customHeight="1">
      <c r="A450" s="271"/>
      <c r="D450" s="280"/>
      <c r="E450" s="52"/>
      <c r="K450" s="233" t="str">
        <f>IFERROR(MP_DATA[[#This Row],[Top '[m']]]-MP_DATA[[#This Row],[Bottom '[m']]], "")</f>
        <v/>
      </c>
      <c r="L450" s="217" t="str">
        <f>IFERROR(-(MP_DATA[[#This Row],[D, bottom '[m']]]-MP_DATA[[#This Row],[D, top '[m']]])/(MP_DATA[[#This Row],[Bottom '[m']]]-MP_DATA[[#This Row],[Top '[m']]]),"")</f>
        <v/>
      </c>
      <c r="M450" s="145" t="str">
        <f t="shared" si="18"/>
        <v/>
      </c>
      <c r="N450" s="234" t="str">
        <f>IFERROR((MP_DATA[[#This Row],[D, bottom '[m']]]+MP_DATA[[#This Row],[D, top '[m']]])/(2*MP_DATA[[#This Row],[t '[mm']]]/1000),"")</f>
        <v/>
      </c>
      <c r="Q450" s="209"/>
      <c r="R450" s="209"/>
      <c r="S450" s="187"/>
      <c r="AV450" s="233" t="str">
        <f>IFERROR(TP_DATA[[#This Row],[Top '[m']]]-TP_DATA[[#This Row],[Bottom '[m']]], "")</f>
        <v/>
      </c>
      <c r="AW450" s="208"/>
      <c r="AX450" s="209"/>
      <c r="AY450" s="240"/>
      <c r="BB450" s="99"/>
      <c r="BC450" s="99"/>
      <c r="BD450" s="187"/>
      <c r="CH450" s="53" t="str">
        <f>IFERROR(TOWER_DATA[[#This Row],[Top '[m']]]-TOWER_DATA[[#This Row],[Bottom '[m']]], "")</f>
        <v/>
      </c>
      <c r="CI450" s="217" t="str">
        <f>IFERROR(-(TOWER_DATA[[#This Row],[D, bottom '[m']]]-TOWER_DATA[[#This Row],[D, top '[m']]])/(TOWER_DATA[[#This Row],[Bottom '[m']]]-TOWER_DATA[[#This Row],[Top '[m']]]),"")</f>
        <v/>
      </c>
      <c r="CJ450" s="145" t="str">
        <f t="shared" si="17"/>
        <v/>
      </c>
      <c r="CK450" s="220" t="str">
        <f>IFERROR((TOWER_DATA[[#This Row],[D, bottom '[m']]]+TOWER_DATA[[#This Row],[D, top '[m']]])/(2*TOWER_DATA[[#This Row],[t '[mm']]]/1000),"")</f>
        <v/>
      </c>
      <c r="DO450" s="209"/>
      <c r="DP450" s="209"/>
      <c r="DQ450" s="187"/>
      <c r="DT450" s="99"/>
      <c r="DU450" s="99"/>
    </row>
    <row r="451" spans="1:125" ht="18" customHeight="1">
      <c r="A451" s="271"/>
      <c r="D451" s="280"/>
      <c r="E451" s="52"/>
      <c r="K451" s="233" t="str">
        <f>IFERROR(MP_DATA[[#This Row],[Top '[m']]]-MP_DATA[[#This Row],[Bottom '[m']]], "")</f>
        <v/>
      </c>
      <c r="L451" s="217" t="str">
        <f>IFERROR(-(MP_DATA[[#This Row],[D, bottom '[m']]]-MP_DATA[[#This Row],[D, top '[m']]])/(MP_DATA[[#This Row],[Bottom '[m']]]-MP_DATA[[#This Row],[Top '[m']]]),"")</f>
        <v/>
      </c>
      <c r="M451" s="145" t="str">
        <f t="shared" si="18"/>
        <v/>
      </c>
      <c r="N451" s="234" t="str">
        <f>IFERROR((MP_DATA[[#This Row],[D, bottom '[m']]]+MP_DATA[[#This Row],[D, top '[m']]])/(2*MP_DATA[[#This Row],[t '[mm']]]/1000),"")</f>
        <v/>
      </c>
      <c r="Q451" s="209"/>
      <c r="R451" s="209"/>
      <c r="S451" s="187"/>
      <c r="AV451" s="233" t="str">
        <f>IFERROR(TP_DATA[[#This Row],[Top '[m']]]-TP_DATA[[#This Row],[Bottom '[m']]], "")</f>
        <v/>
      </c>
      <c r="AW451" s="208"/>
      <c r="AX451" s="209"/>
      <c r="AY451" s="240"/>
      <c r="BB451" s="99"/>
      <c r="BC451" s="99"/>
      <c r="BD451" s="187"/>
      <c r="CH451" s="53" t="str">
        <f>IFERROR(TOWER_DATA[[#This Row],[Top '[m']]]-TOWER_DATA[[#This Row],[Bottom '[m']]], "")</f>
        <v/>
      </c>
      <c r="CI451" s="217" t="str">
        <f>IFERROR(-(TOWER_DATA[[#This Row],[D, bottom '[m']]]-TOWER_DATA[[#This Row],[D, top '[m']]])/(TOWER_DATA[[#This Row],[Bottom '[m']]]-TOWER_DATA[[#This Row],[Top '[m']]]),"")</f>
        <v/>
      </c>
      <c r="CJ451" s="145" t="str">
        <f t="shared" si="17"/>
        <v/>
      </c>
      <c r="CK451" s="220" t="str">
        <f>IFERROR((TOWER_DATA[[#This Row],[D, bottom '[m']]]+TOWER_DATA[[#This Row],[D, top '[m']]])/(2*TOWER_DATA[[#This Row],[t '[mm']]]/1000),"")</f>
        <v/>
      </c>
      <c r="DO451" s="209"/>
      <c r="DP451" s="209"/>
      <c r="DQ451" s="187"/>
      <c r="DT451" s="99"/>
      <c r="DU451" s="99"/>
    </row>
    <row r="452" spans="1:125" ht="18" customHeight="1">
      <c r="A452" s="271"/>
      <c r="D452" s="280"/>
      <c r="E452" s="52"/>
      <c r="K452" s="233" t="str">
        <f>IFERROR(MP_DATA[[#This Row],[Top '[m']]]-MP_DATA[[#This Row],[Bottom '[m']]], "")</f>
        <v/>
      </c>
      <c r="L452" s="217" t="str">
        <f>IFERROR(-(MP_DATA[[#This Row],[D, bottom '[m']]]-MP_DATA[[#This Row],[D, top '[m']]])/(MP_DATA[[#This Row],[Bottom '[m']]]-MP_DATA[[#This Row],[Top '[m']]]),"")</f>
        <v/>
      </c>
      <c r="M452" s="145" t="str">
        <f t="shared" si="18"/>
        <v/>
      </c>
      <c r="N452" s="234" t="str">
        <f>IFERROR((MP_DATA[[#This Row],[D, bottom '[m']]]+MP_DATA[[#This Row],[D, top '[m']]])/(2*MP_DATA[[#This Row],[t '[mm']]]/1000),"")</f>
        <v/>
      </c>
      <c r="Q452" s="209"/>
      <c r="R452" s="209"/>
      <c r="S452" s="187"/>
      <c r="AV452" s="233" t="str">
        <f>IFERROR(TP_DATA[[#This Row],[Top '[m']]]-TP_DATA[[#This Row],[Bottom '[m']]], "")</f>
        <v/>
      </c>
      <c r="AW452" s="208"/>
      <c r="AX452" s="209"/>
      <c r="AY452" s="240"/>
      <c r="BB452" s="99"/>
      <c r="BC452" s="99"/>
      <c r="BD452" s="187"/>
      <c r="CH452" s="53" t="str">
        <f>IFERROR(TOWER_DATA[[#This Row],[Top '[m']]]-TOWER_DATA[[#This Row],[Bottom '[m']]], "")</f>
        <v/>
      </c>
      <c r="CI452" s="217" t="str">
        <f>IFERROR(-(TOWER_DATA[[#This Row],[D, bottom '[m']]]-TOWER_DATA[[#This Row],[D, top '[m']]])/(TOWER_DATA[[#This Row],[Bottom '[m']]]-TOWER_DATA[[#This Row],[Top '[m']]]),"")</f>
        <v/>
      </c>
      <c r="CJ452" s="145" t="str">
        <f t="shared" si="17"/>
        <v/>
      </c>
      <c r="CK452" s="220" t="str">
        <f>IFERROR((TOWER_DATA[[#This Row],[D, bottom '[m']]]+TOWER_DATA[[#This Row],[D, top '[m']]])/(2*TOWER_DATA[[#This Row],[t '[mm']]]/1000),"")</f>
        <v/>
      </c>
      <c r="DO452" s="209"/>
      <c r="DP452" s="209"/>
      <c r="DQ452" s="187"/>
      <c r="DT452" s="99"/>
      <c r="DU452" s="99"/>
    </row>
    <row r="453" spans="1:125" ht="18" customHeight="1">
      <c r="A453" s="271"/>
      <c r="D453" s="280"/>
      <c r="E453" s="52"/>
      <c r="K453" s="233" t="str">
        <f>IFERROR(MP_DATA[[#This Row],[Top '[m']]]-MP_DATA[[#This Row],[Bottom '[m']]], "")</f>
        <v/>
      </c>
      <c r="L453" s="217" t="str">
        <f>IFERROR(-(MP_DATA[[#This Row],[D, bottom '[m']]]-MP_DATA[[#This Row],[D, top '[m']]])/(MP_DATA[[#This Row],[Bottom '[m']]]-MP_DATA[[#This Row],[Top '[m']]]),"")</f>
        <v/>
      </c>
      <c r="M453" s="145" t="str">
        <f t="shared" si="18"/>
        <v/>
      </c>
      <c r="N453" s="234" t="str">
        <f>IFERROR((MP_DATA[[#This Row],[D, bottom '[m']]]+MP_DATA[[#This Row],[D, top '[m']]])/(2*MP_DATA[[#This Row],[t '[mm']]]/1000),"")</f>
        <v/>
      </c>
      <c r="Q453" s="209"/>
      <c r="R453" s="209"/>
      <c r="S453" s="187"/>
      <c r="AV453" s="233" t="str">
        <f>IFERROR(TP_DATA[[#This Row],[Top '[m']]]-TP_DATA[[#This Row],[Bottom '[m']]], "")</f>
        <v/>
      </c>
      <c r="AW453" s="208"/>
      <c r="AX453" s="209"/>
      <c r="AY453" s="240"/>
      <c r="BB453" s="99"/>
      <c r="BC453" s="99"/>
      <c r="BD453" s="187"/>
      <c r="CH453" s="53" t="str">
        <f>IFERROR(TOWER_DATA[[#This Row],[Top '[m']]]-TOWER_DATA[[#This Row],[Bottom '[m']]], "")</f>
        <v/>
      </c>
      <c r="CI453" s="217" t="str">
        <f>IFERROR(-(TOWER_DATA[[#This Row],[D, bottom '[m']]]-TOWER_DATA[[#This Row],[D, top '[m']]])/(TOWER_DATA[[#This Row],[Bottom '[m']]]-TOWER_DATA[[#This Row],[Top '[m']]]),"")</f>
        <v/>
      </c>
      <c r="CJ453" s="145" t="str">
        <f t="shared" si="17"/>
        <v/>
      </c>
      <c r="CK453" s="220" t="str">
        <f>IFERROR((TOWER_DATA[[#This Row],[D, bottom '[m']]]+TOWER_DATA[[#This Row],[D, top '[m']]])/(2*TOWER_DATA[[#This Row],[t '[mm']]]/1000),"")</f>
        <v/>
      </c>
      <c r="DO453" s="209"/>
      <c r="DP453" s="209"/>
      <c r="DQ453" s="187"/>
      <c r="DT453" s="99"/>
      <c r="DU453" s="99"/>
    </row>
    <row r="454" spans="1:125" ht="18" customHeight="1">
      <c r="A454" s="271"/>
      <c r="D454" s="280"/>
      <c r="E454" s="52"/>
      <c r="K454" s="233" t="str">
        <f>IFERROR(MP_DATA[[#This Row],[Top '[m']]]-MP_DATA[[#This Row],[Bottom '[m']]], "")</f>
        <v/>
      </c>
      <c r="L454" s="217" t="str">
        <f>IFERROR(-(MP_DATA[[#This Row],[D, bottom '[m']]]-MP_DATA[[#This Row],[D, top '[m']]])/(MP_DATA[[#This Row],[Bottom '[m']]]-MP_DATA[[#This Row],[Top '[m']]]),"")</f>
        <v/>
      </c>
      <c r="M454" s="145" t="str">
        <f t="shared" si="18"/>
        <v/>
      </c>
      <c r="N454" s="234" t="str">
        <f>IFERROR((MP_DATA[[#This Row],[D, bottom '[m']]]+MP_DATA[[#This Row],[D, top '[m']]])/(2*MP_DATA[[#This Row],[t '[mm']]]/1000),"")</f>
        <v/>
      </c>
      <c r="Q454" s="209"/>
      <c r="R454" s="209"/>
      <c r="S454" s="187"/>
      <c r="AV454" s="233" t="str">
        <f>IFERROR(TP_DATA[[#This Row],[Top '[m']]]-TP_DATA[[#This Row],[Bottom '[m']]], "")</f>
        <v/>
      </c>
      <c r="AW454" s="208"/>
      <c r="AX454" s="209"/>
      <c r="AY454" s="240"/>
      <c r="BB454" s="99"/>
      <c r="BC454" s="99"/>
      <c r="BD454" s="187"/>
      <c r="CH454" s="53" t="str">
        <f>IFERROR(TOWER_DATA[[#This Row],[Top '[m']]]-TOWER_DATA[[#This Row],[Bottom '[m']]], "")</f>
        <v/>
      </c>
      <c r="CI454" s="217" t="str">
        <f>IFERROR(-(TOWER_DATA[[#This Row],[D, bottom '[m']]]-TOWER_DATA[[#This Row],[D, top '[m']]])/(TOWER_DATA[[#This Row],[Bottom '[m']]]-TOWER_DATA[[#This Row],[Top '[m']]]),"")</f>
        <v/>
      </c>
      <c r="CJ454" s="145" t="str">
        <f t="shared" si="17"/>
        <v/>
      </c>
      <c r="CK454" s="220" t="str">
        <f>IFERROR((TOWER_DATA[[#This Row],[D, bottom '[m']]]+TOWER_DATA[[#This Row],[D, top '[m']]])/(2*TOWER_DATA[[#This Row],[t '[mm']]]/1000),"")</f>
        <v/>
      </c>
      <c r="DO454" s="209"/>
      <c r="DP454" s="209"/>
      <c r="DQ454" s="187"/>
      <c r="DT454" s="99"/>
      <c r="DU454" s="99"/>
    </row>
    <row r="455" spans="1:125" ht="18" customHeight="1">
      <c r="A455" s="271"/>
      <c r="D455" s="280"/>
      <c r="E455" s="52"/>
      <c r="K455" s="233" t="str">
        <f>IFERROR(MP_DATA[[#This Row],[Top '[m']]]-MP_DATA[[#This Row],[Bottom '[m']]], "")</f>
        <v/>
      </c>
      <c r="L455" s="217" t="str">
        <f>IFERROR(-(MP_DATA[[#This Row],[D, bottom '[m']]]-MP_DATA[[#This Row],[D, top '[m']]])/(MP_DATA[[#This Row],[Bottom '[m']]]-MP_DATA[[#This Row],[Top '[m']]]),"")</f>
        <v/>
      </c>
      <c r="M455" s="145" t="str">
        <f t="shared" si="18"/>
        <v/>
      </c>
      <c r="N455" s="234" t="str">
        <f>IFERROR((MP_DATA[[#This Row],[D, bottom '[m']]]+MP_DATA[[#This Row],[D, top '[m']]])/(2*MP_DATA[[#This Row],[t '[mm']]]/1000),"")</f>
        <v/>
      </c>
      <c r="Q455" s="209"/>
      <c r="R455" s="209"/>
      <c r="S455" s="187"/>
      <c r="AV455" s="233" t="str">
        <f>IFERROR(TP_DATA[[#This Row],[Top '[m']]]-TP_DATA[[#This Row],[Bottom '[m']]], "")</f>
        <v/>
      </c>
      <c r="AW455" s="208"/>
      <c r="AX455" s="209"/>
      <c r="AY455" s="240"/>
      <c r="BB455" s="99"/>
      <c r="BC455" s="99"/>
      <c r="BD455" s="187"/>
      <c r="CH455" s="53" t="str">
        <f>IFERROR(TOWER_DATA[[#This Row],[Top '[m']]]-TOWER_DATA[[#This Row],[Bottom '[m']]], "")</f>
        <v/>
      </c>
      <c r="CI455" s="217" t="str">
        <f>IFERROR(-(TOWER_DATA[[#This Row],[D, bottom '[m']]]-TOWER_DATA[[#This Row],[D, top '[m']]])/(TOWER_DATA[[#This Row],[Bottom '[m']]]-TOWER_DATA[[#This Row],[Top '[m']]]),"")</f>
        <v/>
      </c>
      <c r="CJ455" s="145" t="str">
        <f t="shared" si="17"/>
        <v/>
      </c>
      <c r="CK455" s="220" t="str">
        <f>IFERROR((TOWER_DATA[[#This Row],[D, bottom '[m']]]+TOWER_DATA[[#This Row],[D, top '[m']]])/(2*TOWER_DATA[[#This Row],[t '[mm']]]/1000),"")</f>
        <v/>
      </c>
      <c r="DO455" s="209"/>
      <c r="DP455" s="209"/>
      <c r="DQ455" s="187"/>
      <c r="DT455" s="99"/>
      <c r="DU455" s="99"/>
    </row>
    <row r="456" spans="1:125" ht="18" customHeight="1">
      <c r="A456" s="271"/>
      <c r="D456" s="280"/>
      <c r="E456" s="52"/>
      <c r="K456" s="233" t="str">
        <f>IFERROR(MP_DATA[[#This Row],[Top '[m']]]-MP_DATA[[#This Row],[Bottom '[m']]], "")</f>
        <v/>
      </c>
      <c r="L456" s="217" t="str">
        <f>IFERROR(-(MP_DATA[[#This Row],[D, bottom '[m']]]-MP_DATA[[#This Row],[D, top '[m']]])/(MP_DATA[[#This Row],[Bottom '[m']]]-MP_DATA[[#This Row],[Top '[m']]]),"")</f>
        <v/>
      </c>
      <c r="M456" s="145" t="str">
        <f t="shared" si="18"/>
        <v/>
      </c>
      <c r="N456" s="234" t="str">
        <f>IFERROR((MP_DATA[[#This Row],[D, bottom '[m']]]+MP_DATA[[#This Row],[D, top '[m']]])/(2*MP_DATA[[#This Row],[t '[mm']]]/1000),"")</f>
        <v/>
      </c>
      <c r="Q456" s="209"/>
      <c r="R456" s="209"/>
      <c r="S456" s="187"/>
      <c r="AV456" s="233" t="str">
        <f>IFERROR(TP_DATA[[#This Row],[Top '[m']]]-TP_DATA[[#This Row],[Bottom '[m']]], "")</f>
        <v/>
      </c>
      <c r="AW456" s="208"/>
      <c r="AX456" s="209"/>
      <c r="AY456" s="240"/>
      <c r="BB456" s="99"/>
      <c r="BC456" s="99"/>
      <c r="BD456" s="187"/>
      <c r="CH456" s="53" t="str">
        <f>IFERROR(TOWER_DATA[[#This Row],[Top '[m']]]-TOWER_DATA[[#This Row],[Bottom '[m']]], "")</f>
        <v/>
      </c>
      <c r="CI456" s="217" t="str">
        <f>IFERROR(-(TOWER_DATA[[#This Row],[D, bottom '[m']]]-TOWER_DATA[[#This Row],[D, top '[m']]])/(TOWER_DATA[[#This Row],[Bottom '[m']]]-TOWER_DATA[[#This Row],[Top '[m']]]),"")</f>
        <v/>
      </c>
      <c r="CJ456" s="145" t="str">
        <f t="shared" si="17"/>
        <v/>
      </c>
      <c r="CK456" s="220" t="str">
        <f>IFERROR((TOWER_DATA[[#This Row],[D, bottom '[m']]]+TOWER_DATA[[#This Row],[D, top '[m']]])/(2*TOWER_DATA[[#This Row],[t '[mm']]]/1000),"")</f>
        <v/>
      </c>
      <c r="DO456" s="209"/>
      <c r="DP456" s="209"/>
      <c r="DQ456" s="187"/>
      <c r="DT456" s="99"/>
      <c r="DU456" s="99"/>
    </row>
    <row r="457" spans="1:125" ht="18" customHeight="1">
      <c r="A457" s="271"/>
      <c r="D457" s="280"/>
      <c r="E457" s="52"/>
      <c r="K457" s="233" t="str">
        <f>IFERROR(MP_DATA[[#This Row],[Top '[m']]]-MP_DATA[[#This Row],[Bottom '[m']]], "")</f>
        <v/>
      </c>
      <c r="L457" s="217" t="str">
        <f>IFERROR(-(MP_DATA[[#This Row],[D, bottom '[m']]]-MP_DATA[[#This Row],[D, top '[m']]])/(MP_DATA[[#This Row],[Bottom '[m']]]-MP_DATA[[#This Row],[Top '[m']]]),"")</f>
        <v/>
      </c>
      <c r="M457" s="145" t="str">
        <f t="shared" si="18"/>
        <v/>
      </c>
      <c r="N457" s="234" t="str">
        <f>IFERROR((MP_DATA[[#This Row],[D, bottom '[m']]]+MP_DATA[[#This Row],[D, top '[m']]])/(2*MP_DATA[[#This Row],[t '[mm']]]/1000),"")</f>
        <v/>
      </c>
      <c r="Q457" s="209"/>
      <c r="R457" s="209"/>
      <c r="S457" s="187"/>
      <c r="AV457" s="233" t="str">
        <f>IFERROR(TP_DATA[[#This Row],[Top '[m']]]-TP_DATA[[#This Row],[Bottom '[m']]], "")</f>
        <v/>
      </c>
      <c r="AW457" s="208"/>
      <c r="AX457" s="209"/>
      <c r="AY457" s="240"/>
      <c r="BB457" s="99"/>
      <c r="BC457" s="99"/>
      <c r="BD457" s="187"/>
      <c r="CH457" s="53" t="str">
        <f>IFERROR(TOWER_DATA[[#This Row],[Top '[m']]]-TOWER_DATA[[#This Row],[Bottom '[m']]], "")</f>
        <v/>
      </c>
      <c r="CI457" s="217" t="str">
        <f>IFERROR(-(TOWER_DATA[[#This Row],[D, bottom '[m']]]-TOWER_DATA[[#This Row],[D, top '[m']]])/(TOWER_DATA[[#This Row],[Bottom '[m']]]-TOWER_DATA[[#This Row],[Top '[m']]]),"")</f>
        <v/>
      </c>
      <c r="CJ457" s="145" t="str">
        <f t="shared" si="17"/>
        <v/>
      </c>
      <c r="CK457" s="220" t="str">
        <f>IFERROR((TOWER_DATA[[#This Row],[D, bottom '[m']]]+TOWER_DATA[[#This Row],[D, top '[m']]])/(2*TOWER_DATA[[#This Row],[t '[mm']]]/1000),"")</f>
        <v/>
      </c>
      <c r="DO457" s="209"/>
      <c r="DP457" s="209"/>
      <c r="DQ457" s="187"/>
      <c r="DT457" s="99"/>
      <c r="DU457" s="99"/>
    </row>
    <row r="458" spans="1:125" ht="18" customHeight="1">
      <c r="A458" s="271"/>
      <c r="D458" s="280"/>
      <c r="E458" s="52"/>
      <c r="K458" s="233" t="str">
        <f>IFERROR(MP_DATA[[#This Row],[Top '[m']]]-MP_DATA[[#This Row],[Bottom '[m']]], "")</f>
        <v/>
      </c>
      <c r="L458" s="217" t="str">
        <f>IFERROR(-(MP_DATA[[#This Row],[D, bottom '[m']]]-MP_DATA[[#This Row],[D, top '[m']]])/(MP_DATA[[#This Row],[Bottom '[m']]]-MP_DATA[[#This Row],[Top '[m']]]),"")</f>
        <v/>
      </c>
      <c r="M458" s="145" t="str">
        <f t="shared" si="18"/>
        <v/>
      </c>
      <c r="N458" s="234" t="str">
        <f>IFERROR((MP_DATA[[#This Row],[D, bottom '[m']]]+MP_DATA[[#This Row],[D, top '[m']]])/(2*MP_DATA[[#This Row],[t '[mm']]]/1000),"")</f>
        <v/>
      </c>
      <c r="Q458" s="209"/>
      <c r="R458" s="209"/>
      <c r="S458" s="187"/>
      <c r="AV458" s="233" t="str">
        <f>IFERROR(TP_DATA[[#This Row],[Top '[m']]]-TP_DATA[[#This Row],[Bottom '[m']]], "")</f>
        <v/>
      </c>
      <c r="AW458" s="208"/>
      <c r="AX458" s="209"/>
      <c r="AY458" s="240"/>
      <c r="BB458" s="99"/>
      <c r="BC458" s="99"/>
      <c r="BD458" s="187"/>
      <c r="CH458" s="53" t="str">
        <f>IFERROR(TOWER_DATA[[#This Row],[Top '[m']]]-TOWER_DATA[[#This Row],[Bottom '[m']]], "")</f>
        <v/>
      </c>
      <c r="CI458" s="217" t="str">
        <f>IFERROR(-(TOWER_DATA[[#This Row],[D, bottom '[m']]]-TOWER_DATA[[#This Row],[D, top '[m']]])/(TOWER_DATA[[#This Row],[Bottom '[m']]]-TOWER_DATA[[#This Row],[Top '[m']]]),"")</f>
        <v/>
      </c>
      <c r="CJ458" s="145" t="str">
        <f t="shared" si="17"/>
        <v/>
      </c>
      <c r="CK458" s="220" t="str">
        <f>IFERROR((TOWER_DATA[[#This Row],[D, bottom '[m']]]+TOWER_DATA[[#This Row],[D, top '[m']]])/(2*TOWER_DATA[[#This Row],[t '[mm']]]/1000),"")</f>
        <v/>
      </c>
      <c r="DO458" s="209"/>
      <c r="DP458" s="209"/>
      <c r="DQ458" s="187"/>
      <c r="DT458" s="99"/>
      <c r="DU458" s="99"/>
    </row>
    <row r="459" spans="1:125" ht="18" customHeight="1">
      <c r="A459" s="271"/>
      <c r="D459" s="280"/>
      <c r="E459" s="52"/>
      <c r="K459" s="233" t="str">
        <f>IFERROR(MP_DATA[[#This Row],[Top '[m']]]-MP_DATA[[#This Row],[Bottom '[m']]], "")</f>
        <v/>
      </c>
      <c r="L459" s="217" t="str">
        <f>IFERROR(-(MP_DATA[[#This Row],[D, bottom '[m']]]-MP_DATA[[#This Row],[D, top '[m']]])/(MP_DATA[[#This Row],[Bottom '[m']]]-MP_DATA[[#This Row],[Top '[m']]]),"")</f>
        <v/>
      </c>
      <c r="M459" s="145" t="str">
        <f t="shared" si="18"/>
        <v/>
      </c>
      <c r="N459" s="234" t="str">
        <f>IFERROR((MP_DATA[[#This Row],[D, bottom '[m']]]+MP_DATA[[#This Row],[D, top '[m']]])/(2*MP_DATA[[#This Row],[t '[mm']]]/1000),"")</f>
        <v/>
      </c>
      <c r="Q459" s="209"/>
      <c r="R459" s="209"/>
      <c r="S459" s="187"/>
      <c r="AV459" s="233" t="str">
        <f>IFERROR(TP_DATA[[#This Row],[Top '[m']]]-TP_DATA[[#This Row],[Bottom '[m']]], "")</f>
        <v/>
      </c>
      <c r="AW459" s="208"/>
      <c r="AX459" s="209"/>
      <c r="AY459" s="240"/>
      <c r="BB459" s="99"/>
      <c r="BC459" s="99"/>
      <c r="BD459" s="187"/>
      <c r="CH459" s="53" t="str">
        <f>IFERROR(TOWER_DATA[[#This Row],[Top '[m']]]-TOWER_DATA[[#This Row],[Bottom '[m']]], "")</f>
        <v/>
      </c>
      <c r="CI459" s="217" t="str">
        <f>IFERROR(-(TOWER_DATA[[#This Row],[D, bottom '[m']]]-TOWER_DATA[[#This Row],[D, top '[m']]])/(TOWER_DATA[[#This Row],[Bottom '[m']]]-TOWER_DATA[[#This Row],[Top '[m']]]),"")</f>
        <v/>
      </c>
      <c r="CJ459" s="145" t="str">
        <f t="shared" si="17"/>
        <v/>
      </c>
      <c r="CK459" s="220" t="str">
        <f>IFERROR((TOWER_DATA[[#This Row],[D, bottom '[m']]]+TOWER_DATA[[#This Row],[D, top '[m']]])/(2*TOWER_DATA[[#This Row],[t '[mm']]]/1000),"")</f>
        <v/>
      </c>
      <c r="DO459" s="209"/>
      <c r="DP459" s="209"/>
      <c r="DQ459" s="187"/>
      <c r="DT459" s="99"/>
      <c r="DU459" s="99"/>
    </row>
    <row r="460" spans="1:125" ht="18" customHeight="1">
      <c r="A460" s="271"/>
      <c r="D460" s="280"/>
      <c r="E460" s="52"/>
      <c r="K460" s="233" t="str">
        <f>IFERROR(MP_DATA[[#This Row],[Top '[m']]]-MP_DATA[[#This Row],[Bottom '[m']]], "")</f>
        <v/>
      </c>
      <c r="L460" s="217" t="str">
        <f>IFERROR(-(MP_DATA[[#This Row],[D, bottom '[m']]]-MP_DATA[[#This Row],[D, top '[m']]])/(MP_DATA[[#This Row],[Bottom '[m']]]-MP_DATA[[#This Row],[Top '[m']]]),"")</f>
        <v/>
      </c>
      <c r="M460" s="145" t="str">
        <f t="shared" si="18"/>
        <v/>
      </c>
      <c r="N460" s="234" t="str">
        <f>IFERROR((MP_DATA[[#This Row],[D, bottom '[m']]]+MP_DATA[[#This Row],[D, top '[m']]])/(2*MP_DATA[[#This Row],[t '[mm']]]/1000),"")</f>
        <v/>
      </c>
      <c r="Q460" s="209"/>
      <c r="R460" s="209"/>
      <c r="S460" s="187"/>
      <c r="AV460" s="233" t="str">
        <f>IFERROR(TP_DATA[[#This Row],[Top '[m']]]-TP_DATA[[#This Row],[Bottom '[m']]], "")</f>
        <v/>
      </c>
      <c r="AW460" s="208"/>
      <c r="AX460" s="209"/>
      <c r="AY460" s="240"/>
      <c r="BB460" s="99"/>
      <c r="BC460" s="99"/>
      <c r="BD460" s="187"/>
      <c r="CH460" s="53" t="str">
        <f>IFERROR(TOWER_DATA[[#This Row],[Top '[m']]]-TOWER_DATA[[#This Row],[Bottom '[m']]], "")</f>
        <v/>
      </c>
      <c r="CI460" s="217" t="str">
        <f>IFERROR(-(TOWER_DATA[[#This Row],[D, bottom '[m']]]-TOWER_DATA[[#This Row],[D, top '[m']]])/(TOWER_DATA[[#This Row],[Bottom '[m']]]-TOWER_DATA[[#This Row],[Top '[m']]]),"")</f>
        <v/>
      </c>
      <c r="CJ460" s="145" t="str">
        <f t="shared" si="17"/>
        <v/>
      </c>
      <c r="CK460" s="220" t="str">
        <f>IFERROR((TOWER_DATA[[#This Row],[D, bottom '[m']]]+TOWER_DATA[[#This Row],[D, top '[m']]])/(2*TOWER_DATA[[#This Row],[t '[mm']]]/1000),"")</f>
        <v/>
      </c>
      <c r="DO460" s="209"/>
      <c r="DP460" s="209"/>
      <c r="DQ460" s="187"/>
      <c r="DT460" s="99"/>
      <c r="DU460" s="99"/>
    </row>
    <row r="461" spans="1:125" ht="18" customHeight="1">
      <c r="A461" s="271"/>
      <c r="D461" s="280"/>
      <c r="E461" s="52"/>
      <c r="K461" s="233" t="str">
        <f>IFERROR(MP_DATA[[#This Row],[Top '[m']]]-MP_DATA[[#This Row],[Bottom '[m']]], "")</f>
        <v/>
      </c>
      <c r="L461" s="217" t="str">
        <f>IFERROR(-(MP_DATA[[#This Row],[D, bottom '[m']]]-MP_DATA[[#This Row],[D, top '[m']]])/(MP_DATA[[#This Row],[Bottom '[m']]]-MP_DATA[[#This Row],[Top '[m']]]),"")</f>
        <v/>
      </c>
      <c r="M461" s="145" t="str">
        <f t="shared" si="18"/>
        <v/>
      </c>
      <c r="N461" s="234" t="str">
        <f>IFERROR((MP_DATA[[#This Row],[D, bottom '[m']]]+MP_DATA[[#This Row],[D, top '[m']]])/(2*MP_DATA[[#This Row],[t '[mm']]]/1000),"")</f>
        <v/>
      </c>
      <c r="Q461" s="209"/>
      <c r="R461" s="209"/>
      <c r="S461" s="187"/>
      <c r="AV461" s="233" t="str">
        <f>IFERROR(TP_DATA[[#This Row],[Top '[m']]]-TP_DATA[[#This Row],[Bottom '[m']]], "")</f>
        <v/>
      </c>
      <c r="AW461" s="208"/>
      <c r="AX461" s="209"/>
      <c r="AY461" s="240"/>
      <c r="BB461" s="99"/>
      <c r="BC461" s="99"/>
      <c r="BD461" s="187"/>
      <c r="CH461" s="53" t="str">
        <f>IFERROR(TOWER_DATA[[#This Row],[Top '[m']]]-TOWER_DATA[[#This Row],[Bottom '[m']]], "")</f>
        <v/>
      </c>
      <c r="CI461" s="217" t="str">
        <f>IFERROR(-(TOWER_DATA[[#This Row],[D, bottom '[m']]]-TOWER_DATA[[#This Row],[D, top '[m']]])/(TOWER_DATA[[#This Row],[Bottom '[m']]]-TOWER_DATA[[#This Row],[Top '[m']]]),"")</f>
        <v/>
      </c>
      <c r="CJ461" s="145" t="str">
        <f t="shared" si="17"/>
        <v/>
      </c>
      <c r="CK461" s="220" t="str">
        <f>IFERROR((TOWER_DATA[[#This Row],[D, bottom '[m']]]+TOWER_DATA[[#This Row],[D, top '[m']]])/(2*TOWER_DATA[[#This Row],[t '[mm']]]/1000),"")</f>
        <v/>
      </c>
      <c r="DO461" s="209"/>
      <c r="DP461" s="209"/>
      <c r="DQ461" s="187"/>
      <c r="DT461" s="99"/>
      <c r="DU461" s="99"/>
    </row>
    <row r="462" spans="1:125" ht="18" customHeight="1">
      <c r="A462" s="271"/>
      <c r="D462" s="280"/>
      <c r="E462" s="52"/>
      <c r="K462" s="233" t="str">
        <f>IFERROR(MP_DATA[[#This Row],[Top '[m']]]-MP_DATA[[#This Row],[Bottom '[m']]], "")</f>
        <v/>
      </c>
      <c r="L462" s="217" t="str">
        <f>IFERROR(-(MP_DATA[[#This Row],[D, bottom '[m']]]-MP_DATA[[#This Row],[D, top '[m']]])/(MP_DATA[[#This Row],[Bottom '[m']]]-MP_DATA[[#This Row],[Top '[m']]]),"")</f>
        <v/>
      </c>
      <c r="M462" s="145" t="str">
        <f t="shared" si="18"/>
        <v/>
      </c>
      <c r="N462" s="234" t="str">
        <f>IFERROR((MP_DATA[[#This Row],[D, bottom '[m']]]+MP_DATA[[#This Row],[D, top '[m']]])/(2*MP_DATA[[#This Row],[t '[mm']]]/1000),"")</f>
        <v/>
      </c>
      <c r="Q462" s="209"/>
      <c r="R462" s="209"/>
      <c r="S462" s="187"/>
      <c r="AV462" s="233" t="str">
        <f>IFERROR(TP_DATA[[#This Row],[Top '[m']]]-TP_DATA[[#This Row],[Bottom '[m']]], "")</f>
        <v/>
      </c>
      <c r="AW462" s="208"/>
      <c r="AX462" s="209"/>
      <c r="AY462" s="240"/>
      <c r="BB462" s="99"/>
      <c r="BC462" s="99"/>
      <c r="BD462" s="187"/>
      <c r="CH462" s="53" t="str">
        <f>IFERROR(TOWER_DATA[[#This Row],[Top '[m']]]-TOWER_DATA[[#This Row],[Bottom '[m']]], "")</f>
        <v/>
      </c>
      <c r="CI462" s="217" t="str">
        <f>IFERROR(-(TOWER_DATA[[#This Row],[D, bottom '[m']]]-TOWER_DATA[[#This Row],[D, top '[m']]])/(TOWER_DATA[[#This Row],[Bottom '[m']]]-TOWER_DATA[[#This Row],[Top '[m']]]),"")</f>
        <v/>
      </c>
      <c r="CJ462" s="145" t="str">
        <f t="shared" si="17"/>
        <v/>
      </c>
      <c r="CK462" s="220" t="str">
        <f>IFERROR((TOWER_DATA[[#This Row],[D, bottom '[m']]]+TOWER_DATA[[#This Row],[D, top '[m']]])/(2*TOWER_DATA[[#This Row],[t '[mm']]]/1000),"")</f>
        <v/>
      </c>
      <c r="DO462" s="209"/>
      <c r="DP462" s="209"/>
      <c r="DQ462" s="187"/>
      <c r="DT462" s="99"/>
      <c r="DU462" s="99"/>
    </row>
    <row r="463" spans="1:125" ht="18" customHeight="1">
      <c r="A463" s="271"/>
      <c r="D463" s="280"/>
      <c r="E463" s="52"/>
      <c r="K463" s="233" t="str">
        <f>IFERROR(MP_DATA[[#This Row],[Top '[m']]]-MP_DATA[[#This Row],[Bottom '[m']]], "")</f>
        <v/>
      </c>
      <c r="L463" s="217" t="str">
        <f>IFERROR(-(MP_DATA[[#This Row],[D, bottom '[m']]]-MP_DATA[[#This Row],[D, top '[m']]])/(MP_DATA[[#This Row],[Bottom '[m']]]-MP_DATA[[#This Row],[Top '[m']]]),"")</f>
        <v/>
      </c>
      <c r="M463" s="145" t="str">
        <f t="shared" si="18"/>
        <v/>
      </c>
      <c r="N463" s="234" t="str">
        <f>IFERROR((MP_DATA[[#This Row],[D, bottom '[m']]]+MP_DATA[[#This Row],[D, top '[m']]])/(2*MP_DATA[[#This Row],[t '[mm']]]/1000),"")</f>
        <v/>
      </c>
      <c r="Q463" s="209"/>
      <c r="R463" s="209"/>
      <c r="S463" s="187"/>
      <c r="AV463" s="233" t="str">
        <f>IFERROR(TP_DATA[[#This Row],[Top '[m']]]-TP_DATA[[#This Row],[Bottom '[m']]], "")</f>
        <v/>
      </c>
      <c r="AW463" s="208"/>
      <c r="AX463" s="209"/>
      <c r="AY463" s="240"/>
      <c r="BB463" s="99"/>
      <c r="BC463" s="99"/>
      <c r="BD463" s="187"/>
      <c r="CH463" s="53" t="str">
        <f>IFERROR(TOWER_DATA[[#This Row],[Top '[m']]]-TOWER_DATA[[#This Row],[Bottom '[m']]], "")</f>
        <v/>
      </c>
      <c r="CI463" s="217" t="str">
        <f>IFERROR(-(TOWER_DATA[[#This Row],[D, bottom '[m']]]-TOWER_DATA[[#This Row],[D, top '[m']]])/(TOWER_DATA[[#This Row],[Bottom '[m']]]-TOWER_DATA[[#This Row],[Top '[m']]]),"")</f>
        <v/>
      </c>
      <c r="CJ463" s="145" t="str">
        <f t="shared" si="17"/>
        <v/>
      </c>
      <c r="CK463" s="220" t="str">
        <f>IFERROR((TOWER_DATA[[#This Row],[D, bottom '[m']]]+TOWER_DATA[[#This Row],[D, top '[m']]])/(2*TOWER_DATA[[#This Row],[t '[mm']]]/1000),"")</f>
        <v/>
      </c>
      <c r="DO463" s="209"/>
      <c r="DP463" s="209"/>
      <c r="DQ463" s="187"/>
      <c r="DT463" s="99"/>
      <c r="DU463" s="99"/>
    </row>
    <row r="464" spans="1:125" ht="18" customHeight="1">
      <c r="A464" s="271"/>
      <c r="D464" s="280"/>
      <c r="E464" s="52"/>
      <c r="K464" s="233" t="str">
        <f>IFERROR(MP_DATA[[#This Row],[Top '[m']]]-MP_DATA[[#This Row],[Bottom '[m']]], "")</f>
        <v/>
      </c>
      <c r="L464" s="217" t="str">
        <f>IFERROR(-(MP_DATA[[#This Row],[D, bottom '[m']]]-MP_DATA[[#This Row],[D, top '[m']]])/(MP_DATA[[#This Row],[Bottom '[m']]]-MP_DATA[[#This Row],[Top '[m']]]),"")</f>
        <v/>
      </c>
      <c r="M464" s="145" t="str">
        <f t="shared" si="18"/>
        <v/>
      </c>
      <c r="N464" s="234" t="str">
        <f>IFERROR((MP_DATA[[#This Row],[D, bottom '[m']]]+MP_DATA[[#This Row],[D, top '[m']]])/(2*MP_DATA[[#This Row],[t '[mm']]]/1000),"")</f>
        <v/>
      </c>
      <c r="Q464" s="209"/>
      <c r="R464" s="209"/>
      <c r="S464" s="187"/>
      <c r="AV464" s="233" t="str">
        <f>IFERROR(TP_DATA[[#This Row],[Top '[m']]]-TP_DATA[[#This Row],[Bottom '[m']]], "")</f>
        <v/>
      </c>
      <c r="AW464" s="208"/>
      <c r="AX464" s="209"/>
      <c r="AY464" s="240"/>
      <c r="BB464" s="99"/>
      <c r="BC464" s="99"/>
      <c r="BD464" s="187"/>
      <c r="CH464" s="53" t="str">
        <f>IFERROR(TOWER_DATA[[#This Row],[Top '[m']]]-TOWER_DATA[[#This Row],[Bottom '[m']]], "")</f>
        <v/>
      </c>
      <c r="CI464" s="217" t="str">
        <f>IFERROR(-(TOWER_DATA[[#This Row],[D, bottom '[m']]]-TOWER_DATA[[#This Row],[D, top '[m']]])/(TOWER_DATA[[#This Row],[Bottom '[m']]]-TOWER_DATA[[#This Row],[Top '[m']]]),"")</f>
        <v/>
      </c>
      <c r="CJ464" s="145" t="str">
        <f t="shared" si="17"/>
        <v/>
      </c>
      <c r="CK464" s="220" t="str">
        <f>IFERROR((TOWER_DATA[[#This Row],[D, bottom '[m']]]+TOWER_DATA[[#This Row],[D, top '[m']]])/(2*TOWER_DATA[[#This Row],[t '[mm']]]/1000),"")</f>
        <v/>
      </c>
      <c r="DO464" s="209"/>
      <c r="DP464" s="209"/>
      <c r="DQ464" s="187"/>
      <c r="DT464" s="99"/>
      <c r="DU464" s="99"/>
    </row>
    <row r="465" spans="1:125" ht="18" customHeight="1">
      <c r="A465" s="271"/>
      <c r="D465" s="280"/>
      <c r="E465" s="52"/>
      <c r="K465" s="233" t="str">
        <f>IFERROR(MP_DATA[[#This Row],[Top '[m']]]-MP_DATA[[#This Row],[Bottom '[m']]], "")</f>
        <v/>
      </c>
      <c r="L465" s="217" t="str">
        <f>IFERROR(-(MP_DATA[[#This Row],[D, bottom '[m']]]-MP_DATA[[#This Row],[D, top '[m']]])/(MP_DATA[[#This Row],[Bottom '[m']]]-MP_DATA[[#This Row],[Top '[m']]]),"")</f>
        <v/>
      </c>
      <c r="M465" s="145" t="str">
        <f t="shared" si="18"/>
        <v/>
      </c>
      <c r="N465" s="234" t="str">
        <f>IFERROR((MP_DATA[[#This Row],[D, bottom '[m']]]+MP_DATA[[#This Row],[D, top '[m']]])/(2*MP_DATA[[#This Row],[t '[mm']]]/1000),"")</f>
        <v/>
      </c>
      <c r="Q465" s="209"/>
      <c r="R465" s="209"/>
      <c r="S465" s="187"/>
      <c r="AV465" s="233" t="str">
        <f>IFERROR(TP_DATA[[#This Row],[Top '[m']]]-TP_DATA[[#This Row],[Bottom '[m']]], "")</f>
        <v/>
      </c>
      <c r="AW465" s="208"/>
      <c r="AX465" s="209"/>
      <c r="AY465" s="240"/>
      <c r="BB465" s="99"/>
      <c r="BC465" s="99"/>
      <c r="BD465" s="187"/>
      <c r="CH465" s="53" t="str">
        <f>IFERROR(TOWER_DATA[[#This Row],[Top '[m']]]-TOWER_DATA[[#This Row],[Bottom '[m']]], "")</f>
        <v/>
      </c>
      <c r="CI465" s="217" t="str">
        <f>IFERROR(-(TOWER_DATA[[#This Row],[D, bottom '[m']]]-TOWER_DATA[[#This Row],[D, top '[m']]])/(TOWER_DATA[[#This Row],[Bottom '[m']]]-TOWER_DATA[[#This Row],[Top '[m']]]),"")</f>
        <v/>
      </c>
      <c r="CJ465" s="145" t="str">
        <f t="shared" si="17"/>
        <v/>
      </c>
      <c r="CK465" s="220" t="str">
        <f>IFERROR((TOWER_DATA[[#This Row],[D, bottom '[m']]]+TOWER_DATA[[#This Row],[D, top '[m']]])/(2*TOWER_DATA[[#This Row],[t '[mm']]]/1000),"")</f>
        <v/>
      </c>
      <c r="DO465" s="209"/>
      <c r="DP465" s="209"/>
      <c r="DQ465" s="187"/>
      <c r="DT465" s="99"/>
      <c r="DU465" s="99"/>
    </row>
    <row r="466" spans="1:125" ht="18" customHeight="1">
      <c r="A466" s="271"/>
      <c r="D466" s="280"/>
      <c r="E466" s="52"/>
      <c r="K466" s="233" t="str">
        <f>IFERROR(MP_DATA[[#This Row],[Top '[m']]]-MP_DATA[[#This Row],[Bottom '[m']]], "")</f>
        <v/>
      </c>
      <c r="L466" s="217" t="str">
        <f>IFERROR(-(MP_DATA[[#This Row],[D, bottom '[m']]]-MP_DATA[[#This Row],[D, top '[m']]])/(MP_DATA[[#This Row],[Bottom '[m']]]-MP_DATA[[#This Row],[Top '[m']]]),"")</f>
        <v/>
      </c>
      <c r="M466" s="145" t="str">
        <f t="shared" si="18"/>
        <v/>
      </c>
      <c r="N466" s="234" t="str">
        <f>IFERROR((MP_DATA[[#This Row],[D, bottom '[m']]]+MP_DATA[[#This Row],[D, top '[m']]])/(2*MP_DATA[[#This Row],[t '[mm']]]/1000),"")</f>
        <v/>
      </c>
      <c r="Q466" s="209"/>
      <c r="R466" s="209"/>
      <c r="S466" s="187"/>
      <c r="AV466" s="233" t="str">
        <f>IFERROR(TP_DATA[[#This Row],[Top '[m']]]-TP_DATA[[#This Row],[Bottom '[m']]], "")</f>
        <v/>
      </c>
      <c r="AW466" s="208"/>
      <c r="AX466" s="209"/>
      <c r="AY466" s="240"/>
      <c r="BB466" s="99"/>
      <c r="BC466" s="99"/>
      <c r="BD466" s="187"/>
      <c r="CH466" s="53" t="str">
        <f>IFERROR(TOWER_DATA[[#This Row],[Top '[m']]]-TOWER_DATA[[#This Row],[Bottom '[m']]], "")</f>
        <v/>
      </c>
      <c r="CI466" s="217" t="str">
        <f>IFERROR(-(TOWER_DATA[[#This Row],[D, bottom '[m']]]-TOWER_DATA[[#This Row],[D, top '[m']]])/(TOWER_DATA[[#This Row],[Bottom '[m']]]-TOWER_DATA[[#This Row],[Top '[m']]]),"")</f>
        <v/>
      </c>
      <c r="CJ466" s="145" t="str">
        <f t="shared" si="17"/>
        <v/>
      </c>
      <c r="CK466" s="220" t="str">
        <f>IFERROR((TOWER_DATA[[#This Row],[D, bottom '[m']]]+TOWER_DATA[[#This Row],[D, top '[m']]])/(2*TOWER_DATA[[#This Row],[t '[mm']]]/1000),"")</f>
        <v/>
      </c>
      <c r="DO466" s="209"/>
      <c r="DP466" s="209"/>
      <c r="DQ466" s="187"/>
      <c r="DT466" s="99"/>
      <c r="DU466" s="99"/>
    </row>
    <row r="467" spans="1:125" ht="18" customHeight="1">
      <c r="A467" s="271"/>
      <c r="D467" s="280"/>
      <c r="E467" s="52"/>
      <c r="K467" s="233" t="str">
        <f>IFERROR(MP_DATA[[#This Row],[Top '[m']]]-MP_DATA[[#This Row],[Bottom '[m']]], "")</f>
        <v/>
      </c>
      <c r="L467" s="217" t="str">
        <f>IFERROR(-(MP_DATA[[#This Row],[D, bottom '[m']]]-MP_DATA[[#This Row],[D, top '[m']]])/(MP_DATA[[#This Row],[Bottom '[m']]]-MP_DATA[[#This Row],[Top '[m']]]),"")</f>
        <v/>
      </c>
      <c r="M467" s="145" t="str">
        <f t="shared" si="18"/>
        <v/>
      </c>
      <c r="N467" s="234" t="str">
        <f>IFERROR((MP_DATA[[#This Row],[D, bottom '[m']]]+MP_DATA[[#This Row],[D, top '[m']]])/(2*MP_DATA[[#This Row],[t '[mm']]]/1000),"")</f>
        <v/>
      </c>
      <c r="Q467" s="209"/>
      <c r="R467" s="209"/>
      <c r="S467" s="187"/>
      <c r="AV467" s="233" t="str">
        <f>IFERROR(TP_DATA[[#This Row],[Top '[m']]]-TP_DATA[[#This Row],[Bottom '[m']]], "")</f>
        <v/>
      </c>
      <c r="AW467" s="208"/>
      <c r="AX467" s="209"/>
      <c r="AY467" s="240"/>
      <c r="BB467" s="99"/>
      <c r="BC467" s="99"/>
      <c r="BD467" s="187"/>
      <c r="CH467" s="53" t="str">
        <f>IFERROR(TOWER_DATA[[#This Row],[Top '[m']]]-TOWER_DATA[[#This Row],[Bottom '[m']]], "")</f>
        <v/>
      </c>
      <c r="CI467" s="217" t="str">
        <f>IFERROR(-(TOWER_DATA[[#This Row],[D, bottom '[m']]]-TOWER_DATA[[#This Row],[D, top '[m']]])/(TOWER_DATA[[#This Row],[Bottom '[m']]]-TOWER_DATA[[#This Row],[Top '[m']]]),"")</f>
        <v/>
      </c>
      <c r="CJ467" s="145" t="str">
        <f t="shared" si="17"/>
        <v/>
      </c>
      <c r="CK467" s="220" t="str">
        <f>IFERROR((TOWER_DATA[[#This Row],[D, bottom '[m']]]+TOWER_DATA[[#This Row],[D, top '[m']]])/(2*TOWER_DATA[[#This Row],[t '[mm']]]/1000),"")</f>
        <v/>
      </c>
      <c r="DO467" s="209"/>
      <c r="DP467" s="209"/>
      <c r="DQ467" s="187"/>
      <c r="DT467" s="99"/>
      <c r="DU467" s="99"/>
    </row>
    <row r="468" spans="1:125" ht="18" customHeight="1">
      <c r="A468" s="271"/>
      <c r="D468" s="280"/>
      <c r="E468" s="52"/>
      <c r="K468" s="233" t="str">
        <f>IFERROR(MP_DATA[[#This Row],[Top '[m']]]-MP_DATA[[#This Row],[Bottom '[m']]], "")</f>
        <v/>
      </c>
      <c r="L468" s="217" t="str">
        <f>IFERROR(-(MP_DATA[[#This Row],[D, bottom '[m']]]-MP_DATA[[#This Row],[D, top '[m']]])/(MP_DATA[[#This Row],[Bottom '[m']]]-MP_DATA[[#This Row],[Top '[m']]]),"")</f>
        <v/>
      </c>
      <c r="M468" s="145" t="str">
        <f t="shared" si="18"/>
        <v/>
      </c>
      <c r="N468" s="234" t="str">
        <f>IFERROR((MP_DATA[[#This Row],[D, bottom '[m']]]+MP_DATA[[#This Row],[D, top '[m']]])/(2*MP_DATA[[#This Row],[t '[mm']]]/1000),"")</f>
        <v/>
      </c>
      <c r="Q468" s="209"/>
      <c r="R468" s="209"/>
      <c r="S468" s="187"/>
      <c r="AV468" s="233" t="str">
        <f>IFERROR(TP_DATA[[#This Row],[Top '[m']]]-TP_DATA[[#This Row],[Bottom '[m']]], "")</f>
        <v/>
      </c>
      <c r="AW468" s="208"/>
      <c r="AX468" s="209"/>
      <c r="AY468" s="240"/>
      <c r="BB468" s="99"/>
      <c r="BC468" s="99"/>
      <c r="BD468" s="187"/>
      <c r="CH468" s="53" t="str">
        <f>IFERROR(TOWER_DATA[[#This Row],[Top '[m']]]-TOWER_DATA[[#This Row],[Bottom '[m']]], "")</f>
        <v/>
      </c>
      <c r="CI468" s="217" t="str">
        <f>IFERROR(-(TOWER_DATA[[#This Row],[D, bottom '[m']]]-TOWER_DATA[[#This Row],[D, top '[m']]])/(TOWER_DATA[[#This Row],[Bottom '[m']]]-TOWER_DATA[[#This Row],[Top '[m']]]),"")</f>
        <v/>
      </c>
      <c r="CJ468" s="145" t="str">
        <f t="shared" si="17"/>
        <v/>
      </c>
      <c r="CK468" s="220" t="str">
        <f>IFERROR((TOWER_DATA[[#This Row],[D, bottom '[m']]]+TOWER_DATA[[#This Row],[D, top '[m']]])/(2*TOWER_DATA[[#This Row],[t '[mm']]]/1000),"")</f>
        <v/>
      </c>
      <c r="DO468" s="209"/>
      <c r="DP468" s="209"/>
      <c r="DQ468" s="187"/>
      <c r="DT468" s="99"/>
      <c r="DU468" s="99"/>
    </row>
    <row r="469" spans="1:125" ht="18" customHeight="1">
      <c r="A469" s="271"/>
      <c r="D469" s="280"/>
      <c r="E469" s="52"/>
      <c r="K469" s="233" t="str">
        <f>IFERROR(MP_DATA[[#This Row],[Top '[m']]]-MP_DATA[[#This Row],[Bottom '[m']]], "")</f>
        <v/>
      </c>
      <c r="L469" s="217" t="str">
        <f>IFERROR(-(MP_DATA[[#This Row],[D, bottom '[m']]]-MP_DATA[[#This Row],[D, top '[m']]])/(MP_DATA[[#This Row],[Bottom '[m']]]-MP_DATA[[#This Row],[Top '[m']]]),"")</f>
        <v/>
      </c>
      <c r="M469" s="145" t="str">
        <f t="shared" si="18"/>
        <v/>
      </c>
      <c r="N469" s="234" t="str">
        <f>IFERROR((MP_DATA[[#This Row],[D, bottom '[m']]]+MP_DATA[[#This Row],[D, top '[m']]])/(2*MP_DATA[[#This Row],[t '[mm']]]/1000),"")</f>
        <v/>
      </c>
      <c r="Q469" s="209"/>
      <c r="R469" s="209"/>
      <c r="S469" s="187"/>
      <c r="AV469" s="233" t="str">
        <f>IFERROR(TP_DATA[[#This Row],[Top '[m']]]-TP_DATA[[#This Row],[Bottom '[m']]], "")</f>
        <v/>
      </c>
      <c r="AW469" s="208"/>
      <c r="AX469" s="209"/>
      <c r="AY469" s="240"/>
      <c r="BB469" s="99"/>
      <c r="BC469" s="99"/>
      <c r="BD469" s="187"/>
      <c r="CH469" s="53" t="str">
        <f>IFERROR(TOWER_DATA[[#This Row],[Top '[m']]]-TOWER_DATA[[#This Row],[Bottom '[m']]], "")</f>
        <v/>
      </c>
      <c r="CI469" s="217" t="str">
        <f>IFERROR(-(TOWER_DATA[[#This Row],[D, bottom '[m']]]-TOWER_DATA[[#This Row],[D, top '[m']]])/(TOWER_DATA[[#This Row],[Bottom '[m']]]-TOWER_DATA[[#This Row],[Top '[m']]]),"")</f>
        <v/>
      </c>
      <c r="CJ469" s="145" t="str">
        <f t="shared" si="17"/>
        <v/>
      </c>
      <c r="CK469" s="220" t="str">
        <f>IFERROR((TOWER_DATA[[#This Row],[D, bottom '[m']]]+TOWER_DATA[[#This Row],[D, top '[m']]])/(2*TOWER_DATA[[#This Row],[t '[mm']]]/1000),"")</f>
        <v/>
      </c>
      <c r="DO469" s="209"/>
      <c r="DP469" s="209"/>
      <c r="DQ469" s="187"/>
      <c r="DT469" s="99"/>
      <c r="DU469" s="99"/>
    </row>
    <row r="470" spans="1:125" ht="18" customHeight="1">
      <c r="A470" s="271"/>
      <c r="D470" s="280"/>
      <c r="E470" s="52"/>
      <c r="K470" s="233" t="str">
        <f>IFERROR(MP_DATA[[#This Row],[Top '[m']]]-MP_DATA[[#This Row],[Bottom '[m']]], "")</f>
        <v/>
      </c>
      <c r="L470" s="217" t="str">
        <f>IFERROR(-(MP_DATA[[#This Row],[D, bottom '[m']]]-MP_DATA[[#This Row],[D, top '[m']]])/(MP_DATA[[#This Row],[Bottom '[m']]]-MP_DATA[[#This Row],[Top '[m']]]),"")</f>
        <v/>
      </c>
      <c r="M470" s="145" t="str">
        <f t="shared" si="18"/>
        <v/>
      </c>
      <c r="N470" s="234" t="str">
        <f>IFERROR((MP_DATA[[#This Row],[D, bottom '[m']]]+MP_DATA[[#This Row],[D, top '[m']]])/(2*MP_DATA[[#This Row],[t '[mm']]]/1000),"")</f>
        <v/>
      </c>
      <c r="Q470" s="209"/>
      <c r="R470" s="209"/>
      <c r="S470" s="187"/>
      <c r="AV470" s="233" t="str">
        <f>IFERROR(TP_DATA[[#This Row],[Top '[m']]]-TP_DATA[[#This Row],[Bottom '[m']]], "")</f>
        <v/>
      </c>
      <c r="AW470" s="208"/>
      <c r="AX470" s="209"/>
      <c r="AY470" s="240"/>
      <c r="BB470" s="99"/>
      <c r="BC470" s="99"/>
      <c r="BD470" s="187"/>
      <c r="CH470" s="53" t="str">
        <f>IFERROR(TOWER_DATA[[#This Row],[Top '[m']]]-TOWER_DATA[[#This Row],[Bottom '[m']]], "")</f>
        <v/>
      </c>
      <c r="CI470" s="217" t="str">
        <f>IFERROR(-(TOWER_DATA[[#This Row],[D, bottom '[m']]]-TOWER_DATA[[#This Row],[D, top '[m']]])/(TOWER_DATA[[#This Row],[Bottom '[m']]]-TOWER_DATA[[#This Row],[Top '[m']]]),"")</f>
        <v/>
      </c>
      <c r="CJ470" s="145" t="str">
        <f t="shared" si="17"/>
        <v/>
      </c>
      <c r="CK470" s="220" t="str">
        <f>IFERROR((TOWER_DATA[[#This Row],[D, bottom '[m']]]+TOWER_DATA[[#This Row],[D, top '[m']]])/(2*TOWER_DATA[[#This Row],[t '[mm']]]/1000),"")</f>
        <v/>
      </c>
      <c r="DO470" s="209"/>
      <c r="DP470" s="209"/>
      <c r="DQ470" s="187"/>
      <c r="DT470" s="99"/>
      <c r="DU470" s="99"/>
    </row>
    <row r="471" spans="1:125" ht="18" customHeight="1">
      <c r="A471" s="271"/>
      <c r="D471" s="280"/>
      <c r="E471" s="52"/>
      <c r="K471" s="233" t="str">
        <f>IFERROR(MP_DATA[[#This Row],[Top '[m']]]-MP_DATA[[#This Row],[Bottom '[m']]], "")</f>
        <v/>
      </c>
      <c r="L471" s="217" t="str">
        <f>IFERROR(-(MP_DATA[[#This Row],[D, bottom '[m']]]-MP_DATA[[#This Row],[D, top '[m']]])/(MP_DATA[[#This Row],[Bottom '[m']]]-MP_DATA[[#This Row],[Top '[m']]]),"")</f>
        <v/>
      </c>
      <c r="M471" s="145" t="str">
        <f t="shared" si="18"/>
        <v/>
      </c>
      <c r="N471" s="234" t="str">
        <f>IFERROR((MP_DATA[[#This Row],[D, bottom '[m']]]+MP_DATA[[#This Row],[D, top '[m']]])/(2*MP_DATA[[#This Row],[t '[mm']]]/1000),"")</f>
        <v/>
      </c>
      <c r="Q471" s="209"/>
      <c r="R471" s="209"/>
      <c r="S471" s="187"/>
      <c r="AV471" s="233" t="str">
        <f>IFERROR(TP_DATA[[#This Row],[Top '[m']]]-TP_DATA[[#This Row],[Bottom '[m']]], "")</f>
        <v/>
      </c>
      <c r="AW471" s="208"/>
      <c r="AX471" s="209"/>
      <c r="AY471" s="240"/>
      <c r="BB471" s="99"/>
      <c r="BC471" s="99"/>
      <c r="BD471" s="187"/>
      <c r="CH471" s="53" t="str">
        <f>IFERROR(TOWER_DATA[[#This Row],[Top '[m']]]-TOWER_DATA[[#This Row],[Bottom '[m']]], "")</f>
        <v/>
      </c>
      <c r="CI471" s="217" t="str">
        <f>IFERROR(-(TOWER_DATA[[#This Row],[D, bottom '[m']]]-TOWER_DATA[[#This Row],[D, top '[m']]])/(TOWER_DATA[[#This Row],[Bottom '[m']]]-TOWER_DATA[[#This Row],[Top '[m']]]),"")</f>
        <v/>
      </c>
      <c r="CJ471" s="145" t="str">
        <f t="shared" si="17"/>
        <v/>
      </c>
      <c r="CK471" s="220" t="str">
        <f>IFERROR((TOWER_DATA[[#This Row],[D, bottom '[m']]]+TOWER_DATA[[#This Row],[D, top '[m']]])/(2*TOWER_DATA[[#This Row],[t '[mm']]]/1000),"")</f>
        <v/>
      </c>
      <c r="DO471" s="209"/>
      <c r="DP471" s="209"/>
      <c r="DQ471" s="187"/>
      <c r="DT471" s="99"/>
      <c r="DU471" s="99"/>
    </row>
    <row r="472" spans="1:125" ht="18" customHeight="1">
      <c r="A472" s="271"/>
      <c r="D472" s="280"/>
      <c r="E472" s="52"/>
      <c r="K472" s="233" t="str">
        <f>IFERROR(MP_DATA[[#This Row],[Top '[m']]]-MP_DATA[[#This Row],[Bottom '[m']]], "")</f>
        <v/>
      </c>
      <c r="L472" s="217" t="str">
        <f>IFERROR(-(MP_DATA[[#This Row],[D, bottom '[m']]]-MP_DATA[[#This Row],[D, top '[m']]])/(MP_DATA[[#This Row],[Bottom '[m']]]-MP_DATA[[#This Row],[Top '[m']]]),"")</f>
        <v/>
      </c>
      <c r="M472" s="145" t="str">
        <f t="shared" si="18"/>
        <v/>
      </c>
      <c r="N472" s="234" t="str">
        <f>IFERROR((MP_DATA[[#This Row],[D, bottom '[m']]]+MP_DATA[[#This Row],[D, top '[m']]])/(2*MP_DATA[[#This Row],[t '[mm']]]/1000),"")</f>
        <v/>
      </c>
      <c r="Q472" s="209"/>
      <c r="R472" s="209"/>
      <c r="S472" s="187"/>
      <c r="AV472" s="233" t="str">
        <f>IFERROR(TP_DATA[[#This Row],[Top '[m']]]-TP_DATA[[#This Row],[Bottom '[m']]], "")</f>
        <v/>
      </c>
      <c r="AW472" s="208"/>
      <c r="AX472" s="209"/>
      <c r="AY472" s="240"/>
      <c r="BB472" s="99"/>
      <c r="BC472" s="99"/>
      <c r="BD472" s="187"/>
      <c r="CH472" s="53" t="str">
        <f>IFERROR(TOWER_DATA[[#This Row],[Top '[m']]]-TOWER_DATA[[#This Row],[Bottom '[m']]], "")</f>
        <v/>
      </c>
      <c r="CI472" s="217" t="str">
        <f>IFERROR(-(TOWER_DATA[[#This Row],[D, bottom '[m']]]-TOWER_DATA[[#This Row],[D, top '[m']]])/(TOWER_DATA[[#This Row],[Bottom '[m']]]-TOWER_DATA[[#This Row],[Top '[m']]]),"")</f>
        <v/>
      </c>
      <c r="CJ472" s="145" t="str">
        <f t="shared" si="17"/>
        <v/>
      </c>
      <c r="CK472" s="220" t="str">
        <f>IFERROR((TOWER_DATA[[#This Row],[D, bottom '[m']]]+TOWER_DATA[[#This Row],[D, top '[m']]])/(2*TOWER_DATA[[#This Row],[t '[mm']]]/1000),"")</f>
        <v/>
      </c>
      <c r="DO472" s="209"/>
      <c r="DP472" s="209"/>
      <c r="DQ472" s="187"/>
      <c r="DT472" s="99"/>
      <c r="DU472" s="99"/>
    </row>
    <row r="473" spans="1:125" ht="18" customHeight="1">
      <c r="A473" s="271"/>
      <c r="D473" s="280"/>
      <c r="E473" s="52"/>
      <c r="K473" s="233" t="str">
        <f>IFERROR(MP_DATA[[#This Row],[Top '[m']]]-MP_DATA[[#This Row],[Bottom '[m']]], "")</f>
        <v/>
      </c>
      <c r="L473" s="217" t="str">
        <f>IFERROR(-(MP_DATA[[#This Row],[D, bottom '[m']]]-MP_DATA[[#This Row],[D, top '[m']]])/(MP_DATA[[#This Row],[Bottom '[m']]]-MP_DATA[[#This Row],[Top '[m']]]),"")</f>
        <v/>
      </c>
      <c r="M473" s="145" t="str">
        <f t="shared" si="18"/>
        <v/>
      </c>
      <c r="N473" s="234" t="str">
        <f>IFERROR((MP_DATA[[#This Row],[D, bottom '[m']]]+MP_DATA[[#This Row],[D, top '[m']]])/(2*MP_DATA[[#This Row],[t '[mm']]]/1000),"")</f>
        <v/>
      </c>
      <c r="Q473" s="209"/>
      <c r="R473" s="209"/>
      <c r="S473" s="187"/>
      <c r="AV473" s="233" t="str">
        <f>IFERROR(TP_DATA[[#This Row],[Top '[m']]]-TP_DATA[[#This Row],[Bottom '[m']]], "")</f>
        <v/>
      </c>
      <c r="AW473" s="208"/>
      <c r="AX473" s="209"/>
      <c r="AY473" s="240"/>
      <c r="BB473" s="99"/>
      <c r="BC473" s="99"/>
      <c r="BD473" s="187"/>
      <c r="CH473" s="53" t="str">
        <f>IFERROR(TOWER_DATA[[#This Row],[Top '[m']]]-TOWER_DATA[[#This Row],[Bottom '[m']]], "")</f>
        <v/>
      </c>
      <c r="CI473" s="217" t="str">
        <f>IFERROR(-(TOWER_DATA[[#This Row],[D, bottom '[m']]]-TOWER_DATA[[#This Row],[D, top '[m']]])/(TOWER_DATA[[#This Row],[Bottom '[m']]]-TOWER_DATA[[#This Row],[Top '[m']]]),"")</f>
        <v/>
      </c>
      <c r="CJ473" s="145" t="str">
        <f t="shared" si="17"/>
        <v/>
      </c>
      <c r="CK473" s="220" t="str">
        <f>IFERROR((TOWER_DATA[[#This Row],[D, bottom '[m']]]+TOWER_DATA[[#This Row],[D, top '[m']]])/(2*TOWER_DATA[[#This Row],[t '[mm']]]/1000),"")</f>
        <v/>
      </c>
      <c r="DO473" s="209"/>
      <c r="DP473" s="209"/>
      <c r="DQ473" s="187"/>
      <c r="DT473" s="99"/>
      <c r="DU473" s="99"/>
    </row>
    <row r="474" spans="1:125" ht="18" customHeight="1">
      <c r="A474" s="271"/>
      <c r="D474" s="280"/>
      <c r="E474" s="52"/>
      <c r="K474" s="233" t="str">
        <f>IFERROR(MP_DATA[[#This Row],[Top '[m']]]-MP_DATA[[#This Row],[Bottom '[m']]], "")</f>
        <v/>
      </c>
      <c r="L474" s="217" t="str">
        <f>IFERROR(-(MP_DATA[[#This Row],[D, bottom '[m']]]-MP_DATA[[#This Row],[D, top '[m']]])/(MP_DATA[[#This Row],[Bottom '[m']]]-MP_DATA[[#This Row],[Top '[m']]]),"")</f>
        <v/>
      </c>
      <c r="M474" s="145" t="str">
        <f t="shared" si="18"/>
        <v/>
      </c>
      <c r="N474" s="234" t="str">
        <f>IFERROR((MP_DATA[[#This Row],[D, bottom '[m']]]+MP_DATA[[#This Row],[D, top '[m']]])/(2*MP_DATA[[#This Row],[t '[mm']]]/1000),"")</f>
        <v/>
      </c>
      <c r="Q474" s="209"/>
      <c r="R474" s="209"/>
      <c r="S474" s="187"/>
      <c r="AV474" s="233" t="str">
        <f>IFERROR(TP_DATA[[#This Row],[Top '[m']]]-TP_DATA[[#This Row],[Bottom '[m']]], "")</f>
        <v/>
      </c>
      <c r="AW474" s="208"/>
      <c r="AX474" s="209"/>
      <c r="AY474" s="240"/>
      <c r="BB474" s="99"/>
      <c r="BC474" s="99"/>
      <c r="BD474" s="187"/>
      <c r="CH474" s="53" t="str">
        <f>IFERROR(TOWER_DATA[[#This Row],[Top '[m']]]-TOWER_DATA[[#This Row],[Bottom '[m']]], "")</f>
        <v/>
      </c>
      <c r="CI474" s="217" t="str">
        <f>IFERROR(-(TOWER_DATA[[#This Row],[D, bottom '[m']]]-TOWER_DATA[[#This Row],[D, top '[m']]])/(TOWER_DATA[[#This Row],[Bottom '[m']]]-TOWER_DATA[[#This Row],[Top '[m']]]),"")</f>
        <v/>
      </c>
      <c r="CJ474" s="145" t="str">
        <f t="shared" si="17"/>
        <v/>
      </c>
      <c r="CK474" s="220" t="str">
        <f>IFERROR((TOWER_DATA[[#This Row],[D, bottom '[m']]]+TOWER_DATA[[#This Row],[D, top '[m']]])/(2*TOWER_DATA[[#This Row],[t '[mm']]]/1000),"")</f>
        <v/>
      </c>
      <c r="DO474" s="209"/>
      <c r="DP474" s="209"/>
      <c r="DQ474" s="187"/>
      <c r="DT474" s="99"/>
      <c r="DU474" s="99"/>
    </row>
    <row r="475" spans="1:125" ht="18" customHeight="1">
      <c r="A475" s="271"/>
      <c r="D475" s="280"/>
      <c r="E475" s="52"/>
      <c r="K475" s="233" t="str">
        <f>IFERROR(MP_DATA[[#This Row],[Top '[m']]]-MP_DATA[[#This Row],[Bottom '[m']]], "")</f>
        <v/>
      </c>
      <c r="L475" s="217" t="str">
        <f>IFERROR(-(MP_DATA[[#This Row],[D, bottom '[m']]]-MP_DATA[[#This Row],[D, top '[m']]])/(MP_DATA[[#This Row],[Bottom '[m']]]-MP_DATA[[#This Row],[Top '[m']]]),"")</f>
        <v/>
      </c>
      <c r="M475" s="145" t="str">
        <f t="shared" si="18"/>
        <v/>
      </c>
      <c r="N475" s="234" t="str">
        <f>IFERROR((MP_DATA[[#This Row],[D, bottom '[m']]]+MP_DATA[[#This Row],[D, top '[m']]])/(2*MP_DATA[[#This Row],[t '[mm']]]/1000),"")</f>
        <v/>
      </c>
      <c r="Q475" s="209"/>
      <c r="R475" s="209"/>
      <c r="S475" s="187"/>
      <c r="AV475" s="233" t="str">
        <f>IFERROR(TP_DATA[[#This Row],[Top '[m']]]-TP_DATA[[#This Row],[Bottom '[m']]], "")</f>
        <v/>
      </c>
      <c r="AW475" s="208"/>
      <c r="AX475" s="209"/>
      <c r="AY475" s="240"/>
      <c r="BB475" s="99"/>
      <c r="BC475" s="99"/>
      <c r="BD475" s="187"/>
      <c r="CH475" s="53" t="str">
        <f>IFERROR(TOWER_DATA[[#This Row],[Top '[m']]]-TOWER_DATA[[#This Row],[Bottom '[m']]], "")</f>
        <v/>
      </c>
      <c r="CI475" s="217" t="str">
        <f>IFERROR(-(TOWER_DATA[[#This Row],[D, bottom '[m']]]-TOWER_DATA[[#This Row],[D, top '[m']]])/(TOWER_DATA[[#This Row],[Bottom '[m']]]-TOWER_DATA[[#This Row],[Top '[m']]]),"")</f>
        <v/>
      </c>
      <c r="CJ475" s="145" t="str">
        <f t="shared" si="17"/>
        <v/>
      </c>
      <c r="CK475" s="220" t="str">
        <f>IFERROR((TOWER_DATA[[#This Row],[D, bottom '[m']]]+TOWER_DATA[[#This Row],[D, top '[m']]])/(2*TOWER_DATA[[#This Row],[t '[mm']]]/1000),"")</f>
        <v/>
      </c>
      <c r="DO475" s="209"/>
      <c r="DP475" s="209"/>
      <c r="DQ475" s="187"/>
      <c r="DT475" s="99"/>
      <c r="DU475" s="99"/>
    </row>
    <row r="476" spans="1:125" ht="18" customHeight="1">
      <c r="A476" s="271"/>
      <c r="D476" s="280"/>
      <c r="E476" s="52"/>
      <c r="K476" s="233" t="str">
        <f>IFERROR(MP_DATA[[#This Row],[Top '[m']]]-MP_DATA[[#This Row],[Bottom '[m']]], "")</f>
        <v/>
      </c>
      <c r="L476" s="217" t="str">
        <f>IFERROR(-(MP_DATA[[#This Row],[D, bottom '[m']]]-MP_DATA[[#This Row],[D, top '[m']]])/(MP_DATA[[#This Row],[Bottom '[m']]]-MP_DATA[[#This Row],[Top '[m']]]),"")</f>
        <v/>
      </c>
      <c r="M476" s="145" t="str">
        <f t="shared" si="18"/>
        <v/>
      </c>
      <c r="N476" s="234" t="str">
        <f>IFERROR((MP_DATA[[#This Row],[D, bottom '[m']]]+MP_DATA[[#This Row],[D, top '[m']]])/(2*MP_DATA[[#This Row],[t '[mm']]]/1000),"")</f>
        <v/>
      </c>
      <c r="Q476" s="209"/>
      <c r="R476" s="209"/>
      <c r="S476" s="187"/>
      <c r="AV476" s="233" t="str">
        <f>IFERROR(TP_DATA[[#This Row],[Top '[m']]]-TP_DATA[[#This Row],[Bottom '[m']]], "")</f>
        <v/>
      </c>
      <c r="AW476" s="208"/>
      <c r="AX476" s="209"/>
      <c r="AY476" s="240"/>
      <c r="BB476" s="99"/>
      <c r="BC476" s="99"/>
      <c r="BD476" s="187"/>
      <c r="CH476" s="53" t="str">
        <f>IFERROR(TOWER_DATA[[#This Row],[Top '[m']]]-TOWER_DATA[[#This Row],[Bottom '[m']]], "")</f>
        <v/>
      </c>
      <c r="CI476" s="217" t="str">
        <f>IFERROR(-(TOWER_DATA[[#This Row],[D, bottom '[m']]]-TOWER_DATA[[#This Row],[D, top '[m']]])/(TOWER_DATA[[#This Row],[Bottom '[m']]]-TOWER_DATA[[#This Row],[Top '[m']]]),"")</f>
        <v/>
      </c>
      <c r="CJ476" s="145" t="str">
        <f t="shared" si="17"/>
        <v/>
      </c>
      <c r="CK476" s="220" t="str">
        <f>IFERROR((TOWER_DATA[[#This Row],[D, bottom '[m']]]+TOWER_DATA[[#This Row],[D, top '[m']]])/(2*TOWER_DATA[[#This Row],[t '[mm']]]/1000),"")</f>
        <v/>
      </c>
      <c r="DO476" s="209"/>
      <c r="DP476" s="209"/>
      <c r="DQ476" s="187"/>
      <c r="DT476" s="99"/>
      <c r="DU476" s="99"/>
    </row>
    <row r="477" spans="1:125" ht="18" customHeight="1">
      <c r="A477" s="271"/>
      <c r="D477" s="280"/>
      <c r="E477" s="52"/>
      <c r="K477" s="233" t="str">
        <f>IFERROR(MP_DATA[[#This Row],[Top '[m']]]-MP_DATA[[#This Row],[Bottom '[m']]], "")</f>
        <v/>
      </c>
      <c r="L477" s="208"/>
      <c r="M477" s="145" t="str">
        <f t="shared" si="18"/>
        <v/>
      </c>
      <c r="N477" s="234" t="str">
        <f>IFERROR((MP_DATA[[#This Row],[D, bottom '[m']]]+MP_DATA[[#This Row],[D, top '[m']]])/(2*MP_DATA[[#This Row],[t '[mm']]]/1000),"")</f>
        <v/>
      </c>
      <c r="Q477" s="209"/>
      <c r="R477" s="209"/>
      <c r="S477" s="187"/>
      <c r="AV477" s="233" t="str">
        <f>IFERROR(TP_DATA[[#This Row],[Top '[m']]]-TP_DATA[[#This Row],[Bottom '[m']]], "")</f>
        <v/>
      </c>
      <c r="AW477" s="208"/>
      <c r="AX477" s="209"/>
      <c r="AY477" s="240"/>
      <c r="BB477" s="99"/>
      <c r="BC477" s="99"/>
      <c r="BD477" s="187"/>
      <c r="CH477" s="53" t="str">
        <f>IFERROR(TOWER_DATA[[#This Row],[Top '[m']]]-TOWER_DATA[[#This Row],[Bottom '[m']]], "")</f>
        <v/>
      </c>
      <c r="CI477" s="217" t="str">
        <f>IFERROR(-(TOWER_DATA[[#This Row],[D, bottom '[m']]]-TOWER_DATA[[#This Row],[D, top '[m']]])/(TOWER_DATA[[#This Row],[Bottom '[m']]]-TOWER_DATA[[#This Row],[Top '[m']]]),"")</f>
        <v/>
      </c>
      <c r="CJ477" s="145" t="str">
        <f t="shared" si="17"/>
        <v/>
      </c>
      <c r="CK477" s="220" t="str">
        <f>IFERROR((TOWER_DATA[[#This Row],[D, bottom '[m']]]+TOWER_DATA[[#This Row],[D, top '[m']]])/(2*TOWER_DATA[[#This Row],[t '[mm']]]/1000),"")</f>
        <v/>
      </c>
      <c r="DO477" s="209"/>
      <c r="DP477" s="209"/>
      <c r="DQ477" s="187"/>
      <c r="DT477" s="99"/>
      <c r="DU477" s="99"/>
    </row>
    <row r="478" spans="1:125" ht="18" customHeight="1">
      <c r="A478" s="271"/>
      <c r="D478" s="280"/>
      <c r="E478" s="52"/>
      <c r="K478" s="233" t="str">
        <f>IFERROR(MP_DATA[[#This Row],[Top '[m']]]-MP_DATA[[#This Row],[Bottom '[m']]], "")</f>
        <v/>
      </c>
      <c r="L478" s="208"/>
      <c r="M478" s="145" t="str">
        <f t="shared" si="18"/>
        <v/>
      </c>
      <c r="N478" s="234" t="str">
        <f>IFERROR((MP_DATA[[#This Row],[D, bottom '[m']]]+MP_DATA[[#This Row],[D, top '[m']]])/(2*MP_DATA[[#This Row],[t '[mm']]]/1000),"")</f>
        <v/>
      </c>
      <c r="Q478" s="209"/>
      <c r="R478" s="209"/>
      <c r="S478" s="187"/>
      <c r="AV478" s="233" t="str">
        <f>IFERROR(TP_DATA[[#This Row],[Top '[m']]]-TP_DATA[[#This Row],[Bottom '[m']]], "")</f>
        <v/>
      </c>
      <c r="AW478" s="208"/>
      <c r="AX478" s="209"/>
      <c r="AY478" s="240"/>
      <c r="BB478" s="99"/>
      <c r="BC478" s="99"/>
      <c r="BD478" s="187"/>
      <c r="CH478" s="53" t="str">
        <f>IFERROR(TOWER_DATA[[#This Row],[Top '[m']]]-TOWER_DATA[[#This Row],[Bottom '[m']]], "")</f>
        <v/>
      </c>
      <c r="CI478" s="217" t="str">
        <f>IFERROR(-(TOWER_DATA[[#This Row],[D, bottom '[m']]]-TOWER_DATA[[#This Row],[D, top '[m']]])/(TOWER_DATA[[#This Row],[Bottom '[m']]]-TOWER_DATA[[#This Row],[Top '[m']]]),"")</f>
        <v/>
      </c>
      <c r="CJ478" s="145" t="str">
        <f t="shared" si="17"/>
        <v/>
      </c>
      <c r="CK478" s="220" t="str">
        <f>IFERROR((TOWER_DATA[[#This Row],[D, bottom '[m']]]+TOWER_DATA[[#This Row],[D, top '[m']]])/(2*TOWER_DATA[[#This Row],[t '[mm']]]/1000),"")</f>
        <v/>
      </c>
      <c r="DO478" s="209"/>
      <c r="DP478" s="209"/>
      <c r="DQ478" s="187"/>
      <c r="DT478" s="99"/>
      <c r="DU478" s="99"/>
    </row>
    <row r="479" spans="1:125" ht="18" customHeight="1">
      <c r="A479" s="271"/>
      <c r="D479" s="280"/>
      <c r="E479" s="52"/>
      <c r="K479" s="233" t="str">
        <f>IFERROR(MP_DATA[[#This Row],[Top '[m']]]-MP_DATA[[#This Row],[Bottom '[m']]], "")</f>
        <v/>
      </c>
      <c r="L479" s="208"/>
      <c r="M479" s="145" t="str">
        <f t="shared" si="18"/>
        <v/>
      </c>
      <c r="N479" s="234" t="str">
        <f>IFERROR((MP_DATA[[#This Row],[D, bottom '[m']]]+MP_DATA[[#This Row],[D, top '[m']]])/(2*MP_DATA[[#This Row],[t '[mm']]]/1000),"")</f>
        <v/>
      </c>
      <c r="Q479" s="209"/>
      <c r="R479" s="209"/>
      <c r="S479" s="187"/>
      <c r="AV479" s="233" t="str">
        <f>IFERROR(TP_DATA[[#This Row],[Top '[m']]]-TP_DATA[[#This Row],[Bottom '[m']]], "")</f>
        <v/>
      </c>
      <c r="AW479" s="208"/>
      <c r="AX479" s="209"/>
      <c r="AY479" s="240"/>
      <c r="BB479" s="99"/>
      <c r="BC479" s="99"/>
      <c r="BD479" s="187"/>
      <c r="CH479" s="53" t="str">
        <f>IFERROR(TOWER_DATA[[#This Row],[Top '[m']]]-TOWER_DATA[[#This Row],[Bottom '[m']]], "")</f>
        <v/>
      </c>
      <c r="CI479" s="217" t="str">
        <f>IFERROR(-(TOWER_DATA[[#This Row],[D, bottom '[m']]]-TOWER_DATA[[#This Row],[D, top '[m']]])/(TOWER_DATA[[#This Row],[Bottom '[m']]]-TOWER_DATA[[#This Row],[Top '[m']]]),"")</f>
        <v/>
      </c>
      <c r="CJ479" s="145" t="str">
        <f t="shared" si="17"/>
        <v/>
      </c>
      <c r="CK479" s="220" t="str">
        <f>IFERROR((TOWER_DATA[[#This Row],[D, bottom '[m']]]+TOWER_DATA[[#This Row],[D, top '[m']]])/(2*TOWER_DATA[[#This Row],[t '[mm']]]/1000),"")</f>
        <v/>
      </c>
      <c r="DO479" s="209"/>
      <c r="DP479" s="209"/>
      <c r="DQ479" s="187"/>
      <c r="DT479" s="99"/>
      <c r="DU479" s="99"/>
    </row>
    <row r="480" spans="1:125" ht="18" customHeight="1">
      <c r="A480" s="271"/>
      <c r="D480" s="280"/>
      <c r="E480" s="52"/>
      <c r="K480" s="233" t="str">
        <f>IFERROR(MP_DATA[[#This Row],[Top '[m']]]-MP_DATA[[#This Row],[Bottom '[m']]], "")</f>
        <v/>
      </c>
      <c r="L480" s="208"/>
      <c r="M480" s="145" t="str">
        <f t="shared" si="18"/>
        <v/>
      </c>
      <c r="N480" s="234" t="str">
        <f>IFERROR((MP_DATA[[#This Row],[D, bottom '[m']]]+MP_DATA[[#This Row],[D, top '[m']]])/(2*MP_DATA[[#This Row],[t '[mm']]]/1000),"")</f>
        <v/>
      </c>
      <c r="Q480" s="209"/>
      <c r="R480" s="209"/>
      <c r="S480" s="187"/>
      <c r="AV480" s="233" t="str">
        <f>IFERROR(TP_DATA[[#This Row],[Top '[m']]]-TP_DATA[[#This Row],[Bottom '[m']]], "")</f>
        <v/>
      </c>
      <c r="AW480" s="208"/>
      <c r="AX480" s="209"/>
      <c r="AY480" s="240"/>
      <c r="BB480" s="99"/>
      <c r="BC480" s="99"/>
      <c r="BD480" s="187"/>
      <c r="CH480" s="53" t="str">
        <f>IFERROR(TOWER_DATA[[#This Row],[Top '[m']]]-TOWER_DATA[[#This Row],[Bottom '[m']]], "")</f>
        <v/>
      </c>
      <c r="CI480" s="217" t="str">
        <f>IFERROR(-(TOWER_DATA[[#This Row],[D, bottom '[m']]]-TOWER_DATA[[#This Row],[D, top '[m']]])/(TOWER_DATA[[#This Row],[Bottom '[m']]]-TOWER_DATA[[#This Row],[Top '[m']]]),"")</f>
        <v/>
      </c>
      <c r="CJ480" s="145" t="str">
        <f t="shared" si="17"/>
        <v/>
      </c>
      <c r="CK480" s="220" t="str">
        <f>IFERROR((TOWER_DATA[[#This Row],[D, bottom '[m']]]+TOWER_DATA[[#This Row],[D, top '[m']]])/(2*TOWER_DATA[[#This Row],[t '[mm']]]/1000),"")</f>
        <v/>
      </c>
      <c r="DO480" s="209"/>
      <c r="DP480" s="209"/>
      <c r="DQ480" s="187"/>
      <c r="DT480" s="99"/>
      <c r="DU480" s="99"/>
    </row>
    <row r="481" spans="1:125" ht="18" customHeight="1">
      <c r="A481" s="271"/>
      <c r="D481" s="280"/>
      <c r="E481" s="52"/>
      <c r="K481" s="233" t="str">
        <f>IFERROR(MP_DATA[[#This Row],[Top '[m']]]-MP_DATA[[#This Row],[Bottom '[m']]], "")</f>
        <v/>
      </c>
      <c r="L481" s="208"/>
      <c r="M481" s="145" t="str">
        <f t="shared" si="18"/>
        <v/>
      </c>
      <c r="N481" s="234" t="str">
        <f>IFERROR((MP_DATA[[#This Row],[D, bottom '[m']]]+MP_DATA[[#This Row],[D, top '[m']]])/(2*MP_DATA[[#This Row],[t '[mm']]]/1000),"")</f>
        <v/>
      </c>
      <c r="Q481" s="209"/>
      <c r="R481" s="209"/>
      <c r="S481" s="187"/>
      <c r="AV481" s="233" t="str">
        <f>IFERROR(TP_DATA[[#This Row],[Top '[m']]]-TP_DATA[[#This Row],[Bottom '[m']]], "")</f>
        <v/>
      </c>
      <c r="AW481" s="208"/>
      <c r="AX481" s="209"/>
      <c r="AY481" s="240"/>
      <c r="BB481" s="99"/>
      <c r="BC481" s="99"/>
      <c r="BD481" s="187"/>
      <c r="CH481" s="53" t="str">
        <f>IFERROR(TOWER_DATA[[#This Row],[Top '[m']]]-TOWER_DATA[[#This Row],[Bottom '[m']]], "")</f>
        <v/>
      </c>
      <c r="CI481" s="217" t="str">
        <f>IFERROR(-(TOWER_DATA[[#This Row],[D, bottom '[m']]]-TOWER_DATA[[#This Row],[D, top '[m']]])/(TOWER_DATA[[#This Row],[Bottom '[m']]]-TOWER_DATA[[#This Row],[Top '[m']]]),"")</f>
        <v/>
      </c>
      <c r="CJ481" s="145" t="str">
        <f t="shared" si="17"/>
        <v/>
      </c>
      <c r="CK481" s="220" t="str">
        <f>IFERROR((TOWER_DATA[[#This Row],[D, bottom '[m']]]+TOWER_DATA[[#This Row],[D, top '[m']]])/(2*TOWER_DATA[[#This Row],[t '[mm']]]/1000),"")</f>
        <v/>
      </c>
      <c r="DO481" s="209"/>
      <c r="DP481" s="209"/>
      <c r="DQ481" s="187"/>
      <c r="DT481" s="99"/>
      <c r="DU481" s="99"/>
    </row>
    <row r="482" spans="1:125" ht="18" customHeight="1">
      <c r="A482" s="271"/>
      <c r="D482" s="280"/>
      <c r="E482" s="52"/>
      <c r="K482" s="233" t="str">
        <f>IFERROR(MP_DATA[[#This Row],[Top '[m']]]-MP_DATA[[#This Row],[Bottom '[m']]], "")</f>
        <v/>
      </c>
      <c r="L482" s="208"/>
      <c r="M482" s="145" t="str">
        <f t="shared" si="18"/>
        <v/>
      </c>
      <c r="N482" s="234" t="str">
        <f>IFERROR((MP_DATA[[#This Row],[D, bottom '[m']]]+MP_DATA[[#This Row],[D, top '[m']]])/(2*MP_DATA[[#This Row],[t '[mm']]]/1000),"")</f>
        <v/>
      </c>
      <c r="Q482" s="209"/>
      <c r="R482" s="209"/>
      <c r="S482" s="187"/>
      <c r="AV482" s="233" t="str">
        <f>IFERROR(TP_DATA[[#This Row],[Top '[m']]]-TP_DATA[[#This Row],[Bottom '[m']]], "")</f>
        <v/>
      </c>
      <c r="AW482" s="208"/>
      <c r="AX482" s="209"/>
      <c r="AY482" s="240"/>
      <c r="BB482" s="99"/>
      <c r="BC482" s="99"/>
      <c r="BD482" s="187"/>
      <c r="CH482" s="53" t="str">
        <f>IFERROR(TOWER_DATA[[#This Row],[Top '[m']]]-TOWER_DATA[[#This Row],[Bottom '[m']]], "")</f>
        <v/>
      </c>
      <c r="CI482" s="217" t="str">
        <f>IFERROR(-(TOWER_DATA[[#This Row],[D, bottom '[m']]]-TOWER_DATA[[#This Row],[D, top '[m']]])/(TOWER_DATA[[#This Row],[Bottom '[m']]]-TOWER_DATA[[#This Row],[Top '[m']]]),"")</f>
        <v/>
      </c>
      <c r="CJ482" s="145" t="str">
        <f t="shared" si="17"/>
        <v/>
      </c>
      <c r="CK482" s="220" t="str">
        <f>IFERROR((TOWER_DATA[[#This Row],[D, bottom '[m']]]+TOWER_DATA[[#This Row],[D, top '[m']]])/(2*TOWER_DATA[[#This Row],[t '[mm']]]/1000),"")</f>
        <v/>
      </c>
      <c r="DO482" s="209"/>
      <c r="DP482" s="209"/>
      <c r="DQ482" s="187"/>
      <c r="DT482" s="99"/>
      <c r="DU482" s="99"/>
    </row>
    <row r="483" spans="1:125" ht="18" customHeight="1">
      <c r="A483" s="271"/>
      <c r="D483" s="280"/>
      <c r="E483" s="52"/>
      <c r="K483" s="233" t="str">
        <f>IFERROR(MP_DATA[[#This Row],[Top '[m']]]-MP_DATA[[#This Row],[Bottom '[m']]], "")</f>
        <v/>
      </c>
      <c r="L483" s="208"/>
      <c r="M483" s="145" t="str">
        <f t="shared" si="18"/>
        <v/>
      </c>
      <c r="N483" s="234" t="str">
        <f>IFERROR((MP_DATA[[#This Row],[D, bottom '[m']]]+MP_DATA[[#This Row],[D, top '[m']]])/(2*MP_DATA[[#This Row],[t '[mm']]]/1000),"")</f>
        <v/>
      </c>
      <c r="Q483" s="209"/>
      <c r="R483" s="209"/>
      <c r="S483" s="187"/>
      <c r="AV483" s="233" t="str">
        <f>IFERROR(TP_DATA[[#This Row],[Top '[m']]]-TP_DATA[[#This Row],[Bottom '[m']]], "")</f>
        <v/>
      </c>
      <c r="AW483" s="208"/>
      <c r="AX483" s="209"/>
      <c r="AY483" s="240"/>
      <c r="BB483" s="99"/>
      <c r="BC483" s="99"/>
      <c r="BD483" s="187"/>
      <c r="CH483" s="53" t="str">
        <f>IFERROR(TOWER_DATA[[#This Row],[Top '[m']]]-TOWER_DATA[[#This Row],[Bottom '[m']]], "")</f>
        <v/>
      </c>
      <c r="CI483" s="217" t="str">
        <f>IFERROR(-(TOWER_DATA[[#This Row],[D, bottom '[m']]]-TOWER_DATA[[#This Row],[D, top '[m']]])/(TOWER_DATA[[#This Row],[Bottom '[m']]]-TOWER_DATA[[#This Row],[Top '[m']]]),"")</f>
        <v/>
      </c>
      <c r="CJ483" s="145" t="str">
        <f t="shared" si="17"/>
        <v/>
      </c>
      <c r="CK483" s="220" t="str">
        <f>IFERROR((TOWER_DATA[[#This Row],[D, bottom '[m']]]+TOWER_DATA[[#This Row],[D, top '[m']]])/(2*TOWER_DATA[[#This Row],[t '[mm']]]/1000),"")</f>
        <v/>
      </c>
      <c r="DO483" s="209"/>
      <c r="DP483" s="209"/>
      <c r="DQ483" s="187"/>
      <c r="DT483" s="99"/>
      <c r="DU483" s="99"/>
    </row>
    <row r="484" spans="1:125" ht="18" customHeight="1">
      <c r="A484" s="271"/>
      <c r="D484" s="280"/>
      <c r="E484" s="52"/>
      <c r="K484" s="233" t="str">
        <f>IFERROR(MP_DATA[[#This Row],[Top '[m']]]-MP_DATA[[#This Row],[Bottom '[m']]], "")</f>
        <v/>
      </c>
      <c r="L484" s="208"/>
      <c r="M484" s="145" t="str">
        <f t="shared" si="18"/>
        <v/>
      </c>
      <c r="N484" s="234" t="str">
        <f>IFERROR((MP_DATA[[#This Row],[D, bottom '[m']]]+MP_DATA[[#This Row],[D, top '[m']]])/(2*MP_DATA[[#This Row],[t '[mm']]]/1000),"")</f>
        <v/>
      </c>
      <c r="Q484" s="209"/>
      <c r="R484" s="209"/>
      <c r="S484" s="187"/>
      <c r="AV484" s="233" t="str">
        <f>IFERROR(TP_DATA[[#This Row],[Top '[m']]]-TP_DATA[[#This Row],[Bottom '[m']]], "")</f>
        <v/>
      </c>
      <c r="AW484" s="208"/>
      <c r="AX484" s="209"/>
      <c r="AY484" s="240"/>
      <c r="BB484" s="99"/>
      <c r="BC484" s="99"/>
      <c r="BD484" s="187"/>
      <c r="CH484" s="53" t="str">
        <f>IFERROR(TOWER_DATA[[#This Row],[Top '[m']]]-TOWER_DATA[[#This Row],[Bottom '[m']]], "")</f>
        <v/>
      </c>
      <c r="CI484" s="217" t="str">
        <f>IFERROR(-(TOWER_DATA[[#This Row],[D, bottom '[m']]]-TOWER_DATA[[#This Row],[D, top '[m']]])/(TOWER_DATA[[#This Row],[Bottom '[m']]]-TOWER_DATA[[#This Row],[Top '[m']]]),"")</f>
        <v/>
      </c>
      <c r="CJ484" s="145" t="str">
        <f t="shared" si="17"/>
        <v/>
      </c>
      <c r="CK484" s="220" t="str">
        <f>IFERROR((TOWER_DATA[[#This Row],[D, bottom '[m']]]+TOWER_DATA[[#This Row],[D, top '[m']]])/(2*TOWER_DATA[[#This Row],[t '[mm']]]/1000),"")</f>
        <v/>
      </c>
      <c r="DO484" s="209"/>
      <c r="DP484" s="209"/>
      <c r="DQ484" s="187"/>
      <c r="DT484" s="99"/>
      <c r="DU484" s="99"/>
    </row>
    <row r="485" spans="1:125" ht="18" customHeight="1">
      <c r="A485" s="271"/>
      <c r="D485" s="280"/>
      <c r="E485" s="52"/>
      <c r="K485" s="233" t="str">
        <f>IFERROR(MP_DATA[[#This Row],[Top '[m']]]-MP_DATA[[#This Row],[Bottom '[m']]], "")</f>
        <v/>
      </c>
      <c r="L485" s="208"/>
      <c r="M485" s="145" t="str">
        <f t="shared" si="18"/>
        <v/>
      </c>
      <c r="N485" s="234" t="str">
        <f>IFERROR((MP_DATA[[#This Row],[D, bottom '[m']]]+MP_DATA[[#This Row],[D, top '[m']]])/(2*MP_DATA[[#This Row],[t '[mm']]]/1000),"")</f>
        <v/>
      </c>
      <c r="Q485" s="209"/>
      <c r="R485" s="209"/>
      <c r="S485" s="187"/>
      <c r="AV485" s="233" t="str">
        <f>IFERROR(TP_DATA[[#This Row],[Top '[m']]]-TP_DATA[[#This Row],[Bottom '[m']]], "")</f>
        <v/>
      </c>
      <c r="AW485" s="208"/>
      <c r="AX485" s="209"/>
      <c r="AY485" s="240"/>
      <c r="BB485" s="99"/>
      <c r="BC485" s="99"/>
      <c r="BD485" s="187"/>
      <c r="CH485" s="53" t="str">
        <f>IFERROR(TOWER_DATA[[#This Row],[Top '[m']]]-TOWER_DATA[[#This Row],[Bottom '[m']]], "")</f>
        <v/>
      </c>
      <c r="CI485" s="217" t="str">
        <f>IFERROR(-(TOWER_DATA[[#This Row],[D, bottom '[m']]]-TOWER_DATA[[#This Row],[D, top '[m']]])/(TOWER_DATA[[#This Row],[Bottom '[m']]]-TOWER_DATA[[#This Row],[Top '[m']]]),"")</f>
        <v/>
      </c>
      <c r="CJ485" s="145" t="str">
        <f t="shared" si="17"/>
        <v/>
      </c>
      <c r="CK485" s="220" t="str">
        <f>IFERROR((TOWER_DATA[[#This Row],[D, bottom '[m']]]+TOWER_DATA[[#This Row],[D, top '[m']]])/(2*TOWER_DATA[[#This Row],[t '[mm']]]/1000),"")</f>
        <v/>
      </c>
      <c r="DO485" s="209"/>
      <c r="DP485" s="209"/>
      <c r="DQ485" s="187"/>
      <c r="DT485" s="99"/>
      <c r="DU485" s="99"/>
    </row>
    <row r="486" spans="1:125" ht="18" customHeight="1">
      <c r="A486" s="271"/>
      <c r="D486" s="280"/>
      <c r="E486" s="52"/>
      <c r="K486" s="233" t="str">
        <f>IFERROR(MP_DATA[[#This Row],[Top '[m']]]-MP_DATA[[#This Row],[Bottom '[m']]], "")</f>
        <v/>
      </c>
      <c r="L486" s="208"/>
      <c r="M486" s="145" t="str">
        <f t="shared" si="18"/>
        <v/>
      </c>
      <c r="N486" s="234" t="str">
        <f>IFERROR((MP_DATA[[#This Row],[D, bottom '[m']]]+MP_DATA[[#This Row],[D, top '[m']]])/(2*MP_DATA[[#This Row],[t '[mm']]]/1000),"")</f>
        <v/>
      </c>
      <c r="Q486" s="209"/>
      <c r="R486" s="209"/>
      <c r="S486" s="187"/>
      <c r="AV486" s="233" t="str">
        <f>IFERROR(TP_DATA[[#This Row],[Top '[m']]]-TP_DATA[[#This Row],[Bottom '[m']]], "")</f>
        <v/>
      </c>
      <c r="AW486" s="208"/>
      <c r="AX486" s="209"/>
      <c r="AY486" s="240"/>
      <c r="BB486" s="99"/>
      <c r="BC486" s="99"/>
      <c r="BD486" s="187"/>
      <c r="CH486" s="53" t="str">
        <f>IFERROR(TOWER_DATA[[#This Row],[Top '[m']]]-TOWER_DATA[[#This Row],[Bottom '[m']]], "")</f>
        <v/>
      </c>
      <c r="CI486" s="217" t="str">
        <f>IFERROR(-(TOWER_DATA[[#This Row],[D, bottom '[m']]]-TOWER_DATA[[#This Row],[D, top '[m']]])/(TOWER_DATA[[#This Row],[Bottom '[m']]]-TOWER_DATA[[#This Row],[Top '[m']]]),"")</f>
        <v/>
      </c>
      <c r="CJ486" s="145" t="str">
        <f t="shared" si="17"/>
        <v/>
      </c>
      <c r="CK486" s="220" t="str">
        <f>IFERROR((TOWER_DATA[[#This Row],[D, bottom '[m']]]+TOWER_DATA[[#This Row],[D, top '[m']]])/(2*TOWER_DATA[[#This Row],[t '[mm']]]/1000),"")</f>
        <v/>
      </c>
      <c r="DO486" s="209"/>
      <c r="DP486" s="209"/>
      <c r="DQ486" s="187"/>
      <c r="DT486" s="99"/>
      <c r="DU486" s="99"/>
    </row>
    <row r="487" spans="1:125" ht="18" customHeight="1">
      <c r="A487" s="271"/>
      <c r="D487" s="280"/>
      <c r="E487" s="52"/>
      <c r="K487" s="233" t="str">
        <f>IFERROR(MP_DATA[[#This Row],[Top '[m']]]-MP_DATA[[#This Row],[Bottom '[m']]], "")</f>
        <v/>
      </c>
      <c r="L487" s="208"/>
      <c r="M487" s="145" t="str">
        <f t="shared" si="18"/>
        <v/>
      </c>
      <c r="N487" s="234" t="str">
        <f>IFERROR((MP_DATA[[#This Row],[D, bottom '[m']]]+MP_DATA[[#This Row],[D, top '[m']]])/(2*MP_DATA[[#This Row],[t '[mm']]]/1000),"")</f>
        <v/>
      </c>
      <c r="Q487" s="209"/>
      <c r="R487" s="209"/>
      <c r="S487" s="187"/>
      <c r="AV487" s="233" t="str">
        <f>IFERROR(TP_DATA[[#This Row],[Top '[m']]]-TP_DATA[[#This Row],[Bottom '[m']]], "")</f>
        <v/>
      </c>
      <c r="AW487" s="208"/>
      <c r="AX487" s="209"/>
      <c r="AY487" s="240"/>
      <c r="BB487" s="99"/>
      <c r="BC487" s="99"/>
      <c r="BD487" s="187"/>
      <c r="CH487" s="53" t="str">
        <f>IFERROR(TOWER_DATA[[#This Row],[Top '[m']]]-TOWER_DATA[[#This Row],[Bottom '[m']]], "")</f>
        <v/>
      </c>
      <c r="CI487" s="217" t="str">
        <f>IFERROR(-(TOWER_DATA[[#This Row],[D, bottom '[m']]]-TOWER_DATA[[#This Row],[D, top '[m']]])/(TOWER_DATA[[#This Row],[Bottom '[m']]]-TOWER_DATA[[#This Row],[Top '[m']]]),"")</f>
        <v/>
      </c>
      <c r="CJ487" s="145" t="str">
        <f t="shared" si="17"/>
        <v/>
      </c>
      <c r="CK487" s="220" t="str">
        <f>IFERROR((TOWER_DATA[[#This Row],[D, bottom '[m']]]+TOWER_DATA[[#This Row],[D, top '[m']]])/(2*TOWER_DATA[[#This Row],[t '[mm']]]/1000),"")</f>
        <v/>
      </c>
      <c r="DO487" s="209"/>
      <c r="DP487" s="209"/>
      <c r="DQ487" s="187"/>
      <c r="DT487" s="99"/>
      <c r="DU487" s="99"/>
    </row>
    <row r="488" spans="1:125" ht="18" customHeight="1">
      <c r="A488" s="271"/>
      <c r="D488" s="280"/>
      <c r="E488" s="52"/>
      <c r="K488" s="233" t="str">
        <f>IFERROR(MP_DATA[[#This Row],[Top '[m']]]-MP_DATA[[#This Row],[Bottom '[m']]], "")</f>
        <v/>
      </c>
      <c r="L488" s="208"/>
      <c r="M488" s="145" t="str">
        <f t="shared" si="18"/>
        <v/>
      </c>
      <c r="N488" s="234" t="str">
        <f>IFERROR((MP_DATA[[#This Row],[D, bottom '[m']]]+MP_DATA[[#This Row],[D, top '[m']]])/(2*MP_DATA[[#This Row],[t '[mm']]]/1000),"")</f>
        <v/>
      </c>
      <c r="Q488" s="209"/>
      <c r="R488" s="209"/>
      <c r="S488" s="187"/>
      <c r="AV488" s="233" t="str">
        <f>IFERROR(TP_DATA[[#This Row],[Top '[m']]]-TP_DATA[[#This Row],[Bottom '[m']]], "")</f>
        <v/>
      </c>
      <c r="AW488" s="208"/>
      <c r="AX488" s="209"/>
      <c r="AY488" s="240"/>
      <c r="BB488" s="99"/>
      <c r="BC488" s="99"/>
      <c r="BD488" s="187"/>
      <c r="CH488" s="53" t="str">
        <f>IFERROR(TOWER_DATA[[#This Row],[Top '[m']]]-TOWER_DATA[[#This Row],[Bottom '[m']]], "")</f>
        <v/>
      </c>
      <c r="CI488" s="217" t="str">
        <f>IFERROR(-(TOWER_DATA[[#This Row],[D, bottom '[m']]]-TOWER_DATA[[#This Row],[D, top '[m']]])/(TOWER_DATA[[#This Row],[Bottom '[m']]]-TOWER_DATA[[#This Row],[Top '[m']]]),"")</f>
        <v/>
      </c>
      <c r="CJ488" s="145" t="str">
        <f t="shared" si="17"/>
        <v/>
      </c>
      <c r="CK488" s="220" t="str">
        <f>IFERROR((TOWER_DATA[[#This Row],[D, bottom '[m']]]+TOWER_DATA[[#This Row],[D, top '[m']]])/(2*TOWER_DATA[[#This Row],[t '[mm']]]/1000),"")</f>
        <v/>
      </c>
      <c r="DO488" s="209"/>
      <c r="DP488" s="209"/>
      <c r="DQ488" s="187"/>
      <c r="DT488" s="99"/>
      <c r="DU488" s="99"/>
    </row>
    <row r="489" spans="1:125" ht="18" customHeight="1">
      <c r="A489" s="271"/>
      <c r="D489" s="280"/>
      <c r="E489" s="52"/>
      <c r="K489" s="233" t="str">
        <f>IFERROR(MP_DATA[[#This Row],[Top '[m']]]-MP_DATA[[#This Row],[Bottom '[m']]], "")</f>
        <v/>
      </c>
      <c r="L489" s="208"/>
      <c r="M489" s="145" t="str">
        <f t="shared" si="18"/>
        <v/>
      </c>
      <c r="N489" s="234" t="str">
        <f>IFERROR((MP_DATA[[#This Row],[D, bottom '[m']]]+MP_DATA[[#This Row],[D, top '[m']]])/(2*MP_DATA[[#This Row],[t '[mm']]]/1000),"")</f>
        <v/>
      </c>
      <c r="Q489" s="209"/>
      <c r="R489" s="209"/>
      <c r="S489" s="187"/>
      <c r="AV489" s="233" t="str">
        <f>IFERROR(TP_DATA[[#This Row],[Top '[m']]]-TP_DATA[[#This Row],[Bottom '[m']]], "")</f>
        <v/>
      </c>
      <c r="AW489" s="208"/>
      <c r="AX489" s="209"/>
      <c r="AY489" s="240"/>
      <c r="BB489" s="99"/>
      <c r="BC489" s="99"/>
      <c r="BD489" s="187"/>
      <c r="CH489" s="53" t="str">
        <f>IFERROR(TOWER_DATA[[#This Row],[Top '[m']]]-TOWER_DATA[[#This Row],[Bottom '[m']]], "")</f>
        <v/>
      </c>
      <c r="CI489" s="217" t="str">
        <f>IFERROR(-(TOWER_DATA[[#This Row],[D, bottom '[m']]]-TOWER_DATA[[#This Row],[D, top '[m']]])/(TOWER_DATA[[#This Row],[Bottom '[m']]]-TOWER_DATA[[#This Row],[Top '[m']]]),"")</f>
        <v/>
      </c>
      <c r="CJ489" s="145" t="str">
        <f t="shared" si="17"/>
        <v/>
      </c>
      <c r="CK489" s="220" t="str">
        <f>IFERROR((TOWER_DATA[[#This Row],[D, bottom '[m']]]+TOWER_DATA[[#This Row],[D, top '[m']]])/(2*TOWER_DATA[[#This Row],[t '[mm']]]/1000),"")</f>
        <v/>
      </c>
      <c r="DO489" s="209"/>
      <c r="DP489" s="209"/>
      <c r="DQ489" s="187"/>
      <c r="DT489" s="99"/>
      <c r="DU489" s="99"/>
    </row>
    <row r="490" spans="1:125" ht="18" customHeight="1">
      <c r="A490" s="271"/>
      <c r="D490" s="280"/>
      <c r="E490" s="52"/>
      <c r="K490" s="235" t="str">
        <f>IFERROR(MP_DATA[[#This Row],[Top '[m']]]-MP_DATA[[#This Row],[Bottom '[m']]], "")</f>
        <v/>
      </c>
      <c r="L490" s="239"/>
      <c r="M490" s="237" t="str">
        <f t="shared" si="18"/>
        <v/>
      </c>
      <c r="N490" s="238" t="str">
        <f>IFERROR((MP_DATA[[#This Row],[D, bottom '[m']]]+MP_DATA[[#This Row],[D, top '[m']]])/(2*MP_DATA[[#This Row],[t '[mm']]]/1000),"")</f>
        <v/>
      </c>
      <c r="Q490" s="209"/>
      <c r="R490" s="209"/>
      <c r="S490" s="187"/>
      <c r="AV490" s="233" t="str">
        <f>IFERROR(TP_DATA[[#This Row],[Top '[m']]]-TP_DATA[[#This Row],[Bottom '[m']]], "")</f>
        <v/>
      </c>
      <c r="AW490" s="208"/>
      <c r="AX490" s="209"/>
      <c r="AY490" s="240"/>
      <c r="BB490" s="99"/>
      <c r="BC490" s="99"/>
      <c r="BD490" s="187"/>
      <c r="CH490" s="53" t="str">
        <f>IFERROR(TOWER_DATA[[#This Row],[Top '[m']]]-TOWER_DATA[[#This Row],[Bottom '[m']]], "")</f>
        <v/>
      </c>
      <c r="CI490" s="217" t="str">
        <f>IFERROR(-(TOWER_DATA[[#This Row],[D, bottom '[m']]]-TOWER_DATA[[#This Row],[D, top '[m']]])/(TOWER_DATA[[#This Row],[Bottom '[m']]]-TOWER_DATA[[#This Row],[Top '[m']]]),"")</f>
        <v/>
      </c>
      <c r="CJ490" s="145" t="str">
        <f t="shared" si="17"/>
        <v/>
      </c>
      <c r="CK490" s="220" t="str">
        <f>IFERROR((TOWER_DATA[[#This Row],[D, bottom '[m']]]+TOWER_DATA[[#This Row],[D, top '[m']]])/(2*TOWER_DATA[[#This Row],[t '[mm']]]/1000),"")</f>
        <v/>
      </c>
      <c r="DO490" s="209"/>
      <c r="DP490" s="209"/>
      <c r="DQ490" s="187"/>
      <c r="DT490" s="99"/>
      <c r="DU490" s="99"/>
    </row>
    <row r="491" spans="1:125" ht="18" customHeight="1">
      <c r="A491" s="271"/>
      <c r="D491" s="280"/>
      <c r="E491" s="52"/>
      <c r="K491" s="53" t="str">
        <f>IFERROR(MP_DATA[[#This Row],[Top '[m']]]-MP_DATA[[#This Row],[Bottom '[m']]], "")</f>
        <v/>
      </c>
      <c r="L491" s="208"/>
      <c r="M491" s="145" t="str">
        <f t="shared" si="18"/>
        <v/>
      </c>
      <c r="N491" s="220" t="str">
        <f>IFERROR((MP_DATA[[#This Row],[D, bottom '[m']]]+MP_DATA[[#This Row],[D, top '[m']]])/(2*MP_DATA[[#This Row],[t '[mm']]]/1000),"")</f>
        <v/>
      </c>
      <c r="Q491" s="209"/>
      <c r="R491" s="209"/>
      <c r="S491" s="187"/>
      <c r="AV491" s="233" t="str">
        <f>IFERROR(TP_DATA[[#This Row],[Top '[m']]]-TP_DATA[[#This Row],[Bottom '[m']]], "")</f>
        <v/>
      </c>
      <c r="AW491" s="208"/>
      <c r="AX491" s="209"/>
      <c r="AY491" s="240"/>
      <c r="BB491" s="99"/>
      <c r="BC491" s="99"/>
      <c r="BD491" s="187"/>
      <c r="CH491" s="53" t="str">
        <f>IFERROR(TOWER_DATA[[#This Row],[Top '[m']]]-TOWER_DATA[[#This Row],[Bottom '[m']]], "")</f>
        <v/>
      </c>
      <c r="CI491" s="217" t="str">
        <f>IFERROR(-(TOWER_DATA[[#This Row],[D, bottom '[m']]]-TOWER_DATA[[#This Row],[D, top '[m']]])/(TOWER_DATA[[#This Row],[Bottom '[m']]]-TOWER_DATA[[#This Row],[Top '[m']]]),"")</f>
        <v/>
      </c>
      <c r="CJ491" s="145" t="str">
        <f t="shared" si="17"/>
        <v/>
      </c>
      <c r="CK491" s="220" t="str">
        <f>IFERROR((TOWER_DATA[[#This Row],[D, bottom '[m']]]+TOWER_DATA[[#This Row],[D, top '[m']]])/(2*TOWER_DATA[[#This Row],[t '[mm']]]/1000),"")</f>
        <v/>
      </c>
      <c r="DO491" s="209"/>
      <c r="DP491" s="209"/>
      <c r="DQ491" s="187"/>
      <c r="DT491" s="99"/>
      <c r="DU491" s="99"/>
    </row>
    <row r="492" spans="1:125" ht="18" customHeight="1">
      <c r="A492" s="271"/>
      <c r="D492" s="280"/>
      <c r="E492" s="52"/>
      <c r="K492" s="53" t="str">
        <f>IFERROR(MP_DATA[[#This Row],[Top '[m']]]-MP_DATA[[#This Row],[Bottom '[m']]], "")</f>
        <v/>
      </c>
      <c r="L492" s="208"/>
      <c r="M492" s="145" t="str">
        <f t="shared" si="18"/>
        <v/>
      </c>
      <c r="N492" s="220" t="str">
        <f>IFERROR((MP_DATA[[#This Row],[D, bottom '[m']]]+MP_DATA[[#This Row],[D, top '[m']]])/(2*MP_DATA[[#This Row],[t '[mm']]]/1000),"")</f>
        <v/>
      </c>
      <c r="Q492" s="209"/>
      <c r="R492" s="209"/>
      <c r="S492" s="187"/>
      <c r="AV492" s="233" t="str">
        <f>IFERROR(TP_DATA[[#This Row],[Top '[m']]]-TP_DATA[[#This Row],[Bottom '[m']]], "")</f>
        <v/>
      </c>
      <c r="AW492" s="208"/>
      <c r="AX492" s="209"/>
      <c r="AY492" s="240"/>
      <c r="BB492" s="99"/>
      <c r="BC492" s="99"/>
      <c r="BD492" s="187"/>
      <c r="CH492" s="53" t="str">
        <f>IFERROR(TOWER_DATA[[#This Row],[Top '[m']]]-TOWER_DATA[[#This Row],[Bottom '[m']]], "")</f>
        <v/>
      </c>
      <c r="CI492" s="217" t="str">
        <f>IFERROR(-(TOWER_DATA[[#This Row],[D, bottom '[m']]]-TOWER_DATA[[#This Row],[D, top '[m']]])/(TOWER_DATA[[#This Row],[Bottom '[m']]]-TOWER_DATA[[#This Row],[Top '[m']]]),"")</f>
        <v/>
      </c>
      <c r="CJ492" s="145" t="str">
        <f t="shared" si="17"/>
        <v/>
      </c>
      <c r="CK492" s="220" t="str">
        <f>IFERROR((TOWER_DATA[[#This Row],[D, bottom '[m']]]+TOWER_DATA[[#This Row],[D, top '[m']]])/(2*TOWER_DATA[[#This Row],[t '[mm']]]/1000),"")</f>
        <v/>
      </c>
      <c r="DO492" s="209"/>
      <c r="DP492" s="209"/>
      <c r="DQ492" s="187"/>
      <c r="DT492" s="99"/>
      <c r="DU492" s="99"/>
    </row>
    <row r="493" spans="1:125" ht="18" customHeight="1">
      <c r="A493" s="271"/>
      <c r="D493" s="280"/>
      <c r="E493" s="52"/>
      <c r="K493" s="53" t="str">
        <f>IFERROR(MP_DATA[[#This Row],[Top '[m']]]-MP_DATA[[#This Row],[Bottom '[m']]], "")</f>
        <v/>
      </c>
      <c r="L493" s="208"/>
      <c r="M493" s="145" t="str">
        <f t="shared" si="18"/>
        <v/>
      </c>
      <c r="N493" s="220" t="str">
        <f>IFERROR((MP_DATA[[#This Row],[D, bottom '[m']]]+MP_DATA[[#This Row],[D, top '[m']]])/(2*MP_DATA[[#This Row],[t '[mm']]]/1000),"")</f>
        <v/>
      </c>
      <c r="Q493" s="209"/>
      <c r="R493" s="209"/>
      <c r="S493" s="187"/>
      <c r="AV493" s="233" t="str">
        <f>IFERROR(TP_DATA[[#This Row],[Top '[m']]]-TP_DATA[[#This Row],[Bottom '[m']]], "")</f>
        <v/>
      </c>
      <c r="AW493" s="208"/>
      <c r="AX493" s="209"/>
      <c r="AY493" s="240"/>
      <c r="BB493" s="99"/>
      <c r="BC493" s="99"/>
      <c r="BD493" s="187"/>
      <c r="CH493" s="53" t="str">
        <f>IFERROR(TOWER_DATA[[#This Row],[Top '[m']]]-TOWER_DATA[[#This Row],[Bottom '[m']]], "")</f>
        <v/>
      </c>
      <c r="CI493" s="217" t="str">
        <f>IFERROR(-(TOWER_DATA[[#This Row],[D, bottom '[m']]]-TOWER_DATA[[#This Row],[D, top '[m']]])/(TOWER_DATA[[#This Row],[Bottom '[m']]]-TOWER_DATA[[#This Row],[Top '[m']]]),"")</f>
        <v/>
      </c>
      <c r="CJ493" s="145" t="str">
        <f t="shared" si="17"/>
        <v/>
      </c>
      <c r="CK493" s="220" t="str">
        <f>IFERROR((TOWER_DATA[[#This Row],[D, bottom '[m']]]+TOWER_DATA[[#This Row],[D, top '[m']]])/(2*TOWER_DATA[[#This Row],[t '[mm']]]/1000),"")</f>
        <v/>
      </c>
      <c r="DO493" s="209"/>
      <c r="DP493" s="209"/>
      <c r="DQ493" s="187"/>
      <c r="DT493" s="99"/>
      <c r="DU493" s="99"/>
    </row>
    <row r="494" spans="1:125" ht="18" customHeight="1">
      <c r="A494" s="271"/>
      <c r="D494" s="280"/>
      <c r="E494" s="52"/>
      <c r="K494" s="53" t="str">
        <f>IFERROR(MP_DATA[[#This Row],[Top '[m']]]-MP_DATA[[#This Row],[Bottom '[m']]], "")</f>
        <v/>
      </c>
      <c r="L494" s="208"/>
      <c r="M494" s="145" t="str">
        <f t="shared" si="18"/>
        <v/>
      </c>
      <c r="N494" s="220" t="str">
        <f>IFERROR((MP_DATA[[#This Row],[D, bottom '[m']]]+MP_DATA[[#This Row],[D, top '[m']]])/(2*MP_DATA[[#This Row],[t '[mm']]]/1000),"")</f>
        <v/>
      </c>
      <c r="Q494" s="209"/>
      <c r="R494" s="209"/>
      <c r="S494" s="187"/>
      <c r="AV494" s="233" t="str">
        <f>IFERROR(TP_DATA[[#This Row],[Top '[m']]]-TP_DATA[[#This Row],[Bottom '[m']]], "")</f>
        <v/>
      </c>
      <c r="AW494" s="208"/>
      <c r="AX494" s="209"/>
      <c r="AY494" s="240"/>
      <c r="BB494" s="99"/>
      <c r="BC494" s="99"/>
      <c r="BD494" s="187"/>
      <c r="CH494" s="53" t="str">
        <f>IFERROR(TOWER_DATA[[#This Row],[Top '[m']]]-TOWER_DATA[[#This Row],[Bottom '[m']]], "")</f>
        <v/>
      </c>
      <c r="CI494" s="217" t="str">
        <f>IFERROR(-(TOWER_DATA[[#This Row],[D, bottom '[m']]]-TOWER_DATA[[#This Row],[D, top '[m']]])/(TOWER_DATA[[#This Row],[Bottom '[m']]]-TOWER_DATA[[#This Row],[Top '[m']]]),"")</f>
        <v/>
      </c>
      <c r="CJ494" s="145" t="str">
        <f t="shared" si="17"/>
        <v/>
      </c>
      <c r="CK494" s="220" t="str">
        <f>IFERROR((TOWER_DATA[[#This Row],[D, bottom '[m']]]+TOWER_DATA[[#This Row],[D, top '[m']]])/(2*TOWER_DATA[[#This Row],[t '[mm']]]/1000),"")</f>
        <v/>
      </c>
      <c r="DO494" s="209"/>
      <c r="DP494" s="209"/>
      <c r="DQ494" s="187"/>
      <c r="DT494" s="99"/>
      <c r="DU494" s="99"/>
    </row>
    <row r="495" spans="1:125" ht="18" customHeight="1">
      <c r="A495" s="271"/>
      <c r="D495" s="280"/>
      <c r="E495" s="52"/>
      <c r="K495" s="53" t="str">
        <f>IFERROR(MP_DATA[[#This Row],[Top '[m']]]-MP_DATA[[#This Row],[Bottom '[m']]], "")</f>
        <v/>
      </c>
      <c r="L495" s="208"/>
      <c r="M495" s="145" t="str">
        <f t="shared" si="18"/>
        <v/>
      </c>
      <c r="N495" s="220" t="str">
        <f>IFERROR((MP_DATA[[#This Row],[D, bottom '[m']]]+MP_DATA[[#This Row],[D, top '[m']]])/(2*MP_DATA[[#This Row],[t '[mm']]]/1000),"")</f>
        <v/>
      </c>
      <c r="Q495" s="209"/>
      <c r="R495" s="209"/>
      <c r="S495" s="187"/>
      <c r="AV495" s="233" t="str">
        <f>IFERROR(TP_DATA[[#This Row],[Top '[m']]]-TP_DATA[[#This Row],[Bottom '[m']]], "")</f>
        <v/>
      </c>
      <c r="AW495" s="208"/>
      <c r="AX495" s="209"/>
      <c r="AY495" s="240"/>
      <c r="BB495" s="99"/>
      <c r="BC495" s="99"/>
      <c r="BD495" s="187"/>
      <c r="CH495" s="53" t="str">
        <f>IFERROR(TOWER_DATA[[#This Row],[Top '[m']]]-TOWER_DATA[[#This Row],[Bottom '[m']]], "")</f>
        <v/>
      </c>
      <c r="CI495" s="217" t="str">
        <f>IFERROR(-(TOWER_DATA[[#This Row],[D, bottom '[m']]]-TOWER_DATA[[#This Row],[D, top '[m']]])/(TOWER_DATA[[#This Row],[Bottom '[m']]]-TOWER_DATA[[#This Row],[Top '[m']]]),"")</f>
        <v/>
      </c>
      <c r="CJ495" s="145" t="str">
        <f t="shared" si="17"/>
        <v/>
      </c>
      <c r="CK495" s="220" t="str">
        <f>IFERROR((TOWER_DATA[[#This Row],[D, bottom '[m']]]+TOWER_DATA[[#This Row],[D, top '[m']]])/(2*TOWER_DATA[[#This Row],[t '[mm']]]/1000),"")</f>
        <v/>
      </c>
      <c r="DO495" s="209"/>
      <c r="DP495" s="209"/>
      <c r="DQ495" s="187"/>
      <c r="DT495" s="99"/>
      <c r="DU495" s="99"/>
    </row>
    <row r="496" spans="1:125" ht="18" customHeight="1">
      <c r="A496" s="271"/>
      <c r="D496" s="280"/>
      <c r="E496" s="52"/>
      <c r="K496" s="53" t="str">
        <f>IFERROR(MP_DATA[[#This Row],[Top '[m']]]-MP_DATA[[#This Row],[Bottom '[m']]], "")</f>
        <v/>
      </c>
      <c r="L496" s="208"/>
      <c r="M496" s="145" t="str">
        <f t="shared" si="18"/>
        <v/>
      </c>
      <c r="N496" s="220" t="str">
        <f>IFERROR((MP_DATA[[#This Row],[D, bottom '[m']]]+MP_DATA[[#This Row],[D, top '[m']]])/(2*MP_DATA[[#This Row],[t '[mm']]]/1000),"")</f>
        <v/>
      </c>
      <c r="Q496" s="209"/>
      <c r="R496" s="209"/>
      <c r="S496" s="187"/>
      <c r="AV496" s="233" t="str">
        <f>IFERROR(TP_DATA[[#This Row],[Top '[m']]]-TP_DATA[[#This Row],[Bottom '[m']]], "")</f>
        <v/>
      </c>
      <c r="AW496" s="208"/>
      <c r="AX496" s="209"/>
      <c r="AY496" s="240"/>
      <c r="BB496" s="99"/>
      <c r="BC496" s="99"/>
      <c r="BD496" s="187"/>
      <c r="CH496" s="53" t="str">
        <f>IFERROR(TOWER_DATA[[#This Row],[Top '[m']]]-TOWER_DATA[[#This Row],[Bottom '[m']]], "")</f>
        <v/>
      </c>
      <c r="CI496" s="217" t="str">
        <f>IFERROR(-(TOWER_DATA[[#This Row],[D, bottom '[m']]]-TOWER_DATA[[#This Row],[D, top '[m']]])/(TOWER_DATA[[#This Row],[Bottom '[m']]]-TOWER_DATA[[#This Row],[Top '[m']]]),"")</f>
        <v/>
      </c>
      <c r="CJ496" s="145" t="str">
        <f t="shared" si="17"/>
        <v/>
      </c>
      <c r="CK496" s="220" t="str">
        <f>IFERROR((TOWER_DATA[[#This Row],[D, bottom '[m']]]+TOWER_DATA[[#This Row],[D, top '[m']]])/(2*TOWER_DATA[[#This Row],[t '[mm']]]/1000),"")</f>
        <v/>
      </c>
      <c r="DO496" s="209"/>
      <c r="DP496" s="209"/>
      <c r="DQ496" s="187"/>
      <c r="DT496" s="99"/>
      <c r="DU496" s="99"/>
    </row>
    <row r="497" spans="1:125" ht="18" customHeight="1">
      <c r="A497" s="271"/>
      <c r="D497" s="280"/>
      <c r="E497" s="52"/>
      <c r="K497" s="53" t="str">
        <f>IFERROR(MP_DATA[[#This Row],[Top '[m']]]-MP_DATA[[#This Row],[Bottom '[m']]], "")</f>
        <v/>
      </c>
      <c r="L497" s="208"/>
      <c r="M497" s="145" t="str">
        <f t="shared" si="18"/>
        <v/>
      </c>
      <c r="N497" s="220" t="str">
        <f>IFERROR((MP_DATA[[#This Row],[D, bottom '[m']]]+MP_DATA[[#This Row],[D, top '[m']]])/(2*MP_DATA[[#This Row],[t '[mm']]]/1000),"")</f>
        <v/>
      </c>
      <c r="Q497" s="209"/>
      <c r="R497" s="209"/>
      <c r="S497" s="187"/>
      <c r="AV497" s="233" t="str">
        <f>IFERROR(TP_DATA[[#This Row],[Top '[m']]]-TP_DATA[[#This Row],[Bottom '[m']]], "")</f>
        <v/>
      </c>
      <c r="AW497" s="208"/>
      <c r="AX497" s="209"/>
      <c r="AY497" s="240"/>
      <c r="BB497" s="99"/>
      <c r="BC497" s="99"/>
      <c r="BD497" s="187"/>
      <c r="CH497" s="53" t="str">
        <f>IFERROR(TOWER_DATA[[#This Row],[Top '[m']]]-TOWER_DATA[[#This Row],[Bottom '[m']]], "")</f>
        <v/>
      </c>
      <c r="CI497" s="217" t="str">
        <f>IFERROR(-(TOWER_DATA[[#This Row],[D, bottom '[m']]]-TOWER_DATA[[#This Row],[D, top '[m']]])/(TOWER_DATA[[#This Row],[Bottom '[m']]]-TOWER_DATA[[#This Row],[Top '[m']]]),"")</f>
        <v/>
      </c>
      <c r="CJ497" s="145" t="str">
        <f t="shared" ref="CJ497:CJ560" si="19">IF(7850/1000*(1/3)*PI()*ABS(CC497-CD497)*((CE497/2)^2+(CE497/2)*(CF497/2)+(CF497/2)^2-(CE497/2-CG497/1000)^2-(CE497/2-CG497/1000)*(CF497/2-CG497/1000)-(CF497/2-CG497/1000)^2)=0,"",7850/1000*(1/3)*PI()*ABS(CC497-CD497)*((CE497/2)^2+(CE497/2)*(CF497/2)+(CF497/2)^2-(CE497/2-CG497/1000)^2-(CE497/2-CG497/1000)*(CF497/2-CG497/1000)-(CF497/2-CG497/1000)^2))</f>
        <v/>
      </c>
      <c r="CK497" s="220" t="str">
        <f>IFERROR((TOWER_DATA[[#This Row],[D, bottom '[m']]]+TOWER_DATA[[#This Row],[D, top '[m']]])/(2*TOWER_DATA[[#This Row],[t '[mm']]]/1000),"")</f>
        <v/>
      </c>
      <c r="DO497" s="209"/>
      <c r="DP497" s="209"/>
      <c r="DQ497" s="187"/>
      <c r="DT497" s="99"/>
      <c r="DU497" s="99"/>
    </row>
    <row r="498" spans="1:125" ht="18" customHeight="1">
      <c r="A498" s="271"/>
      <c r="D498" s="280"/>
      <c r="E498" s="52"/>
      <c r="K498" s="53" t="str">
        <f>IFERROR(MP_DATA[[#This Row],[Top '[m']]]-MP_DATA[[#This Row],[Bottom '[m']]], "")</f>
        <v/>
      </c>
      <c r="L498" s="208"/>
      <c r="M498" s="145" t="str">
        <f t="shared" ref="M498:M561" si="20">IF(7850/1000*(1/3)*PI()*ABS(F498-G498)*((H498/2)^2+(H498/2)*(I498/2)+(I498/2)^2-(H498/2-J498/1000)^2-(H498/2-J498/1000)*(I498/2-J498/1000)-(I498/2-J498/1000)^2)=0,"",7850/1000*(1/3)*PI()*ABS(F498-G498)*((H498/2)^2+(H498/2)*(I498/2)+(I498/2)^2-(H498/2-J498/1000)^2-(H498/2-J498/1000)*(I498/2-J498/1000)-(I498/2-J498/1000)^2))</f>
        <v/>
      </c>
      <c r="N498" s="220" t="str">
        <f>IFERROR((MP_DATA[[#This Row],[D, bottom '[m']]]+MP_DATA[[#This Row],[D, top '[m']]])/(2*MP_DATA[[#This Row],[t '[mm']]]/1000),"")</f>
        <v/>
      </c>
      <c r="Q498" s="209"/>
      <c r="R498" s="209"/>
      <c r="S498" s="187"/>
      <c r="AV498" s="233" t="str">
        <f>IFERROR(TP_DATA[[#This Row],[Top '[m']]]-TP_DATA[[#This Row],[Bottom '[m']]], "")</f>
        <v/>
      </c>
      <c r="AW498" s="208"/>
      <c r="AX498" s="209"/>
      <c r="AY498" s="240"/>
      <c r="BB498" s="99"/>
      <c r="BC498" s="99"/>
      <c r="BD498" s="187"/>
      <c r="CH498" s="53" t="str">
        <f>IFERROR(TOWER_DATA[[#This Row],[Top '[m']]]-TOWER_DATA[[#This Row],[Bottom '[m']]], "")</f>
        <v/>
      </c>
      <c r="CI498" s="217" t="str">
        <f>IFERROR(-(TOWER_DATA[[#This Row],[D, bottom '[m']]]-TOWER_DATA[[#This Row],[D, top '[m']]])/(TOWER_DATA[[#This Row],[Bottom '[m']]]-TOWER_DATA[[#This Row],[Top '[m']]]),"")</f>
        <v/>
      </c>
      <c r="CJ498" s="145" t="str">
        <f t="shared" si="19"/>
        <v/>
      </c>
      <c r="CK498" s="220" t="str">
        <f>IFERROR((TOWER_DATA[[#This Row],[D, bottom '[m']]]+TOWER_DATA[[#This Row],[D, top '[m']]])/(2*TOWER_DATA[[#This Row],[t '[mm']]]/1000),"")</f>
        <v/>
      </c>
      <c r="DO498" s="209"/>
      <c r="DP498" s="209"/>
      <c r="DQ498" s="187"/>
      <c r="DT498" s="99"/>
      <c r="DU498" s="99"/>
    </row>
    <row r="499" spans="1:125" ht="18" customHeight="1">
      <c r="A499" s="271"/>
      <c r="D499" s="280"/>
      <c r="E499" s="52"/>
      <c r="K499" s="53" t="str">
        <f>IFERROR(MP_DATA[[#This Row],[Top '[m']]]-MP_DATA[[#This Row],[Bottom '[m']]], "")</f>
        <v/>
      </c>
      <c r="L499" s="208"/>
      <c r="M499" s="145" t="str">
        <f t="shared" si="20"/>
        <v/>
      </c>
      <c r="N499" s="220" t="str">
        <f>IFERROR((MP_DATA[[#This Row],[D, bottom '[m']]]+MP_DATA[[#This Row],[D, top '[m']]])/(2*MP_DATA[[#This Row],[t '[mm']]]/1000),"")</f>
        <v/>
      </c>
      <c r="Q499" s="209"/>
      <c r="R499" s="209"/>
      <c r="S499" s="187"/>
      <c r="AV499" s="233" t="str">
        <f>IFERROR(TP_DATA[[#This Row],[Top '[m']]]-TP_DATA[[#This Row],[Bottom '[m']]], "")</f>
        <v/>
      </c>
      <c r="AW499" s="208"/>
      <c r="AX499" s="209"/>
      <c r="AY499" s="240"/>
      <c r="BB499" s="99"/>
      <c r="BC499" s="99"/>
      <c r="BD499" s="187"/>
      <c r="CH499" s="53" t="str">
        <f>IFERROR(TOWER_DATA[[#This Row],[Top '[m']]]-TOWER_DATA[[#This Row],[Bottom '[m']]], "")</f>
        <v/>
      </c>
      <c r="CI499" s="217" t="str">
        <f>IFERROR(-(TOWER_DATA[[#This Row],[D, bottom '[m']]]-TOWER_DATA[[#This Row],[D, top '[m']]])/(TOWER_DATA[[#This Row],[Bottom '[m']]]-TOWER_DATA[[#This Row],[Top '[m']]]),"")</f>
        <v/>
      </c>
      <c r="CJ499" s="145" t="str">
        <f t="shared" si="19"/>
        <v/>
      </c>
      <c r="CK499" s="220" t="str">
        <f>IFERROR((TOWER_DATA[[#This Row],[D, bottom '[m']]]+TOWER_DATA[[#This Row],[D, top '[m']]])/(2*TOWER_DATA[[#This Row],[t '[mm']]]/1000),"")</f>
        <v/>
      </c>
      <c r="DO499" s="209"/>
      <c r="DP499" s="209"/>
      <c r="DQ499" s="187"/>
      <c r="DT499" s="99"/>
      <c r="DU499" s="99"/>
    </row>
    <row r="500" spans="1:125" ht="18" customHeight="1">
      <c r="A500" s="271"/>
      <c r="D500" s="280"/>
      <c r="E500" s="52"/>
      <c r="K500" s="53" t="str">
        <f>IFERROR(MP_DATA[[#This Row],[Top '[m']]]-MP_DATA[[#This Row],[Bottom '[m']]], "")</f>
        <v/>
      </c>
      <c r="L500" s="208"/>
      <c r="M500" s="145" t="str">
        <f t="shared" si="20"/>
        <v/>
      </c>
      <c r="N500" s="220" t="str">
        <f>IFERROR((MP_DATA[[#This Row],[D, bottom '[m']]]+MP_DATA[[#This Row],[D, top '[m']]])/(2*MP_DATA[[#This Row],[t '[mm']]]/1000),"")</f>
        <v/>
      </c>
      <c r="Q500" s="209"/>
      <c r="R500" s="209"/>
      <c r="S500" s="187"/>
      <c r="AV500" s="233" t="str">
        <f>IFERROR(TP_DATA[[#This Row],[Top '[m']]]-TP_DATA[[#This Row],[Bottom '[m']]], "")</f>
        <v/>
      </c>
      <c r="AW500" s="208"/>
      <c r="AX500" s="209"/>
      <c r="AY500" s="240"/>
      <c r="BB500" s="99"/>
      <c r="BC500" s="99"/>
      <c r="BD500" s="187"/>
      <c r="CH500" s="53" t="str">
        <f>IFERROR(TOWER_DATA[[#This Row],[Top '[m']]]-TOWER_DATA[[#This Row],[Bottom '[m']]], "")</f>
        <v/>
      </c>
      <c r="CI500" s="217" t="str">
        <f>IFERROR(-(TOWER_DATA[[#This Row],[D, bottom '[m']]]-TOWER_DATA[[#This Row],[D, top '[m']]])/(TOWER_DATA[[#This Row],[Bottom '[m']]]-TOWER_DATA[[#This Row],[Top '[m']]]),"")</f>
        <v/>
      </c>
      <c r="CJ500" s="145" t="str">
        <f t="shared" si="19"/>
        <v/>
      </c>
      <c r="CK500" s="220" t="str">
        <f>IFERROR((TOWER_DATA[[#This Row],[D, bottom '[m']]]+TOWER_DATA[[#This Row],[D, top '[m']]])/(2*TOWER_DATA[[#This Row],[t '[mm']]]/1000),"")</f>
        <v/>
      </c>
      <c r="DO500" s="209"/>
      <c r="DP500" s="209"/>
      <c r="DQ500" s="187"/>
      <c r="DT500" s="99"/>
      <c r="DU500" s="99"/>
    </row>
    <row r="501" spans="1:125" ht="18" customHeight="1">
      <c r="A501" s="271"/>
      <c r="D501" s="280"/>
      <c r="E501" s="52"/>
      <c r="K501" s="53" t="str">
        <f>IFERROR(MP_DATA[[#This Row],[Top '[m']]]-MP_DATA[[#This Row],[Bottom '[m']]], "")</f>
        <v/>
      </c>
      <c r="L501" s="208"/>
      <c r="M501" s="145" t="str">
        <f t="shared" si="20"/>
        <v/>
      </c>
      <c r="N501" s="220" t="str">
        <f>IFERROR((MP_DATA[[#This Row],[D, bottom '[m']]]+MP_DATA[[#This Row],[D, top '[m']]])/(2*MP_DATA[[#This Row],[t '[mm']]]/1000),"")</f>
        <v/>
      </c>
      <c r="Q501" s="209"/>
      <c r="R501" s="209"/>
      <c r="S501" s="187"/>
      <c r="AV501" s="233" t="str">
        <f>IFERROR(TP_DATA[[#This Row],[Top '[m']]]-TP_DATA[[#This Row],[Bottom '[m']]], "")</f>
        <v/>
      </c>
      <c r="AW501" s="208"/>
      <c r="AX501" s="209"/>
      <c r="AY501" s="240"/>
      <c r="BB501" s="99"/>
      <c r="BC501" s="99"/>
      <c r="BD501" s="187"/>
      <c r="CH501" s="53" t="str">
        <f>IFERROR(TOWER_DATA[[#This Row],[Top '[m']]]-TOWER_DATA[[#This Row],[Bottom '[m']]], "")</f>
        <v/>
      </c>
      <c r="CI501" s="217" t="str">
        <f>IFERROR(-(TOWER_DATA[[#This Row],[D, bottom '[m']]]-TOWER_DATA[[#This Row],[D, top '[m']]])/(TOWER_DATA[[#This Row],[Bottom '[m']]]-TOWER_DATA[[#This Row],[Top '[m']]]),"")</f>
        <v/>
      </c>
      <c r="CJ501" s="145" t="str">
        <f t="shared" si="19"/>
        <v/>
      </c>
      <c r="CK501" s="220" t="str">
        <f>IFERROR((TOWER_DATA[[#This Row],[D, bottom '[m']]]+TOWER_DATA[[#This Row],[D, top '[m']]])/(2*TOWER_DATA[[#This Row],[t '[mm']]]/1000),"")</f>
        <v/>
      </c>
      <c r="DO501" s="209"/>
      <c r="DP501" s="209"/>
      <c r="DQ501" s="187"/>
      <c r="DT501" s="99"/>
      <c r="DU501" s="99"/>
    </row>
    <row r="502" spans="1:125" ht="18" customHeight="1">
      <c r="A502" s="271"/>
      <c r="D502" s="280"/>
      <c r="E502" s="52"/>
      <c r="K502" s="53" t="str">
        <f>IFERROR(MP_DATA[[#This Row],[Top '[m']]]-MP_DATA[[#This Row],[Bottom '[m']]], "")</f>
        <v/>
      </c>
      <c r="L502" s="208"/>
      <c r="M502" s="145" t="str">
        <f t="shared" si="20"/>
        <v/>
      </c>
      <c r="N502" s="220" t="str">
        <f>IFERROR((MP_DATA[[#This Row],[D, bottom '[m']]]+MP_DATA[[#This Row],[D, top '[m']]])/(2*MP_DATA[[#This Row],[t '[mm']]]/1000),"")</f>
        <v/>
      </c>
      <c r="Q502" s="209"/>
      <c r="R502" s="209"/>
      <c r="S502" s="187"/>
      <c r="AV502" s="233" t="str">
        <f>IFERROR(TP_DATA[[#This Row],[Top '[m']]]-TP_DATA[[#This Row],[Bottom '[m']]], "")</f>
        <v/>
      </c>
      <c r="AW502" s="208"/>
      <c r="AX502" s="209"/>
      <c r="AY502" s="240"/>
      <c r="BB502" s="99"/>
      <c r="BC502" s="99"/>
      <c r="BD502" s="187"/>
      <c r="CH502" s="53" t="str">
        <f>IFERROR(TOWER_DATA[[#This Row],[Top '[m']]]-TOWER_DATA[[#This Row],[Bottom '[m']]], "")</f>
        <v/>
      </c>
      <c r="CI502" s="217" t="str">
        <f>IFERROR(-(TOWER_DATA[[#This Row],[D, bottom '[m']]]-TOWER_DATA[[#This Row],[D, top '[m']]])/(TOWER_DATA[[#This Row],[Bottom '[m']]]-TOWER_DATA[[#This Row],[Top '[m']]]),"")</f>
        <v/>
      </c>
      <c r="CJ502" s="145" t="str">
        <f t="shared" si="19"/>
        <v/>
      </c>
      <c r="CK502" s="220" t="str">
        <f>IFERROR((TOWER_DATA[[#This Row],[D, bottom '[m']]]+TOWER_DATA[[#This Row],[D, top '[m']]])/(2*TOWER_DATA[[#This Row],[t '[mm']]]/1000),"")</f>
        <v/>
      </c>
      <c r="DO502" s="209"/>
      <c r="DP502" s="209"/>
      <c r="DQ502" s="187"/>
      <c r="DT502" s="99"/>
      <c r="DU502" s="99"/>
    </row>
    <row r="503" spans="1:125" ht="18" customHeight="1">
      <c r="A503" s="271"/>
      <c r="D503" s="280"/>
      <c r="E503" s="52"/>
      <c r="K503" s="53" t="str">
        <f>IFERROR(MP_DATA[[#This Row],[Top '[m']]]-MP_DATA[[#This Row],[Bottom '[m']]], "")</f>
        <v/>
      </c>
      <c r="L503" s="208"/>
      <c r="M503" s="145" t="str">
        <f t="shared" si="20"/>
        <v/>
      </c>
      <c r="N503" s="220" t="str">
        <f>IFERROR((MP_DATA[[#This Row],[D, bottom '[m']]]+MP_DATA[[#This Row],[D, top '[m']]])/(2*MP_DATA[[#This Row],[t '[mm']]]/1000),"")</f>
        <v/>
      </c>
      <c r="Q503" s="209"/>
      <c r="R503" s="209"/>
      <c r="S503" s="187"/>
      <c r="AV503" s="233" t="str">
        <f>IFERROR(TP_DATA[[#This Row],[Top '[m']]]-TP_DATA[[#This Row],[Bottom '[m']]], "")</f>
        <v/>
      </c>
      <c r="AW503" s="208"/>
      <c r="AX503" s="209"/>
      <c r="AY503" s="240"/>
      <c r="BB503" s="99"/>
      <c r="BC503" s="99"/>
      <c r="BD503" s="187"/>
      <c r="CH503" s="53" t="str">
        <f>IFERROR(TOWER_DATA[[#This Row],[Top '[m']]]-TOWER_DATA[[#This Row],[Bottom '[m']]], "")</f>
        <v/>
      </c>
      <c r="CI503" s="217" t="str">
        <f>IFERROR(-(TOWER_DATA[[#This Row],[D, bottom '[m']]]-TOWER_DATA[[#This Row],[D, top '[m']]])/(TOWER_DATA[[#This Row],[Bottom '[m']]]-TOWER_DATA[[#This Row],[Top '[m']]]),"")</f>
        <v/>
      </c>
      <c r="CJ503" s="145" t="str">
        <f t="shared" si="19"/>
        <v/>
      </c>
      <c r="CK503" s="220" t="str">
        <f>IFERROR((TOWER_DATA[[#This Row],[D, bottom '[m']]]+TOWER_DATA[[#This Row],[D, top '[m']]])/(2*TOWER_DATA[[#This Row],[t '[mm']]]/1000),"")</f>
        <v/>
      </c>
      <c r="DO503" s="209"/>
      <c r="DP503" s="209"/>
      <c r="DQ503" s="187"/>
      <c r="DT503" s="99"/>
      <c r="DU503" s="99"/>
    </row>
    <row r="504" spans="1:125" ht="18" customHeight="1">
      <c r="A504" s="271"/>
      <c r="D504" s="280"/>
      <c r="E504" s="52"/>
      <c r="K504" s="53" t="str">
        <f>IFERROR(MP_DATA[[#This Row],[Top '[m']]]-MP_DATA[[#This Row],[Bottom '[m']]], "")</f>
        <v/>
      </c>
      <c r="L504" s="208"/>
      <c r="M504" s="145" t="str">
        <f t="shared" si="20"/>
        <v/>
      </c>
      <c r="N504" s="220" t="str">
        <f>IFERROR((MP_DATA[[#This Row],[D, bottom '[m']]]+MP_DATA[[#This Row],[D, top '[m']]])/(2*MP_DATA[[#This Row],[t '[mm']]]/1000),"")</f>
        <v/>
      </c>
      <c r="Q504" s="209"/>
      <c r="R504" s="209"/>
      <c r="S504" s="187"/>
      <c r="AV504" s="233" t="str">
        <f>IFERROR(TP_DATA[[#This Row],[Top '[m']]]-TP_DATA[[#This Row],[Bottom '[m']]], "")</f>
        <v/>
      </c>
      <c r="AW504" s="208"/>
      <c r="AX504" s="209"/>
      <c r="AY504" s="240"/>
      <c r="BB504" s="99"/>
      <c r="BC504" s="99"/>
      <c r="BD504" s="187"/>
      <c r="CH504" s="53" t="str">
        <f>IFERROR(TOWER_DATA[[#This Row],[Top '[m']]]-TOWER_DATA[[#This Row],[Bottom '[m']]], "")</f>
        <v/>
      </c>
      <c r="CI504" s="217" t="str">
        <f>IFERROR(-(TOWER_DATA[[#This Row],[D, bottom '[m']]]-TOWER_DATA[[#This Row],[D, top '[m']]])/(TOWER_DATA[[#This Row],[Bottom '[m']]]-TOWER_DATA[[#This Row],[Top '[m']]]),"")</f>
        <v/>
      </c>
      <c r="CJ504" s="145" t="str">
        <f t="shared" si="19"/>
        <v/>
      </c>
      <c r="CK504" s="220" t="str">
        <f>IFERROR((TOWER_DATA[[#This Row],[D, bottom '[m']]]+TOWER_DATA[[#This Row],[D, top '[m']]])/(2*TOWER_DATA[[#This Row],[t '[mm']]]/1000),"")</f>
        <v/>
      </c>
      <c r="DO504" s="209"/>
      <c r="DP504" s="209"/>
      <c r="DQ504" s="187"/>
      <c r="DT504" s="99"/>
      <c r="DU504" s="99"/>
    </row>
    <row r="505" spans="1:125" ht="18" customHeight="1">
      <c r="A505" s="271"/>
      <c r="D505" s="280"/>
      <c r="E505" s="52"/>
      <c r="K505" s="53" t="str">
        <f>IFERROR(MP_DATA[[#This Row],[Top '[m']]]-MP_DATA[[#This Row],[Bottom '[m']]], "")</f>
        <v/>
      </c>
      <c r="L505" s="208"/>
      <c r="M505" s="145" t="str">
        <f t="shared" si="20"/>
        <v/>
      </c>
      <c r="N505" s="220" t="str">
        <f>IFERROR((MP_DATA[[#This Row],[D, bottom '[m']]]+MP_DATA[[#This Row],[D, top '[m']]])/(2*MP_DATA[[#This Row],[t '[mm']]]/1000),"")</f>
        <v/>
      </c>
      <c r="Q505" s="209"/>
      <c r="R505" s="209"/>
      <c r="S505" s="187"/>
      <c r="AV505" s="233" t="str">
        <f>IFERROR(TP_DATA[[#This Row],[Top '[m']]]-TP_DATA[[#This Row],[Bottom '[m']]], "")</f>
        <v/>
      </c>
      <c r="AW505" s="208"/>
      <c r="AX505" s="209"/>
      <c r="AY505" s="240"/>
      <c r="BB505" s="99"/>
      <c r="BC505" s="99"/>
      <c r="BD505" s="187"/>
      <c r="CH505" s="53" t="str">
        <f>IFERROR(TOWER_DATA[[#This Row],[Top '[m']]]-TOWER_DATA[[#This Row],[Bottom '[m']]], "")</f>
        <v/>
      </c>
      <c r="CI505" s="217" t="str">
        <f>IFERROR(-(TOWER_DATA[[#This Row],[D, bottom '[m']]]-TOWER_DATA[[#This Row],[D, top '[m']]])/(TOWER_DATA[[#This Row],[Bottom '[m']]]-TOWER_DATA[[#This Row],[Top '[m']]]),"")</f>
        <v/>
      </c>
      <c r="CJ505" s="145" t="str">
        <f t="shared" si="19"/>
        <v/>
      </c>
      <c r="CK505" s="220" t="str">
        <f>IFERROR((TOWER_DATA[[#This Row],[D, bottom '[m']]]+TOWER_DATA[[#This Row],[D, top '[m']]])/(2*TOWER_DATA[[#This Row],[t '[mm']]]/1000),"")</f>
        <v/>
      </c>
      <c r="DO505" s="209"/>
      <c r="DP505" s="209"/>
      <c r="DQ505" s="187"/>
      <c r="DT505" s="99"/>
      <c r="DU505" s="99"/>
    </row>
    <row r="506" spans="1:125" ht="18" customHeight="1">
      <c r="A506" s="271"/>
      <c r="D506" s="280"/>
      <c r="E506" s="52"/>
      <c r="K506" s="53" t="str">
        <f>IFERROR(MP_DATA[[#This Row],[Top '[m']]]-MP_DATA[[#This Row],[Bottom '[m']]], "")</f>
        <v/>
      </c>
      <c r="L506" s="208"/>
      <c r="M506" s="145" t="str">
        <f t="shared" si="20"/>
        <v/>
      </c>
      <c r="N506" s="220" t="str">
        <f>IFERROR((MP_DATA[[#This Row],[D, bottom '[m']]]+MP_DATA[[#This Row],[D, top '[m']]])/(2*MP_DATA[[#This Row],[t '[mm']]]/1000),"")</f>
        <v/>
      </c>
      <c r="Q506" s="209"/>
      <c r="R506" s="209"/>
      <c r="S506" s="187"/>
      <c r="AV506" s="233" t="str">
        <f>IFERROR(TP_DATA[[#This Row],[Top '[m']]]-TP_DATA[[#This Row],[Bottom '[m']]], "")</f>
        <v/>
      </c>
      <c r="AW506" s="208"/>
      <c r="AX506" s="209"/>
      <c r="AY506" s="240"/>
      <c r="BB506" s="99"/>
      <c r="BC506" s="99"/>
      <c r="BD506" s="187"/>
      <c r="CH506" s="53" t="str">
        <f>IFERROR(TOWER_DATA[[#This Row],[Top '[m']]]-TOWER_DATA[[#This Row],[Bottom '[m']]], "")</f>
        <v/>
      </c>
      <c r="CI506" s="217" t="str">
        <f>IFERROR(-(TOWER_DATA[[#This Row],[D, bottom '[m']]]-TOWER_DATA[[#This Row],[D, top '[m']]])/(TOWER_DATA[[#This Row],[Bottom '[m']]]-TOWER_DATA[[#This Row],[Top '[m']]]),"")</f>
        <v/>
      </c>
      <c r="CJ506" s="145" t="str">
        <f t="shared" si="19"/>
        <v/>
      </c>
      <c r="CK506" s="220" t="str">
        <f>IFERROR((TOWER_DATA[[#This Row],[D, bottom '[m']]]+TOWER_DATA[[#This Row],[D, top '[m']]])/(2*TOWER_DATA[[#This Row],[t '[mm']]]/1000),"")</f>
        <v/>
      </c>
      <c r="DO506" s="209"/>
      <c r="DP506" s="209"/>
      <c r="DQ506" s="187"/>
      <c r="DT506" s="99"/>
      <c r="DU506" s="99"/>
    </row>
    <row r="507" spans="1:125" ht="18" customHeight="1">
      <c r="A507" s="271"/>
      <c r="D507" s="280"/>
      <c r="E507" s="52"/>
      <c r="K507" s="53" t="str">
        <f>IFERROR(MP_DATA[[#This Row],[Top '[m']]]-MP_DATA[[#This Row],[Bottom '[m']]], "")</f>
        <v/>
      </c>
      <c r="L507" s="208"/>
      <c r="M507" s="145" t="str">
        <f t="shared" si="20"/>
        <v/>
      </c>
      <c r="N507" s="220" t="str">
        <f>IFERROR((MP_DATA[[#This Row],[D, bottom '[m']]]+MP_DATA[[#This Row],[D, top '[m']]])/(2*MP_DATA[[#This Row],[t '[mm']]]/1000),"")</f>
        <v/>
      </c>
      <c r="Q507" s="209"/>
      <c r="R507" s="209"/>
      <c r="S507" s="187"/>
      <c r="AV507" s="233" t="str">
        <f>IFERROR(TP_DATA[[#This Row],[Top '[m']]]-TP_DATA[[#This Row],[Bottom '[m']]], "")</f>
        <v/>
      </c>
      <c r="AW507" s="208"/>
      <c r="AX507" s="209"/>
      <c r="AY507" s="240"/>
      <c r="BB507" s="99"/>
      <c r="BC507" s="99"/>
      <c r="BD507" s="187"/>
      <c r="CH507" s="53" t="str">
        <f>IFERROR(TOWER_DATA[[#This Row],[Top '[m']]]-TOWER_DATA[[#This Row],[Bottom '[m']]], "")</f>
        <v/>
      </c>
      <c r="CI507" s="217" t="str">
        <f>IFERROR(-(TOWER_DATA[[#This Row],[D, bottom '[m']]]-TOWER_DATA[[#This Row],[D, top '[m']]])/(TOWER_DATA[[#This Row],[Bottom '[m']]]-TOWER_DATA[[#This Row],[Top '[m']]]),"")</f>
        <v/>
      </c>
      <c r="CJ507" s="145" t="str">
        <f t="shared" si="19"/>
        <v/>
      </c>
      <c r="CK507" s="220" t="str">
        <f>IFERROR((TOWER_DATA[[#This Row],[D, bottom '[m']]]+TOWER_DATA[[#This Row],[D, top '[m']]])/(2*TOWER_DATA[[#This Row],[t '[mm']]]/1000),"")</f>
        <v/>
      </c>
      <c r="DO507" s="209"/>
      <c r="DP507" s="209"/>
      <c r="DQ507" s="187"/>
      <c r="DT507" s="99"/>
      <c r="DU507" s="99"/>
    </row>
    <row r="508" spans="1:125" ht="18" customHeight="1">
      <c r="A508" s="271"/>
      <c r="D508" s="280"/>
      <c r="E508" s="52"/>
      <c r="K508" s="53" t="str">
        <f>IFERROR(MP_DATA[[#This Row],[Top '[m']]]-MP_DATA[[#This Row],[Bottom '[m']]], "")</f>
        <v/>
      </c>
      <c r="L508" s="208"/>
      <c r="M508" s="145" t="str">
        <f t="shared" si="20"/>
        <v/>
      </c>
      <c r="N508" s="220" t="str">
        <f>IFERROR((MP_DATA[[#This Row],[D, bottom '[m']]]+MP_DATA[[#This Row],[D, top '[m']]])/(2*MP_DATA[[#This Row],[t '[mm']]]/1000),"")</f>
        <v/>
      </c>
      <c r="Q508" s="209"/>
      <c r="R508" s="209"/>
      <c r="S508" s="187"/>
      <c r="AV508" s="233" t="str">
        <f>IFERROR(TP_DATA[[#This Row],[Top '[m']]]-TP_DATA[[#This Row],[Bottom '[m']]], "")</f>
        <v/>
      </c>
      <c r="AW508" s="208"/>
      <c r="AX508" s="209"/>
      <c r="AY508" s="240"/>
      <c r="BB508" s="99"/>
      <c r="BC508" s="99"/>
      <c r="BD508" s="187"/>
      <c r="CH508" s="53" t="str">
        <f>IFERROR(TOWER_DATA[[#This Row],[Top '[m']]]-TOWER_DATA[[#This Row],[Bottom '[m']]], "")</f>
        <v/>
      </c>
      <c r="CI508" s="217" t="str">
        <f>IFERROR(-(TOWER_DATA[[#This Row],[D, bottom '[m']]]-TOWER_DATA[[#This Row],[D, top '[m']]])/(TOWER_DATA[[#This Row],[Bottom '[m']]]-TOWER_DATA[[#This Row],[Top '[m']]]),"")</f>
        <v/>
      </c>
      <c r="CJ508" s="145" t="str">
        <f t="shared" si="19"/>
        <v/>
      </c>
      <c r="CK508" s="220" t="str">
        <f>IFERROR((TOWER_DATA[[#This Row],[D, bottom '[m']]]+TOWER_DATA[[#This Row],[D, top '[m']]])/(2*TOWER_DATA[[#This Row],[t '[mm']]]/1000),"")</f>
        <v/>
      </c>
      <c r="DO508" s="209"/>
      <c r="DP508" s="209"/>
      <c r="DQ508" s="187"/>
      <c r="DT508" s="99"/>
      <c r="DU508" s="99"/>
    </row>
    <row r="509" spans="1:125" ht="18" customHeight="1">
      <c r="A509" s="271"/>
      <c r="D509" s="280"/>
      <c r="E509" s="52"/>
      <c r="K509" s="53" t="str">
        <f>IFERROR(MP_DATA[[#This Row],[Top '[m']]]-MP_DATA[[#This Row],[Bottom '[m']]], "")</f>
        <v/>
      </c>
      <c r="L509" s="208"/>
      <c r="M509" s="145" t="str">
        <f t="shared" si="20"/>
        <v/>
      </c>
      <c r="N509" s="220" t="str">
        <f>IFERROR((MP_DATA[[#This Row],[D, bottom '[m']]]+MP_DATA[[#This Row],[D, top '[m']]])/(2*MP_DATA[[#This Row],[t '[mm']]]/1000),"")</f>
        <v/>
      </c>
      <c r="Q509" s="209"/>
      <c r="R509" s="209"/>
      <c r="S509" s="187"/>
      <c r="AV509" s="233" t="str">
        <f>IFERROR(TP_DATA[[#This Row],[Top '[m']]]-TP_DATA[[#This Row],[Bottom '[m']]], "")</f>
        <v/>
      </c>
      <c r="AW509" s="208"/>
      <c r="AX509" s="209"/>
      <c r="AY509" s="240"/>
      <c r="BB509" s="99"/>
      <c r="BC509" s="99"/>
      <c r="BD509" s="187"/>
      <c r="CH509" s="53" t="str">
        <f>IFERROR(TOWER_DATA[[#This Row],[Top '[m']]]-TOWER_DATA[[#This Row],[Bottom '[m']]], "")</f>
        <v/>
      </c>
      <c r="CI509" s="217" t="str">
        <f>IFERROR(-(TOWER_DATA[[#This Row],[D, bottom '[m']]]-TOWER_DATA[[#This Row],[D, top '[m']]])/(TOWER_DATA[[#This Row],[Bottom '[m']]]-TOWER_DATA[[#This Row],[Top '[m']]]),"")</f>
        <v/>
      </c>
      <c r="CJ509" s="145" t="str">
        <f t="shared" si="19"/>
        <v/>
      </c>
      <c r="CK509" s="220" t="str">
        <f>IFERROR((TOWER_DATA[[#This Row],[D, bottom '[m']]]+TOWER_DATA[[#This Row],[D, top '[m']]])/(2*TOWER_DATA[[#This Row],[t '[mm']]]/1000),"")</f>
        <v/>
      </c>
      <c r="DO509" s="209"/>
      <c r="DP509" s="209"/>
      <c r="DQ509" s="187"/>
      <c r="DT509" s="99"/>
      <c r="DU509" s="99"/>
    </row>
    <row r="510" spans="1:125" ht="18" customHeight="1">
      <c r="A510" s="271"/>
      <c r="D510" s="280"/>
      <c r="E510" s="52"/>
      <c r="K510" s="53" t="str">
        <f>IFERROR(MP_DATA[[#This Row],[Top '[m']]]-MP_DATA[[#This Row],[Bottom '[m']]], "")</f>
        <v/>
      </c>
      <c r="L510" s="208"/>
      <c r="M510" s="145" t="str">
        <f t="shared" si="20"/>
        <v/>
      </c>
      <c r="N510" s="220" t="str">
        <f>IFERROR((MP_DATA[[#This Row],[D, bottom '[m']]]+MP_DATA[[#This Row],[D, top '[m']]])/(2*MP_DATA[[#This Row],[t '[mm']]]/1000),"")</f>
        <v/>
      </c>
      <c r="Q510" s="209"/>
      <c r="R510" s="209"/>
      <c r="S510" s="187"/>
      <c r="AV510" s="233" t="str">
        <f>IFERROR(TP_DATA[[#This Row],[Top '[m']]]-TP_DATA[[#This Row],[Bottom '[m']]], "")</f>
        <v/>
      </c>
      <c r="AW510" s="208"/>
      <c r="AX510" s="209"/>
      <c r="AY510" s="240"/>
      <c r="BB510" s="99"/>
      <c r="BC510" s="99"/>
      <c r="BD510" s="187"/>
      <c r="CH510" s="53" t="str">
        <f>IFERROR(TOWER_DATA[[#This Row],[Top '[m']]]-TOWER_DATA[[#This Row],[Bottom '[m']]], "")</f>
        <v/>
      </c>
      <c r="CI510" s="217" t="str">
        <f>IFERROR(-(TOWER_DATA[[#This Row],[D, bottom '[m']]]-TOWER_DATA[[#This Row],[D, top '[m']]])/(TOWER_DATA[[#This Row],[Bottom '[m']]]-TOWER_DATA[[#This Row],[Top '[m']]]),"")</f>
        <v/>
      </c>
      <c r="CJ510" s="145" t="str">
        <f t="shared" si="19"/>
        <v/>
      </c>
      <c r="CK510" s="220" t="str">
        <f>IFERROR((TOWER_DATA[[#This Row],[D, bottom '[m']]]+TOWER_DATA[[#This Row],[D, top '[m']]])/(2*TOWER_DATA[[#This Row],[t '[mm']]]/1000),"")</f>
        <v/>
      </c>
      <c r="DO510" s="209"/>
      <c r="DP510" s="209"/>
      <c r="DQ510" s="187"/>
      <c r="DT510" s="99"/>
      <c r="DU510" s="99"/>
    </row>
    <row r="511" spans="1:125" ht="18" customHeight="1">
      <c r="A511" s="271"/>
      <c r="D511" s="280"/>
      <c r="E511" s="52"/>
      <c r="K511" s="53" t="str">
        <f>IFERROR(MP_DATA[[#This Row],[Top '[m']]]-MP_DATA[[#This Row],[Bottom '[m']]], "")</f>
        <v/>
      </c>
      <c r="L511" s="208"/>
      <c r="M511" s="145" t="str">
        <f t="shared" si="20"/>
        <v/>
      </c>
      <c r="N511" s="220" t="str">
        <f>IFERROR((MP_DATA[[#This Row],[D, bottom '[m']]]+MP_DATA[[#This Row],[D, top '[m']]])/(2*MP_DATA[[#This Row],[t '[mm']]]/1000),"")</f>
        <v/>
      </c>
      <c r="Q511" s="209"/>
      <c r="R511" s="209"/>
      <c r="S511" s="187"/>
      <c r="AV511" s="233" t="str">
        <f>IFERROR(TP_DATA[[#This Row],[Top '[m']]]-TP_DATA[[#This Row],[Bottom '[m']]], "")</f>
        <v/>
      </c>
      <c r="AW511" s="208"/>
      <c r="AX511" s="209"/>
      <c r="AY511" s="240"/>
      <c r="BB511" s="99"/>
      <c r="BC511" s="99"/>
      <c r="BD511" s="187"/>
      <c r="CH511" s="53" t="str">
        <f>IFERROR(TOWER_DATA[[#This Row],[Top '[m']]]-TOWER_DATA[[#This Row],[Bottom '[m']]], "")</f>
        <v/>
      </c>
      <c r="CI511" s="217" t="str">
        <f>IFERROR(-(TOWER_DATA[[#This Row],[D, bottom '[m']]]-TOWER_DATA[[#This Row],[D, top '[m']]])/(TOWER_DATA[[#This Row],[Bottom '[m']]]-TOWER_DATA[[#This Row],[Top '[m']]]),"")</f>
        <v/>
      </c>
      <c r="CJ511" s="145" t="str">
        <f t="shared" si="19"/>
        <v/>
      </c>
      <c r="CK511" s="220" t="str">
        <f>IFERROR((TOWER_DATA[[#This Row],[D, bottom '[m']]]+TOWER_DATA[[#This Row],[D, top '[m']]])/(2*TOWER_DATA[[#This Row],[t '[mm']]]/1000),"")</f>
        <v/>
      </c>
      <c r="DO511" s="209"/>
      <c r="DP511" s="209"/>
      <c r="DQ511" s="187"/>
      <c r="DT511" s="99"/>
      <c r="DU511" s="99"/>
    </row>
    <row r="512" spans="1:125" ht="18" customHeight="1">
      <c r="A512" s="271"/>
      <c r="D512" s="280"/>
      <c r="E512" s="52"/>
      <c r="K512" s="53" t="str">
        <f>IFERROR(MP_DATA[[#This Row],[Top '[m']]]-MP_DATA[[#This Row],[Bottom '[m']]], "")</f>
        <v/>
      </c>
      <c r="L512" s="208"/>
      <c r="M512" s="145" t="str">
        <f t="shared" si="20"/>
        <v/>
      </c>
      <c r="N512" s="220" t="str">
        <f>IFERROR((MP_DATA[[#This Row],[D, bottom '[m']]]+MP_DATA[[#This Row],[D, top '[m']]])/(2*MP_DATA[[#This Row],[t '[mm']]]/1000),"")</f>
        <v/>
      </c>
      <c r="Q512" s="209"/>
      <c r="R512" s="209"/>
      <c r="S512" s="187"/>
      <c r="AV512" s="233" t="str">
        <f>IFERROR(TP_DATA[[#This Row],[Top '[m']]]-TP_DATA[[#This Row],[Bottom '[m']]], "")</f>
        <v/>
      </c>
      <c r="AW512" s="208"/>
      <c r="AX512" s="209"/>
      <c r="AY512" s="240"/>
      <c r="BB512" s="99"/>
      <c r="BC512" s="99"/>
      <c r="BD512" s="187"/>
      <c r="CH512" s="53" t="str">
        <f>IFERROR(TOWER_DATA[[#This Row],[Top '[m']]]-TOWER_DATA[[#This Row],[Bottom '[m']]], "")</f>
        <v/>
      </c>
      <c r="CI512" s="217" t="str">
        <f>IFERROR(-(TOWER_DATA[[#This Row],[D, bottom '[m']]]-TOWER_DATA[[#This Row],[D, top '[m']]])/(TOWER_DATA[[#This Row],[Bottom '[m']]]-TOWER_DATA[[#This Row],[Top '[m']]]),"")</f>
        <v/>
      </c>
      <c r="CJ512" s="145" t="str">
        <f t="shared" si="19"/>
        <v/>
      </c>
      <c r="CK512" s="220" t="str">
        <f>IFERROR((TOWER_DATA[[#This Row],[D, bottom '[m']]]+TOWER_DATA[[#This Row],[D, top '[m']]])/(2*TOWER_DATA[[#This Row],[t '[mm']]]/1000),"")</f>
        <v/>
      </c>
      <c r="DO512" s="209"/>
      <c r="DP512" s="209"/>
      <c r="DQ512" s="187"/>
      <c r="DT512" s="99"/>
      <c r="DU512" s="99"/>
    </row>
    <row r="513" spans="1:125" ht="18" customHeight="1">
      <c r="A513" s="271"/>
      <c r="D513" s="280"/>
      <c r="E513" s="52"/>
      <c r="K513" s="53" t="str">
        <f>IFERROR(MP_DATA[[#This Row],[Top '[m']]]-MP_DATA[[#This Row],[Bottom '[m']]], "")</f>
        <v/>
      </c>
      <c r="L513" s="208"/>
      <c r="M513" s="145" t="str">
        <f t="shared" si="20"/>
        <v/>
      </c>
      <c r="N513" s="220" t="str">
        <f>IFERROR((MP_DATA[[#This Row],[D, bottom '[m']]]+MP_DATA[[#This Row],[D, top '[m']]])/(2*MP_DATA[[#This Row],[t '[mm']]]/1000),"")</f>
        <v/>
      </c>
      <c r="Q513" s="209"/>
      <c r="R513" s="209"/>
      <c r="S513" s="187"/>
      <c r="AV513" s="233" t="str">
        <f>IFERROR(TP_DATA[[#This Row],[Top '[m']]]-TP_DATA[[#This Row],[Bottom '[m']]], "")</f>
        <v/>
      </c>
      <c r="AW513" s="208"/>
      <c r="AX513" s="209"/>
      <c r="AY513" s="240"/>
      <c r="BB513" s="99"/>
      <c r="BC513" s="99"/>
      <c r="BD513" s="187"/>
      <c r="CH513" s="53" t="str">
        <f>IFERROR(TOWER_DATA[[#This Row],[Top '[m']]]-TOWER_DATA[[#This Row],[Bottom '[m']]], "")</f>
        <v/>
      </c>
      <c r="CI513" s="217" t="str">
        <f>IFERROR(-(TOWER_DATA[[#This Row],[D, bottom '[m']]]-TOWER_DATA[[#This Row],[D, top '[m']]])/(TOWER_DATA[[#This Row],[Bottom '[m']]]-TOWER_DATA[[#This Row],[Top '[m']]]),"")</f>
        <v/>
      </c>
      <c r="CJ513" s="145" t="str">
        <f t="shared" si="19"/>
        <v/>
      </c>
      <c r="CK513" s="220" t="str">
        <f>IFERROR((TOWER_DATA[[#This Row],[D, bottom '[m']]]+TOWER_DATA[[#This Row],[D, top '[m']]])/(2*TOWER_DATA[[#This Row],[t '[mm']]]/1000),"")</f>
        <v/>
      </c>
      <c r="DO513" s="209"/>
      <c r="DP513" s="209"/>
      <c r="DQ513" s="187"/>
      <c r="DT513" s="99"/>
      <c r="DU513" s="99"/>
    </row>
    <row r="514" spans="1:125" ht="18" customHeight="1">
      <c r="A514" s="271"/>
      <c r="D514" s="280"/>
      <c r="E514" s="52"/>
      <c r="K514" s="53" t="str">
        <f>IFERROR(MP_DATA[[#This Row],[Top '[m']]]-MP_DATA[[#This Row],[Bottom '[m']]], "")</f>
        <v/>
      </c>
      <c r="L514" s="208"/>
      <c r="M514" s="145" t="str">
        <f t="shared" si="20"/>
        <v/>
      </c>
      <c r="N514" s="220" t="str">
        <f>IFERROR((MP_DATA[[#This Row],[D, bottom '[m']]]+MP_DATA[[#This Row],[D, top '[m']]])/(2*MP_DATA[[#This Row],[t '[mm']]]/1000),"")</f>
        <v/>
      </c>
      <c r="Q514" s="209"/>
      <c r="R514" s="209"/>
      <c r="S514" s="187"/>
      <c r="AV514" s="233" t="str">
        <f>IFERROR(TP_DATA[[#This Row],[Top '[m']]]-TP_DATA[[#This Row],[Bottom '[m']]], "")</f>
        <v/>
      </c>
      <c r="AW514" s="208"/>
      <c r="AX514" s="209"/>
      <c r="AY514" s="240"/>
      <c r="BB514" s="99"/>
      <c r="BC514" s="99"/>
      <c r="BD514" s="187"/>
      <c r="CH514" s="53" t="str">
        <f>IFERROR(TOWER_DATA[[#This Row],[Top '[m']]]-TOWER_DATA[[#This Row],[Bottom '[m']]], "")</f>
        <v/>
      </c>
      <c r="CI514" s="217" t="str">
        <f>IFERROR(-(TOWER_DATA[[#This Row],[D, bottom '[m']]]-TOWER_DATA[[#This Row],[D, top '[m']]])/(TOWER_DATA[[#This Row],[Bottom '[m']]]-TOWER_DATA[[#This Row],[Top '[m']]]),"")</f>
        <v/>
      </c>
      <c r="CJ514" s="145" t="str">
        <f t="shared" si="19"/>
        <v/>
      </c>
      <c r="CK514" s="220" t="str">
        <f>IFERROR((TOWER_DATA[[#This Row],[D, bottom '[m']]]+TOWER_DATA[[#This Row],[D, top '[m']]])/(2*TOWER_DATA[[#This Row],[t '[mm']]]/1000),"")</f>
        <v/>
      </c>
      <c r="DO514" s="209"/>
      <c r="DP514" s="209"/>
      <c r="DQ514" s="187"/>
      <c r="DT514" s="99"/>
      <c r="DU514" s="99"/>
    </row>
    <row r="515" spans="1:125" ht="18" customHeight="1">
      <c r="A515" s="271"/>
      <c r="D515" s="280"/>
      <c r="E515" s="52"/>
      <c r="K515" s="53" t="str">
        <f>IFERROR(MP_DATA[[#This Row],[Top '[m']]]-MP_DATA[[#This Row],[Bottom '[m']]], "")</f>
        <v/>
      </c>
      <c r="L515" s="208"/>
      <c r="M515" s="145" t="str">
        <f t="shared" si="20"/>
        <v/>
      </c>
      <c r="N515" s="220" t="str">
        <f>IFERROR((MP_DATA[[#This Row],[D, bottom '[m']]]+MP_DATA[[#This Row],[D, top '[m']]])/(2*MP_DATA[[#This Row],[t '[mm']]]/1000),"")</f>
        <v/>
      </c>
      <c r="Q515" s="209"/>
      <c r="R515" s="209"/>
      <c r="S515" s="187"/>
      <c r="AV515" s="233" t="str">
        <f>IFERROR(TP_DATA[[#This Row],[Top '[m']]]-TP_DATA[[#This Row],[Bottom '[m']]], "")</f>
        <v/>
      </c>
      <c r="AW515" s="208"/>
      <c r="AX515" s="209"/>
      <c r="AY515" s="240"/>
      <c r="BB515" s="99"/>
      <c r="BC515" s="99"/>
      <c r="BD515" s="187"/>
      <c r="CH515" s="53" t="str">
        <f>IFERROR(TOWER_DATA[[#This Row],[Top '[m']]]-TOWER_DATA[[#This Row],[Bottom '[m']]], "")</f>
        <v/>
      </c>
      <c r="CI515" s="217" t="str">
        <f>IFERROR(-(TOWER_DATA[[#This Row],[D, bottom '[m']]]-TOWER_DATA[[#This Row],[D, top '[m']]])/(TOWER_DATA[[#This Row],[Bottom '[m']]]-TOWER_DATA[[#This Row],[Top '[m']]]),"")</f>
        <v/>
      </c>
      <c r="CJ515" s="145" t="str">
        <f t="shared" si="19"/>
        <v/>
      </c>
      <c r="CK515" s="220" t="str">
        <f>IFERROR((TOWER_DATA[[#This Row],[D, bottom '[m']]]+TOWER_DATA[[#This Row],[D, top '[m']]])/(2*TOWER_DATA[[#This Row],[t '[mm']]]/1000),"")</f>
        <v/>
      </c>
      <c r="DO515" s="209"/>
      <c r="DP515" s="209"/>
      <c r="DQ515" s="187"/>
      <c r="DT515" s="99"/>
      <c r="DU515" s="99"/>
    </row>
    <row r="516" spans="1:125" ht="18" customHeight="1">
      <c r="A516" s="271"/>
      <c r="D516" s="280"/>
      <c r="E516" s="52"/>
      <c r="K516" s="53" t="str">
        <f>IFERROR(MP_DATA[[#This Row],[Top '[m']]]-MP_DATA[[#This Row],[Bottom '[m']]], "")</f>
        <v/>
      </c>
      <c r="L516" s="208"/>
      <c r="M516" s="145" t="str">
        <f t="shared" si="20"/>
        <v/>
      </c>
      <c r="N516" s="220" t="str">
        <f>IFERROR((MP_DATA[[#This Row],[D, bottom '[m']]]+MP_DATA[[#This Row],[D, top '[m']]])/(2*MP_DATA[[#This Row],[t '[mm']]]/1000),"")</f>
        <v/>
      </c>
      <c r="Q516" s="209"/>
      <c r="R516" s="209"/>
      <c r="S516" s="187"/>
      <c r="AV516" s="233" t="str">
        <f>IFERROR(TP_DATA[[#This Row],[Top '[m']]]-TP_DATA[[#This Row],[Bottom '[m']]], "")</f>
        <v/>
      </c>
      <c r="AW516" s="208"/>
      <c r="AX516" s="209"/>
      <c r="AY516" s="240"/>
      <c r="BB516" s="99"/>
      <c r="BC516" s="99"/>
      <c r="BD516" s="187"/>
      <c r="CH516" s="53" t="str">
        <f>IFERROR(TOWER_DATA[[#This Row],[Top '[m']]]-TOWER_DATA[[#This Row],[Bottom '[m']]], "")</f>
        <v/>
      </c>
      <c r="CI516" s="217" t="str">
        <f>IFERROR(-(TOWER_DATA[[#This Row],[D, bottom '[m']]]-TOWER_DATA[[#This Row],[D, top '[m']]])/(TOWER_DATA[[#This Row],[Bottom '[m']]]-TOWER_DATA[[#This Row],[Top '[m']]]),"")</f>
        <v/>
      </c>
      <c r="CJ516" s="145" t="str">
        <f t="shared" si="19"/>
        <v/>
      </c>
      <c r="CK516" s="220" t="str">
        <f>IFERROR((TOWER_DATA[[#This Row],[D, bottom '[m']]]+TOWER_DATA[[#This Row],[D, top '[m']]])/(2*TOWER_DATA[[#This Row],[t '[mm']]]/1000),"")</f>
        <v/>
      </c>
      <c r="DO516" s="209"/>
      <c r="DP516" s="209"/>
      <c r="DQ516" s="187"/>
      <c r="DT516" s="99"/>
      <c r="DU516" s="99"/>
    </row>
    <row r="517" spans="1:125" ht="18" customHeight="1">
      <c r="A517" s="271"/>
      <c r="D517" s="280"/>
      <c r="E517" s="52"/>
      <c r="K517" s="53" t="str">
        <f>IFERROR(MP_DATA[[#This Row],[Top '[m']]]-MP_DATA[[#This Row],[Bottom '[m']]], "")</f>
        <v/>
      </c>
      <c r="L517" s="208"/>
      <c r="M517" s="145" t="str">
        <f t="shared" si="20"/>
        <v/>
      </c>
      <c r="N517" s="220" t="str">
        <f>IFERROR((MP_DATA[[#This Row],[D, bottom '[m']]]+MP_DATA[[#This Row],[D, top '[m']]])/(2*MP_DATA[[#This Row],[t '[mm']]]/1000),"")</f>
        <v/>
      </c>
      <c r="Q517" s="209"/>
      <c r="R517" s="209"/>
      <c r="S517" s="187"/>
      <c r="AV517" s="233" t="str">
        <f>IFERROR(TP_DATA[[#This Row],[Top '[m']]]-TP_DATA[[#This Row],[Bottom '[m']]], "")</f>
        <v/>
      </c>
      <c r="AW517" s="208"/>
      <c r="AX517" s="209"/>
      <c r="AY517" s="240"/>
      <c r="BB517" s="99"/>
      <c r="BC517" s="99"/>
      <c r="BD517" s="187"/>
      <c r="CH517" s="53" t="str">
        <f>IFERROR(TOWER_DATA[[#This Row],[Top '[m']]]-TOWER_DATA[[#This Row],[Bottom '[m']]], "")</f>
        <v/>
      </c>
      <c r="CI517" s="217" t="str">
        <f>IFERROR(-(TOWER_DATA[[#This Row],[D, bottom '[m']]]-TOWER_DATA[[#This Row],[D, top '[m']]])/(TOWER_DATA[[#This Row],[Bottom '[m']]]-TOWER_DATA[[#This Row],[Top '[m']]]),"")</f>
        <v/>
      </c>
      <c r="CJ517" s="145" t="str">
        <f t="shared" si="19"/>
        <v/>
      </c>
      <c r="CK517" s="220" t="str">
        <f>IFERROR((TOWER_DATA[[#This Row],[D, bottom '[m']]]+TOWER_DATA[[#This Row],[D, top '[m']]])/(2*TOWER_DATA[[#This Row],[t '[mm']]]/1000),"")</f>
        <v/>
      </c>
      <c r="DO517" s="209"/>
      <c r="DP517" s="209"/>
      <c r="DQ517" s="187"/>
      <c r="DT517" s="99"/>
      <c r="DU517" s="99"/>
    </row>
    <row r="518" spans="1:125" ht="18" customHeight="1">
      <c r="A518" s="271"/>
      <c r="D518" s="280"/>
      <c r="E518" s="52"/>
      <c r="K518" s="53" t="str">
        <f>IFERROR(MP_DATA[[#This Row],[Top '[m']]]-MP_DATA[[#This Row],[Bottom '[m']]], "")</f>
        <v/>
      </c>
      <c r="L518" s="208"/>
      <c r="M518" s="145" t="str">
        <f t="shared" si="20"/>
        <v/>
      </c>
      <c r="N518" s="220" t="str">
        <f>IFERROR((MP_DATA[[#This Row],[D, bottom '[m']]]+MP_DATA[[#This Row],[D, top '[m']]])/(2*MP_DATA[[#This Row],[t '[mm']]]/1000),"")</f>
        <v/>
      </c>
      <c r="Q518" s="209"/>
      <c r="R518" s="209"/>
      <c r="S518" s="187"/>
      <c r="AV518" s="233" t="str">
        <f>IFERROR(TP_DATA[[#This Row],[Top '[m']]]-TP_DATA[[#This Row],[Bottom '[m']]], "")</f>
        <v/>
      </c>
      <c r="AW518" s="208"/>
      <c r="AX518" s="209"/>
      <c r="AY518" s="240"/>
      <c r="BB518" s="99"/>
      <c r="BC518" s="99"/>
      <c r="BD518" s="187"/>
      <c r="CH518" s="53" t="str">
        <f>IFERROR(TOWER_DATA[[#This Row],[Top '[m']]]-TOWER_DATA[[#This Row],[Bottom '[m']]], "")</f>
        <v/>
      </c>
      <c r="CI518" s="217" t="str">
        <f>IFERROR(-(TOWER_DATA[[#This Row],[D, bottom '[m']]]-TOWER_DATA[[#This Row],[D, top '[m']]])/(TOWER_DATA[[#This Row],[Bottom '[m']]]-TOWER_DATA[[#This Row],[Top '[m']]]),"")</f>
        <v/>
      </c>
      <c r="CJ518" s="145" t="str">
        <f t="shared" si="19"/>
        <v/>
      </c>
      <c r="CK518" s="220" t="str">
        <f>IFERROR((TOWER_DATA[[#This Row],[D, bottom '[m']]]+TOWER_DATA[[#This Row],[D, top '[m']]])/(2*TOWER_DATA[[#This Row],[t '[mm']]]/1000),"")</f>
        <v/>
      </c>
      <c r="DO518" s="209"/>
      <c r="DP518" s="209"/>
      <c r="DQ518" s="187"/>
      <c r="DT518" s="99"/>
      <c r="DU518" s="99"/>
    </row>
    <row r="519" spans="1:125" ht="18" customHeight="1">
      <c r="A519" s="271"/>
      <c r="D519" s="280"/>
      <c r="E519" s="52"/>
      <c r="K519" s="53" t="str">
        <f>IFERROR(MP_DATA[[#This Row],[Top '[m']]]-MP_DATA[[#This Row],[Bottom '[m']]], "")</f>
        <v/>
      </c>
      <c r="L519" s="208"/>
      <c r="M519" s="145" t="str">
        <f t="shared" si="20"/>
        <v/>
      </c>
      <c r="N519" s="220" t="str">
        <f>IFERROR((MP_DATA[[#This Row],[D, bottom '[m']]]+MP_DATA[[#This Row],[D, top '[m']]])/(2*MP_DATA[[#This Row],[t '[mm']]]/1000),"")</f>
        <v/>
      </c>
      <c r="Q519" s="209"/>
      <c r="R519" s="209"/>
      <c r="S519" s="187"/>
      <c r="AV519" s="233" t="str">
        <f>IFERROR(TP_DATA[[#This Row],[Top '[m']]]-TP_DATA[[#This Row],[Bottom '[m']]], "")</f>
        <v/>
      </c>
      <c r="AW519" s="208"/>
      <c r="AX519" s="209"/>
      <c r="AY519" s="240"/>
      <c r="BB519" s="99"/>
      <c r="BC519" s="99"/>
      <c r="BD519" s="187"/>
      <c r="CH519" s="53" t="str">
        <f>IFERROR(TOWER_DATA[[#This Row],[Top '[m']]]-TOWER_DATA[[#This Row],[Bottom '[m']]], "")</f>
        <v/>
      </c>
      <c r="CI519" s="217" t="str">
        <f>IFERROR(-(TOWER_DATA[[#This Row],[D, bottom '[m']]]-TOWER_DATA[[#This Row],[D, top '[m']]])/(TOWER_DATA[[#This Row],[Bottom '[m']]]-TOWER_DATA[[#This Row],[Top '[m']]]),"")</f>
        <v/>
      </c>
      <c r="CJ519" s="145" t="str">
        <f t="shared" si="19"/>
        <v/>
      </c>
      <c r="CK519" s="220" t="str">
        <f>IFERROR((TOWER_DATA[[#This Row],[D, bottom '[m']]]+TOWER_DATA[[#This Row],[D, top '[m']]])/(2*TOWER_DATA[[#This Row],[t '[mm']]]/1000),"")</f>
        <v/>
      </c>
      <c r="DO519" s="209"/>
      <c r="DP519" s="209"/>
      <c r="DQ519" s="187"/>
      <c r="DT519" s="99"/>
      <c r="DU519" s="99"/>
    </row>
    <row r="520" spans="1:125" ht="18" customHeight="1">
      <c r="A520" s="271"/>
      <c r="D520" s="280"/>
      <c r="E520" s="52"/>
      <c r="K520" s="53" t="str">
        <f>IFERROR(MP_DATA[[#This Row],[Top '[m']]]-MP_DATA[[#This Row],[Bottom '[m']]], "")</f>
        <v/>
      </c>
      <c r="L520" s="208"/>
      <c r="M520" s="145" t="str">
        <f t="shared" si="20"/>
        <v/>
      </c>
      <c r="N520" s="220" t="str">
        <f>IFERROR((MP_DATA[[#This Row],[D, bottom '[m']]]+MP_DATA[[#This Row],[D, top '[m']]])/(2*MP_DATA[[#This Row],[t '[mm']]]/1000),"")</f>
        <v/>
      </c>
      <c r="Q520" s="209"/>
      <c r="R520" s="209"/>
      <c r="S520" s="187"/>
      <c r="AV520" s="233" t="str">
        <f>IFERROR(TP_DATA[[#This Row],[Top '[m']]]-TP_DATA[[#This Row],[Bottom '[m']]], "")</f>
        <v/>
      </c>
      <c r="AW520" s="208"/>
      <c r="AX520" s="209"/>
      <c r="AY520" s="240"/>
      <c r="BB520" s="99"/>
      <c r="BC520" s="99"/>
      <c r="BD520" s="187"/>
      <c r="CH520" s="53" t="str">
        <f>IFERROR(TOWER_DATA[[#This Row],[Top '[m']]]-TOWER_DATA[[#This Row],[Bottom '[m']]], "")</f>
        <v/>
      </c>
      <c r="CI520" s="217" t="str">
        <f>IFERROR(-(TOWER_DATA[[#This Row],[D, bottom '[m']]]-TOWER_DATA[[#This Row],[D, top '[m']]])/(TOWER_DATA[[#This Row],[Bottom '[m']]]-TOWER_DATA[[#This Row],[Top '[m']]]),"")</f>
        <v/>
      </c>
      <c r="CJ520" s="145" t="str">
        <f t="shared" si="19"/>
        <v/>
      </c>
      <c r="CK520" s="220" t="str">
        <f>IFERROR((TOWER_DATA[[#This Row],[D, bottom '[m']]]+TOWER_DATA[[#This Row],[D, top '[m']]])/(2*TOWER_DATA[[#This Row],[t '[mm']]]/1000),"")</f>
        <v/>
      </c>
      <c r="DO520" s="209"/>
      <c r="DP520" s="209"/>
      <c r="DQ520" s="187"/>
      <c r="DT520" s="99"/>
      <c r="DU520" s="99"/>
    </row>
    <row r="521" spans="1:125" ht="18" customHeight="1">
      <c r="A521" s="271"/>
      <c r="D521" s="280"/>
      <c r="E521" s="52"/>
      <c r="K521" s="53" t="str">
        <f>IFERROR(MP_DATA[[#This Row],[Top '[m']]]-MP_DATA[[#This Row],[Bottom '[m']]], "")</f>
        <v/>
      </c>
      <c r="L521" s="208"/>
      <c r="M521" s="145" t="str">
        <f t="shared" si="20"/>
        <v/>
      </c>
      <c r="N521" s="220" t="str">
        <f>IFERROR((MP_DATA[[#This Row],[D, bottom '[m']]]+MP_DATA[[#This Row],[D, top '[m']]])/(2*MP_DATA[[#This Row],[t '[mm']]]/1000),"")</f>
        <v/>
      </c>
      <c r="Q521" s="209"/>
      <c r="R521" s="209"/>
      <c r="S521" s="187"/>
      <c r="AV521" s="233" t="str">
        <f>IFERROR(TP_DATA[[#This Row],[Top '[m']]]-TP_DATA[[#This Row],[Bottom '[m']]], "")</f>
        <v/>
      </c>
      <c r="AW521" s="208"/>
      <c r="AX521" s="209"/>
      <c r="AY521" s="240"/>
      <c r="BB521" s="99"/>
      <c r="BC521" s="99"/>
      <c r="BD521" s="187"/>
      <c r="CH521" s="53" t="str">
        <f>IFERROR(TOWER_DATA[[#This Row],[Top '[m']]]-TOWER_DATA[[#This Row],[Bottom '[m']]], "")</f>
        <v/>
      </c>
      <c r="CI521" s="217" t="str">
        <f>IFERROR(-(TOWER_DATA[[#This Row],[D, bottom '[m']]]-TOWER_DATA[[#This Row],[D, top '[m']]])/(TOWER_DATA[[#This Row],[Bottom '[m']]]-TOWER_DATA[[#This Row],[Top '[m']]]),"")</f>
        <v/>
      </c>
      <c r="CJ521" s="145" t="str">
        <f t="shared" si="19"/>
        <v/>
      </c>
      <c r="CK521" s="220" t="str">
        <f>IFERROR((TOWER_DATA[[#This Row],[D, bottom '[m']]]+TOWER_DATA[[#This Row],[D, top '[m']]])/(2*TOWER_DATA[[#This Row],[t '[mm']]]/1000),"")</f>
        <v/>
      </c>
      <c r="DO521" s="209"/>
      <c r="DP521" s="209"/>
      <c r="DQ521" s="187"/>
      <c r="DT521" s="99"/>
      <c r="DU521" s="99"/>
    </row>
    <row r="522" spans="1:125" ht="18" customHeight="1">
      <c r="A522" s="271"/>
      <c r="D522" s="280"/>
      <c r="E522" s="52"/>
      <c r="K522" s="53" t="str">
        <f>IFERROR(MP_DATA[[#This Row],[Top '[m']]]-MP_DATA[[#This Row],[Bottom '[m']]], "")</f>
        <v/>
      </c>
      <c r="L522" s="208"/>
      <c r="M522" s="145" t="str">
        <f t="shared" si="20"/>
        <v/>
      </c>
      <c r="N522" s="220" t="str">
        <f>IFERROR((MP_DATA[[#This Row],[D, bottom '[m']]]+MP_DATA[[#This Row],[D, top '[m']]])/(2*MP_DATA[[#This Row],[t '[mm']]]/1000),"")</f>
        <v/>
      </c>
      <c r="Q522" s="209"/>
      <c r="R522" s="209"/>
      <c r="S522" s="187"/>
      <c r="AV522" s="233" t="str">
        <f>IFERROR(TP_DATA[[#This Row],[Top '[m']]]-TP_DATA[[#This Row],[Bottom '[m']]], "")</f>
        <v/>
      </c>
      <c r="AW522" s="208"/>
      <c r="AX522" s="209"/>
      <c r="AY522" s="240"/>
      <c r="BB522" s="99"/>
      <c r="BC522" s="99"/>
      <c r="BD522" s="187"/>
      <c r="CH522" s="53" t="str">
        <f>IFERROR(TOWER_DATA[[#This Row],[Top '[m']]]-TOWER_DATA[[#This Row],[Bottom '[m']]], "")</f>
        <v/>
      </c>
      <c r="CI522" s="217" t="str">
        <f>IFERROR(-(TOWER_DATA[[#This Row],[D, bottom '[m']]]-TOWER_DATA[[#This Row],[D, top '[m']]])/(TOWER_DATA[[#This Row],[Bottom '[m']]]-TOWER_DATA[[#This Row],[Top '[m']]]),"")</f>
        <v/>
      </c>
      <c r="CJ522" s="145" t="str">
        <f t="shared" si="19"/>
        <v/>
      </c>
      <c r="CK522" s="220" t="str">
        <f>IFERROR((TOWER_DATA[[#This Row],[D, bottom '[m']]]+TOWER_DATA[[#This Row],[D, top '[m']]])/(2*TOWER_DATA[[#This Row],[t '[mm']]]/1000),"")</f>
        <v/>
      </c>
      <c r="DO522" s="209"/>
      <c r="DP522" s="209"/>
      <c r="DQ522" s="187"/>
      <c r="DT522" s="99"/>
      <c r="DU522" s="99"/>
    </row>
    <row r="523" spans="1:125" ht="18" customHeight="1">
      <c r="A523" s="271"/>
      <c r="D523" s="280"/>
      <c r="E523" s="52"/>
      <c r="K523" s="53" t="str">
        <f>IFERROR(MP_DATA[[#This Row],[Top '[m']]]-MP_DATA[[#This Row],[Bottom '[m']]], "")</f>
        <v/>
      </c>
      <c r="L523" s="208"/>
      <c r="M523" s="145" t="str">
        <f t="shared" si="20"/>
        <v/>
      </c>
      <c r="N523" s="220" t="str">
        <f>IFERROR((MP_DATA[[#This Row],[D, bottom '[m']]]+MP_DATA[[#This Row],[D, top '[m']]])/(2*MP_DATA[[#This Row],[t '[mm']]]/1000),"")</f>
        <v/>
      </c>
      <c r="Q523" s="209"/>
      <c r="R523" s="209"/>
      <c r="S523" s="187"/>
      <c r="AV523" s="233" t="str">
        <f>IFERROR(TP_DATA[[#This Row],[Top '[m']]]-TP_DATA[[#This Row],[Bottom '[m']]], "")</f>
        <v/>
      </c>
      <c r="AW523" s="208"/>
      <c r="AX523" s="209"/>
      <c r="AY523" s="240"/>
      <c r="BB523" s="99"/>
      <c r="BC523" s="99"/>
      <c r="BD523" s="187"/>
      <c r="CH523" s="53" t="str">
        <f>IFERROR(TOWER_DATA[[#This Row],[Top '[m']]]-TOWER_DATA[[#This Row],[Bottom '[m']]], "")</f>
        <v/>
      </c>
      <c r="CI523" s="217" t="str">
        <f>IFERROR(-(TOWER_DATA[[#This Row],[D, bottom '[m']]]-TOWER_DATA[[#This Row],[D, top '[m']]])/(TOWER_DATA[[#This Row],[Bottom '[m']]]-TOWER_DATA[[#This Row],[Top '[m']]]),"")</f>
        <v/>
      </c>
      <c r="CJ523" s="145" t="str">
        <f t="shared" si="19"/>
        <v/>
      </c>
      <c r="CK523" s="220" t="str">
        <f>IFERROR((TOWER_DATA[[#This Row],[D, bottom '[m']]]+TOWER_DATA[[#This Row],[D, top '[m']]])/(2*TOWER_DATA[[#This Row],[t '[mm']]]/1000),"")</f>
        <v/>
      </c>
      <c r="DO523" s="209"/>
      <c r="DP523" s="209"/>
      <c r="DQ523" s="187"/>
      <c r="DT523" s="99"/>
      <c r="DU523" s="99"/>
    </row>
    <row r="524" spans="1:125" ht="18" customHeight="1">
      <c r="A524" s="271"/>
      <c r="D524" s="280"/>
      <c r="E524" s="52"/>
      <c r="K524" s="53" t="str">
        <f>IFERROR(MP_DATA[[#This Row],[Top '[m']]]-MP_DATA[[#This Row],[Bottom '[m']]], "")</f>
        <v/>
      </c>
      <c r="L524" s="208"/>
      <c r="M524" s="145" t="str">
        <f t="shared" si="20"/>
        <v/>
      </c>
      <c r="N524" s="220" t="str">
        <f>IFERROR((MP_DATA[[#This Row],[D, bottom '[m']]]+MP_DATA[[#This Row],[D, top '[m']]])/(2*MP_DATA[[#This Row],[t '[mm']]]/1000),"")</f>
        <v/>
      </c>
      <c r="Q524" s="209"/>
      <c r="R524" s="209"/>
      <c r="S524" s="187"/>
      <c r="AV524" s="233" t="str">
        <f>IFERROR(TP_DATA[[#This Row],[Top '[m']]]-TP_DATA[[#This Row],[Bottom '[m']]], "")</f>
        <v/>
      </c>
      <c r="AW524" s="208"/>
      <c r="AX524" s="209"/>
      <c r="AY524" s="240"/>
      <c r="BB524" s="99"/>
      <c r="BC524" s="99"/>
      <c r="BD524" s="187"/>
      <c r="CH524" s="53" t="str">
        <f>IFERROR(TOWER_DATA[[#This Row],[Top '[m']]]-TOWER_DATA[[#This Row],[Bottom '[m']]], "")</f>
        <v/>
      </c>
      <c r="CI524" s="217" t="str">
        <f>IFERROR(-(TOWER_DATA[[#This Row],[D, bottom '[m']]]-TOWER_DATA[[#This Row],[D, top '[m']]])/(TOWER_DATA[[#This Row],[Bottom '[m']]]-TOWER_DATA[[#This Row],[Top '[m']]]),"")</f>
        <v/>
      </c>
      <c r="CJ524" s="145" t="str">
        <f t="shared" si="19"/>
        <v/>
      </c>
      <c r="CK524" s="220" t="str">
        <f>IFERROR((TOWER_DATA[[#This Row],[D, bottom '[m']]]+TOWER_DATA[[#This Row],[D, top '[m']]])/(2*TOWER_DATA[[#This Row],[t '[mm']]]/1000),"")</f>
        <v/>
      </c>
      <c r="DO524" s="209"/>
      <c r="DP524" s="209"/>
      <c r="DQ524" s="187"/>
      <c r="DT524" s="99"/>
      <c r="DU524" s="99"/>
    </row>
    <row r="525" spans="1:125" ht="18" customHeight="1">
      <c r="A525" s="271"/>
      <c r="D525" s="280"/>
      <c r="E525" s="52"/>
      <c r="K525" s="53" t="str">
        <f>IFERROR(MP_DATA[[#This Row],[Top '[m']]]-MP_DATA[[#This Row],[Bottom '[m']]], "")</f>
        <v/>
      </c>
      <c r="L525" s="208"/>
      <c r="M525" s="145" t="str">
        <f t="shared" si="20"/>
        <v/>
      </c>
      <c r="N525" s="220" t="str">
        <f>IFERROR((MP_DATA[[#This Row],[D, bottom '[m']]]+MP_DATA[[#This Row],[D, top '[m']]])/(2*MP_DATA[[#This Row],[t '[mm']]]/1000),"")</f>
        <v/>
      </c>
      <c r="Q525" s="209"/>
      <c r="R525" s="209"/>
      <c r="S525" s="187"/>
      <c r="AV525" s="233" t="str">
        <f>IFERROR(TP_DATA[[#This Row],[Top '[m']]]-TP_DATA[[#This Row],[Bottom '[m']]], "")</f>
        <v/>
      </c>
      <c r="AW525" s="208"/>
      <c r="AX525" s="209"/>
      <c r="AY525" s="240"/>
      <c r="BB525" s="99"/>
      <c r="BC525" s="99"/>
      <c r="BD525" s="187"/>
      <c r="CH525" s="53" t="str">
        <f>IFERROR(TOWER_DATA[[#This Row],[Top '[m']]]-TOWER_DATA[[#This Row],[Bottom '[m']]], "")</f>
        <v/>
      </c>
      <c r="CI525" s="217" t="str">
        <f>IFERROR(-(TOWER_DATA[[#This Row],[D, bottom '[m']]]-TOWER_DATA[[#This Row],[D, top '[m']]])/(TOWER_DATA[[#This Row],[Bottom '[m']]]-TOWER_DATA[[#This Row],[Top '[m']]]),"")</f>
        <v/>
      </c>
      <c r="CJ525" s="145" t="str">
        <f t="shared" si="19"/>
        <v/>
      </c>
      <c r="CK525" s="220" t="str">
        <f>IFERROR((TOWER_DATA[[#This Row],[D, bottom '[m']]]+TOWER_DATA[[#This Row],[D, top '[m']]])/(2*TOWER_DATA[[#This Row],[t '[mm']]]/1000),"")</f>
        <v/>
      </c>
      <c r="DO525" s="209"/>
      <c r="DP525" s="209"/>
      <c r="DQ525" s="187"/>
      <c r="DT525" s="99"/>
      <c r="DU525" s="99"/>
    </row>
    <row r="526" spans="1:125" ht="18" customHeight="1">
      <c r="A526" s="271"/>
      <c r="D526" s="280"/>
      <c r="E526" s="52"/>
      <c r="K526" s="53" t="str">
        <f>IFERROR(MP_DATA[[#This Row],[Top '[m']]]-MP_DATA[[#This Row],[Bottom '[m']]], "")</f>
        <v/>
      </c>
      <c r="L526" s="208"/>
      <c r="M526" s="145" t="str">
        <f t="shared" si="20"/>
        <v/>
      </c>
      <c r="N526" s="220" t="str">
        <f>IFERROR((MP_DATA[[#This Row],[D, bottom '[m']]]+MP_DATA[[#This Row],[D, top '[m']]])/(2*MP_DATA[[#This Row],[t '[mm']]]/1000),"")</f>
        <v/>
      </c>
      <c r="Q526" s="209"/>
      <c r="R526" s="209"/>
      <c r="S526" s="187"/>
      <c r="AV526" s="233" t="str">
        <f>IFERROR(TP_DATA[[#This Row],[Top '[m']]]-TP_DATA[[#This Row],[Bottom '[m']]], "")</f>
        <v/>
      </c>
      <c r="AW526" s="208"/>
      <c r="AX526" s="209"/>
      <c r="AY526" s="240"/>
      <c r="BB526" s="99"/>
      <c r="BC526" s="99"/>
      <c r="BD526" s="187"/>
      <c r="CH526" s="53" t="str">
        <f>IFERROR(TOWER_DATA[[#This Row],[Top '[m']]]-TOWER_DATA[[#This Row],[Bottom '[m']]], "")</f>
        <v/>
      </c>
      <c r="CI526" s="217" t="str">
        <f>IFERROR(-(TOWER_DATA[[#This Row],[D, bottom '[m']]]-TOWER_DATA[[#This Row],[D, top '[m']]])/(TOWER_DATA[[#This Row],[Bottom '[m']]]-TOWER_DATA[[#This Row],[Top '[m']]]),"")</f>
        <v/>
      </c>
      <c r="CJ526" s="145" t="str">
        <f t="shared" si="19"/>
        <v/>
      </c>
      <c r="CK526" s="220" t="str">
        <f>IFERROR((TOWER_DATA[[#This Row],[D, bottom '[m']]]+TOWER_DATA[[#This Row],[D, top '[m']]])/(2*TOWER_DATA[[#This Row],[t '[mm']]]/1000),"")</f>
        <v/>
      </c>
      <c r="DO526" s="209"/>
      <c r="DP526" s="209"/>
      <c r="DQ526" s="187"/>
      <c r="DT526" s="99"/>
      <c r="DU526" s="99"/>
    </row>
    <row r="527" spans="1:125" ht="18" customHeight="1">
      <c r="A527" s="271"/>
      <c r="D527" s="280"/>
      <c r="E527" s="52"/>
      <c r="K527" s="53" t="str">
        <f>IFERROR(MP_DATA[[#This Row],[Top '[m']]]-MP_DATA[[#This Row],[Bottom '[m']]], "")</f>
        <v/>
      </c>
      <c r="L527" s="208"/>
      <c r="M527" s="145" t="str">
        <f t="shared" si="20"/>
        <v/>
      </c>
      <c r="N527" s="220" t="str">
        <f>IFERROR((MP_DATA[[#This Row],[D, bottom '[m']]]+MP_DATA[[#This Row],[D, top '[m']]])/(2*MP_DATA[[#This Row],[t '[mm']]]/1000),"")</f>
        <v/>
      </c>
      <c r="Q527" s="209"/>
      <c r="R527" s="209"/>
      <c r="S527" s="187"/>
      <c r="AV527" s="233" t="str">
        <f>IFERROR(TP_DATA[[#This Row],[Top '[m']]]-TP_DATA[[#This Row],[Bottom '[m']]], "")</f>
        <v/>
      </c>
      <c r="AW527" s="208"/>
      <c r="AX527" s="209"/>
      <c r="AY527" s="240"/>
      <c r="BB527" s="99"/>
      <c r="BC527" s="99"/>
      <c r="BD527" s="187"/>
      <c r="CH527" s="53" t="str">
        <f>IFERROR(TOWER_DATA[[#This Row],[Top '[m']]]-TOWER_DATA[[#This Row],[Bottom '[m']]], "")</f>
        <v/>
      </c>
      <c r="CI527" s="217" t="str">
        <f>IFERROR(-(TOWER_DATA[[#This Row],[D, bottom '[m']]]-TOWER_DATA[[#This Row],[D, top '[m']]])/(TOWER_DATA[[#This Row],[Bottom '[m']]]-TOWER_DATA[[#This Row],[Top '[m']]]),"")</f>
        <v/>
      </c>
      <c r="CJ527" s="145" t="str">
        <f t="shared" si="19"/>
        <v/>
      </c>
      <c r="CK527" s="220" t="str">
        <f>IFERROR((TOWER_DATA[[#This Row],[D, bottom '[m']]]+TOWER_DATA[[#This Row],[D, top '[m']]])/(2*TOWER_DATA[[#This Row],[t '[mm']]]/1000),"")</f>
        <v/>
      </c>
      <c r="DO527" s="209"/>
      <c r="DP527" s="209"/>
      <c r="DQ527" s="187"/>
      <c r="DT527" s="99"/>
      <c r="DU527" s="99"/>
    </row>
    <row r="528" spans="1:125" ht="18" customHeight="1">
      <c r="A528" s="271"/>
      <c r="D528" s="280"/>
      <c r="E528" s="52"/>
      <c r="K528" s="53" t="str">
        <f>IFERROR(MP_DATA[[#This Row],[Top '[m']]]-MP_DATA[[#This Row],[Bottom '[m']]], "")</f>
        <v/>
      </c>
      <c r="L528" s="208"/>
      <c r="M528" s="145" t="str">
        <f t="shared" si="20"/>
        <v/>
      </c>
      <c r="N528" s="220" t="str">
        <f>IFERROR((MP_DATA[[#This Row],[D, bottom '[m']]]+MP_DATA[[#This Row],[D, top '[m']]])/(2*MP_DATA[[#This Row],[t '[mm']]]/1000),"")</f>
        <v/>
      </c>
      <c r="Q528" s="209"/>
      <c r="R528" s="209"/>
      <c r="S528" s="187"/>
      <c r="AV528" s="233" t="str">
        <f>IFERROR(TP_DATA[[#This Row],[Top '[m']]]-TP_DATA[[#This Row],[Bottom '[m']]], "")</f>
        <v/>
      </c>
      <c r="AW528" s="208"/>
      <c r="AX528" s="209"/>
      <c r="AY528" s="240"/>
      <c r="BB528" s="99"/>
      <c r="BC528" s="99"/>
      <c r="BD528" s="187"/>
      <c r="CH528" s="53" t="str">
        <f>IFERROR(TOWER_DATA[[#This Row],[Top '[m']]]-TOWER_DATA[[#This Row],[Bottom '[m']]], "")</f>
        <v/>
      </c>
      <c r="CI528" s="217" t="str">
        <f>IFERROR(-(TOWER_DATA[[#This Row],[D, bottom '[m']]]-TOWER_DATA[[#This Row],[D, top '[m']]])/(TOWER_DATA[[#This Row],[Bottom '[m']]]-TOWER_DATA[[#This Row],[Top '[m']]]),"")</f>
        <v/>
      </c>
      <c r="CJ528" s="145" t="str">
        <f t="shared" si="19"/>
        <v/>
      </c>
      <c r="CK528" s="220" t="str">
        <f>IFERROR((TOWER_DATA[[#This Row],[D, bottom '[m']]]+TOWER_DATA[[#This Row],[D, top '[m']]])/(2*TOWER_DATA[[#This Row],[t '[mm']]]/1000),"")</f>
        <v/>
      </c>
      <c r="DO528" s="209"/>
      <c r="DP528" s="209"/>
      <c r="DQ528" s="187"/>
      <c r="DT528" s="99"/>
      <c r="DU528" s="99"/>
    </row>
    <row r="529" spans="1:125" ht="18" customHeight="1">
      <c r="A529" s="271"/>
      <c r="D529" s="280"/>
      <c r="E529" s="52"/>
      <c r="K529" s="53" t="str">
        <f>IFERROR(MP_DATA[[#This Row],[Top '[m']]]-MP_DATA[[#This Row],[Bottom '[m']]], "")</f>
        <v/>
      </c>
      <c r="L529" s="208"/>
      <c r="M529" s="145" t="str">
        <f t="shared" si="20"/>
        <v/>
      </c>
      <c r="N529" s="220" t="str">
        <f>IFERROR((MP_DATA[[#This Row],[D, bottom '[m']]]+MP_DATA[[#This Row],[D, top '[m']]])/(2*MP_DATA[[#This Row],[t '[mm']]]/1000),"")</f>
        <v/>
      </c>
      <c r="Q529" s="209"/>
      <c r="R529" s="209"/>
      <c r="S529" s="187"/>
      <c r="AV529" s="233" t="str">
        <f>IFERROR(TP_DATA[[#This Row],[Top '[m']]]-TP_DATA[[#This Row],[Bottom '[m']]], "")</f>
        <v/>
      </c>
      <c r="AW529" s="208"/>
      <c r="AX529" s="209"/>
      <c r="AY529" s="240"/>
      <c r="BB529" s="99"/>
      <c r="BC529" s="99"/>
      <c r="BD529" s="187"/>
      <c r="CH529" s="53" t="str">
        <f>IFERROR(TOWER_DATA[[#This Row],[Top '[m']]]-TOWER_DATA[[#This Row],[Bottom '[m']]], "")</f>
        <v/>
      </c>
      <c r="CI529" s="217" t="str">
        <f>IFERROR(-(TOWER_DATA[[#This Row],[D, bottom '[m']]]-TOWER_DATA[[#This Row],[D, top '[m']]])/(TOWER_DATA[[#This Row],[Bottom '[m']]]-TOWER_DATA[[#This Row],[Top '[m']]]),"")</f>
        <v/>
      </c>
      <c r="CJ529" s="145" t="str">
        <f t="shared" si="19"/>
        <v/>
      </c>
      <c r="CK529" s="220" t="str">
        <f>IFERROR((TOWER_DATA[[#This Row],[D, bottom '[m']]]+TOWER_DATA[[#This Row],[D, top '[m']]])/(2*TOWER_DATA[[#This Row],[t '[mm']]]/1000),"")</f>
        <v/>
      </c>
      <c r="DO529" s="209"/>
      <c r="DP529" s="209"/>
      <c r="DQ529" s="187"/>
      <c r="DT529" s="99"/>
      <c r="DU529" s="99"/>
    </row>
    <row r="530" spans="1:125" ht="18" customHeight="1">
      <c r="A530" s="271"/>
      <c r="D530" s="280"/>
      <c r="E530" s="52"/>
      <c r="K530" s="53" t="str">
        <f>IFERROR(MP_DATA[[#This Row],[Top '[m']]]-MP_DATA[[#This Row],[Bottom '[m']]], "")</f>
        <v/>
      </c>
      <c r="L530" s="208"/>
      <c r="M530" s="145" t="str">
        <f t="shared" si="20"/>
        <v/>
      </c>
      <c r="N530" s="220" t="str">
        <f>IFERROR((MP_DATA[[#This Row],[D, bottom '[m']]]+MP_DATA[[#This Row],[D, top '[m']]])/(2*MP_DATA[[#This Row],[t '[mm']]]/1000),"")</f>
        <v/>
      </c>
      <c r="Q530" s="209"/>
      <c r="R530" s="209"/>
      <c r="S530" s="187"/>
      <c r="AV530" s="233" t="str">
        <f>IFERROR(TP_DATA[[#This Row],[Top '[m']]]-TP_DATA[[#This Row],[Bottom '[m']]], "")</f>
        <v/>
      </c>
      <c r="AW530" s="208"/>
      <c r="AX530" s="209"/>
      <c r="AY530" s="240"/>
      <c r="BB530" s="99"/>
      <c r="BC530" s="99"/>
      <c r="BD530" s="187"/>
      <c r="CH530" s="53" t="str">
        <f>IFERROR(TOWER_DATA[[#This Row],[Top '[m']]]-TOWER_DATA[[#This Row],[Bottom '[m']]], "")</f>
        <v/>
      </c>
      <c r="CI530" s="217" t="str">
        <f>IFERROR(-(TOWER_DATA[[#This Row],[D, bottom '[m']]]-TOWER_DATA[[#This Row],[D, top '[m']]])/(TOWER_DATA[[#This Row],[Bottom '[m']]]-TOWER_DATA[[#This Row],[Top '[m']]]),"")</f>
        <v/>
      </c>
      <c r="CJ530" s="145" t="str">
        <f t="shared" si="19"/>
        <v/>
      </c>
      <c r="CK530" s="220" t="str">
        <f>IFERROR((TOWER_DATA[[#This Row],[D, bottom '[m']]]+TOWER_DATA[[#This Row],[D, top '[m']]])/(2*TOWER_DATA[[#This Row],[t '[mm']]]/1000),"")</f>
        <v/>
      </c>
      <c r="DO530" s="209"/>
      <c r="DP530" s="209"/>
      <c r="DQ530" s="187"/>
      <c r="DT530" s="99"/>
      <c r="DU530" s="99"/>
    </row>
    <row r="531" spans="1:125" ht="18" customHeight="1">
      <c r="A531" s="271"/>
      <c r="D531" s="280"/>
      <c r="E531" s="52"/>
      <c r="K531" s="53" t="str">
        <f>IFERROR(MP_DATA[[#This Row],[Top '[m']]]-MP_DATA[[#This Row],[Bottom '[m']]], "")</f>
        <v/>
      </c>
      <c r="L531" s="208"/>
      <c r="M531" s="145" t="str">
        <f t="shared" si="20"/>
        <v/>
      </c>
      <c r="N531" s="220" t="str">
        <f>IFERROR((MP_DATA[[#This Row],[D, bottom '[m']]]+MP_DATA[[#This Row],[D, top '[m']]])/(2*MP_DATA[[#This Row],[t '[mm']]]/1000),"")</f>
        <v/>
      </c>
      <c r="Q531" s="209"/>
      <c r="R531" s="209"/>
      <c r="S531" s="187"/>
      <c r="AV531" s="233" t="str">
        <f>IFERROR(TP_DATA[[#This Row],[Top '[m']]]-TP_DATA[[#This Row],[Bottom '[m']]], "")</f>
        <v/>
      </c>
      <c r="AW531" s="208"/>
      <c r="AX531" s="209"/>
      <c r="AY531" s="240"/>
      <c r="BB531" s="99"/>
      <c r="BC531" s="99"/>
      <c r="BD531" s="187"/>
      <c r="CH531" s="53" t="str">
        <f>IFERROR(TOWER_DATA[[#This Row],[Top '[m']]]-TOWER_DATA[[#This Row],[Bottom '[m']]], "")</f>
        <v/>
      </c>
      <c r="CI531" s="217" t="str">
        <f>IFERROR(-(TOWER_DATA[[#This Row],[D, bottom '[m']]]-TOWER_DATA[[#This Row],[D, top '[m']]])/(TOWER_DATA[[#This Row],[Bottom '[m']]]-TOWER_DATA[[#This Row],[Top '[m']]]),"")</f>
        <v/>
      </c>
      <c r="CJ531" s="145" t="str">
        <f t="shared" si="19"/>
        <v/>
      </c>
      <c r="CK531" s="220" t="str">
        <f>IFERROR((TOWER_DATA[[#This Row],[D, bottom '[m']]]+TOWER_DATA[[#This Row],[D, top '[m']]])/(2*TOWER_DATA[[#This Row],[t '[mm']]]/1000),"")</f>
        <v/>
      </c>
      <c r="DO531" s="209"/>
      <c r="DP531" s="209"/>
      <c r="DQ531" s="187"/>
      <c r="DT531" s="99"/>
      <c r="DU531" s="99"/>
    </row>
    <row r="532" spans="1:125" ht="18" customHeight="1">
      <c r="A532" s="271"/>
      <c r="D532" s="280"/>
      <c r="E532" s="52"/>
      <c r="K532" s="53" t="str">
        <f>IFERROR(MP_DATA[[#This Row],[Top '[m']]]-MP_DATA[[#This Row],[Bottom '[m']]], "")</f>
        <v/>
      </c>
      <c r="L532" s="208"/>
      <c r="M532" s="145" t="str">
        <f t="shared" si="20"/>
        <v/>
      </c>
      <c r="N532" s="220" t="str">
        <f>IFERROR((MP_DATA[[#This Row],[D, bottom '[m']]]+MP_DATA[[#This Row],[D, top '[m']]])/(2*MP_DATA[[#This Row],[t '[mm']]]/1000),"")</f>
        <v/>
      </c>
      <c r="Q532" s="209"/>
      <c r="R532" s="209"/>
      <c r="S532" s="187"/>
      <c r="AV532" s="233" t="str">
        <f>IFERROR(TP_DATA[[#This Row],[Top '[m']]]-TP_DATA[[#This Row],[Bottom '[m']]], "")</f>
        <v/>
      </c>
      <c r="AW532" s="208"/>
      <c r="AX532" s="209"/>
      <c r="AY532" s="240"/>
      <c r="BB532" s="99"/>
      <c r="BC532" s="99"/>
      <c r="BD532" s="187"/>
      <c r="CH532" s="53" t="str">
        <f>IFERROR(TOWER_DATA[[#This Row],[Top '[m']]]-TOWER_DATA[[#This Row],[Bottom '[m']]], "")</f>
        <v/>
      </c>
      <c r="CI532" s="217" t="str">
        <f>IFERROR(-(TOWER_DATA[[#This Row],[D, bottom '[m']]]-TOWER_DATA[[#This Row],[D, top '[m']]])/(TOWER_DATA[[#This Row],[Bottom '[m']]]-TOWER_DATA[[#This Row],[Top '[m']]]),"")</f>
        <v/>
      </c>
      <c r="CJ532" s="145" t="str">
        <f t="shared" si="19"/>
        <v/>
      </c>
      <c r="CK532" s="220" t="str">
        <f>IFERROR((TOWER_DATA[[#This Row],[D, bottom '[m']]]+TOWER_DATA[[#This Row],[D, top '[m']]])/(2*TOWER_DATA[[#This Row],[t '[mm']]]/1000),"")</f>
        <v/>
      </c>
      <c r="DO532" s="209"/>
      <c r="DP532" s="209"/>
      <c r="DQ532" s="187"/>
      <c r="DT532" s="99"/>
      <c r="DU532" s="99"/>
    </row>
    <row r="533" spans="1:125" ht="18" customHeight="1">
      <c r="A533" s="271"/>
      <c r="D533" s="280"/>
      <c r="E533" s="52"/>
      <c r="K533" s="53" t="str">
        <f>IFERROR(MP_DATA[[#This Row],[Top '[m']]]-MP_DATA[[#This Row],[Bottom '[m']]], "")</f>
        <v/>
      </c>
      <c r="L533" s="208"/>
      <c r="M533" s="145" t="str">
        <f t="shared" si="20"/>
        <v/>
      </c>
      <c r="N533" s="220" t="str">
        <f>IFERROR((MP_DATA[[#This Row],[D, bottom '[m']]]+MP_DATA[[#This Row],[D, top '[m']]])/(2*MP_DATA[[#This Row],[t '[mm']]]/1000),"")</f>
        <v/>
      </c>
      <c r="Q533" s="209"/>
      <c r="R533" s="209"/>
      <c r="S533" s="187"/>
      <c r="AV533" s="233" t="str">
        <f>IFERROR(TP_DATA[[#This Row],[Top '[m']]]-TP_DATA[[#This Row],[Bottom '[m']]], "")</f>
        <v/>
      </c>
      <c r="AW533" s="208"/>
      <c r="AX533" s="209"/>
      <c r="AY533" s="240"/>
      <c r="BB533" s="99"/>
      <c r="BC533" s="99"/>
      <c r="BD533" s="187"/>
      <c r="CH533" s="53" t="str">
        <f>IFERROR(TOWER_DATA[[#This Row],[Top '[m']]]-TOWER_DATA[[#This Row],[Bottom '[m']]], "")</f>
        <v/>
      </c>
      <c r="CI533" s="217" t="str">
        <f>IFERROR(-(TOWER_DATA[[#This Row],[D, bottom '[m']]]-TOWER_DATA[[#This Row],[D, top '[m']]])/(TOWER_DATA[[#This Row],[Bottom '[m']]]-TOWER_DATA[[#This Row],[Top '[m']]]),"")</f>
        <v/>
      </c>
      <c r="CJ533" s="145" t="str">
        <f t="shared" si="19"/>
        <v/>
      </c>
      <c r="CK533" s="220" t="str">
        <f>IFERROR((TOWER_DATA[[#This Row],[D, bottom '[m']]]+TOWER_DATA[[#This Row],[D, top '[m']]])/(2*TOWER_DATA[[#This Row],[t '[mm']]]/1000),"")</f>
        <v/>
      </c>
      <c r="DO533" s="209"/>
      <c r="DP533" s="209"/>
      <c r="DQ533" s="187"/>
      <c r="DT533" s="99"/>
      <c r="DU533" s="99"/>
    </row>
    <row r="534" spans="1:125" ht="18" customHeight="1">
      <c r="A534" s="271"/>
      <c r="D534" s="280"/>
      <c r="E534" s="52"/>
      <c r="K534" s="53" t="str">
        <f>IFERROR(MP_DATA[[#This Row],[Top '[m']]]-MP_DATA[[#This Row],[Bottom '[m']]], "")</f>
        <v/>
      </c>
      <c r="L534" s="208"/>
      <c r="M534" s="145" t="str">
        <f t="shared" si="20"/>
        <v/>
      </c>
      <c r="N534" s="220" t="str">
        <f>IFERROR((MP_DATA[[#This Row],[D, bottom '[m']]]+MP_DATA[[#This Row],[D, top '[m']]])/(2*MP_DATA[[#This Row],[t '[mm']]]/1000),"")</f>
        <v/>
      </c>
      <c r="Q534" s="209"/>
      <c r="R534" s="209"/>
      <c r="S534" s="187"/>
      <c r="AV534" s="233" t="str">
        <f>IFERROR(TP_DATA[[#This Row],[Top '[m']]]-TP_DATA[[#This Row],[Bottom '[m']]], "")</f>
        <v/>
      </c>
      <c r="AW534" s="208"/>
      <c r="AX534" s="209"/>
      <c r="AY534" s="240"/>
      <c r="BB534" s="99"/>
      <c r="BC534" s="99"/>
      <c r="BD534" s="187"/>
      <c r="CH534" s="53" t="str">
        <f>IFERROR(TOWER_DATA[[#This Row],[Top '[m']]]-TOWER_DATA[[#This Row],[Bottom '[m']]], "")</f>
        <v/>
      </c>
      <c r="CI534" s="217" t="str">
        <f>IFERROR(-(TOWER_DATA[[#This Row],[D, bottom '[m']]]-TOWER_DATA[[#This Row],[D, top '[m']]])/(TOWER_DATA[[#This Row],[Bottom '[m']]]-TOWER_DATA[[#This Row],[Top '[m']]]),"")</f>
        <v/>
      </c>
      <c r="CJ534" s="145" t="str">
        <f t="shared" si="19"/>
        <v/>
      </c>
      <c r="CK534" s="220" t="str">
        <f>IFERROR((TOWER_DATA[[#This Row],[D, bottom '[m']]]+TOWER_DATA[[#This Row],[D, top '[m']]])/(2*TOWER_DATA[[#This Row],[t '[mm']]]/1000),"")</f>
        <v/>
      </c>
      <c r="DO534" s="209"/>
      <c r="DP534" s="209"/>
      <c r="DQ534" s="187"/>
      <c r="DT534" s="99"/>
      <c r="DU534" s="99"/>
    </row>
    <row r="535" spans="1:125" ht="18" customHeight="1">
      <c r="A535" s="271"/>
      <c r="D535" s="280"/>
      <c r="E535" s="52"/>
      <c r="K535" s="53" t="str">
        <f>IFERROR(MP_DATA[[#This Row],[Top '[m']]]-MP_DATA[[#This Row],[Bottom '[m']]], "")</f>
        <v/>
      </c>
      <c r="L535" s="208"/>
      <c r="M535" s="145" t="str">
        <f t="shared" si="20"/>
        <v/>
      </c>
      <c r="N535" s="220" t="str">
        <f>IFERROR((MP_DATA[[#This Row],[D, bottom '[m']]]+MP_DATA[[#This Row],[D, top '[m']]])/(2*MP_DATA[[#This Row],[t '[mm']]]/1000),"")</f>
        <v/>
      </c>
      <c r="Q535" s="209"/>
      <c r="R535" s="209"/>
      <c r="S535" s="187"/>
      <c r="AV535" s="233" t="str">
        <f>IFERROR(TP_DATA[[#This Row],[Top '[m']]]-TP_DATA[[#This Row],[Bottom '[m']]], "")</f>
        <v/>
      </c>
      <c r="AW535" s="208"/>
      <c r="AX535" s="209"/>
      <c r="AY535" s="240"/>
      <c r="BB535" s="99"/>
      <c r="BC535" s="99"/>
      <c r="BD535" s="187"/>
      <c r="CH535" s="53" t="str">
        <f>IFERROR(TOWER_DATA[[#This Row],[Top '[m']]]-TOWER_DATA[[#This Row],[Bottom '[m']]], "")</f>
        <v/>
      </c>
      <c r="CI535" s="217" t="str">
        <f>IFERROR(-(TOWER_DATA[[#This Row],[D, bottom '[m']]]-TOWER_DATA[[#This Row],[D, top '[m']]])/(TOWER_DATA[[#This Row],[Bottom '[m']]]-TOWER_DATA[[#This Row],[Top '[m']]]),"")</f>
        <v/>
      </c>
      <c r="CJ535" s="145" t="str">
        <f t="shared" si="19"/>
        <v/>
      </c>
      <c r="CK535" s="220" t="str">
        <f>IFERROR((TOWER_DATA[[#This Row],[D, bottom '[m']]]+TOWER_DATA[[#This Row],[D, top '[m']]])/(2*TOWER_DATA[[#This Row],[t '[mm']]]/1000),"")</f>
        <v/>
      </c>
      <c r="DO535" s="209"/>
      <c r="DP535" s="209"/>
      <c r="DQ535" s="187"/>
      <c r="DT535" s="99"/>
      <c r="DU535" s="99"/>
    </row>
    <row r="536" spans="1:125" ht="18" customHeight="1">
      <c r="A536" s="271"/>
      <c r="D536" s="280"/>
      <c r="E536" s="52"/>
      <c r="K536" s="53" t="str">
        <f>IFERROR(MP_DATA[[#This Row],[Top '[m']]]-MP_DATA[[#This Row],[Bottom '[m']]], "")</f>
        <v/>
      </c>
      <c r="L536" s="208"/>
      <c r="M536" s="145" t="str">
        <f t="shared" si="20"/>
        <v/>
      </c>
      <c r="N536" s="220" t="str">
        <f>IFERROR((MP_DATA[[#This Row],[D, bottom '[m']]]+MP_DATA[[#This Row],[D, top '[m']]])/(2*MP_DATA[[#This Row],[t '[mm']]]/1000),"")</f>
        <v/>
      </c>
      <c r="Q536" s="209"/>
      <c r="R536" s="209"/>
      <c r="S536" s="187"/>
      <c r="AV536" s="233" t="str">
        <f>IFERROR(TP_DATA[[#This Row],[Top '[m']]]-TP_DATA[[#This Row],[Bottom '[m']]], "")</f>
        <v/>
      </c>
      <c r="AW536" s="208"/>
      <c r="AX536" s="209"/>
      <c r="AY536" s="240"/>
      <c r="BB536" s="99"/>
      <c r="BC536" s="99"/>
      <c r="BD536" s="187"/>
      <c r="CH536" s="53" t="str">
        <f>IFERROR(TOWER_DATA[[#This Row],[Top '[m']]]-TOWER_DATA[[#This Row],[Bottom '[m']]], "")</f>
        <v/>
      </c>
      <c r="CI536" s="217" t="str">
        <f>IFERROR(-(TOWER_DATA[[#This Row],[D, bottom '[m']]]-TOWER_DATA[[#This Row],[D, top '[m']]])/(TOWER_DATA[[#This Row],[Bottom '[m']]]-TOWER_DATA[[#This Row],[Top '[m']]]),"")</f>
        <v/>
      </c>
      <c r="CJ536" s="145" t="str">
        <f t="shared" si="19"/>
        <v/>
      </c>
      <c r="CK536" s="220" t="str">
        <f>IFERROR((TOWER_DATA[[#This Row],[D, bottom '[m']]]+TOWER_DATA[[#This Row],[D, top '[m']]])/(2*TOWER_DATA[[#This Row],[t '[mm']]]/1000),"")</f>
        <v/>
      </c>
      <c r="DO536" s="209"/>
      <c r="DP536" s="209"/>
      <c r="DQ536" s="187"/>
      <c r="DT536" s="99"/>
      <c r="DU536" s="99"/>
    </row>
    <row r="537" spans="1:125" ht="18" customHeight="1">
      <c r="A537" s="271"/>
      <c r="D537" s="280"/>
      <c r="E537" s="52"/>
      <c r="K537" s="53" t="str">
        <f>IFERROR(MP_DATA[[#This Row],[Top '[m']]]-MP_DATA[[#This Row],[Bottom '[m']]], "")</f>
        <v/>
      </c>
      <c r="L537" s="208"/>
      <c r="M537" s="145" t="str">
        <f t="shared" si="20"/>
        <v/>
      </c>
      <c r="N537" s="220" t="str">
        <f>IFERROR((MP_DATA[[#This Row],[D, bottom '[m']]]+MP_DATA[[#This Row],[D, top '[m']]])/(2*MP_DATA[[#This Row],[t '[mm']]]/1000),"")</f>
        <v/>
      </c>
      <c r="Q537" s="209"/>
      <c r="R537" s="209"/>
      <c r="S537" s="187"/>
      <c r="AV537" s="233" t="str">
        <f>IFERROR(TP_DATA[[#This Row],[Top '[m']]]-TP_DATA[[#This Row],[Bottom '[m']]], "")</f>
        <v/>
      </c>
      <c r="AW537" s="208"/>
      <c r="AX537" s="209"/>
      <c r="AY537" s="240"/>
      <c r="BB537" s="99"/>
      <c r="BC537" s="99"/>
      <c r="BD537" s="187"/>
      <c r="CH537" s="53" t="str">
        <f>IFERROR(TOWER_DATA[[#This Row],[Top '[m']]]-TOWER_DATA[[#This Row],[Bottom '[m']]], "")</f>
        <v/>
      </c>
      <c r="CI537" s="217" t="str">
        <f>IFERROR(-(TOWER_DATA[[#This Row],[D, bottom '[m']]]-TOWER_DATA[[#This Row],[D, top '[m']]])/(TOWER_DATA[[#This Row],[Bottom '[m']]]-TOWER_DATA[[#This Row],[Top '[m']]]),"")</f>
        <v/>
      </c>
      <c r="CJ537" s="145" t="str">
        <f t="shared" si="19"/>
        <v/>
      </c>
      <c r="CK537" s="220" t="str">
        <f>IFERROR((TOWER_DATA[[#This Row],[D, bottom '[m']]]+TOWER_DATA[[#This Row],[D, top '[m']]])/(2*TOWER_DATA[[#This Row],[t '[mm']]]/1000),"")</f>
        <v/>
      </c>
      <c r="DO537" s="209"/>
      <c r="DP537" s="209"/>
      <c r="DQ537" s="187"/>
      <c r="DT537" s="99"/>
      <c r="DU537" s="99"/>
    </row>
    <row r="538" spans="1:125" ht="18" customHeight="1">
      <c r="A538" s="271"/>
      <c r="D538" s="280"/>
      <c r="E538" s="52"/>
      <c r="K538" s="53" t="str">
        <f>IFERROR(MP_DATA[[#This Row],[Top '[m']]]-MP_DATA[[#This Row],[Bottom '[m']]], "")</f>
        <v/>
      </c>
      <c r="L538" s="208"/>
      <c r="M538" s="145" t="str">
        <f t="shared" si="20"/>
        <v/>
      </c>
      <c r="N538" s="220" t="str">
        <f>IFERROR((MP_DATA[[#This Row],[D, bottom '[m']]]+MP_DATA[[#This Row],[D, top '[m']]])/(2*MP_DATA[[#This Row],[t '[mm']]]/1000),"")</f>
        <v/>
      </c>
      <c r="Q538" s="209"/>
      <c r="R538" s="209"/>
      <c r="S538" s="187"/>
      <c r="AV538" s="233" t="str">
        <f>IFERROR(TP_DATA[[#This Row],[Top '[m']]]-TP_DATA[[#This Row],[Bottom '[m']]], "")</f>
        <v/>
      </c>
      <c r="AW538" s="208"/>
      <c r="AX538" s="209"/>
      <c r="AY538" s="240"/>
      <c r="BB538" s="99"/>
      <c r="BC538" s="99"/>
      <c r="BD538" s="187"/>
      <c r="CH538" s="53" t="str">
        <f>IFERROR(TOWER_DATA[[#This Row],[Top '[m']]]-TOWER_DATA[[#This Row],[Bottom '[m']]], "")</f>
        <v/>
      </c>
      <c r="CI538" s="217" t="str">
        <f>IFERROR(-(TOWER_DATA[[#This Row],[D, bottom '[m']]]-TOWER_DATA[[#This Row],[D, top '[m']]])/(TOWER_DATA[[#This Row],[Bottom '[m']]]-TOWER_DATA[[#This Row],[Top '[m']]]),"")</f>
        <v/>
      </c>
      <c r="CJ538" s="145" t="str">
        <f t="shared" si="19"/>
        <v/>
      </c>
      <c r="CK538" s="220" t="str">
        <f>IFERROR((TOWER_DATA[[#This Row],[D, bottom '[m']]]+TOWER_DATA[[#This Row],[D, top '[m']]])/(2*TOWER_DATA[[#This Row],[t '[mm']]]/1000),"")</f>
        <v/>
      </c>
      <c r="DO538" s="209"/>
      <c r="DP538" s="209"/>
      <c r="DQ538" s="187"/>
      <c r="DT538" s="99"/>
      <c r="DU538" s="99"/>
    </row>
    <row r="539" spans="1:125" ht="18" customHeight="1">
      <c r="A539" s="271"/>
      <c r="D539" s="280"/>
      <c r="E539" s="52"/>
      <c r="K539" s="53" t="str">
        <f>IFERROR(MP_DATA[[#This Row],[Top '[m']]]-MP_DATA[[#This Row],[Bottom '[m']]], "")</f>
        <v/>
      </c>
      <c r="L539" s="208"/>
      <c r="M539" s="145" t="str">
        <f t="shared" si="20"/>
        <v/>
      </c>
      <c r="N539" s="220" t="str">
        <f>IFERROR((MP_DATA[[#This Row],[D, bottom '[m']]]+MP_DATA[[#This Row],[D, top '[m']]])/(2*MP_DATA[[#This Row],[t '[mm']]]/1000),"")</f>
        <v/>
      </c>
      <c r="Q539" s="209"/>
      <c r="R539" s="209"/>
      <c r="S539" s="187"/>
      <c r="AV539" s="233" t="str">
        <f>IFERROR(TP_DATA[[#This Row],[Top '[m']]]-TP_DATA[[#This Row],[Bottom '[m']]], "")</f>
        <v/>
      </c>
      <c r="AW539" s="208"/>
      <c r="AX539" s="209"/>
      <c r="AY539" s="240"/>
      <c r="BB539" s="99"/>
      <c r="BC539" s="99"/>
      <c r="BD539" s="187"/>
      <c r="CH539" s="53" t="str">
        <f>IFERROR(TOWER_DATA[[#This Row],[Top '[m']]]-TOWER_DATA[[#This Row],[Bottom '[m']]], "")</f>
        <v/>
      </c>
      <c r="CI539" s="217" t="str">
        <f>IFERROR(-(TOWER_DATA[[#This Row],[D, bottom '[m']]]-TOWER_DATA[[#This Row],[D, top '[m']]])/(TOWER_DATA[[#This Row],[Bottom '[m']]]-TOWER_DATA[[#This Row],[Top '[m']]]),"")</f>
        <v/>
      </c>
      <c r="CJ539" s="145" t="str">
        <f t="shared" si="19"/>
        <v/>
      </c>
      <c r="CK539" s="220" t="str">
        <f>IFERROR((TOWER_DATA[[#This Row],[D, bottom '[m']]]+TOWER_DATA[[#This Row],[D, top '[m']]])/(2*TOWER_DATA[[#This Row],[t '[mm']]]/1000),"")</f>
        <v/>
      </c>
      <c r="DO539" s="209"/>
      <c r="DP539" s="209"/>
      <c r="DQ539" s="187"/>
      <c r="DT539" s="99"/>
      <c r="DU539" s="99"/>
    </row>
    <row r="540" spans="1:125" ht="18" customHeight="1">
      <c r="A540" s="271"/>
      <c r="D540" s="280"/>
      <c r="E540" s="52"/>
      <c r="K540" s="53" t="str">
        <f>IFERROR(MP_DATA[[#This Row],[Top '[m']]]-MP_DATA[[#This Row],[Bottom '[m']]], "")</f>
        <v/>
      </c>
      <c r="L540" s="208"/>
      <c r="M540" s="145" t="str">
        <f t="shared" si="20"/>
        <v/>
      </c>
      <c r="N540" s="220" t="str">
        <f>IFERROR((MP_DATA[[#This Row],[D, bottom '[m']]]+MP_DATA[[#This Row],[D, top '[m']]])/(2*MP_DATA[[#This Row],[t '[mm']]]/1000),"")</f>
        <v/>
      </c>
      <c r="Q540" s="209"/>
      <c r="R540" s="209"/>
      <c r="S540" s="187"/>
      <c r="AV540" s="233" t="str">
        <f>IFERROR(TP_DATA[[#This Row],[Top '[m']]]-TP_DATA[[#This Row],[Bottom '[m']]], "")</f>
        <v/>
      </c>
      <c r="AW540" s="208"/>
      <c r="AX540" s="209"/>
      <c r="AY540" s="240"/>
      <c r="BB540" s="99"/>
      <c r="BC540" s="99"/>
      <c r="BD540" s="187"/>
      <c r="CH540" s="53" t="str">
        <f>IFERROR(TOWER_DATA[[#This Row],[Top '[m']]]-TOWER_DATA[[#This Row],[Bottom '[m']]], "")</f>
        <v/>
      </c>
      <c r="CI540" s="217" t="str">
        <f>IFERROR(-(TOWER_DATA[[#This Row],[D, bottom '[m']]]-TOWER_DATA[[#This Row],[D, top '[m']]])/(TOWER_DATA[[#This Row],[Bottom '[m']]]-TOWER_DATA[[#This Row],[Top '[m']]]),"")</f>
        <v/>
      </c>
      <c r="CJ540" s="145" t="str">
        <f t="shared" si="19"/>
        <v/>
      </c>
      <c r="CK540" s="220" t="str">
        <f>IFERROR((TOWER_DATA[[#This Row],[D, bottom '[m']]]+TOWER_DATA[[#This Row],[D, top '[m']]])/(2*TOWER_DATA[[#This Row],[t '[mm']]]/1000),"")</f>
        <v/>
      </c>
      <c r="DO540" s="209"/>
      <c r="DP540" s="209"/>
      <c r="DQ540" s="187"/>
      <c r="DT540" s="99"/>
      <c r="DU540" s="99"/>
    </row>
    <row r="541" spans="1:125" ht="18" customHeight="1">
      <c r="A541" s="271"/>
      <c r="D541" s="280"/>
      <c r="E541" s="52"/>
      <c r="K541" s="53" t="str">
        <f>IFERROR(MP_DATA[[#This Row],[Top '[m']]]-MP_DATA[[#This Row],[Bottom '[m']]], "")</f>
        <v/>
      </c>
      <c r="L541" s="208"/>
      <c r="M541" s="145" t="str">
        <f t="shared" si="20"/>
        <v/>
      </c>
      <c r="N541" s="220" t="str">
        <f>IFERROR((MP_DATA[[#This Row],[D, bottom '[m']]]+MP_DATA[[#This Row],[D, top '[m']]])/(2*MP_DATA[[#This Row],[t '[mm']]]/1000),"")</f>
        <v/>
      </c>
      <c r="Q541" s="209"/>
      <c r="R541" s="209"/>
      <c r="S541" s="187"/>
      <c r="AV541" s="233" t="str">
        <f>IFERROR(TP_DATA[[#This Row],[Top '[m']]]-TP_DATA[[#This Row],[Bottom '[m']]], "")</f>
        <v/>
      </c>
      <c r="AW541" s="208"/>
      <c r="AX541" s="209"/>
      <c r="AY541" s="240"/>
      <c r="BB541" s="99"/>
      <c r="BC541" s="99"/>
      <c r="BD541" s="187"/>
      <c r="CH541" s="53" t="str">
        <f>IFERROR(TOWER_DATA[[#This Row],[Top '[m']]]-TOWER_DATA[[#This Row],[Bottom '[m']]], "")</f>
        <v/>
      </c>
      <c r="CI541" s="217" t="str">
        <f>IFERROR(-(TOWER_DATA[[#This Row],[D, bottom '[m']]]-TOWER_DATA[[#This Row],[D, top '[m']]])/(TOWER_DATA[[#This Row],[Bottom '[m']]]-TOWER_DATA[[#This Row],[Top '[m']]]),"")</f>
        <v/>
      </c>
      <c r="CJ541" s="145" t="str">
        <f t="shared" si="19"/>
        <v/>
      </c>
      <c r="CK541" s="220" t="str">
        <f>IFERROR((TOWER_DATA[[#This Row],[D, bottom '[m']]]+TOWER_DATA[[#This Row],[D, top '[m']]])/(2*TOWER_DATA[[#This Row],[t '[mm']]]/1000),"")</f>
        <v/>
      </c>
      <c r="DO541" s="209"/>
      <c r="DP541" s="209"/>
      <c r="DQ541" s="187"/>
      <c r="DT541" s="99"/>
      <c r="DU541" s="99"/>
    </row>
    <row r="542" spans="1:125" ht="18" customHeight="1">
      <c r="A542" s="271"/>
      <c r="D542" s="280"/>
      <c r="E542" s="52"/>
      <c r="K542" s="53" t="str">
        <f>IFERROR(MP_DATA[[#This Row],[Top '[m']]]-MP_DATA[[#This Row],[Bottom '[m']]], "")</f>
        <v/>
      </c>
      <c r="L542" s="208"/>
      <c r="M542" s="145" t="str">
        <f t="shared" si="20"/>
        <v/>
      </c>
      <c r="N542" s="220" t="str">
        <f>IFERROR((MP_DATA[[#This Row],[D, bottom '[m']]]+MP_DATA[[#This Row],[D, top '[m']]])/(2*MP_DATA[[#This Row],[t '[mm']]]/1000),"")</f>
        <v/>
      </c>
      <c r="Q542" s="209"/>
      <c r="R542" s="209"/>
      <c r="S542" s="187"/>
      <c r="AV542" s="233" t="str">
        <f>IFERROR(TP_DATA[[#This Row],[Top '[m']]]-TP_DATA[[#This Row],[Bottom '[m']]], "")</f>
        <v/>
      </c>
      <c r="AW542" s="208"/>
      <c r="AX542" s="209"/>
      <c r="AY542" s="240"/>
      <c r="BB542" s="99"/>
      <c r="BC542" s="99"/>
      <c r="BD542" s="187"/>
      <c r="CH542" s="53" t="str">
        <f>IFERROR(TOWER_DATA[[#This Row],[Top '[m']]]-TOWER_DATA[[#This Row],[Bottom '[m']]], "")</f>
        <v/>
      </c>
      <c r="CI542" s="217" t="str">
        <f>IFERROR(-(TOWER_DATA[[#This Row],[D, bottom '[m']]]-TOWER_DATA[[#This Row],[D, top '[m']]])/(TOWER_DATA[[#This Row],[Bottom '[m']]]-TOWER_DATA[[#This Row],[Top '[m']]]),"")</f>
        <v/>
      </c>
      <c r="CJ542" s="145" t="str">
        <f t="shared" si="19"/>
        <v/>
      </c>
      <c r="CK542" s="220" t="str">
        <f>IFERROR((TOWER_DATA[[#This Row],[D, bottom '[m']]]+TOWER_DATA[[#This Row],[D, top '[m']]])/(2*TOWER_DATA[[#This Row],[t '[mm']]]/1000),"")</f>
        <v/>
      </c>
      <c r="DO542" s="209"/>
      <c r="DP542" s="209"/>
      <c r="DQ542" s="187"/>
      <c r="DT542" s="99"/>
      <c r="DU542" s="99"/>
    </row>
    <row r="543" spans="1:125" ht="18" customHeight="1">
      <c r="A543" s="271"/>
      <c r="D543" s="280"/>
      <c r="E543" s="52"/>
      <c r="K543" s="53" t="str">
        <f>IFERROR(MP_DATA[[#This Row],[Top '[m']]]-MP_DATA[[#This Row],[Bottom '[m']]], "")</f>
        <v/>
      </c>
      <c r="L543" s="208"/>
      <c r="M543" s="145" t="str">
        <f t="shared" si="20"/>
        <v/>
      </c>
      <c r="N543" s="220" t="str">
        <f>IFERROR((MP_DATA[[#This Row],[D, bottom '[m']]]+MP_DATA[[#This Row],[D, top '[m']]])/(2*MP_DATA[[#This Row],[t '[mm']]]/1000),"")</f>
        <v/>
      </c>
      <c r="Q543" s="209"/>
      <c r="R543" s="209"/>
      <c r="S543" s="187"/>
      <c r="AV543" s="233" t="str">
        <f>IFERROR(TP_DATA[[#This Row],[Top '[m']]]-TP_DATA[[#This Row],[Bottom '[m']]], "")</f>
        <v/>
      </c>
      <c r="AW543" s="208"/>
      <c r="AX543" s="209"/>
      <c r="AY543" s="240"/>
      <c r="BB543" s="99"/>
      <c r="BC543" s="99"/>
      <c r="BD543" s="187"/>
      <c r="CH543" s="53" t="str">
        <f>IFERROR(TOWER_DATA[[#This Row],[Top '[m']]]-TOWER_DATA[[#This Row],[Bottom '[m']]], "")</f>
        <v/>
      </c>
      <c r="CI543" s="217" t="str">
        <f>IFERROR(-(TOWER_DATA[[#This Row],[D, bottom '[m']]]-TOWER_DATA[[#This Row],[D, top '[m']]])/(TOWER_DATA[[#This Row],[Bottom '[m']]]-TOWER_DATA[[#This Row],[Top '[m']]]),"")</f>
        <v/>
      </c>
      <c r="CJ543" s="145" t="str">
        <f t="shared" si="19"/>
        <v/>
      </c>
      <c r="CK543" s="220" t="str">
        <f>IFERROR((TOWER_DATA[[#This Row],[D, bottom '[m']]]+TOWER_DATA[[#This Row],[D, top '[m']]])/(2*TOWER_DATA[[#This Row],[t '[mm']]]/1000),"")</f>
        <v/>
      </c>
      <c r="DO543" s="209"/>
      <c r="DP543" s="209"/>
      <c r="DQ543" s="187"/>
      <c r="DT543" s="99"/>
      <c r="DU543" s="99"/>
    </row>
    <row r="544" spans="1:125" ht="18" customHeight="1">
      <c r="A544" s="271"/>
      <c r="D544" s="280"/>
      <c r="E544" s="52"/>
      <c r="K544" s="53" t="str">
        <f>IFERROR(MP_DATA[[#This Row],[Top '[m']]]-MP_DATA[[#This Row],[Bottom '[m']]], "")</f>
        <v/>
      </c>
      <c r="L544" s="208"/>
      <c r="M544" s="145" t="str">
        <f t="shared" si="20"/>
        <v/>
      </c>
      <c r="N544" s="220" t="str">
        <f>IFERROR((MP_DATA[[#This Row],[D, bottom '[m']]]+MP_DATA[[#This Row],[D, top '[m']]])/(2*MP_DATA[[#This Row],[t '[mm']]]/1000),"")</f>
        <v/>
      </c>
      <c r="Q544" s="209"/>
      <c r="R544" s="209"/>
      <c r="S544" s="187"/>
      <c r="AV544" s="233" t="str">
        <f>IFERROR(TP_DATA[[#This Row],[Top '[m']]]-TP_DATA[[#This Row],[Bottom '[m']]], "")</f>
        <v/>
      </c>
      <c r="AW544" s="208"/>
      <c r="AX544" s="209"/>
      <c r="AY544" s="240"/>
      <c r="BB544" s="99"/>
      <c r="BC544" s="99"/>
      <c r="BD544" s="187"/>
      <c r="CH544" s="53" t="str">
        <f>IFERROR(TOWER_DATA[[#This Row],[Top '[m']]]-TOWER_DATA[[#This Row],[Bottom '[m']]], "")</f>
        <v/>
      </c>
      <c r="CI544" s="217" t="str">
        <f>IFERROR(-(TOWER_DATA[[#This Row],[D, bottom '[m']]]-TOWER_DATA[[#This Row],[D, top '[m']]])/(TOWER_DATA[[#This Row],[Bottom '[m']]]-TOWER_DATA[[#This Row],[Top '[m']]]),"")</f>
        <v/>
      </c>
      <c r="CJ544" s="145" t="str">
        <f t="shared" si="19"/>
        <v/>
      </c>
      <c r="CK544" s="220" t="str">
        <f>IFERROR((TOWER_DATA[[#This Row],[D, bottom '[m']]]+TOWER_DATA[[#This Row],[D, top '[m']]])/(2*TOWER_DATA[[#This Row],[t '[mm']]]/1000),"")</f>
        <v/>
      </c>
      <c r="DO544" s="209"/>
      <c r="DP544" s="209"/>
      <c r="DQ544" s="187"/>
      <c r="DT544" s="99"/>
      <c r="DU544" s="99"/>
    </row>
    <row r="545" spans="1:125" ht="18" customHeight="1">
      <c r="A545" s="271"/>
      <c r="D545" s="280"/>
      <c r="E545" s="52"/>
      <c r="K545" s="53" t="str">
        <f>IFERROR(MP_DATA[[#This Row],[Top '[m']]]-MP_DATA[[#This Row],[Bottom '[m']]], "")</f>
        <v/>
      </c>
      <c r="L545" s="208"/>
      <c r="M545" s="145" t="str">
        <f t="shared" si="20"/>
        <v/>
      </c>
      <c r="N545" s="220" t="str">
        <f>IFERROR((MP_DATA[[#This Row],[D, bottom '[m']]]+MP_DATA[[#This Row],[D, top '[m']]])/(2*MP_DATA[[#This Row],[t '[mm']]]/1000),"")</f>
        <v/>
      </c>
      <c r="Q545" s="209"/>
      <c r="R545" s="209"/>
      <c r="S545" s="187"/>
      <c r="AV545" s="233" t="str">
        <f>IFERROR(TP_DATA[[#This Row],[Top '[m']]]-TP_DATA[[#This Row],[Bottom '[m']]], "")</f>
        <v/>
      </c>
      <c r="AW545" s="208"/>
      <c r="AX545" s="209"/>
      <c r="AY545" s="240"/>
      <c r="BB545" s="99"/>
      <c r="BC545" s="99"/>
      <c r="BD545" s="187"/>
      <c r="CH545" s="53" t="str">
        <f>IFERROR(TOWER_DATA[[#This Row],[Top '[m']]]-TOWER_DATA[[#This Row],[Bottom '[m']]], "")</f>
        <v/>
      </c>
      <c r="CI545" s="217" t="str">
        <f>IFERROR(-(TOWER_DATA[[#This Row],[D, bottom '[m']]]-TOWER_DATA[[#This Row],[D, top '[m']]])/(TOWER_DATA[[#This Row],[Bottom '[m']]]-TOWER_DATA[[#This Row],[Top '[m']]]),"")</f>
        <v/>
      </c>
      <c r="CJ545" s="145" t="str">
        <f t="shared" si="19"/>
        <v/>
      </c>
      <c r="CK545" s="220" t="str">
        <f>IFERROR((TOWER_DATA[[#This Row],[D, bottom '[m']]]+TOWER_DATA[[#This Row],[D, top '[m']]])/(2*TOWER_DATA[[#This Row],[t '[mm']]]/1000),"")</f>
        <v/>
      </c>
      <c r="DO545" s="209"/>
      <c r="DP545" s="209"/>
      <c r="DQ545" s="187"/>
      <c r="DT545" s="99"/>
      <c r="DU545" s="99"/>
    </row>
    <row r="546" spans="1:125" ht="18" customHeight="1">
      <c r="A546" s="271"/>
      <c r="D546" s="280"/>
      <c r="E546" s="52"/>
      <c r="K546" s="53" t="str">
        <f>IFERROR(MP_DATA[[#This Row],[Top '[m']]]-MP_DATA[[#This Row],[Bottom '[m']]], "")</f>
        <v/>
      </c>
      <c r="L546" s="208"/>
      <c r="M546" s="145" t="str">
        <f t="shared" si="20"/>
        <v/>
      </c>
      <c r="N546" s="220" t="str">
        <f>IFERROR((MP_DATA[[#This Row],[D, bottom '[m']]]+MP_DATA[[#This Row],[D, top '[m']]])/(2*MP_DATA[[#This Row],[t '[mm']]]/1000),"")</f>
        <v/>
      </c>
      <c r="Q546" s="209"/>
      <c r="R546" s="209"/>
      <c r="S546" s="187"/>
      <c r="AV546" s="233" t="str">
        <f>IFERROR(TP_DATA[[#This Row],[Top '[m']]]-TP_DATA[[#This Row],[Bottom '[m']]], "")</f>
        <v/>
      </c>
      <c r="AW546" s="208"/>
      <c r="AX546" s="209"/>
      <c r="AY546" s="240"/>
      <c r="BB546" s="99"/>
      <c r="BC546" s="99"/>
      <c r="BD546" s="187"/>
      <c r="CH546" s="53" t="str">
        <f>IFERROR(TOWER_DATA[[#This Row],[Top '[m']]]-TOWER_DATA[[#This Row],[Bottom '[m']]], "")</f>
        <v/>
      </c>
      <c r="CI546" s="217" t="str">
        <f>IFERROR(-(TOWER_DATA[[#This Row],[D, bottom '[m']]]-TOWER_DATA[[#This Row],[D, top '[m']]])/(TOWER_DATA[[#This Row],[Bottom '[m']]]-TOWER_DATA[[#This Row],[Top '[m']]]),"")</f>
        <v/>
      </c>
      <c r="CJ546" s="145" t="str">
        <f t="shared" si="19"/>
        <v/>
      </c>
      <c r="CK546" s="220" t="str">
        <f>IFERROR((TOWER_DATA[[#This Row],[D, bottom '[m']]]+TOWER_DATA[[#This Row],[D, top '[m']]])/(2*TOWER_DATA[[#This Row],[t '[mm']]]/1000),"")</f>
        <v/>
      </c>
      <c r="DO546" s="209"/>
      <c r="DP546" s="209"/>
      <c r="DQ546" s="187"/>
      <c r="DT546" s="99"/>
      <c r="DU546" s="99"/>
    </row>
    <row r="547" spans="1:125" ht="18" customHeight="1">
      <c r="A547" s="271"/>
      <c r="D547" s="280"/>
      <c r="E547" s="52"/>
      <c r="K547" s="53" t="str">
        <f>IFERROR(MP_DATA[[#This Row],[Top '[m']]]-MP_DATA[[#This Row],[Bottom '[m']]], "")</f>
        <v/>
      </c>
      <c r="L547" s="208"/>
      <c r="M547" s="145" t="str">
        <f t="shared" si="20"/>
        <v/>
      </c>
      <c r="N547" s="220" t="str">
        <f>IFERROR((MP_DATA[[#This Row],[D, bottom '[m']]]+MP_DATA[[#This Row],[D, top '[m']]])/(2*MP_DATA[[#This Row],[t '[mm']]]/1000),"")</f>
        <v/>
      </c>
      <c r="Q547" s="209"/>
      <c r="R547" s="209"/>
      <c r="S547" s="187"/>
      <c r="AV547" s="233" t="str">
        <f>IFERROR(TP_DATA[[#This Row],[Top '[m']]]-TP_DATA[[#This Row],[Bottom '[m']]], "")</f>
        <v/>
      </c>
      <c r="AW547" s="208"/>
      <c r="AX547" s="209"/>
      <c r="AY547" s="240"/>
      <c r="BB547" s="99"/>
      <c r="BC547" s="99"/>
      <c r="BD547" s="187"/>
      <c r="CH547" s="53" t="str">
        <f>IFERROR(TOWER_DATA[[#This Row],[Top '[m']]]-TOWER_DATA[[#This Row],[Bottom '[m']]], "")</f>
        <v/>
      </c>
      <c r="CI547" s="217" t="str">
        <f>IFERROR(-(TOWER_DATA[[#This Row],[D, bottom '[m']]]-TOWER_DATA[[#This Row],[D, top '[m']]])/(TOWER_DATA[[#This Row],[Bottom '[m']]]-TOWER_DATA[[#This Row],[Top '[m']]]),"")</f>
        <v/>
      </c>
      <c r="CJ547" s="145" t="str">
        <f t="shared" si="19"/>
        <v/>
      </c>
      <c r="CK547" s="220" t="str">
        <f>IFERROR((TOWER_DATA[[#This Row],[D, bottom '[m']]]+TOWER_DATA[[#This Row],[D, top '[m']]])/(2*TOWER_DATA[[#This Row],[t '[mm']]]/1000),"")</f>
        <v/>
      </c>
      <c r="DO547" s="209"/>
      <c r="DP547" s="209"/>
      <c r="DQ547" s="187"/>
      <c r="DT547" s="99"/>
      <c r="DU547" s="99"/>
    </row>
    <row r="548" spans="1:125" ht="18" customHeight="1">
      <c r="A548" s="271"/>
      <c r="D548" s="280"/>
      <c r="E548" s="52"/>
      <c r="K548" s="53" t="str">
        <f>IFERROR(MP_DATA[[#This Row],[Top '[m']]]-MP_DATA[[#This Row],[Bottom '[m']]], "")</f>
        <v/>
      </c>
      <c r="L548" s="208"/>
      <c r="M548" s="145" t="str">
        <f t="shared" si="20"/>
        <v/>
      </c>
      <c r="N548" s="220" t="str">
        <f>IFERROR((MP_DATA[[#This Row],[D, bottom '[m']]]+MP_DATA[[#This Row],[D, top '[m']]])/(2*MP_DATA[[#This Row],[t '[mm']]]/1000),"")</f>
        <v/>
      </c>
      <c r="Q548" s="209"/>
      <c r="R548" s="209"/>
      <c r="S548" s="187"/>
      <c r="AV548" s="233" t="str">
        <f>IFERROR(TP_DATA[[#This Row],[Top '[m']]]-TP_DATA[[#This Row],[Bottom '[m']]], "")</f>
        <v/>
      </c>
      <c r="AW548" s="208"/>
      <c r="AX548" s="209"/>
      <c r="AY548" s="240"/>
      <c r="BB548" s="99"/>
      <c r="BC548" s="99"/>
      <c r="BD548" s="187"/>
      <c r="CH548" s="53" t="str">
        <f>IFERROR(TOWER_DATA[[#This Row],[Top '[m']]]-TOWER_DATA[[#This Row],[Bottom '[m']]], "")</f>
        <v/>
      </c>
      <c r="CI548" s="217" t="str">
        <f>IFERROR(-(TOWER_DATA[[#This Row],[D, bottom '[m']]]-TOWER_DATA[[#This Row],[D, top '[m']]])/(TOWER_DATA[[#This Row],[Bottom '[m']]]-TOWER_DATA[[#This Row],[Top '[m']]]),"")</f>
        <v/>
      </c>
      <c r="CJ548" s="145" t="str">
        <f t="shared" si="19"/>
        <v/>
      </c>
      <c r="CK548" s="220" t="str">
        <f>IFERROR((TOWER_DATA[[#This Row],[D, bottom '[m']]]+TOWER_DATA[[#This Row],[D, top '[m']]])/(2*TOWER_DATA[[#This Row],[t '[mm']]]/1000),"")</f>
        <v/>
      </c>
      <c r="DO548" s="209"/>
      <c r="DP548" s="209"/>
      <c r="DQ548" s="187"/>
      <c r="DT548" s="99"/>
      <c r="DU548" s="99"/>
    </row>
    <row r="549" spans="1:125" ht="18" customHeight="1">
      <c r="A549" s="271"/>
      <c r="D549" s="280"/>
      <c r="E549" s="52"/>
      <c r="K549" s="53" t="str">
        <f>IFERROR(MP_DATA[[#This Row],[Top '[m']]]-MP_DATA[[#This Row],[Bottom '[m']]], "")</f>
        <v/>
      </c>
      <c r="L549" s="208"/>
      <c r="M549" s="145" t="str">
        <f t="shared" si="20"/>
        <v/>
      </c>
      <c r="N549" s="220" t="str">
        <f>IFERROR((MP_DATA[[#This Row],[D, bottom '[m']]]+MP_DATA[[#This Row],[D, top '[m']]])/(2*MP_DATA[[#This Row],[t '[mm']]]/1000),"")</f>
        <v/>
      </c>
      <c r="Q549" s="209"/>
      <c r="R549" s="209"/>
      <c r="S549" s="187"/>
      <c r="AV549" s="233" t="str">
        <f>IFERROR(TP_DATA[[#This Row],[Top '[m']]]-TP_DATA[[#This Row],[Bottom '[m']]], "")</f>
        <v/>
      </c>
      <c r="AW549" s="208"/>
      <c r="AX549" s="209"/>
      <c r="AY549" s="240"/>
      <c r="BB549" s="99"/>
      <c r="BC549" s="99"/>
      <c r="BD549" s="187"/>
      <c r="CH549" s="53" t="str">
        <f>IFERROR(TOWER_DATA[[#This Row],[Top '[m']]]-TOWER_DATA[[#This Row],[Bottom '[m']]], "")</f>
        <v/>
      </c>
      <c r="CI549" s="217" t="str">
        <f>IFERROR(-(TOWER_DATA[[#This Row],[D, bottom '[m']]]-TOWER_DATA[[#This Row],[D, top '[m']]])/(TOWER_DATA[[#This Row],[Bottom '[m']]]-TOWER_DATA[[#This Row],[Top '[m']]]),"")</f>
        <v/>
      </c>
      <c r="CJ549" s="145" t="str">
        <f t="shared" si="19"/>
        <v/>
      </c>
      <c r="CK549" s="220" t="str">
        <f>IFERROR((TOWER_DATA[[#This Row],[D, bottom '[m']]]+TOWER_DATA[[#This Row],[D, top '[m']]])/(2*TOWER_DATA[[#This Row],[t '[mm']]]/1000),"")</f>
        <v/>
      </c>
      <c r="DO549" s="209"/>
      <c r="DP549" s="209"/>
      <c r="DQ549" s="187"/>
      <c r="DT549" s="99"/>
      <c r="DU549" s="99"/>
    </row>
    <row r="550" spans="1:125" ht="18" customHeight="1">
      <c r="A550" s="271"/>
      <c r="D550" s="280"/>
      <c r="E550" s="52"/>
      <c r="K550" s="53" t="str">
        <f>IFERROR(MP_DATA[[#This Row],[Top '[m']]]-MP_DATA[[#This Row],[Bottom '[m']]], "")</f>
        <v/>
      </c>
      <c r="L550" s="208"/>
      <c r="M550" s="145" t="str">
        <f t="shared" si="20"/>
        <v/>
      </c>
      <c r="N550" s="220" t="str">
        <f>IFERROR((MP_DATA[[#This Row],[D, bottom '[m']]]+MP_DATA[[#This Row],[D, top '[m']]])/(2*MP_DATA[[#This Row],[t '[mm']]]/1000),"")</f>
        <v/>
      </c>
      <c r="Q550" s="209"/>
      <c r="R550" s="209"/>
      <c r="S550" s="187"/>
      <c r="AV550" s="233" t="str">
        <f>IFERROR(TP_DATA[[#This Row],[Top '[m']]]-TP_DATA[[#This Row],[Bottom '[m']]], "")</f>
        <v/>
      </c>
      <c r="AW550" s="208"/>
      <c r="AX550" s="209"/>
      <c r="AY550" s="240"/>
      <c r="BB550" s="99"/>
      <c r="BC550" s="99"/>
      <c r="BD550" s="187"/>
      <c r="CH550" s="53" t="str">
        <f>IFERROR(TOWER_DATA[[#This Row],[Top '[m']]]-TOWER_DATA[[#This Row],[Bottom '[m']]], "")</f>
        <v/>
      </c>
      <c r="CI550" s="217" t="str">
        <f>IFERROR(-(TOWER_DATA[[#This Row],[D, bottom '[m']]]-TOWER_DATA[[#This Row],[D, top '[m']]])/(TOWER_DATA[[#This Row],[Bottom '[m']]]-TOWER_DATA[[#This Row],[Top '[m']]]),"")</f>
        <v/>
      </c>
      <c r="CJ550" s="145" t="str">
        <f t="shared" si="19"/>
        <v/>
      </c>
      <c r="CK550" s="220" t="str">
        <f>IFERROR((TOWER_DATA[[#This Row],[D, bottom '[m']]]+TOWER_DATA[[#This Row],[D, top '[m']]])/(2*TOWER_DATA[[#This Row],[t '[mm']]]/1000),"")</f>
        <v/>
      </c>
      <c r="DO550" s="209"/>
      <c r="DP550" s="209"/>
      <c r="DQ550" s="187"/>
      <c r="DT550" s="99"/>
      <c r="DU550" s="99"/>
    </row>
    <row r="551" spans="1:125" ht="18" customHeight="1">
      <c r="A551" s="271"/>
      <c r="D551" s="280"/>
      <c r="E551" s="52"/>
      <c r="K551" s="53" t="str">
        <f>IFERROR(MP_DATA[[#This Row],[Top '[m']]]-MP_DATA[[#This Row],[Bottom '[m']]], "")</f>
        <v/>
      </c>
      <c r="L551" s="208"/>
      <c r="M551" s="145" t="str">
        <f t="shared" si="20"/>
        <v/>
      </c>
      <c r="N551" s="220" t="str">
        <f>IFERROR((MP_DATA[[#This Row],[D, bottom '[m']]]+MP_DATA[[#This Row],[D, top '[m']]])/(2*MP_DATA[[#This Row],[t '[mm']]]/1000),"")</f>
        <v/>
      </c>
      <c r="Q551" s="209"/>
      <c r="R551" s="209"/>
      <c r="S551" s="187"/>
      <c r="AV551" s="233" t="str">
        <f>IFERROR(TP_DATA[[#This Row],[Top '[m']]]-TP_DATA[[#This Row],[Bottom '[m']]], "")</f>
        <v/>
      </c>
      <c r="AW551" s="208"/>
      <c r="AX551" s="209"/>
      <c r="AY551" s="240"/>
      <c r="BB551" s="99"/>
      <c r="BC551" s="99"/>
      <c r="BD551" s="187"/>
      <c r="CH551" s="53" t="str">
        <f>IFERROR(TOWER_DATA[[#This Row],[Top '[m']]]-TOWER_DATA[[#This Row],[Bottom '[m']]], "")</f>
        <v/>
      </c>
      <c r="CI551" s="217" t="str">
        <f>IFERROR(-(TOWER_DATA[[#This Row],[D, bottom '[m']]]-TOWER_DATA[[#This Row],[D, top '[m']]])/(TOWER_DATA[[#This Row],[Bottom '[m']]]-TOWER_DATA[[#This Row],[Top '[m']]]),"")</f>
        <v/>
      </c>
      <c r="CJ551" s="145" t="str">
        <f t="shared" si="19"/>
        <v/>
      </c>
      <c r="CK551" s="220" t="str">
        <f>IFERROR((TOWER_DATA[[#This Row],[D, bottom '[m']]]+TOWER_DATA[[#This Row],[D, top '[m']]])/(2*TOWER_DATA[[#This Row],[t '[mm']]]/1000),"")</f>
        <v/>
      </c>
      <c r="DO551" s="209"/>
      <c r="DP551" s="209"/>
      <c r="DQ551" s="187"/>
      <c r="DT551" s="99"/>
      <c r="DU551" s="99"/>
    </row>
    <row r="552" spans="1:125" ht="18" customHeight="1">
      <c r="A552" s="271"/>
      <c r="D552" s="280"/>
      <c r="E552" s="52"/>
      <c r="K552" s="53" t="str">
        <f>IFERROR(MP_DATA[[#This Row],[Top '[m']]]-MP_DATA[[#This Row],[Bottom '[m']]], "")</f>
        <v/>
      </c>
      <c r="L552" s="208"/>
      <c r="M552" s="145" t="str">
        <f t="shared" si="20"/>
        <v/>
      </c>
      <c r="N552" s="220" t="str">
        <f>IFERROR((MP_DATA[[#This Row],[D, bottom '[m']]]+MP_DATA[[#This Row],[D, top '[m']]])/(2*MP_DATA[[#This Row],[t '[mm']]]/1000),"")</f>
        <v/>
      </c>
      <c r="Q552" s="209"/>
      <c r="R552" s="209"/>
      <c r="S552" s="187"/>
      <c r="AV552" s="233" t="str">
        <f>IFERROR(TP_DATA[[#This Row],[Top '[m']]]-TP_DATA[[#This Row],[Bottom '[m']]], "")</f>
        <v/>
      </c>
      <c r="AW552" s="208"/>
      <c r="AX552" s="209"/>
      <c r="AY552" s="240"/>
      <c r="BB552" s="99"/>
      <c r="BC552" s="99"/>
      <c r="BD552" s="187"/>
      <c r="CH552" s="53" t="str">
        <f>IFERROR(TOWER_DATA[[#This Row],[Top '[m']]]-TOWER_DATA[[#This Row],[Bottom '[m']]], "")</f>
        <v/>
      </c>
      <c r="CI552" s="217" t="str">
        <f>IFERROR(-(TOWER_DATA[[#This Row],[D, bottom '[m']]]-TOWER_DATA[[#This Row],[D, top '[m']]])/(TOWER_DATA[[#This Row],[Bottom '[m']]]-TOWER_DATA[[#This Row],[Top '[m']]]),"")</f>
        <v/>
      </c>
      <c r="CJ552" s="145" t="str">
        <f t="shared" si="19"/>
        <v/>
      </c>
      <c r="CK552" s="220" t="str">
        <f>IFERROR((TOWER_DATA[[#This Row],[D, bottom '[m']]]+TOWER_DATA[[#This Row],[D, top '[m']]])/(2*TOWER_DATA[[#This Row],[t '[mm']]]/1000),"")</f>
        <v/>
      </c>
      <c r="DO552" s="209"/>
      <c r="DP552" s="209"/>
      <c r="DQ552" s="187"/>
      <c r="DT552" s="99"/>
      <c r="DU552" s="99"/>
    </row>
    <row r="553" spans="1:125" ht="18" customHeight="1">
      <c r="A553" s="271"/>
      <c r="D553" s="280"/>
      <c r="E553" s="52"/>
      <c r="K553" s="53" t="str">
        <f>IFERROR(MP_DATA[[#This Row],[Top '[m']]]-MP_DATA[[#This Row],[Bottom '[m']]], "")</f>
        <v/>
      </c>
      <c r="L553" s="208"/>
      <c r="M553" s="145" t="str">
        <f t="shared" si="20"/>
        <v/>
      </c>
      <c r="N553" s="220" t="str">
        <f>IFERROR((MP_DATA[[#This Row],[D, bottom '[m']]]+MP_DATA[[#This Row],[D, top '[m']]])/(2*MP_DATA[[#This Row],[t '[mm']]]/1000),"")</f>
        <v/>
      </c>
      <c r="Q553" s="209"/>
      <c r="R553" s="209"/>
      <c r="S553" s="187"/>
      <c r="AV553" s="233" t="str">
        <f>IFERROR(TP_DATA[[#This Row],[Top '[m']]]-TP_DATA[[#This Row],[Bottom '[m']]], "")</f>
        <v/>
      </c>
      <c r="AW553" s="208"/>
      <c r="AX553" s="209"/>
      <c r="AY553" s="240"/>
      <c r="BB553" s="99"/>
      <c r="BC553" s="99"/>
      <c r="BD553" s="187"/>
      <c r="CH553" s="53" t="str">
        <f>IFERROR(TOWER_DATA[[#This Row],[Top '[m']]]-TOWER_DATA[[#This Row],[Bottom '[m']]], "")</f>
        <v/>
      </c>
      <c r="CI553" s="217" t="str">
        <f>IFERROR(-(TOWER_DATA[[#This Row],[D, bottom '[m']]]-TOWER_DATA[[#This Row],[D, top '[m']]])/(TOWER_DATA[[#This Row],[Bottom '[m']]]-TOWER_DATA[[#This Row],[Top '[m']]]),"")</f>
        <v/>
      </c>
      <c r="CJ553" s="145" t="str">
        <f t="shared" si="19"/>
        <v/>
      </c>
      <c r="CK553" s="220" t="str">
        <f>IFERROR((TOWER_DATA[[#This Row],[D, bottom '[m']]]+TOWER_DATA[[#This Row],[D, top '[m']]])/(2*TOWER_DATA[[#This Row],[t '[mm']]]/1000),"")</f>
        <v/>
      </c>
      <c r="DO553" s="209"/>
      <c r="DP553" s="209"/>
      <c r="DQ553" s="187"/>
      <c r="DT553" s="99"/>
      <c r="DU553" s="99"/>
    </row>
    <row r="554" spans="1:125" ht="18" customHeight="1">
      <c r="A554" s="271"/>
      <c r="D554" s="280"/>
      <c r="E554" s="52"/>
      <c r="K554" s="53" t="str">
        <f>IFERROR(MP_DATA[[#This Row],[Top '[m']]]-MP_DATA[[#This Row],[Bottom '[m']]], "")</f>
        <v/>
      </c>
      <c r="L554" s="208"/>
      <c r="M554" s="145" t="str">
        <f t="shared" si="20"/>
        <v/>
      </c>
      <c r="N554" s="220" t="str">
        <f>IFERROR((MP_DATA[[#This Row],[D, bottom '[m']]]+MP_DATA[[#This Row],[D, top '[m']]])/(2*MP_DATA[[#This Row],[t '[mm']]]/1000),"")</f>
        <v/>
      </c>
      <c r="Q554" s="209"/>
      <c r="R554" s="209"/>
      <c r="S554" s="187"/>
      <c r="AV554" s="233" t="str">
        <f>IFERROR(TP_DATA[[#This Row],[Top '[m']]]-TP_DATA[[#This Row],[Bottom '[m']]], "")</f>
        <v/>
      </c>
      <c r="AW554" s="208"/>
      <c r="AX554" s="209"/>
      <c r="AY554" s="240"/>
      <c r="BB554" s="99"/>
      <c r="BC554" s="99"/>
      <c r="BD554" s="187"/>
      <c r="CH554" s="53" t="str">
        <f>IFERROR(TOWER_DATA[[#This Row],[Top '[m']]]-TOWER_DATA[[#This Row],[Bottom '[m']]], "")</f>
        <v/>
      </c>
      <c r="CI554" s="217" t="str">
        <f>IFERROR(-(TOWER_DATA[[#This Row],[D, bottom '[m']]]-TOWER_DATA[[#This Row],[D, top '[m']]])/(TOWER_DATA[[#This Row],[Bottom '[m']]]-TOWER_DATA[[#This Row],[Top '[m']]]),"")</f>
        <v/>
      </c>
      <c r="CJ554" s="145" t="str">
        <f t="shared" si="19"/>
        <v/>
      </c>
      <c r="CK554" s="220" t="str">
        <f>IFERROR((TOWER_DATA[[#This Row],[D, bottom '[m']]]+TOWER_DATA[[#This Row],[D, top '[m']]])/(2*TOWER_DATA[[#This Row],[t '[mm']]]/1000),"")</f>
        <v/>
      </c>
      <c r="DO554" s="209"/>
      <c r="DP554" s="209"/>
      <c r="DQ554" s="187"/>
      <c r="DT554" s="99"/>
      <c r="DU554" s="99"/>
    </row>
    <row r="555" spans="1:125" ht="18" customHeight="1">
      <c r="A555" s="271"/>
      <c r="D555" s="280"/>
      <c r="E555" s="52"/>
      <c r="K555" s="53" t="str">
        <f>IFERROR(MP_DATA[[#This Row],[Top '[m']]]-MP_DATA[[#This Row],[Bottom '[m']]], "")</f>
        <v/>
      </c>
      <c r="L555" s="208"/>
      <c r="M555" s="145" t="str">
        <f t="shared" si="20"/>
        <v/>
      </c>
      <c r="N555" s="220" t="str">
        <f>IFERROR((MP_DATA[[#This Row],[D, bottom '[m']]]+MP_DATA[[#This Row],[D, top '[m']]])/(2*MP_DATA[[#This Row],[t '[mm']]]/1000),"")</f>
        <v/>
      </c>
      <c r="Q555" s="209"/>
      <c r="R555" s="209"/>
      <c r="S555" s="187"/>
      <c r="AV555" s="233" t="str">
        <f>IFERROR(TP_DATA[[#This Row],[Top '[m']]]-TP_DATA[[#This Row],[Bottom '[m']]], "")</f>
        <v/>
      </c>
      <c r="AW555" s="208"/>
      <c r="AX555" s="209"/>
      <c r="AY555" s="240"/>
      <c r="BB555" s="99"/>
      <c r="BC555" s="99"/>
      <c r="BD555" s="187"/>
      <c r="CH555" s="53" t="str">
        <f>IFERROR(TOWER_DATA[[#This Row],[Top '[m']]]-TOWER_DATA[[#This Row],[Bottom '[m']]], "")</f>
        <v/>
      </c>
      <c r="CI555" s="217" t="str">
        <f>IFERROR(-(TOWER_DATA[[#This Row],[D, bottom '[m']]]-TOWER_DATA[[#This Row],[D, top '[m']]])/(TOWER_DATA[[#This Row],[Bottom '[m']]]-TOWER_DATA[[#This Row],[Top '[m']]]),"")</f>
        <v/>
      </c>
      <c r="CJ555" s="145" t="str">
        <f t="shared" si="19"/>
        <v/>
      </c>
      <c r="CK555" s="220" t="str">
        <f>IFERROR((TOWER_DATA[[#This Row],[D, bottom '[m']]]+TOWER_DATA[[#This Row],[D, top '[m']]])/(2*TOWER_DATA[[#This Row],[t '[mm']]]/1000),"")</f>
        <v/>
      </c>
      <c r="DO555" s="209"/>
      <c r="DP555" s="209"/>
      <c r="DQ555" s="187"/>
      <c r="DT555" s="99"/>
      <c r="DU555" s="99"/>
    </row>
    <row r="556" spans="1:125" ht="18" customHeight="1">
      <c r="A556" s="271"/>
      <c r="D556" s="280"/>
      <c r="E556" s="52"/>
      <c r="K556" s="53" t="str">
        <f>IFERROR(MP_DATA[[#This Row],[Top '[m']]]-MP_DATA[[#This Row],[Bottom '[m']]], "")</f>
        <v/>
      </c>
      <c r="L556" s="208"/>
      <c r="M556" s="145" t="str">
        <f t="shared" si="20"/>
        <v/>
      </c>
      <c r="N556" s="220" t="str">
        <f>IFERROR((MP_DATA[[#This Row],[D, bottom '[m']]]+MP_DATA[[#This Row],[D, top '[m']]])/(2*MP_DATA[[#This Row],[t '[mm']]]/1000),"")</f>
        <v/>
      </c>
      <c r="Q556" s="209"/>
      <c r="R556" s="209"/>
      <c r="S556" s="187"/>
      <c r="AV556" s="233" t="str">
        <f>IFERROR(TP_DATA[[#This Row],[Top '[m']]]-TP_DATA[[#This Row],[Bottom '[m']]], "")</f>
        <v/>
      </c>
      <c r="AW556" s="208"/>
      <c r="AX556" s="209"/>
      <c r="AY556" s="240"/>
      <c r="BB556" s="99"/>
      <c r="BC556" s="99"/>
      <c r="BD556" s="187"/>
      <c r="CH556" s="53" t="str">
        <f>IFERROR(TOWER_DATA[[#This Row],[Top '[m']]]-TOWER_DATA[[#This Row],[Bottom '[m']]], "")</f>
        <v/>
      </c>
      <c r="CI556" s="217" t="str">
        <f>IFERROR(-(TOWER_DATA[[#This Row],[D, bottom '[m']]]-TOWER_DATA[[#This Row],[D, top '[m']]])/(TOWER_DATA[[#This Row],[Bottom '[m']]]-TOWER_DATA[[#This Row],[Top '[m']]]),"")</f>
        <v/>
      </c>
      <c r="CJ556" s="145" t="str">
        <f t="shared" si="19"/>
        <v/>
      </c>
      <c r="CK556" s="220" t="str">
        <f>IFERROR((TOWER_DATA[[#This Row],[D, bottom '[m']]]+TOWER_DATA[[#This Row],[D, top '[m']]])/(2*TOWER_DATA[[#This Row],[t '[mm']]]/1000),"")</f>
        <v/>
      </c>
      <c r="DO556" s="209"/>
      <c r="DP556" s="209"/>
      <c r="DQ556" s="187"/>
      <c r="DT556" s="99"/>
      <c r="DU556" s="99"/>
    </row>
    <row r="557" spans="1:125" ht="18" customHeight="1">
      <c r="A557" s="271"/>
      <c r="D557" s="280"/>
      <c r="E557" s="52"/>
      <c r="K557" s="53" t="str">
        <f>IFERROR(MP_DATA[[#This Row],[Top '[m']]]-MP_DATA[[#This Row],[Bottom '[m']]], "")</f>
        <v/>
      </c>
      <c r="L557" s="208"/>
      <c r="M557" s="145" t="str">
        <f t="shared" si="20"/>
        <v/>
      </c>
      <c r="N557" s="220" t="str">
        <f>IFERROR((MP_DATA[[#This Row],[D, bottom '[m']]]+MP_DATA[[#This Row],[D, top '[m']]])/(2*MP_DATA[[#This Row],[t '[mm']]]/1000),"")</f>
        <v/>
      </c>
      <c r="Q557" s="209"/>
      <c r="R557" s="209"/>
      <c r="S557" s="187"/>
      <c r="AV557" s="233" t="str">
        <f>IFERROR(TP_DATA[[#This Row],[Top '[m']]]-TP_DATA[[#This Row],[Bottom '[m']]], "")</f>
        <v/>
      </c>
      <c r="AW557" s="208"/>
      <c r="AX557" s="209"/>
      <c r="AY557" s="240"/>
      <c r="BB557" s="99"/>
      <c r="BC557" s="99"/>
      <c r="BD557" s="187"/>
      <c r="CH557" s="53" t="str">
        <f>IFERROR(TOWER_DATA[[#This Row],[Top '[m']]]-TOWER_DATA[[#This Row],[Bottom '[m']]], "")</f>
        <v/>
      </c>
      <c r="CI557" s="217" t="str">
        <f>IFERROR(-(TOWER_DATA[[#This Row],[D, bottom '[m']]]-TOWER_DATA[[#This Row],[D, top '[m']]])/(TOWER_DATA[[#This Row],[Bottom '[m']]]-TOWER_DATA[[#This Row],[Top '[m']]]),"")</f>
        <v/>
      </c>
      <c r="CJ557" s="145" t="str">
        <f t="shared" si="19"/>
        <v/>
      </c>
      <c r="CK557" s="220" t="str">
        <f>IFERROR((TOWER_DATA[[#This Row],[D, bottom '[m']]]+TOWER_DATA[[#This Row],[D, top '[m']]])/(2*TOWER_DATA[[#This Row],[t '[mm']]]/1000),"")</f>
        <v/>
      </c>
      <c r="DO557" s="209"/>
      <c r="DP557" s="209"/>
      <c r="DQ557" s="187"/>
      <c r="DT557" s="99"/>
      <c r="DU557" s="99"/>
    </row>
    <row r="558" spans="1:125" ht="18" customHeight="1">
      <c r="A558" s="271"/>
      <c r="D558" s="280"/>
      <c r="E558" s="52"/>
      <c r="K558" s="53" t="str">
        <f>IFERROR(MP_DATA[[#This Row],[Top '[m']]]-MP_DATA[[#This Row],[Bottom '[m']]], "")</f>
        <v/>
      </c>
      <c r="L558" s="208"/>
      <c r="M558" s="145" t="str">
        <f t="shared" si="20"/>
        <v/>
      </c>
      <c r="N558" s="220" t="str">
        <f>IFERROR((MP_DATA[[#This Row],[D, bottom '[m']]]+MP_DATA[[#This Row],[D, top '[m']]])/(2*MP_DATA[[#This Row],[t '[mm']]]/1000),"")</f>
        <v/>
      </c>
      <c r="Q558" s="209"/>
      <c r="R558" s="209"/>
      <c r="S558" s="187"/>
      <c r="AV558" s="233" t="str">
        <f>IFERROR(TP_DATA[[#This Row],[Top '[m']]]-TP_DATA[[#This Row],[Bottom '[m']]], "")</f>
        <v/>
      </c>
      <c r="AW558" s="208"/>
      <c r="AX558" s="209"/>
      <c r="AY558" s="240"/>
      <c r="BB558" s="99"/>
      <c r="BC558" s="99"/>
      <c r="BD558" s="187"/>
      <c r="CH558" s="53" t="str">
        <f>IFERROR(TOWER_DATA[[#This Row],[Top '[m']]]-TOWER_DATA[[#This Row],[Bottom '[m']]], "")</f>
        <v/>
      </c>
      <c r="CI558" s="217" t="str">
        <f>IFERROR(-(TOWER_DATA[[#This Row],[D, bottom '[m']]]-TOWER_DATA[[#This Row],[D, top '[m']]])/(TOWER_DATA[[#This Row],[Bottom '[m']]]-TOWER_DATA[[#This Row],[Top '[m']]]),"")</f>
        <v/>
      </c>
      <c r="CJ558" s="145" t="str">
        <f t="shared" si="19"/>
        <v/>
      </c>
      <c r="CK558" s="220" t="str">
        <f>IFERROR((TOWER_DATA[[#This Row],[D, bottom '[m']]]+TOWER_DATA[[#This Row],[D, top '[m']]])/(2*TOWER_DATA[[#This Row],[t '[mm']]]/1000),"")</f>
        <v/>
      </c>
      <c r="DO558" s="209"/>
      <c r="DP558" s="209"/>
      <c r="DQ558" s="187"/>
      <c r="DT558" s="99"/>
      <c r="DU558" s="99"/>
    </row>
    <row r="559" spans="1:125" ht="18" customHeight="1">
      <c r="A559" s="271"/>
      <c r="D559" s="280"/>
      <c r="E559" s="52"/>
      <c r="K559" s="53" t="str">
        <f>IFERROR(MP_DATA[[#This Row],[Top '[m']]]-MP_DATA[[#This Row],[Bottom '[m']]], "")</f>
        <v/>
      </c>
      <c r="L559" s="208"/>
      <c r="M559" s="145" t="str">
        <f t="shared" si="20"/>
        <v/>
      </c>
      <c r="N559" s="220" t="str">
        <f>IFERROR((MP_DATA[[#This Row],[D, bottom '[m']]]+MP_DATA[[#This Row],[D, top '[m']]])/(2*MP_DATA[[#This Row],[t '[mm']]]/1000),"")</f>
        <v/>
      </c>
      <c r="Q559" s="209"/>
      <c r="R559" s="209"/>
      <c r="S559" s="187"/>
      <c r="AV559" s="233" t="str">
        <f>IFERROR(TP_DATA[[#This Row],[Top '[m']]]-TP_DATA[[#This Row],[Bottom '[m']]], "")</f>
        <v/>
      </c>
      <c r="AW559" s="208"/>
      <c r="AX559" s="209"/>
      <c r="AY559" s="240"/>
      <c r="BB559" s="99"/>
      <c r="BC559" s="99"/>
      <c r="BD559" s="187"/>
      <c r="CH559" s="53" t="str">
        <f>IFERROR(TOWER_DATA[[#This Row],[Top '[m']]]-TOWER_DATA[[#This Row],[Bottom '[m']]], "")</f>
        <v/>
      </c>
      <c r="CI559" s="217" t="str">
        <f>IFERROR(-(TOWER_DATA[[#This Row],[D, bottom '[m']]]-TOWER_DATA[[#This Row],[D, top '[m']]])/(TOWER_DATA[[#This Row],[Bottom '[m']]]-TOWER_DATA[[#This Row],[Top '[m']]]),"")</f>
        <v/>
      </c>
      <c r="CJ559" s="145" t="str">
        <f t="shared" si="19"/>
        <v/>
      </c>
      <c r="CK559" s="220" t="str">
        <f>IFERROR((TOWER_DATA[[#This Row],[D, bottom '[m']]]+TOWER_DATA[[#This Row],[D, top '[m']]])/(2*TOWER_DATA[[#This Row],[t '[mm']]]/1000),"")</f>
        <v/>
      </c>
      <c r="DO559" s="209"/>
      <c r="DP559" s="209"/>
      <c r="DQ559" s="187"/>
      <c r="DT559" s="99"/>
      <c r="DU559" s="99"/>
    </row>
    <row r="560" spans="1:125" ht="18" customHeight="1">
      <c r="A560" s="271"/>
      <c r="D560" s="280"/>
      <c r="E560" s="52"/>
      <c r="K560" s="53" t="str">
        <f>IFERROR(MP_DATA[[#This Row],[Top '[m']]]-MP_DATA[[#This Row],[Bottom '[m']]], "")</f>
        <v/>
      </c>
      <c r="L560" s="208"/>
      <c r="M560" s="145" t="str">
        <f t="shared" si="20"/>
        <v/>
      </c>
      <c r="N560" s="220" t="str">
        <f>IFERROR((MP_DATA[[#This Row],[D, bottom '[m']]]+MP_DATA[[#This Row],[D, top '[m']]])/(2*MP_DATA[[#This Row],[t '[mm']]]/1000),"")</f>
        <v/>
      </c>
      <c r="Q560" s="209"/>
      <c r="R560" s="209"/>
      <c r="S560" s="187"/>
      <c r="AV560" s="233" t="str">
        <f>IFERROR(TP_DATA[[#This Row],[Top '[m']]]-TP_DATA[[#This Row],[Bottom '[m']]], "")</f>
        <v/>
      </c>
      <c r="AW560" s="208"/>
      <c r="AX560" s="209"/>
      <c r="AY560" s="240"/>
      <c r="BB560" s="99"/>
      <c r="BC560" s="99"/>
      <c r="BD560" s="187"/>
      <c r="CH560" s="53" t="str">
        <f>IFERROR(TOWER_DATA[[#This Row],[Top '[m']]]-TOWER_DATA[[#This Row],[Bottom '[m']]], "")</f>
        <v/>
      </c>
      <c r="CI560" s="217" t="str">
        <f>IFERROR(-(TOWER_DATA[[#This Row],[D, bottom '[m']]]-TOWER_DATA[[#This Row],[D, top '[m']]])/(TOWER_DATA[[#This Row],[Bottom '[m']]]-TOWER_DATA[[#This Row],[Top '[m']]]),"")</f>
        <v/>
      </c>
      <c r="CJ560" s="145" t="str">
        <f t="shared" si="19"/>
        <v/>
      </c>
      <c r="CK560" s="220" t="str">
        <f>IFERROR((TOWER_DATA[[#This Row],[D, bottom '[m']]]+TOWER_DATA[[#This Row],[D, top '[m']]])/(2*TOWER_DATA[[#This Row],[t '[mm']]]/1000),"")</f>
        <v/>
      </c>
      <c r="DO560" s="209"/>
      <c r="DP560" s="209"/>
      <c r="DQ560" s="187"/>
      <c r="DT560" s="99"/>
      <c r="DU560" s="99"/>
    </row>
    <row r="561" spans="1:125" ht="18" customHeight="1">
      <c r="A561" s="271"/>
      <c r="D561" s="280"/>
      <c r="E561" s="52"/>
      <c r="K561" s="53" t="str">
        <f>IFERROR(MP_DATA[[#This Row],[Top '[m']]]-MP_DATA[[#This Row],[Bottom '[m']]], "")</f>
        <v/>
      </c>
      <c r="L561" s="208"/>
      <c r="M561" s="145" t="str">
        <f t="shared" si="20"/>
        <v/>
      </c>
      <c r="N561" s="220" t="str">
        <f>IFERROR((MP_DATA[[#This Row],[D, bottom '[m']]]+MP_DATA[[#This Row],[D, top '[m']]])/(2*MP_DATA[[#This Row],[t '[mm']]]/1000),"")</f>
        <v/>
      </c>
      <c r="Q561" s="209"/>
      <c r="R561" s="209"/>
      <c r="S561" s="187"/>
      <c r="AV561" s="233" t="str">
        <f>IFERROR(TP_DATA[[#This Row],[Top '[m']]]-TP_DATA[[#This Row],[Bottom '[m']]], "")</f>
        <v/>
      </c>
      <c r="AW561" s="208"/>
      <c r="AX561" s="209"/>
      <c r="AY561" s="240"/>
      <c r="BB561" s="99"/>
      <c r="BC561" s="99"/>
      <c r="BD561" s="187"/>
      <c r="CH561" s="53" t="str">
        <f>IFERROR(TOWER_DATA[[#This Row],[Top '[m']]]-TOWER_DATA[[#This Row],[Bottom '[m']]], "")</f>
        <v/>
      </c>
      <c r="CI561" s="217" t="str">
        <f>IFERROR(-(TOWER_DATA[[#This Row],[D, bottom '[m']]]-TOWER_DATA[[#This Row],[D, top '[m']]])/(TOWER_DATA[[#This Row],[Bottom '[m']]]-TOWER_DATA[[#This Row],[Top '[m']]]),"")</f>
        <v/>
      </c>
      <c r="CJ561" s="145" t="str">
        <f t="shared" ref="CJ561:CJ624" si="21">IF(7850/1000*(1/3)*PI()*ABS(CC561-CD561)*((CE561/2)^2+(CE561/2)*(CF561/2)+(CF561/2)^2-(CE561/2-CG561/1000)^2-(CE561/2-CG561/1000)*(CF561/2-CG561/1000)-(CF561/2-CG561/1000)^2)=0,"",7850/1000*(1/3)*PI()*ABS(CC561-CD561)*((CE561/2)^2+(CE561/2)*(CF561/2)+(CF561/2)^2-(CE561/2-CG561/1000)^2-(CE561/2-CG561/1000)*(CF561/2-CG561/1000)-(CF561/2-CG561/1000)^2))</f>
        <v/>
      </c>
      <c r="CK561" s="220" t="str">
        <f>IFERROR((TOWER_DATA[[#This Row],[D, bottom '[m']]]+TOWER_DATA[[#This Row],[D, top '[m']]])/(2*TOWER_DATA[[#This Row],[t '[mm']]]/1000),"")</f>
        <v/>
      </c>
      <c r="DO561" s="209"/>
      <c r="DP561" s="209"/>
      <c r="DQ561" s="187"/>
      <c r="DT561" s="99"/>
      <c r="DU561" s="99"/>
    </row>
    <row r="562" spans="1:125" ht="18" customHeight="1">
      <c r="A562" s="271"/>
      <c r="D562" s="280"/>
      <c r="E562" s="52"/>
      <c r="K562" s="53" t="str">
        <f>IFERROR(MP_DATA[[#This Row],[Top '[m']]]-MP_DATA[[#This Row],[Bottom '[m']]], "")</f>
        <v/>
      </c>
      <c r="L562" s="208"/>
      <c r="M562" s="145" t="str">
        <f t="shared" ref="M562:M615" si="22">IF(7850/1000*(1/3)*PI()*ABS(F562-G562)*((H562/2)^2+(H562/2)*(I562/2)+(I562/2)^2-(H562/2-J562/1000)^2-(H562/2-J562/1000)*(I562/2-J562/1000)-(I562/2-J562/1000)^2)=0,"",7850/1000*(1/3)*PI()*ABS(F562-G562)*((H562/2)^2+(H562/2)*(I562/2)+(I562/2)^2-(H562/2-J562/1000)^2-(H562/2-J562/1000)*(I562/2-J562/1000)-(I562/2-J562/1000)^2))</f>
        <v/>
      </c>
      <c r="N562" s="220" t="str">
        <f>IFERROR((MP_DATA[[#This Row],[D, bottom '[m']]]+MP_DATA[[#This Row],[D, top '[m']]])/(2*MP_DATA[[#This Row],[t '[mm']]]/1000),"")</f>
        <v/>
      </c>
      <c r="Q562" s="209"/>
      <c r="R562" s="209"/>
      <c r="S562" s="187"/>
      <c r="AV562" s="233" t="str">
        <f>IFERROR(TP_DATA[[#This Row],[Top '[m']]]-TP_DATA[[#This Row],[Bottom '[m']]], "")</f>
        <v/>
      </c>
      <c r="AW562" s="208"/>
      <c r="AX562" s="209"/>
      <c r="AY562" s="240"/>
      <c r="BB562" s="99"/>
      <c r="BC562" s="99"/>
      <c r="BD562" s="187"/>
      <c r="CH562" s="53" t="str">
        <f>IFERROR(TOWER_DATA[[#This Row],[Top '[m']]]-TOWER_DATA[[#This Row],[Bottom '[m']]], "")</f>
        <v/>
      </c>
      <c r="CI562" s="217" t="str">
        <f>IFERROR(-(TOWER_DATA[[#This Row],[D, bottom '[m']]]-TOWER_DATA[[#This Row],[D, top '[m']]])/(TOWER_DATA[[#This Row],[Bottom '[m']]]-TOWER_DATA[[#This Row],[Top '[m']]]),"")</f>
        <v/>
      </c>
      <c r="CJ562" s="145" t="str">
        <f t="shared" si="21"/>
        <v/>
      </c>
      <c r="CK562" s="220" t="str">
        <f>IFERROR((TOWER_DATA[[#This Row],[D, bottom '[m']]]+TOWER_DATA[[#This Row],[D, top '[m']]])/(2*TOWER_DATA[[#This Row],[t '[mm']]]/1000),"")</f>
        <v/>
      </c>
      <c r="DO562" s="209"/>
      <c r="DP562" s="209"/>
      <c r="DQ562" s="187"/>
      <c r="DT562" s="99"/>
      <c r="DU562" s="99"/>
    </row>
    <row r="563" spans="1:125" ht="18" customHeight="1">
      <c r="A563" s="271"/>
      <c r="D563" s="280"/>
      <c r="E563" s="52"/>
      <c r="K563" s="53" t="str">
        <f>IFERROR(MP_DATA[[#This Row],[Top '[m']]]-MP_DATA[[#This Row],[Bottom '[m']]], "")</f>
        <v/>
      </c>
      <c r="L563" s="208"/>
      <c r="M563" s="145" t="str">
        <f t="shared" si="22"/>
        <v/>
      </c>
      <c r="N563" s="220" t="str">
        <f>IFERROR((MP_DATA[[#This Row],[D, bottom '[m']]]+MP_DATA[[#This Row],[D, top '[m']]])/(2*MP_DATA[[#This Row],[t '[mm']]]/1000),"")</f>
        <v/>
      </c>
      <c r="Q563" s="209"/>
      <c r="R563" s="209"/>
      <c r="S563" s="187"/>
      <c r="AV563" s="233" t="str">
        <f>IFERROR(TP_DATA[[#This Row],[Top '[m']]]-TP_DATA[[#This Row],[Bottom '[m']]], "")</f>
        <v/>
      </c>
      <c r="AW563" s="208"/>
      <c r="AX563" s="209"/>
      <c r="AY563" s="240"/>
      <c r="BB563" s="99"/>
      <c r="BC563" s="99"/>
      <c r="BD563" s="187"/>
      <c r="CH563" s="53" t="str">
        <f>IFERROR(TOWER_DATA[[#This Row],[Top '[m']]]-TOWER_DATA[[#This Row],[Bottom '[m']]], "")</f>
        <v/>
      </c>
      <c r="CI563" s="217" t="str">
        <f>IFERROR(-(TOWER_DATA[[#This Row],[D, bottom '[m']]]-TOWER_DATA[[#This Row],[D, top '[m']]])/(TOWER_DATA[[#This Row],[Bottom '[m']]]-TOWER_DATA[[#This Row],[Top '[m']]]),"")</f>
        <v/>
      </c>
      <c r="CJ563" s="145" t="str">
        <f t="shared" si="21"/>
        <v/>
      </c>
      <c r="CK563" s="220" t="str">
        <f>IFERROR((TOWER_DATA[[#This Row],[D, bottom '[m']]]+TOWER_DATA[[#This Row],[D, top '[m']]])/(2*TOWER_DATA[[#This Row],[t '[mm']]]/1000),"")</f>
        <v/>
      </c>
      <c r="DO563" s="209"/>
      <c r="DP563" s="209"/>
      <c r="DQ563" s="187"/>
      <c r="DT563" s="99"/>
      <c r="DU563" s="99"/>
    </row>
    <row r="564" spans="1:125" ht="18" customHeight="1">
      <c r="A564" s="271"/>
      <c r="D564" s="280"/>
      <c r="E564" s="52"/>
      <c r="K564" s="53" t="str">
        <f>IFERROR(MP_DATA[[#This Row],[Top '[m']]]-MP_DATA[[#This Row],[Bottom '[m']]], "")</f>
        <v/>
      </c>
      <c r="L564" s="208"/>
      <c r="M564" s="145" t="str">
        <f t="shared" si="22"/>
        <v/>
      </c>
      <c r="N564" s="220" t="str">
        <f>IFERROR((MP_DATA[[#This Row],[D, bottom '[m']]]+MP_DATA[[#This Row],[D, top '[m']]])/(2*MP_DATA[[#This Row],[t '[mm']]]/1000),"")</f>
        <v/>
      </c>
      <c r="Q564" s="209"/>
      <c r="R564" s="209"/>
      <c r="S564" s="187"/>
      <c r="AV564" s="233" t="str">
        <f>IFERROR(TP_DATA[[#This Row],[Top '[m']]]-TP_DATA[[#This Row],[Bottom '[m']]], "")</f>
        <v/>
      </c>
      <c r="AW564" s="208"/>
      <c r="AX564" s="209"/>
      <c r="AY564" s="240"/>
      <c r="BB564" s="99"/>
      <c r="BC564" s="99"/>
      <c r="BD564" s="187"/>
      <c r="CH564" s="53" t="str">
        <f>IFERROR(TOWER_DATA[[#This Row],[Top '[m']]]-TOWER_DATA[[#This Row],[Bottom '[m']]], "")</f>
        <v/>
      </c>
      <c r="CI564" s="217" t="str">
        <f>IFERROR(-(TOWER_DATA[[#This Row],[D, bottom '[m']]]-TOWER_DATA[[#This Row],[D, top '[m']]])/(TOWER_DATA[[#This Row],[Bottom '[m']]]-TOWER_DATA[[#This Row],[Top '[m']]]),"")</f>
        <v/>
      </c>
      <c r="CJ564" s="145" t="str">
        <f t="shared" si="21"/>
        <v/>
      </c>
      <c r="CK564" s="220" t="str">
        <f>IFERROR((TOWER_DATA[[#This Row],[D, bottom '[m']]]+TOWER_DATA[[#This Row],[D, top '[m']]])/(2*TOWER_DATA[[#This Row],[t '[mm']]]/1000),"")</f>
        <v/>
      </c>
      <c r="DO564" s="209"/>
      <c r="DP564" s="209"/>
      <c r="DQ564" s="187"/>
      <c r="DT564" s="99"/>
      <c r="DU564" s="99"/>
    </row>
    <row r="565" spans="1:125" ht="18" customHeight="1">
      <c r="A565" s="271"/>
      <c r="D565" s="280"/>
      <c r="E565" s="52"/>
      <c r="K565" s="53" t="str">
        <f>IFERROR(MP_DATA[[#This Row],[Top '[m']]]-MP_DATA[[#This Row],[Bottom '[m']]], "")</f>
        <v/>
      </c>
      <c r="L565" s="208"/>
      <c r="M565" s="145" t="str">
        <f t="shared" si="22"/>
        <v/>
      </c>
      <c r="N565" s="220" t="str">
        <f>IFERROR((MP_DATA[[#This Row],[D, bottom '[m']]]+MP_DATA[[#This Row],[D, top '[m']]])/(2*MP_DATA[[#This Row],[t '[mm']]]/1000),"")</f>
        <v/>
      </c>
      <c r="Q565" s="209"/>
      <c r="R565" s="209"/>
      <c r="S565" s="187"/>
      <c r="AV565" s="233" t="str">
        <f>IFERROR(TP_DATA[[#This Row],[Top '[m']]]-TP_DATA[[#This Row],[Bottom '[m']]], "")</f>
        <v/>
      </c>
      <c r="AW565" s="208"/>
      <c r="AX565" s="209"/>
      <c r="AY565" s="240"/>
      <c r="BB565" s="99"/>
      <c r="BC565" s="99"/>
      <c r="BD565" s="187"/>
      <c r="CH565" s="53" t="str">
        <f>IFERROR(TOWER_DATA[[#This Row],[Top '[m']]]-TOWER_DATA[[#This Row],[Bottom '[m']]], "")</f>
        <v/>
      </c>
      <c r="CI565" s="217" t="str">
        <f>IFERROR(-(TOWER_DATA[[#This Row],[D, bottom '[m']]]-TOWER_DATA[[#This Row],[D, top '[m']]])/(TOWER_DATA[[#This Row],[Bottom '[m']]]-TOWER_DATA[[#This Row],[Top '[m']]]),"")</f>
        <v/>
      </c>
      <c r="CJ565" s="145" t="str">
        <f t="shared" si="21"/>
        <v/>
      </c>
      <c r="CK565" s="220" t="str">
        <f>IFERROR((TOWER_DATA[[#This Row],[D, bottom '[m']]]+TOWER_DATA[[#This Row],[D, top '[m']]])/(2*TOWER_DATA[[#This Row],[t '[mm']]]/1000),"")</f>
        <v/>
      </c>
      <c r="DO565" s="209"/>
      <c r="DP565" s="209"/>
      <c r="DQ565" s="187"/>
      <c r="DT565" s="99"/>
      <c r="DU565" s="99"/>
    </row>
    <row r="566" spans="1:125" ht="18" customHeight="1">
      <c r="A566" s="271"/>
      <c r="D566" s="280"/>
      <c r="E566" s="52"/>
      <c r="K566" s="53" t="str">
        <f>IFERROR(MP_DATA[[#This Row],[Top '[m']]]-MP_DATA[[#This Row],[Bottom '[m']]], "")</f>
        <v/>
      </c>
      <c r="L566" s="208"/>
      <c r="M566" s="145" t="str">
        <f t="shared" si="22"/>
        <v/>
      </c>
      <c r="N566" s="220" t="str">
        <f>IFERROR((MP_DATA[[#This Row],[D, bottom '[m']]]+MP_DATA[[#This Row],[D, top '[m']]])/(2*MP_DATA[[#This Row],[t '[mm']]]/1000),"")</f>
        <v/>
      </c>
      <c r="Q566" s="209"/>
      <c r="R566" s="209"/>
      <c r="S566" s="187"/>
      <c r="AV566" s="233" t="str">
        <f>IFERROR(TP_DATA[[#This Row],[Top '[m']]]-TP_DATA[[#This Row],[Bottom '[m']]], "")</f>
        <v/>
      </c>
      <c r="AW566" s="208"/>
      <c r="AX566" s="209"/>
      <c r="AY566" s="240"/>
      <c r="BB566" s="99"/>
      <c r="BC566" s="99"/>
      <c r="BD566" s="187"/>
      <c r="CH566" s="53" t="str">
        <f>IFERROR(TOWER_DATA[[#This Row],[Top '[m']]]-TOWER_DATA[[#This Row],[Bottom '[m']]], "")</f>
        <v/>
      </c>
      <c r="CI566" s="217" t="str">
        <f>IFERROR(-(TOWER_DATA[[#This Row],[D, bottom '[m']]]-TOWER_DATA[[#This Row],[D, top '[m']]])/(TOWER_DATA[[#This Row],[Bottom '[m']]]-TOWER_DATA[[#This Row],[Top '[m']]]),"")</f>
        <v/>
      </c>
      <c r="CJ566" s="145" t="str">
        <f t="shared" si="21"/>
        <v/>
      </c>
      <c r="CK566" s="220" t="str">
        <f>IFERROR((TOWER_DATA[[#This Row],[D, bottom '[m']]]+TOWER_DATA[[#This Row],[D, top '[m']]])/(2*TOWER_DATA[[#This Row],[t '[mm']]]/1000),"")</f>
        <v/>
      </c>
      <c r="DO566" s="209"/>
      <c r="DP566" s="209"/>
      <c r="DQ566" s="187"/>
      <c r="DT566" s="99"/>
      <c r="DU566" s="99"/>
    </row>
    <row r="567" spans="1:125" ht="18" customHeight="1">
      <c r="A567" s="271"/>
      <c r="D567" s="280"/>
      <c r="E567" s="52"/>
      <c r="K567" s="53" t="str">
        <f>IFERROR(MP_DATA[[#This Row],[Top '[m']]]-MP_DATA[[#This Row],[Bottom '[m']]], "")</f>
        <v/>
      </c>
      <c r="L567" s="208"/>
      <c r="M567" s="145" t="str">
        <f t="shared" si="22"/>
        <v/>
      </c>
      <c r="N567" s="220" t="str">
        <f>IFERROR((MP_DATA[[#This Row],[D, bottom '[m']]]+MP_DATA[[#This Row],[D, top '[m']]])/(2*MP_DATA[[#This Row],[t '[mm']]]/1000),"")</f>
        <v/>
      </c>
      <c r="Q567" s="209"/>
      <c r="R567" s="209"/>
      <c r="S567" s="187"/>
      <c r="AV567" s="233" t="str">
        <f>IFERROR(TP_DATA[[#This Row],[Top '[m']]]-TP_DATA[[#This Row],[Bottom '[m']]], "")</f>
        <v/>
      </c>
      <c r="AW567" s="208"/>
      <c r="AX567" s="209"/>
      <c r="AY567" s="240"/>
      <c r="BB567" s="99"/>
      <c r="BC567" s="99"/>
      <c r="BD567" s="187"/>
      <c r="CH567" s="53" t="str">
        <f>IFERROR(TOWER_DATA[[#This Row],[Top '[m']]]-TOWER_DATA[[#This Row],[Bottom '[m']]], "")</f>
        <v/>
      </c>
      <c r="CI567" s="217" t="str">
        <f>IFERROR(-(TOWER_DATA[[#This Row],[D, bottom '[m']]]-TOWER_DATA[[#This Row],[D, top '[m']]])/(TOWER_DATA[[#This Row],[Bottom '[m']]]-TOWER_DATA[[#This Row],[Top '[m']]]),"")</f>
        <v/>
      </c>
      <c r="CJ567" s="145" t="str">
        <f t="shared" si="21"/>
        <v/>
      </c>
      <c r="CK567" s="220" t="str">
        <f>IFERROR((TOWER_DATA[[#This Row],[D, bottom '[m']]]+TOWER_DATA[[#This Row],[D, top '[m']]])/(2*TOWER_DATA[[#This Row],[t '[mm']]]/1000),"")</f>
        <v/>
      </c>
      <c r="DO567" s="209"/>
      <c r="DP567" s="209"/>
      <c r="DQ567" s="187"/>
      <c r="DT567" s="99"/>
      <c r="DU567" s="99"/>
    </row>
    <row r="568" spans="1:125" ht="18" customHeight="1">
      <c r="A568" s="271"/>
      <c r="D568" s="280"/>
      <c r="E568" s="52"/>
      <c r="K568" s="53" t="str">
        <f>IFERROR(MP_DATA[[#This Row],[Top '[m']]]-MP_DATA[[#This Row],[Bottom '[m']]], "")</f>
        <v/>
      </c>
      <c r="L568" s="208"/>
      <c r="M568" s="145" t="str">
        <f t="shared" si="22"/>
        <v/>
      </c>
      <c r="N568" s="220" t="str">
        <f>IFERROR((MP_DATA[[#This Row],[D, bottom '[m']]]+MP_DATA[[#This Row],[D, top '[m']]])/(2*MP_DATA[[#This Row],[t '[mm']]]/1000),"")</f>
        <v/>
      </c>
      <c r="Q568" s="209"/>
      <c r="R568" s="209"/>
      <c r="S568" s="187"/>
      <c r="AV568" s="233" t="str">
        <f>IFERROR(TP_DATA[[#This Row],[Top '[m']]]-TP_DATA[[#This Row],[Bottom '[m']]], "")</f>
        <v/>
      </c>
      <c r="AW568" s="208"/>
      <c r="AX568" s="209"/>
      <c r="AY568" s="240"/>
      <c r="BB568" s="99"/>
      <c r="BC568" s="99"/>
      <c r="BD568" s="187"/>
      <c r="CH568" s="53" t="str">
        <f>IFERROR(TOWER_DATA[[#This Row],[Top '[m']]]-TOWER_DATA[[#This Row],[Bottom '[m']]], "")</f>
        <v/>
      </c>
      <c r="CI568" s="217" t="str">
        <f>IFERROR(-(TOWER_DATA[[#This Row],[D, bottom '[m']]]-TOWER_DATA[[#This Row],[D, top '[m']]])/(TOWER_DATA[[#This Row],[Bottom '[m']]]-TOWER_DATA[[#This Row],[Top '[m']]]),"")</f>
        <v/>
      </c>
      <c r="CJ568" s="145" t="str">
        <f t="shared" si="21"/>
        <v/>
      </c>
      <c r="CK568" s="220" t="str">
        <f>IFERROR((TOWER_DATA[[#This Row],[D, bottom '[m']]]+TOWER_DATA[[#This Row],[D, top '[m']]])/(2*TOWER_DATA[[#This Row],[t '[mm']]]/1000),"")</f>
        <v/>
      </c>
      <c r="DO568" s="209"/>
      <c r="DP568" s="209"/>
      <c r="DQ568" s="187"/>
      <c r="DT568" s="99"/>
      <c r="DU568" s="99"/>
    </row>
    <row r="569" spans="1:125" ht="18" customHeight="1">
      <c r="A569" s="271"/>
      <c r="D569" s="280"/>
      <c r="E569" s="52"/>
      <c r="K569" s="53" t="str">
        <f>IFERROR(MP_DATA[[#This Row],[Top '[m']]]-MP_DATA[[#This Row],[Bottom '[m']]], "")</f>
        <v/>
      </c>
      <c r="L569" s="208"/>
      <c r="M569" s="145" t="str">
        <f t="shared" si="22"/>
        <v/>
      </c>
      <c r="N569" s="220" t="str">
        <f>IFERROR((MP_DATA[[#This Row],[D, bottom '[m']]]+MP_DATA[[#This Row],[D, top '[m']]])/(2*MP_DATA[[#This Row],[t '[mm']]]/1000),"")</f>
        <v/>
      </c>
      <c r="Q569" s="209"/>
      <c r="R569" s="209"/>
      <c r="S569" s="187"/>
      <c r="AV569" s="233" t="str">
        <f>IFERROR(TP_DATA[[#This Row],[Top '[m']]]-TP_DATA[[#This Row],[Bottom '[m']]], "")</f>
        <v/>
      </c>
      <c r="AW569" s="208"/>
      <c r="AX569" s="209"/>
      <c r="AY569" s="240"/>
      <c r="BB569" s="99"/>
      <c r="BC569" s="99"/>
      <c r="BD569" s="187"/>
      <c r="CH569" s="53" t="str">
        <f>IFERROR(TOWER_DATA[[#This Row],[Top '[m']]]-TOWER_DATA[[#This Row],[Bottom '[m']]], "")</f>
        <v/>
      </c>
      <c r="CI569" s="217" t="str">
        <f>IFERROR(-(TOWER_DATA[[#This Row],[D, bottom '[m']]]-TOWER_DATA[[#This Row],[D, top '[m']]])/(TOWER_DATA[[#This Row],[Bottom '[m']]]-TOWER_DATA[[#This Row],[Top '[m']]]),"")</f>
        <v/>
      </c>
      <c r="CJ569" s="145" t="str">
        <f t="shared" si="21"/>
        <v/>
      </c>
      <c r="CK569" s="220" t="str">
        <f>IFERROR((TOWER_DATA[[#This Row],[D, bottom '[m']]]+TOWER_DATA[[#This Row],[D, top '[m']]])/(2*TOWER_DATA[[#This Row],[t '[mm']]]/1000),"")</f>
        <v/>
      </c>
      <c r="DO569" s="209"/>
      <c r="DP569" s="209"/>
      <c r="DQ569" s="187"/>
      <c r="DT569" s="99"/>
      <c r="DU569" s="99"/>
    </row>
    <row r="570" spans="1:125" ht="18" customHeight="1">
      <c r="A570" s="271"/>
      <c r="D570" s="280"/>
      <c r="E570" s="52"/>
      <c r="K570" s="53" t="str">
        <f>IFERROR(MP_DATA[[#This Row],[Top '[m']]]-MP_DATA[[#This Row],[Bottom '[m']]], "")</f>
        <v/>
      </c>
      <c r="L570" s="208"/>
      <c r="M570" s="145" t="str">
        <f t="shared" si="22"/>
        <v/>
      </c>
      <c r="N570" s="220" t="str">
        <f>IFERROR((MP_DATA[[#This Row],[D, bottom '[m']]]+MP_DATA[[#This Row],[D, top '[m']]])/(2*MP_DATA[[#This Row],[t '[mm']]]/1000),"")</f>
        <v/>
      </c>
      <c r="Q570" s="209"/>
      <c r="R570" s="209"/>
      <c r="S570" s="187"/>
      <c r="AV570" s="233" t="str">
        <f>IFERROR(TP_DATA[[#This Row],[Top '[m']]]-TP_DATA[[#This Row],[Bottom '[m']]], "")</f>
        <v/>
      </c>
      <c r="AW570" s="208"/>
      <c r="AX570" s="209"/>
      <c r="AY570" s="240"/>
      <c r="BB570" s="99"/>
      <c r="BC570" s="99"/>
      <c r="BD570" s="187"/>
      <c r="CH570" s="53" t="str">
        <f>IFERROR(TOWER_DATA[[#This Row],[Top '[m']]]-TOWER_DATA[[#This Row],[Bottom '[m']]], "")</f>
        <v/>
      </c>
      <c r="CI570" s="217" t="str">
        <f>IFERROR(-(TOWER_DATA[[#This Row],[D, bottom '[m']]]-TOWER_DATA[[#This Row],[D, top '[m']]])/(TOWER_DATA[[#This Row],[Bottom '[m']]]-TOWER_DATA[[#This Row],[Top '[m']]]),"")</f>
        <v/>
      </c>
      <c r="CJ570" s="145" t="str">
        <f t="shared" si="21"/>
        <v/>
      </c>
      <c r="CK570" s="220" t="str">
        <f>IFERROR((TOWER_DATA[[#This Row],[D, bottom '[m']]]+TOWER_DATA[[#This Row],[D, top '[m']]])/(2*TOWER_DATA[[#This Row],[t '[mm']]]/1000),"")</f>
        <v/>
      </c>
      <c r="DO570" s="209"/>
      <c r="DP570" s="209"/>
      <c r="DQ570" s="187"/>
      <c r="DT570" s="99"/>
      <c r="DU570" s="99"/>
    </row>
    <row r="571" spans="1:125" ht="18" customHeight="1">
      <c r="A571" s="271"/>
      <c r="D571" s="280"/>
      <c r="E571" s="52"/>
      <c r="K571" s="53" t="str">
        <f>IFERROR(MP_DATA[[#This Row],[Top '[m']]]-MP_DATA[[#This Row],[Bottom '[m']]], "")</f>
        <v/>
      </c>
      <c r="L571" s="208"/>
      <c r="M571" s="145" t="str">
        <f t="shared" si="22"/>
        <v/>
      </c>
      <c r="N571" s="220" t="str">
        <f>IFERROR((MP_DATA[[#This Row],[D, bottom '[m']]]+MP_DATA[[#This Row],[D, top '[m']]])/(2*MP_DATA[[#This Row],[t '[mm']]]/1000),"")</f>
        <v/>
      </c>
      <c r="Q571" s="209"/>
      <c r="R571" s="209"/>
      <c r="S571" s="187"/>
      <c r="AV571" s="233" t="str">
        <f>IFERROR(TP_DATA[[#This Row],[Top '[m']]]-TP_DATA[[#This Row],[Bottom '[m']]], "")</f>
        <v/>
      </c>
      <c r="AW571" s="208"/>
      <c r="AX571" s="209"/>
      <c r="AY571" s="240"/>
      <c r="BB571" s="99"/>
      <c r="BC571" s="99"/>
      <c r="BD571" s="187"/>
      <c r="CH571" s="53" t="str">
        <f>IFERROR(TOWER_DATA[[#This Row],[Top '[m']]]-TOWER_DATA[[#This Row],[Bottom '[m']]], "")</f>
        <v/>
      </c>
      <c r="CI571" s="217" t="str">
        <f>IFERROR(-(TOWER_DATA[[#This Row],[D, bottom '[m']]]-TOWER_DATA[[#This Row],[D, top '[m']]])/(TOWER_DATA[[#This Row],[Bottom '[m']]]-TOWER_DATA[[#This Row],[Top '[m']]]),"")</f>
        <v/>
      </c>
      <c r="CJ571" s="145" t="str">
        <f t="shared" si="21"/>
        <v/>
      </c>
      <c r="CK571" s="220" t="str">
        <f>IFERROR((TOWER_DATA[[#This Row],[D, bottom '[m']]]+TOWER_DATA[[#This Row],[D, top '[m']]])/(2*TOWER_DATA[[#This Row],[t '[mm']]]/1000),"")</f>
        <v/>
      </c>
      <c r="DO571" s="209"/>
      <c r="DP571" s="209"/>
      <c r="DQ571" s="187"/>
      <c r="DT571" s="99"/>
      <c r="DU571" s="99"/>
    </row>
    <row r="572" spans="1:125" ht="18" customHeight="1">
      <c r="A572" s="271"/>
      <c r="D572" s="280"/>
      <c r="E572" s="52"/>
      <c r="K572" s="53" t="str">
        <f>IFERROR(MP_DATA[[#This Row],[Top '[m']]]-MP_DATA[[#This Row],[Bottom '[m']]], "")</f>
        <v/>
      </c>
      <c r="L572" s="208"/>
      <c r="M572" s="145" t="str">
        <f t="shared" si="22"/>
        <v/>
      </c>
      <c r="N572" s="220" t="str">
        <f>IFERROR((MP_DATA[[#This Row],[D, bottom '[m']]]+MP_DATA[[#This Row],[D, top '[m']]])/(2*MP_DATA[[#This Row],[t '[mm']]]/1000),"")</f>
        <v/>
      </c>
      <c r="Q572" s="209"/>
      <c r="R572" s="209"/>
      <c r="S572" s="187"/>
      <c r="AV572" s="233" t="str">
        <f>IFERROR(TP_DATA[[#This Row],[Top '[m']]]-TP_DATA[[#This Row],[Bottom '[m']]], "")</f>
        <v/>
      </c>
      <c r="AW572" s="208"/>
      <c r="AX572" s="209"/>
      <c r="AY572" s="240"/>
      <c r="BB572" s="99"/>
      <c r="BC572" s="99"/>
      <c r="BD572" s="187"/>
      <c r="CH572" s="53" t="str">
        <f>IFERROR(TOWER_DATA[[#This Row],[Top '[m']]]-TOWER_DATA[[#This Row],[Bottom '[m']]], "")</f>
        <v/>
      </c>
      <c r="CI572" s="217" t="str">
        <f>IFERROR(-(TOWER_DATA[[#This Row],[D, bottom '[m']]]-TOWER_DATA[[#This Row],[D, top '[m']]])/(TOWER_DATA[[#This Row],[Bottom '[m']]]-TOWER_DATA[[#This Row],[Top '[m']]]),"")</f>
        <v/>
      </c>
      <c r="CJ572" s="145" t="str">
        <f t="shared" si="21"/>
        <v/>
      </c>
      <c r="CK572" s="220" t="str">
        <f>IFERROR((TOWER_DATA[[#This Row],[D, bottom '[m']]]+TOWER_DATA[[#This Row],[D, top '[m']]])/(2*TOWER_DATA[[#This Row],[t '[mm']]]/1000),"")</f>
        <v/>
      </c>
      <c r="DO572" s="209"/>
      <c r="DP572" s="209"/>
      <c r="DQ572" s="187"/>
      <c r="DT572" s="99"/>
      <c r="DU572" s="99"/>
    </row>
    <row r="573" spans="1:125" ht="18" customHeight="1">
      <c r="A573" s="271"/>
      <c r="D573" s="280"/>
      <c r="E573" s="52"/>
      <c r="K573" s="53" t="str">
        <f>IFERROR(MP_DATA[[#This Row],[Top '[m']]]-MP_DATA[[#This Row],[Bottom '[m']]], "")</f>
        <v/>
      </c>
      <c r="L573" s="208"/>
      <c r="M573" s="145" t="str">
        <f t="shared" si="22"/>
        <v/>
      </c>
      <c r="N573" s="220" t="str">
        <f>IFERROR((MP_DATA[[#This Row],[D, bottom '[m']]]+MP_DATA[[#This Row],[D, top '[m']]])/(2*MP_DATA[[#This Row],[t '[mm']]]/1000),"")</f>
        <v/>
      </c>
      <c r="Q573" s="209"/>
      <c r="R573" s="209"/>
      <c r="S573" s="187"/>
      <c r="AV573" s="233" t="str">
        <f>IFERROR(TP_DATA[[#This Row],[Top '[m']]]-TP_DATA[[#This Row],[Bottom '[m']]], "")</f>
        <v/>
      </c>
      <c r="AW573" s="208"/>
      <c r="AX573" s="209"/>
      <c r="AY573" s="240"/>
      <c r="BB573" s="99"/>
      <c r="BC573" s="99"/>
      <c r="BD573" s="187"/>
      <c r="CH573" s="53" t="str">
        <f>IFERROR(TOWER_DATA[[#This Row],[Top '[m']]]-TOWER_DATA[[#This Row],[Bottom '[m']]], "")</f>
        <v/>
      </c>
      <c r="CI573" s="217" t="str">
        <f>IFERROR(-(TOWER_DATA[[#This Row],[D, bottom '[m']]]-TOWER_DATA[[#This Row],[D, top '[m']]])/(TOWER_DATA[[#This Row],[Bottom '[m']]]-TOWER_DATA[[#This Row],[Top '[m']]]),"")</f>
        <v/>
      </c>
      <c r="CJ573" s="145" t="str">
        <f t="shared" si="21"/>
        <v/>
      </c>
      <c r="CK573" s="220" t="str">
        <f>IFERROR((TOWER_DATA[[#This Row],[D, bottom '[m']]]+TOWER_DATA[[#This Row],[D, top '[m']]])/(2*TOWER_DATA[[#This Row],[t '[mm']]]/1000),"")</f>
        <v/>
      </c>
      <c r="DO573" s="209"/>
      <c r="DP573" s="209"/>
      <c r="DQ573" s="187"/>
      <c r="DT573" s="99"/>
      <c r="DU573" s="99"/>
    </row>
    <row r="574" spans="1:125" ht="18" customHeight="1">
      <c r="A574" s="271"/>
      <c r="D574" s="280"/>
      <c r="E574" s="52"/>
      <c r="K574" s="53" t="str">
        <f>IFERROR(MP_DATA[[#This Row],[Top '[m']]]-MP_DATA[[#This Row],[Bottom '[m']]], "")</f>
        <v/>
      </c>
      <c r="L574" s="208"/>
      <c r="M574" s="145" t="str">
        <f t="shared" si="22"/>
        <v/>
      </c>
      <c r="N574" s="220" t="str">
        <f>IFERROR((MP_DATA[[#This Row],[D, bottom '[m']]]+MP_DATA[[#This Row],[D, top '[m']]])/(2*MP_DATA[[#This Row],[t '[mm']]]/1000),"")</f>
        <v/>
      </c>
      <c r="Q574" s="209"/>
      <c r="R574" s="209"/>
      <c r="S574" s="187"/>
      <c r="AV574" s="233" t="str">
        <f>IFERROR(TP_DATA[[#This Row],[Top '[m']]]-TP_DATA[[#This Row],[Bottom '[m']]], "")</f>
        <v/>
      </c>
      <c r="AW574" s="208"/>
      <c r="AX574" s="209"/>
      <c r="AY574" s="240"/>
      <c r="BB574" s="99"/>
      <c r="BC574" s="99"/>
      <c r="BD574" s="187"/>
      <c r="CH574" s="53" t="str">
        <f>IFERROR(TOWER_DATA[[#This Row],[Top '[m']]]-TOWER_DATA[[#This Row],[Bottom '[m']]], "")</f>
        <v/>
      </c>
      <c r="CI574" s="217" t="str">
        <f>IFERROR(-(TOWER_DATA[[#This Row],[D, bottom '[m']]]-TOWER_DATA[[#This Row],[D, top '[m']]])/(TOWER_DATA[[#This Row],[Bottom '[m']]]-TOWER_DATA[[#This Row],[Top '[m']]]),"")</f>
        <v/>
      </c>
      <c r="CJ574" s="145" t="str">
        <f t="shared" si="21"/>
        <v/>
      </c>
      <c r="CK574" s="220" t="str">
        <f>IFERROR((TOWER_DATA[[#This Row],[D, bottom '[m']]]+TOWER_DATA[[#This Row],[D, top '[m']]])/(2*TOWER_DATA[[#This Row],[t '[mm']]]/1000),"")</f>
        <v/>
      </c>
      <c r="DO574" s="209"/>
      <c r="DP574" s="209"/>
      <c r="DQ574" s="187"/>
      <c r="DT574" s="99"/>
      <c r="DU574" s="99"/>
    </row>
    <row r="575" spans="1:125" ht="18" customHeight="1">
      <c r="A575" s="271"/>
      <c r="D575" s="280"/>
      <c r="E575" s="52"/>
      <c r="K575" s="53" t="str">
        <f>IFERROR(MP_DATA[[#This Row],[Top '[m']]]-MP_DATA[[#This Row],[Bottom '[m']]], "")</f>
        <v/>
      </c>
      <c r="L575" s="208"/>
      <c r="M575" s="145" t="str">
        <f t="shared" si="22"/>
        <v/>
      </c>
      <c r="N575" s="220" t="str">
        <f>IFERROR((MP_DATA[[#This Row],[D, bottom '[m']]]+MP_DATA[[#This Row],[D, top '[m']]])/(2*MP_DATA[[#This Row],[t '[mm']]]/1000),"")</f>
        <v/>
      </c>
      <c r="Q575" s="209"/>
      <c r="R575" s="209"/>
      <c r="S575" s="187"/>
      <c r="AV575" s="233" t="str">
        <f>IFERROR(TP_DATA[[#This Row],[Top '[m']]]-TP_DATA[[#This Row],[Bottom '[m']]], "")</f>
        <v/>
      </c>
      <c r="AW575" s="208"/>
      <c r="AX575" s="209"/>
      <c r="AY575" s="240"/>
      <c r="BB575" s="99"/>
      <c r="BC575" s="99"/>
      <c r="BD575" s="187"/>
      <c r="CH575" s="53" t="str">
        <f>IFERROR(TOWER_DATA[[#This Row],[Top '[m']]]-TOWER_DATA[[#This Row],[Bottom '[m']]], "")</f>
        <v/>
      </c>
      <c r="CI575" s="217" t="str">
        <f>IFERROR(-(TOWER_DATA[[#This Row],[D, bottom '[m']]]-TOWER_DATA[[#This Row],[D, top '[m']]])/(TOWER_DATA[[#This Row],[Bottom '[m']]]-TOWER_DATA[[#This Row],[Top '[m']]]),"")</f>
        <v/>
      </c>
      <c r="CJ575" s="145" t="str">
        <f t="shared" si="21"/>
        <v/>
      </c>
      <c r="CK575" s="220" t="str">
        <f>IFERROR((TOWER_DATA[[#This Row],[D, bottom '[m']]]+TOWER_DATA[[#This Row],[D, top '[m']]])/(2*TOWER_DATA[[#This Row],[t '[mm']]]/1000),"")</f>
        <v/>
      </c>
      <c r="DO575" s="209"/>
      <c r="DP575" s="209"/>
      <c r="DQ575" s="187"/>
      <c r="DT575" s="99"/>
      <c r="DU575" s="99"/>
    </row>
    <row r="576" spans="1:125" ht="18" customHeight="1">
      <c r="A576" s="271"/>
      <c r="D576" s="280"/>
      <c r="E576" s="52"/>
      <c r="K576" s="53" t="str">
        <f>IFERROR(MP_DATA[[#This Row],[Top '[m']]]-MP_DATA[[#This Row],[Bottom '[m']]], "")</f>
        <v/>
      </c>
      <c r="L576" s="208"/>
      <c r="M576" s="145" t="str">
        <f t="shared" si="22"/>
        <v/>
      </c>
      <c r="N576" s="220" t="str">
        <f>IFERROR((MP_DATA[[#This Row],[D, bottom '[m']]]+MP_DATA[[#This Row],[D, top '[m']]])/(2*MP_DATA[[#This Row],[t '[mm']]]/1000),"")</f>
        <v/>
      </c>
      <c r="Q576" s="209"/>
      <c r="R576" s="209"/>
      <c r="S576" s="187"/>
      <c r="AV576" s="233" t="str">
        <f>IFERROR(TP_DATA[[#This Row],[Top '[m']]]-TP_DATA[[#This Row],[Bottom '[m']]], "")</f>
        <v/>
      </c>
      <c r="AW576" s="208"/>
      <c r="AX576" s="209"/>
      <c r="AY576" s="240"/>
      <c r="BB576" s="99"/>
      <c r="BC576" s="99"/>
      <c r="BD576" s="187"/>
      <c r="CH576" s="53" t="str">
        <f>IFERROR(TOWER_DATA[[#This Row],[Top '[m']]]-TOWER_DATA[[#This Row],[Bottom '[m']]], "")</f>
        <v/>
      </c>
      <c r="CI576" s="217" t="str">
        <f>IFERROR(-(TOWER_DATA[[#This Row],[D, bottom '[m']]]-TOWER_DATA[[#This Row],[D, top '[m']]])/(TOWER_DATA[[#This Row],[Bottom '[m']]]-TOWER_DATA[[#This Row],[Top '[m']]]),"")</f>
        <v/>
      </c>
      <c r="CJ576" s="145" t="str">
        <f t="shared" si="21"/>
        <v/>
      </c>
      <c r="CK576" s="220" t="str">
        <f>IFERROR((TOWER_DATA[[#This Row],[D, bottom '[m']]]+TOWER_DATA[[#This Row],[D, top '[m']]])/(2*TOWER_DATA[[#This Row],[t '[mm']]]/1000),"")</f>
        <v/>
      </c>
      <c r="DO576" s="209"/>
      <c r="DP576" s="209"/>
      <c r="DQ576" s="187"/>
      <c r="DT576" s="99"/>
      <c r="DU576" s="99"/>
    </row>
    <row r="577" spans="1:125" ht="18" customHeight="1">
      <c r="A577" s="271"/>
      <c r="D577" s="280"/>
      <c r="E577" s="52"/>
      <c r="K577" s="53" t="str">
        <f>IFERROR(MP_DATA[[#This Row],[Top '[m']]]-MP_DATA[[#This Row],[Bottom '[m']]], "")</f>
        <v/>
      </c>
      <c r="L577" s="208"/>
      <c r="M577" s="145" t="str">
        <f t="shared" si="22"/>
        <v/>
      </c>
      <c r="N577" s="220" t="str">
        <f>IFERROR((MP_DATA[[#This Row],[D, bottom '[m']]]+MP_DATA[[#This Row],[D, top '[m']]])/(2*MP_DATA[[#This Row],[t '[mm']]]/1000),"")</f>
        <v/>
      </c>
      <c r="Q577" s="209"/>
      <c r="R577" s="209"/>
      <c r="S577" s="187"/>
      <c r="AV577" s="233" t="str">
        <f>IFERROR(TP_DATA[[#This Row],[Top '[m']]]-TP_DATA[[#This Row],[Bottom '[m']]], "")</f>
        <v/>
      </c>
      <c r="AW577" s="208"/>
      <c r="AX577" s="209"/>
      <c r="AY577" s="240"/>
      <c r="BB577" s="99"/>
      <c r="BC577" s="99"/>
      <c r="BD577" s="187"/>
      <c r="CH577" s="53" t="str">
        <f>IFERROR(TOWER_DATA[[#This Row],[Top '[m']]]-TOWER_DATA[[#This Row],[Bottom '[m']]], "")</f>
        <v/>
      </c>
      <c r="CI577" s="217" t="str">
        <f>IFERROR(-(TOWER_DATA[[#This Row],[D, bottom '[m']]]-TOWER_DATA[[#This Row],[D, top '[m']]])/(TOWER_DATA[[#This Row],[Bottom '[m']]]-TOWER_DATA[[#This Row],[Top '[m']]]),"")</f>
        <v/>
      </c>
      <c r="CJ577" s="145" t="str">
        <f t="shared" si="21"/>
        <v/>
      </c>
      <c r="CK577" s="220" t="str">
        <f>IFERROR((TOWER_DATA[[#This Row],[D, bottom '[m']]]+TOWER_DATA[[#This Row],[D, top '[m']]])/(2*TOWER_DATA[[#This Row],[t '[mm']]]/1000),"")</f>
        <v/>
      </c>
      <c r="DO577" s="209"/>
      <c r="DP577" s="209"/>
      <c r="DQ577" s="187"/>
      <c r="DT577" s="99"/>
      <c r="DU577" s="99"/>
    </row>
    <row r="578" spans="1:125" ht="18" customHeight="1">
      <c r="A578" s="271"/>
      <c r="D578" s="280"/>
      <c r="E578" s="52"/>
      <c r="K578" s="53" t="str">
        <f>IFERROR(MP_DATA[[#This Row],[Top '[m']]]-MP_DATA[[#This Row],[Bottom '[m']]], "")</f>
        <v/>
      </c>
      <c r="L578" s="208"/>
      <c r="M578" s="145" t="str">
        <f t="shared" si="22"/>
        <v/>
      </c>
      <c r="N578" s="220" t="str">
        <f>IFERROR((MP_DATA[[#This Row],[D, bottom '[m']]]+MP_DATA[[#This Row],[D, top '[m']]])/(2*MP_DATA[[#This Row],[t '[mm']]]/1000),"")</f>
        <v/>
      </c>
      <c r="Q578" s="209"/>
      <c r="R578" s="209"/>
      <c r="S578" s="187"/>
      <c r="AV578" s="233" t="str">
        <f>IFERROR(TP_DATA[[#This Row],[Top '[m']]]-TP_DATA[[#This Row],[Bottom '[m']]], "")</f>
        <v/>
      </c>
      <c r="AW578" s="208"/>
      <c r="AX578" s="209"/>
      <c r="AY578" s="240"/>
      <c r="BB578" s="99"/>
      <c r="BC578" s="99"/>
      <c r="BD578" s="187"/>
      <c r="CH578" s="53" t="str">
        <f>IFERROR(TOWER_DATA[[#This Row],[Top '[m']]]-TOWER_DATA[[#This Row],[Bottom '[m']]], "")</f>
        <v/>
      </c>
      <c r="CI578" s="217" t="str">
        <f>IFERROR(-(TOWER_DATA[[#This Row],[D, bottom '[m']]]-TOWER_DATA[[#This Row],[D, top '[m']]])/(TOWER_DATA[[#This Row],[Bottom '[m']]]-TOWER_DATA[[#This Row],[Top '[m']]]),"")</f>
        <v/>
      </c>
      <c r="CJ578" s="145" t="str">
        <f t="shared" si="21"/>
        <v/>
      </c>
      <c r="CK578" s="220" t="str">
        <f>IFERROR((TOWER_DATA[[#This Row],[D, bottom '[m']]]+TOWER_DATA[[#This Row],[D, top '[m']]])/(2*TOWER_DATA[[#This Row],[t '[mm']]]/1000),"")</f>
        <v/>
      </c>
      <c r="DO578" s="209"/>
      <c r="DP578" s="209"/>
      <c r="DQ578" s="187"/>
      <c r="DT578" s="99"/>
      <c r="DU578" s="99"/>
    </row>
    <row r="579" spans="1:125" ht="18" customHeight="1">
      <c r="A579" s="271"/>
      <c r="D579" s="280"/>
      <c r="E579" s="52"/>
      <c r="K579" s="53" t="str">
        <f>IFERROR(MP_DATA[[#This Row],[Top '[m']]]-MP_DATA[[#This Row],[Bottom '[m']]], "")</f>
        <v/>
      </c>
      <c r="L579" s="208"/>
      <c r="M579" s="145" t="str">
        <f t="shared" si="22"/>
        <v/>
      </c>
      <c r="N579" s="220" t="str">
        <f>IFERROR((MP_DATA[[#This Row],[D, bottom '[m']]]+MP_DATA[[#This Row],[D, top '[m']]])/(2*MP_DATA[[#This Row],[t '[mm']]]/1000),"")</f>
        <v/>
      </c>
      <c r="Q579" s="209"/>
      <c r="R579" s="209"/>
      <c r="S579" s="187"/>
      <c r="AV579" s="233" t="str">
        <f>IFERROR(TP_DATA[[#This Row],[Top '[m']]]-TP_DATA[[#This Row],[Bottom '[m']]], "")</f>
        <v/>
      </c>
      <c r="AW579" s="208"/>
      <c r="AX579" s="209"/>
      <c r="AY579" s="240"/>
      <c r="BB579" s="99"/>
      <c r="BC579" s="99"/>
      <c r="BD579" s="187"/>
      <c r="CH579" s="53" t="str">
        <f>IFERROR(TOWER_DATA[[#This Row],[Top '[m']]]-TOWER_DATA[[#This Row],[Bottom '[m']]], "")</f>
        <v/>
      </c>
      <c r="CI579" s="217" t="str">
        <f>IFERROR(-(TOWER_DATA[[#This Row],[D, bottom '[m']]]-TOWER_DATA[[#This Row],[D, top '[m']]])/(TOWER_DATA[[#This Row],[Bottom '[m']]]-TOWER_DATA[[#This Row],[Top '[m']]]),"")</f>
        <v/>
      </c>
      <c r="CJ579" s="145" t="str">
        <f t="shared" si="21"/>
        <v/>
      </c>
      <c r="CK579" s="220" t="str">
        <f>IFERROR((TOWER_DATA[[#This Row],[D, bottom '[m']]]+TOWER_DATA[[#This Row],[D, top '[m']]])/(2*TOWER_DATA[[#This Row],[t '[mm']]]/1000),"")</f>
        <v/>
      </c>
      <c r="DO579" s="209"/>
      <c r="DP579" s="209"/>
      <c r="DQ579" s="187"/>
      <c r="DT579" s="99"/>
      <c r="DU579" s="99"/>
    </row>
    <row r="580" spans="1:125" ht="18" customHeight="1">
      <c r="A580" s="271"/>
      <c r="D580" s="280"/>
      <c r="E580" s="52"/>
      <c r="K580" s="53" t="str">
        <f>IFERROR(MP_DATA[[#This Row],[Top '[m']]]-MP_DATA[[#This Row],[Bottom '[m']]], "")</f>
        <v/>
      </c>
      <c r="L580" s="208"/>
      <c r="M580" s="145" t="str">
        <f t="shared" si="22"/>
        <v/>
      </c>
      <c r="N580" s="220" t="str">
        <f>IFERROR((MP_DATA[[#This Row],[D, bottom '[m']]]+MP_DATA[[#This Row],[D, top '[m']]])/(2*MP_DATA[[#This Row],[t '[mm']]]/1000),"")</f>
        <v/>
      </c>
      <c r="Q580" s="209"/>
      <c r="R580" s="209"/>
      <c r="S580" s="187"/>
      <c r="AV580" s="233" t="str">
        <f>IFERROR(TP_DATA[[#This Row],[Top '[m']]]-TP_DATA[[#This Row],[Bottom '[m']]], "")</f>
        <v/>
      </c>
      <c r="AW580" s="208"/>
      <c r="AX580" s="209"/>
      <c r="AY580" s="240"/>
      <c r="BB580" s="99"/>
      <c r="BC580" s="99"/>
      <c r="BD580" s="187"/>
      <c r="CH580" s="53" t="str">
        <f>IFERROR(TOWER_DATA[[#This Row],[Top '[m']]]-TOWER_DATA[[#This Row],[Bottom '[m']]], "")</f>
        <v/>
      </c>
      <c r="CI580" s="217" t="str">
        <f>IFERROR(-(TOWER_DATA[[#This Row],[D, bottom '[m']]]-TOWER_DATA[[#This Row],[D, top '[m']]])/(TOWER_DATA[[#This Row],[Bottom '[m']]]-TOWER_DATA[[#This Row],[Top '[m']]]),"")</f>
        <v/>
      </c>
      <c r="CJ580" s="145" t="str">
        <f t="shared" si="21"/>
        <v/>
      </c>
      <c r="CK580" s="220" t="str">
        <f>IFERROR((TOWER_DATA[[#This Row],[D, bottom '[m']]]+TOWER_DATA[[#This Row],[D, top '[m']]])/(2*TOWER_DATA[[#This Row],[t '[mm']]]/1000),"")</f>
        <v/>
      </c>
      <c r="DO580" s="209"/>
      <c r="DP580" s="209"/>
      <c r="DQ580" s="187"/>
      <c r="DT580" s="99"/>
      <c r="DU580" s="99"/>
    </row>
    <row r="581" spans="1:125" ht="18" customHeight="1">
      <c r="A581" s="271"/>
      <c r="D581" s="280"/>
      <c r="E581" s="52"/>
      <c r="K581" s="53" t="str">
        <f>IFERROR(MP_DATA[[#This Row],[Top '[m']]]-MP_DATA[[#This Row],[Bottom '[m']]], "")</f>
        <v/>
      </c>
      <c r="L581" s="208"/>
      <c r="M581" s="145" t="str">
        <f t="shared" si="22"/>
        <v/>
      </c>
      <c r="N581" s="220" t="str">
        <f>IFERROR((MP_DATA[[#This Row],[D, bottom '[m']]]+MP_DATA[[#This Row],[D, top '[m']]])/(2*MP_DATA[[#This Row],[t '[mm']]]/1000),"")</f>
        <v/>
      </c>
      <c r="Q581" s="209"/>
      <c r="R581" s="209"/>
      <c r="S581" s="187"/>
      <c r="AV581" s="233" t="str">
        <f>IFERROR(TP_DATA[[#This Row],[Top '[m']]]-TP_DATA[[#This Row],[Bottom '[m']]], "")</f>
        <v/>
      </c>
      <c r="AW581" s="208"/>
      <c r="AX581" s="209"/>
      <c r="AY581" s="240"/>
      <c r="BB581" s="99"/>
      <c r="BC581" s="99"/>
      <c r="BD581" s="187"/>
      <c r="CH581" s="53" t="str">
        <f>IFERROR(TOWER_DATA[[#This Row],[Top '[m']]]-TOWER_DATA[[#This Row],[Bottom '[m']]], "")</f>
        <v/>
      </c>
      <c r="CI581" s="217" t="str">
        <f>IFERROR(-(TOWER_DATA[[#This Row],[D, bottom '[m']]]-TOWER_DATA[[#This Row],[D, top '[m']]])/(TOWER_DATA[[#This Row],[Bottom '[m']]]-TOWER_DATA[[#This Row],[Top '[m']]]),"")</f>
        <v/>
      </c>
      <c r="CJ581" s="145" t="str">
        <f t="shared" si="21"/>
        <v/>
      </c>
      <c r="CK581" s="220" t="str">
        <f>IFERROR((TOWER_DATA[[#This Row],[D, bottom '[m']]]+TOWER_DATA[[#This Row],[D, top '[m']]])/(2*TOWER_DATA[[#This Row],[t '[mm']]]/1000),"")</f>
        <v/>
      </c>
      <c r="DO581" s="209"/>
      <c r="DP581" s="209"/>
      <c r="DQ581" s="187"/>
      <c r="DT581" s="99"/>
      <c r="DU581" s="99"/>
    </row>
    <row r="582" spans="1:125" ht="18" customHeight="1">
      <c r="A582" s="271"/>
      <c r="D582" s="280"/>
      <c r="E582" s="52"/>
      <c r="K582" s="53" t="str">
        <f>IFERROR(MP_DATA[[#This Row],[Top '[m']]]-MP_DATA[[#This Row],[Bottom '[m']]], "")</f>
        <v/>
      </c>
      <c r="L582" s="208"/>
      <c r="M582" s="145" t="str">
        <f t="shared" si="22"/>
        <v/>
      </c>
      <c r="N582" s="220" t="str">
        <f>IFERROR((MP_DATA[[#This Row],[D, bottom '[m']]]+MP_DATA[[#This Row],[D, top '[m']]])/(2*MP_DATA[[#This Row],[t '[mm']]]/1000),"")</f>
        <v/>
      </c>
      <c r="Q582" s="209"/>
      <c r="R582" s="209"/>
      <c r="S582" s="187"/>
      <c r="AV582" s="233" t="str">
        <f>IFERROR(TP_DATA[[#This Row],[Top '[m']]]-TP_DATA[[#This Row],[Bottom '[m']]], "")</f>
        <v/>
      </c>
      <c r="AW582" s="208"/>
      <c r="AX582" s="209"/>
      <c r="AY582" s="240"/>
      <c r="BB582" s="99"/>
      <c r="BC582" s="99"/>
      <c r="BD582" s="187"/>
      <c r="CH582" s="53" t="str">
        <f>IFERROR(TOWER_DATA[[#This Row],[Top '[m']]]-TOWER_DATA[[#This Row],[Bottom '[m']]], "")</f>
        <v/>
      </c>
      <c r="CI582" s="217" t="str">
        <f>IFERROR(-(TOWER_DATA[[#This Row],[D, bottom '[m']]]-TOWER_DATA[[#This Row],[D, top '[m']]])/(TOWER_DATA[[#This Row],[Bottom '[m']]]-TOWER_DATA[[#This Row],[Top '[m']]]),"")</f>
        <v/>
      </c>
      <c r="CJ582" s="145" t="str">
        <f t="shared" si="21"/>
        <v/>
      </c>
      <c r="CK582" s="220" t="str">
        <f>IFERROR((TOWER_DATA[[#This Row],[D, bottom '[m']]]+TOWER_DATA[[#This Row],[D, top '[m']]])/(2*TOWER_DATA[[#This Row],[t '[mm']]]/1000),"")</f>
        <v/>
      </c>
      <c r="DO582" s="209"/>
      <c r="DP582" s="209"/>
      <c r="DQ582" s="187"/>
      <c r="DT582" s="99"/>
      <c r="DU582" s="99"/>
    </row>
    <row r="583" spans="1:125" ht="18" customHeight="1">
      <c r="A583" s="271"/>
      <c r="D583" s="280"/>
      <c r="E583" s="52"/>
      <c r="K583" s="53" t="str">
        <f>IFERROR(MP_DATA[[#This Row],[Top '[m']]]-MP_DATA[[#This Row],[Bottom '[m']]], "")</f>
        <v/>
      </c>
      <c r="L583" s="208"/>
      <c r="M583" s="145" t="str">
        <f t="shared" si="22"/>
        <v/>
      </c>
      <c r="N583" s="220" t="str">
        <f>IFERROR((MP_DATA[[#This Row],[D, bottom '[m']]]+MP_DATA[[#This Row],[D, top '[m']]])/(2*MP_DATA[[#This Row],[t '[mm']]]/1000),"")</f>
        <v/>
      </c>
      <c r="Q583" s="209"/>
      <c r="R583" s="209"/>
      <c r="S583" s="187"/>
      <c r="AV583" s="233" t="str">
        <f>IFERROR(TP_DATA[[#This Row],[Top '[m']]]-TP_DATA[[#This Row],[Bottom '[m']]], "")</f>
        <v/>
      </c>
      <c r="AW583" s="208"/>
      <c r="AX583" s="209"/>
      <c r="AY583" s="240"/>
      <c r="BB583" s="99"/>
      <c r="BC583" s="99"/>
      <c r="BD583" s="187"/>
      <c r="CH583" s="53" t="str">
        <f>IFERROR(TOWER_DATA[[#This Row],[Top '[m']]]-TOWER_DATA[[#This Row],[Bottom '[m']]], "")</f>
        <v/>
      </c>
      <c r="CI583" s="217" t="str">
        <f>IFERROR(-(TOWER_DATA[[#This Row],[D, bottom '[m']]]-TOWER_DATA[[#This Row],[D, top '[m']]])/(TOWER_DATA[[#This Row],[Bottom '[m']]]-TOWER_DATA[[#This Row],[Top '[m']]]),"")</f>
        <v/>
      </c>
      <c r="CJ583" s="145" t="str">
        <f t="shared" si="21"/>
        <v/>
      </c>
      <c r="CK583" s="220" t="str">
        <f>IFERROR((TOWER_DATA[[#This Row],[D, bottom '[m']]]+TOWER_DATA[[#This Row],[D, top '[m']]])/(2*TOWER_DATA[[#This Row],[t '[mm']]]/1000),"")</f>
        <v/>
      </c>
      <c r="DO583" s="209"/>
      <c r="DP583" s="209"/>
      <c r="DQ583" s="187"/>
      <c r="DT583" s="99"/>
      <c r="DU583" s="99"/>
    </row>
    <row r="584" spans="1:125" ht="18" customHeight="1">
      <c r="A584" s="271"/>
      <c r="D584" s="280"/>
      <c r="E584" s="52"/>
      <c r="K584" s="53" t="str">
        <f>IFERROR(MP_DATA[[#This Row],[Top '[m']]]-MP_DATA[[#This Row],[Bottom '[m']]], "")</f>
        <v/>
      </c>
      <c r="L584" s="208"/>
      <c r="M584" s="145" t="str">
        <f t="shared" si="22"/>
        <v/>
      </c>
      <c r="N584" s="220" t="str">
        <f>IFERROR((MP_DATA[[#This Row],[D, bottom '[m']]]+MP_DATA[[#This Row],[D, top '[m']]])/(2*MP_DATA[[#This Row],[t '[mm']]]/1000),"")</f>
        <v/>
      </c>
      <c r="Q584" s="209"/>
      <c r="R584" s="209"/>
      <c r="S584" s="187"/>
      <c r="AV584" s="233" t="str">
        <f>IFERROR(TP_DATA[[#This Row],[Top '[m']]]-TP_DATA[[#This Row],[Bottom '[m']]], "")</f>
        <v/>
      </c>
      <c r="AW584" s="208"/>
      <c r="AX584" s="209"/>
      <c r="AY584" s="240"/>
      <c r="BB584" s="99"/>
      <c r="BC584" s="99"/>
      <c r="BD584" s="187"/>
      <c r="CH584" s="53" t="str">
        <f>IFERROR(TOWER_DATA[[#This Row],[Top '[m']]]-TOWER_DATA[[#This Row],[Bottom '[m']]], "")</f>
        <v/>
      </c>
      <c r="CI584" s="217" t="str">
        <f>IFERROR(-(TOWER_DATA[[#This Row],[D, bottom '[m']]]-TOWER_DATA[[#This Row],[D, top '[m']]])/(TOWER_DATA[[#This Row],[Bottom '[m']]]-TOWER_DATA[[#This Row],[Top '[m']]]),"")</f>
        <v/>
      </c>
      <c r="CJ584" s="145" t="str">
        <f t="shared" si="21"/>
        <v/>
      </c>
      <c r="CK584" s="220" t="str">
        <f>IFERROR((TOWER_DATA[[#This Row],[D, bottom '[m']]]+TOWER_DATA[[#This Row],[D, top '[m']]])/(2*TOWER_DATA[[#This Row],[t '[mm']]]/1000),"")</f>
        <v/>
      </c>
      <c r="DO584" s="209"/>
      <c r="DP584" s="209"/>
      <c r="DQ584" s="187"/>
      <c r="DT584" s="99"/>
      <c r="DU584" s="99"/>
    </row>
    <row r="585" spans="1:125" ht="18" customHeight="1">
      <c r="A585" s="271"/>
      <c r="D585" s="280"/>
      <c r="E585" s="52"/>
      <c r="K585" s="53" t="str">
        <f>IFERROR(MP_DATA[[#This Row],[Top '[m']]]-MP_DATA[[#This Row],[Bottom '[m']]], "")</f>
        <v/>
      </c>
      <c r="L585" s="208"/>
      <c r="M585" s="145" t="str">
        <f t="shared" si="22"/>
        <v/>
      </c>
      <c r="N585" s="220" t="str">
        <f>IFERROR((MP_DATA[[#This Row],[D, bottom '[m']]]+MP_DATA[[#This Row],[D, top '[m']]])/(2*MP_DATA[[#This Row],[t '[mm']]]/1000),"")</f>
        <v/>
      </c>
      <c r="Q585" s="209"/>
      <c r="R585" s="209"/>
      <c r="S585" s="187"/>
      <c r="AV585" s="233" t="str">
        <f>IFERROR(TP_DATA[[#This Row],[Top '[m']]]-TP_DATA[[#This Row],[Bottom '[m']]], "")</f>
        <v/>
      </c>
      <c r="AW585" s="208"/>
      <c r="AX585" s="209"/>
      <c r="AY585" s="240"/>
      <c r="BB585" s="99"/>
      <c r="BC585" s="99"/>
      <c r="BD585" s="187"/>
      <c r="CH585" s="53" t="str">
        <f>IFERROR(TOWER_DATA[[#This Row],[Top '[m']]]-TOWER_DATA[[#This Row],[Bottom '[m']]], "")</f>
        <v/>
      </c>
      <c r="CI585" s="217" t="str">
        <f>IFERROR(-(TOWER_DATA[[#This Row],[D, bottom '[m']]]-TOWER_DATA[[#This Row],[D, top '[m']]])/(TOWER_DATA[[#This Row],[Bottom '[m']]]-TOWER_DATA[[#This Row],[Top '[m']]]),"")</f>
        <v/>
      </c>
      <c r="CJ585" s="145" t="str">
        <f t="shared" si="21"/>
        <v/>
      </c>
      <c r="CK585" s="220" t="str">
        <f>IFERROR((TOWER_DATA[[#This Row],[D, bottom '[m']]]+TOWER_DATA[[#This Row],[D, top '[m']]])/(2*TOWER_DATA[[#This Row],[t '[mm']]]/1000),"")</f>
        <v/>
      </c>
      <c r="DO585" s="209"/>
      <c r="DP585" s="209"/>
      <c r="DQ585" s="187"/>
      <c r="DT585" s="99"/>
      <c r="DU585" s="99"/>
    </row>
    <row r="586" spans="1:125" ht="18" customHeight="1">
      <c r="A586" s="271"/>
      <c r="D586" s="280"/>
      <c r="E586" s="52"/>
      <c r="K586" s="53" t="str">
        <f>IFERROR(MP_DATA[[#This Row],[Top '[m']]]-MP_DATA[[#This Row],[Bottom '[m']]], "")</f>
        <v/>
      </c>
      <c r="L586" s="208"/>
      <c r="M586" s="145" t="str">
        <f t="shared" si="22"/>
        <v/>
      </c>
      <c r="N586" s="220" t="str">
        <f>IFERROR((MP_DATA[[#This Row],[D, bottom '[m']]]+MP_DATA[[#This Row],[D, top '[m']]])/(2*MP_DATA[[#This Row],[t '[mm']]]/1000),"")</f>
        <v/>
      </c>
      <c r="Q586" s="209"/>
      <c r="R586" s="209"/>
      <c r="S586" s="187"/>
      <c r="AV586" s="233" t="str">
        <f>IFERROR(TP_DATA[[#This Row],[Top '[m']]]-TP_DATA[[#This Row],[Bottom '[m']]], "")</f>
        <v/>
      </c>
      <c r="AW586" s="208"/>
      <c r="AX586" s="209"/>
      <c r="AY586" s="240"/>
      <c r="BB586" s="99"/>
      <c r="BC586" s="99"/>
      <c r="BD586" s="187"/>
      <c r="CH586" s="53" t="str">
        <f>IFERROR(TOWER_DATA[[#This Row],[Top '[m']]]-TOWER_DATA[[#This Row],[Bottom '[m']]], "")</f>
        <v/>
      </c>
      <c r="CI586" s="217" t="str">
        <f>IFERROR(-(TOWER_DATA[[#This Row],[D, bottom '[m']]]-TOWER_DATA[[#This Row],[D, top '[m']]])/(TOWER_DATA[[#This Row],[Bottom '[m']]]-TOWER_DATA[[#This Row],[Top '[m']]]),"")</f>
        <v/>
      </c>
      <c r="CJ586" s="145" t="str">
        <f t="shared" si="21"/>
        <v/>
      </c>
      <c r="CK586" s="220" t="str">
        <f>IFERROR((TOWER_DATA[[#This Row],[D, bottom '[m']]]+TOWER_DATA[[#This Row],[D, top '[m']]])/(2*TOWER_DATA[[#This Row],[t '[mm']]]/1000),"")</f>
        <v/>
      </c>
      <c r="DO586" s="209"/>
      <c r="DP586" s="209"/>
      <c r="DQ586" s="187"/>
      <c r="DT586" s="99"/>
      <c r="DU586" s="99"/>
    </row>
    <row r="587" spans="1:125" ht="18" customHeight="1">
      <c r="A587" s="271"/>
      <c r="D587" s="280"/>
      <c r="E587" s="52"/>
      <c r="K587" s="53" t="str">
        <f>IFERROR(MP_DATA[[#This Row],[Top '[m']]]-MP_DATA[[#This Row],[Bottom '[m']]], "")</f>
        <v/>
      </c>
      <c r="L587" s="208"/>
      <c r="M587" s="145" t="str">
        <f t="shared" si="22"/>
        <v/>
      </c>
      <c r="N587" s="220" t="str">
        <f>IFERROR((MP_DATA[[#This Row],[D, bottom '[m']]]+MP_DATA[[#This Row],[D, top '[m']]])/(2*MP_DATA[[#This Row],[t '[mm']]]/1000),"")</f>
        <v/>
      </c>
      <c r="Q587" s="209"/>
      <c r="R587" s="209"/>
      <c r="S587" s="187"/>
      <c r="AV587" s="233" t="str">
        <f>IFERROR(TP_DATA[[#This Row],[Top '[m']]]-TP_DATA[[#This Row],[Bottom '[m']]], "")</f>
        <v/>
      </c>
      <c r="AW587" s="208"/>
      <c r="AX587" s="209"/>
      <c r="AY587" s="240"/>
      <c r="BB587" s="99"/>
      <c r="BC587" s="99"/>
      <c r="BD587" s="187"/>
      <c r="CH587" s="53" t="str">
        <f>IFERROR(TOWER_DATA[[#This Row],[Top '[m']]]-TOWER_DATA[[#This Row],[Bottom '[m']]], "")</f>
        <v/>
      </c>
      <c r="CI587" s="217" t="str">
        <f>IFERROR(-(TOWER_DATA[[#This Row],[D, bottom '[m']]]-TOWER_DATA[[#This Row],[D, top '[m']]])/(TOWER_DATA[[#This Row],[Bottom '[m']]]-TOWER_DATA[[#This Row],[Top '[m']]]),"")</f>
        <v/>
      </c>
      <c r="CJ587" s="145" t="str">
        <f t="shared" si="21"/>
        <v/>
      </c>
      <c r="CK587" s="220" t="str">
        <f>IFERROR((TOWER_DATA[[#This Row],[D, bottom '[m']]]+TOWER_DATA[[#This Row],[D, top '[m']]])/(2*TOWER_DATA[[#This Row],[t '[mm']]]/1000),"")</f>
        <v/>
      </c>
      <c r="DO587" s="209"/>
      <c r="DP587" s="209"/>
      <c r="DQ587" s="187"/>
      <c r="DT587" s="99"/>
      <c r="DU587" s="99"/>
    </row>
    <row r="588" spans="1:125" ht="18" customHeight="1">
      <c r="A588" s="271"/>
      <c r="D588" s="280"/>
      <c r="E588" s="52"/>
      <c r="K588" s="53" t="str">
        <f>IFERROR(MP_DATA[[#This Row],[Top '[m']]]-MP_DATA[[#This Row],[Bottom '[m']]], "")</f>
        <v/>
      </c>
      <c r="L588" s="208"/>
      <c r="M588" s="145" t="str">
        <f t="shared" si="22"/>
        <v/>
      </c>
      <c r="N588" s="220" t="str">
        <f>IFERROR((MP_DATA[[#This Row],[D, bottom '[m']]]+MP_DATA[[#This Row],[D, top '[m']]])/(2*MP_DATA[[#This Row],[t '[mm']]]/1000),"")</f>
        <v/>
      </c>
      <c r="Q588" s="209"/>
      <c r="R588" s="209"/>
      <c r="S588" s="187"/>
      <c r="AV588" s="233" t="str">
        <f>IFERROR(TP_DATA[[#This Row],[Top '[m']]]-TP_DATA[[#This Row],[Bottom '[m']]], "")</f>
        <v/>
      </c>
      <c r="AW588" s="208"/>
      <c r="AX588" s="209"/>
      <c r="AY588" s="240"/>
      <c r="BB588" s="99"/>
      <c r="BC588" s="99"/>
      <c r="BD588" s="187"/>
      <c r="CH588" s="53" t="str">
        <f>IFERROR(TOWER_DATA[[#This Row],[Top '[m']]]-TOWER_DATA[[#This Row],[Bottom '[m']]], "")</f>
        <v/>
      </c>
      <c r="CI588" s="217" t="str">
        <f>IFERROR(-(TOWER_DATA[[#This Row],[D, bottom '[m']]]-TOWER_DATA[[#This Row],[D, top '[m']]])/(TOWER_DATA[[#This Row],[Bottom '[m']]]-TOWER_DATA[[#This Row],[Top '[m']]]),"")</f>
        <v/>
      </c>
      <c r="CJ588" s="145" t="str">
        <f t="shared" si="21"/>
        <v/>
      </c>
      <c r="CK588" s="220" t="str">
        <f>IFERROR((TOWER_DATA[[#This Row],[D, bottom '[m']]]+TOWER_DATA[[#This Row],[D, top '[m']]])/(2*TOWER_DATA[[#This Row],[t '[mm']]]/1000),"")</f>
        <v/>
      </c>
      <c r="DO588" s="209"/>
      <c r="DP588" s="209"/>
      <c r="DQ588" s="187"/>
      <c r="DT588" s="99"/>
      <c r="DU588" s="99"/>
    </row>
    <row r="589" spans="1:125" ht="18" customHeight="1">
      <c r="A589" s="271"/>
      <c r="D589" s="280"/>
      <c r="E589" s="52"/>
      <c r="K589" s="53" t="str">
        <f>IFERROR(MP_DATA[[#This Row],[Top '[m']]]-MP_DATA[[#This Row],[Bottom '[m']]], "")</f>
        <v/>
      </c>
      <c r="L589" s="208"/>
      <c r="M589" s="145" t="str">
        <f t="shared" si="22"/>
        <v/>
      </c>
      <c r="N589" s="220" t="str">
        <f>IFERROR((MP_DATA[[#This Row],[D, bottom '[m']]]+MP_DATA[[#This Row],[D, top '[m']]])/(2*MP_DATA[[#This Row],[t '[mm']]]/1000),"")</f>
        <v/>
      </c>
      <c r="Q589" s="209"/>
      <c r="R589" s="209"/>
      <c r="S589" s="187"/>
      <c r="AV589" s="233" t="str">
        <f>IFERROR(TP_DATA[[#This Row],[Top '[m']]]-TP_DATA[[#This Row],[Bottom '[m']]], "")</f>
        <v/>
      </c>
      <c r="AW589" s="208"/>
      <c r="AX589" s="209"/>
      <c r="AY589" s="240"/>
      <c r="BB589" s="99"/>
      <c r="BC589" s="99"/>
      <c r="BD589" s="187"/>
      <c r="CH589" s="53" t="str">
        <f>IFERROR(TOWER_DATA[[#This Row],[Top '[m']]]-TOWER_DATA[[#This Row],[Bottom '[m']]], "")</f>
        <v/>
      </c>
      <c r="CI589" s="217" t="str">
        <f>IFERROR(-(TOWER_DATA[[#This Row],[D, bottom '[m']]]-TOWER_DATA[[#This Row],[D, top '[m']]])/(TOWER_DATA[[#This Row],[Bottom '[m']]]-TOWER_DATA[[#This Row],[Top '[m']]]),"")</f>
        <v/>
      </c>
      <c r="CJ589" s="145" t="str">
        <f t="shared" si="21"/>
        <v/>
      </c>
      <c r="CK589" s="220" t="str">
        <f>IFERROR((TOWER_DATA[[#This Row],[D, bottom '[m']]]+TOWER_DATA[[#This Row],[D, top '[m']]])/(2*TOWER_DATA[[#This Row],[t '[mm']]]/1000),"")</f>
        <v/>
      </c>
      <c r="DO589" s="209"/>
      <c r="DP589" s="209"/>
      <c r="DQ589" s="187"/>
      <c r="DT589" s="99"/>
      <c r="DU589" s="99"/>
    </row>
    <row r="590" spans="1:125" ht="18" customHeight="1">
      <c r="A590" s="271"/>
      <c r="D590" s="280"/>
      <c r="E590" s="52"/>
      <c r="K590" s="53" t="str">
        <f>IFERROR(MP_DATA[[#This Row],[Top '[m']]]-MP_DATA[[#This Row],[Bottom '[m']]], "")</f>
        <v/>
      </c>
      <c r="L590" s="208"/>
      <c r="M590" s="145" t="str">
        <f t="shared" si="22"/>
        <v/>
      </c>
      <c r="N590" s="220" t="str">
        <f>IFERROR((MP_DATA[[#This Row],[D, bottom '[m']]]+MP_DATA[[#This Row],[D, top '[m']]])/(2*MP_DATA[[#This Row],[t '[mm']]]/1000),"")</f>
        <v/>
      </c>
      <c r="Q590" s="209"/>
      <c r="R590" s="209"/>
      <c r="S590" s="187"/>
      <c r="AV590" s="233" t="str">
        <f>IFERROR(TP_DATA[[#This Row],[Top '[m']]]-TP_DATA[[#This Row],[Bottom '[m']]], "")</f>
        <v/>
      </c>
      <c r="AW590" s="208"/>
      <c r="AX590" s="209"/>
      <c r="AY590" s="240"/>
      <c r="BB590" s="99"/>
      <c r="BC590" s="99"/>
      <c r="BD590" s="187"/>
      <c r="CH590" s="53" t="str">
        <f>IFERROR(TOWER_DATA[[#This Row],[Top '[m']]]-TOWER_DATA[[#This Row],[Bottom '[m']]], "")</f>
        <v/>
      </c>
      <c r="CI590" s="217" t="str">
        <f>IFERROR(-(TOWER_DATA[[#This Row],[D, bottom '[m']]]-TOWER_DATA[[#This Row],[D, top '[m']]])/(TOWER_DATA[[#This Row],[Bottom '[m']]]-TOWER_DATA[[#This Row],[Top '[m']]]),"")</f>
        <v/>
      </c>
      <c r="CJ590" s="145" t="str">
        <f t="shared" si="21"/>
        <v/>
      </c>
      <c r="CK590" s="220" t="str">
        <f>IFERROR((TOWER_DATA[[#This Row],[D, bottom '[m']]]+TOWER_DATA[[#This Row],[D, top '[m']]])/(2*TOWER_DATA[[#This Row],[t '[mm']]]/1000),"")</f>
        <v/>
      </c>
      <c r="DO590" s="209"/>
      <c r="DP590" s="209"/>
      <c r="DQ590" s="187"/>
      <c r="DT590" s="99"/>
      <c r="DU590" s="99"/>
    </row>
    <row r="591" spans="1:125" ht="18" customHeight="1">
      <c r="A591" s="271"/>
      <c r="D591" s="280"/>
      <c r="E591" s="52"/>
      <c r="K591" s="53" t="str">
        <f>IFERROR(MP_DATA[[#This Row],[Top '[m']]]-MP_DATA[[#This Row],[Bottom '[m']]], "")</f>
        <v/>
      </c>
      <c r="L591" s="208"/>
      <c r="M591" s="145" t="str">
        <f t="shared" si="22"/>
        <v/>
      </c>
      <c r="N591" s="220" t="str">
        <f>IFERROR((MP_DATA[[#This Row],[D, bottom '[m']]]+MP_DATA[[#This Row],[D, top '[m']]])/(2*MP_DATA[[#This Row],[t '[mm']]]/1000),"")</f>
        <v/>
      </c>
      <c r="Q591" s="209"/>
      <c r="R591" s="209"/>
      <c r="S591" s="187"/>
      <c r="AV591" s="233" t="str">
        <f>IFERROR(TP_DATA[[#This Row],[Top '[m']]]-TP_DATA[[#This Row],[Bottom '[m']]], "")</f>
        <v/>
      </c>
      <c r="AW591" s="208"/>
      <c r="AX591" s="209"/>
      <c r="AY591" s="240"/>
      <c r="BB591" s="99"/>
      <c r="BC591" s="99"/>
      <c r="BD591" s="187"/>
      <c r="CH591" s="53" t="str">
        <f>IFERROR(TOWER_DATA[[#This Row],[Top '[m']]]-TOWER_DATA[[#This Row],[Bottom '[m']]], "")</f>
        <v/>
      </c>
      <c r="CI591" s="217" t="str">
        <f>IFERROR(-(TOWER_DATA[[#This Row],[D, bottom '[m']]]-TOWER_DATA[[#This Row],[D, top '[m']]])/(TOWER_DATA[[#This Row],[Bottom '[m']]]-TOWER_DATA[[#This Row],[Top '[m']]]),"")</f>
        <v/>
      </c>
      <c r="CJ591" s="145" t="str">
        <f t="shared" si="21"/>
        <v/>
      </c>
      <c r="CK591" s="220" t="str">
        <f>IFERROR((TOWER_DATA[[#This Row],[D, bottom '[m']]]+TOWER_DATA[[#This Row],[D, top '[m']]])/(2*TOWER_DATA[[#This Row],[t '[mm']]]/1000),"")</f>
        <v/>
      </c>
      <c r="DO591" s="209"/>
      <c r="DP591" s="209"/>
      <c r="DQ591" s="187"/>
      <c r="DT591" s="99"/>
      <c r="DU591" s="99"/>
    </row>
    <row r="592" spans="1:125" ht="18" customHeight="1">
      <c r="A592" s="271"/>
      <c r="D592" s="280"/>
      <c r="E592" s="52"/>
      <c r="K592" s="53" t="str">
        <f>IFERROR(MP_DATA[[#This Row],[Top '[m']]]-MP_DATA[[#This Row],[Bottom '[m']]], "")</f>
        <v/>
      </c>
      <c r="L592" s="208"/>
      <c r="M592" s="145" t="str">
        <f t="shared" si="22"/>
        <v/>
      </c>
      <c r="N592" s="220" t="str">
        <f>IFERROR((MP_DATA[[#This Row],[D, bottom '[m']]]+MP_DATA[[#This Row],[D, top '[m']]])/(2*MP_DATA[[#This Row],[t '[mm']]]/1000),"")</f>
        <v/>
      </c>
      <c r="Q592" s="209"/>
      <c r="R592" s="209"/>
      <c r="S592" s="187"/>
      <c r="AV592" s="233" t="str">
        <f>IFERROR(TP_DATA[[#This Row],[Top '[m']]]-TP_DATA[[#This Row],[Bottom '[m']]], "")</f>
        <v/>
      </c>
      <c r="AW592" s="208"/>
      <c r="AX592" s="209"/>
      <c r="AY592" s="240"/>
      <c r="BB592" s="99"/>
      <c r="BC592" s="99"/>
      <c r="BD592" s="187"/>
      <c r="CH592" s="53" t="str">
        <f>IFERROR(TOWER_DATA[[#This Row],[Top '[m']]]-TOWER_DATA[[#This Row],[Bottom '[m']]], "")</f>
        <v/>
      </c>
      <c r="CI592" s="217" t="str">
        <f>IFERROR(-(TOWER_DATA[[#This Row],[D, bottom '[m']]]-TOWER_DATA[[#This Row],[D, top '[m']]])/(TOWER_DATA[[#This Row],[Bottom '[m']]]-TOWER_DATA[[#This Row],[Top '[m']]]),"")</f>
        <v/>
      </c>
      <c r="CJ592" s="145" t="str">
        <f t="shared" si="21"/>
        <v/>
      </c>
      <c r="CK592" s="220" t="str">
        <f>IFERROR((TOWER_DATA[[#This Row],[D, bottom '[m']]]+TOWER_DATA[[#This Row],[D, top '[m']]])/(2*TOWER_DATA[[#This Row],[t '[mm']]]/1000),"")</f>
        <v/>
      </c>
      <c r="DO592" s="209"/>
      <c r="DP592" s="209"/>
      <c r="DQ592" s="187"/>
      <c r="DT592" s="99"/>
      <c r="DU592" s="99"/>
    </row>
    <row r="593" spans="1:125" ht="18" customHeight="1">
      <c r="A593" s="271"/>
      <c r="D593" s="280"/>
      <c r="E593" s="52"/>
      <c r="K593" s="53" t="str">
        <f>IFERROR(MP_DATA[[#This Row],[Top '[m']]]-MP_DATA[[#This Row],[Bottom '[m']]], "")</f>
        <v/>
      </c>
      <c r="L593" s="208"/>
      <c r="M593" s="145" t="str">
        <f t="shared" si="22"/>
        <v/>
      </c>
      <c r="N593" s="220" t="str">
        <f>IFERROR((MP_DATA[[#This Row],[D, bottom '[m']]]+MP_DATA[[#This Row],[D, top '[m']]])/(2*MP_DATA[[#This Row],[t '[mm']]]/1000),"")</f>
        <v/>
      </c>
      <c r="Q593" s="209"/>
      <c r="R593" s="209"/>
      <c r="S593" s="187"/>
      <c r="AV593" s="233" t="str">
        <f>IFERROR(TP_DATA[[#This Row],[Top '[m']]]-TP_DATA[[#This Row],[Bottom '[m']]], "")</f>
        <v/>
      </c>
      <c r="AW593" s="208"/>
      <c r="AX593" s="209"/>
      <c r="AY593" s="240"/>
      <c r="BB593" s="99"/>
      <c r="BC593" s="99"/>
      <c r="BD593" s="187"/>
      <c r="CH593" s="53" t="str">
        <f>IFERROR(TOWER_DATA[[#This Row],[Top '[m']]]-TOWER_DATA[[#This Row],[Bottom '[m']]], "")</f>
        <v/>
      </c>
      <c r="CI593" s="217" t="str">
        <f>IFERROR(-(TOWER_DATA[[#This Row],[D, bottom '[m']]]-TOWER_DATA[[#This Row],[D, top '[m']]])/(TOWER_DATA[[#This Row],[Bottom '[m']]]-TOWER_DATA[[#This Row],[Top '[m']]]),"")</f>
        <v/>
      </c>
      <c r="CJ593" s="145" t="str">
        <f t="shared" si="21"/>
        <v/>
      </c>
      <c r="CK593" s="220" t="str">
        <f>IFERROR((TOWER_DATA[[#This Row],[D, bottom '[m']]]+TOWER_DATA[[#This Row],[D, top '[m']]])/(2*TOWER_DATA[[#This Row],[t '[mm']]]/1000),"")</f>
        <v/>
      </c>
      <c r="DO593" s="209"/>
      <c r="DP593" s="209"/>
      <c r="DQ593" s="187"/>
      <c r="DT593" s="99"/>
      <c r="DU593" s="99"/>
    </row>
    <row r="594" spans="1:125" ht="18" customHeight="1">
      <c r="A594" s="271"/>
      <c r="D594" s="280"/>
      <c r="E594" s="52"/>
      <c r="K594" s="53" t="str">
        <f>IFERROR(MP_DATA[[#This Row],[Top '[m']]]-MP_DATA[[#This Row],[Bottom '[m']]], "")</f>
        <v/>
      </c>
      <c r="L594" s="208"/>
      <c r="M594" s="145" t="str">
        <f t="shared" si="22"/>
        <v/>
      </c>
      <c r="N594" s="220" t="str">
        <f>IFERROR((MP_DATA[[#This Row],[D, bottom '[m']]]+MP_DATA[[#This Row],[D, top '[m']]])/(2*MP_DATA[[#This Row],[t '[mm']]]/1000),"")</f>
        <v/>
      </c>
      <c r="Q594" s="209"/>
      <c r="R594" s="209"/>
      <c r="S594" s="187"/>
      <c r="AV594" s="233" t="str">
        <f>IFERROR(TP_DATA[[#This Row],[Top '[m']]]-TP_DATA[[#This Row],[Bottom '[m']]], "")</f>
        <v/>
      </c>
      <c r="AW594" s="208"/>
      <c r="AX594" s="209"/>
      <c r="AY594" s="240"/>
      <c r="BB594" s="99"/>
      <c r="BC594" s="99"/>
      <c r="BD594" s="187"/>
      <c r="CH594" s="53" t="str">
        <f>IFERROR(TOWER_DATA[[#This Row],[Top '[m']]]-TOWER_DATA[[#This Row],[Bottom '[m']]], "")</f>
        <v/>
      </c>
      <c r="CI594" s="217" t="str">
        <f>IFERROR(-(TOWER_DATA[[#This Row],[D, bottom '[m']]]-TOWER_DATA[[#This Row],[D, top '[m']]])/(TOWER_DATA[[#This Row],[Bottom '[m']]]-TOWER_DATA[[#This Row],[Top '[m']]]),"")</f>
        <v/>
      </c>
      <c r="CJ594" s="145" t="str">
        <f t="shared" si="21"/>
        <v/>
      </c>
      <c r="CK594" s="220" t="str">
        <f>IFERROR((TOWER_DATA[[#This Row],[D, bottom '[m']]]+TOWER_DATA[[#This Row],[D, top '[m']]])/(2*TOWER_DATA[[#This Row],[t '[mm']]]/1000),"")</f>
        <v/>
      </c>
      <c r="DO594" s="209"/>
      <c r="DP594" s="209"/>
      <c r="DQ594" s="187"/>
      <c r="DT594" s="99"/>
      <c r="DU594" s="99"/>
    </row>
    <row r="595" spans="1:125" ht="18" customHeight="1">
      <c r="A595" s="271"/>
      <c r="D595" s="280"/>
      <c r="E595" s="52"/>
      <c r="K595" s="53" t="str">
        <f>IFERROR(MP_DATA[[#This Row],[Top '[m']]]-MP_DATA[[#This Row],[Bottom '[m']]], "")</f>
        <v/>
      </c>
      <c r="L595" s="208"/>
      <c r="M595" s="145" t="str">
        <f t="shared" si="22"/>
        <v/>
      </c>
      <c r="N595" s="220" t="str">
        <f>IFERROR((MP_DATA[[#This Row],[D, bottom '[m']]]+MP_DATA[[#This Row],[D, top '[m']]])/(2*MP_DATA[[#This Row],[t '[mm']]]/1000),"")</f>
        <v/>
      </c>
      <c r="Q595" s="209"/>
      <c r="R595" s="209"/>
      <c r="S595" s="187"/>
      <c r="AV595" s="233" t="str">
        <f>IFERROR(TP_DATA[[#This Row],[Top '[m']]]-TP_DATA[[#This Row],[Bottom '[m']]], "")</f>
        <v/>
      </c>
      <c r="AW595" s="208"/>
      <c r="AX595" s="209"/>
      <c r="AY595" s="240"/>
      <c r="BB595" s="99"/>
      <c r="BC595" s="99"/>
      <c r="BD595" s="187"/>
      <c r="CH595" s="53" t="str">
        <f>IFERROR(TOWER_DATA[[#This Row],[Top '[m']]]-TOWER_DATA[[#This Row],[Bottom '[m']]], "")</f>
        <v/>
      </c>
      <c r="CI595" s="217" t="str">
        <f>IFERROR(-(TOWER_DATA[[#This Row],[D, bottom '[m']]]-TOWER_DATA[[#This Row],[D, top '[m']]])/(TOWER_DATA[[#This Row],[Bottom '[m']]]-TOWER_DATA[[#This Row],[Top '[m']]]),"")</f>
        <v/>
      </c>
      <c r="CJ595" s="145" t="str">
        <f t="shared" si="21"/>
        <v/>
      </c>
      <c r="CK595" s="220" t="str">
        <f>IFERROR((TOWER_DATA[[#This Row],[D, bottom '[m']]]+TOWER_DATA[[#This Row],[D, top '[m']]])/(2*TOWER_DATA[[#This Row],[t '[mm']]]/1000),"")</f>
        <v/>
      </c>
      <c r="DO595" s="209"/>
      <c r="DP595" s="209"/>
      <c r="DQ595" s="187"/>
      <c r="DT595" s="99"/>
      <c r="DU595" s="99"/>
    </row>
    <row r="596" spans="1:125" ht="18" customHeight="1">
      <c r="A596" s="271"/>
      <c r="D596" s="280"/>
      <c r="E596" s="52"/>
      <c r="K596" s="53" t="str">
        <f>IFERROR(MP_DATA[[#This Row],[Top '[m']]]-MP_DATA[[#This Row],[Bottom '[m']]], "")</f>
        <v/>
      </c>
      <c r="L596" s="208"/>
      <c r="M596" s="145" t="str">
        <f t="shared" si="22"/>
        <v/>
      </c>
      <c r="N596" s="220" t="str">
        <f>IFERROR((MP_DATA[[#This Row],[D, bottom '[m']]]+MP_DATA[[#This Row],[D, top '[m']]])/(2*MP_DATA[[#This Row],[t '[mm']]]/1000),"")</f>
        <v/>
      </c>
      <c r="Q596" s="209"/>
      <c r="R596" s="209"/>
      <c r="S596" s="187"/>
      <c r="AV596" s="233" t="str">
        <f>IFERROR(TP_DATA[[#This Row],[Top '[m']]]-TP_DATA[[#This Row],[Bottom '[m']]], "")</f>
        <v/>
      </c>
      <c r="AW596" s="208"/>
      <c r="AX596" s="209"/>
      <c r="AY596" s="240"/>
      <c r="BB596" s="99"/>
      <c r="BC596" s="99"/>
      <c r="BD596" s="187"/>
      <c r="CH596" s="53" t="str">
        <f>IFERROR(TOWER_DATA[[#This Row],[Top '[m']]]-TOWER_DATA[[#This Row],[Bottom '[m']]], "")</f>
        <v/>
      </c>
      <c r="CI596" s="217" t="str">
        <f>IFERROR(-(TOWER_DATA[[#This Row],[D, bottom '[m']]]-TOWER_DATA[[#This Row],[D, top '[m']]])/(TOWER_DATA[[#This Row],[Bottom '[m']]]-TOWER_DATA[[#This Row],[Top '[m']]]),"")</f>
        <v/>
      </c>
      <c r="CJ596" s="145" t="str">
        <f t="shared" si="21"/>
        <v/>
      </c>
      <c r="CK596" s="220" t="str">
        <f>IFERROR((TOWER_DATA[[#This Row],[D, bottom '[m']]]+TOWER_DATA[[#This Row],[D, top '[m']]])/(2*TOWER_DATA[[#This Row],[t '[mm']]]/1000),"")</f>
        <v/>
      </c>
      <c r="DO596" s="209"/>
      <c r="DP596" s="209"/>
      <c r="DQ596" s="187"/>
      <c r="DT596" s="99"/>
      <c r="DU596" s="99"/>
    </row>
    <row r="597" spans="1:125" ht="18" customHeight="1">
      <c r="A597" s="271"/>
      <c r="D597" s="280"/>
      <c r="E597" s="52"/>
      <c r="K597" s="53" t="str">
        <f>IFERROR(MP_DATA[[#This Row],[Top '[m']]]-MP_DATA[[#This Row],[Bottom '[m']]], "")</f>
        <v/>
      </c>
      <c r="L597" s="208"/>
      <c r="M597" s="145" t="str">
        <f t="shared" si="22"/>
        <v/>
      </c>
      <c r="N597" s="220" t="str">
        <f>IFERROR((MP_DATA[[#This Row],[D, bottom '[m']]]+MP_DATA[[#This Row],[D, top '[m']]])/(2*MP_DATA[[#This Row],[t '[mm']]]/1000),"")</f>
        <v/>
      </c>
      <c r="Q597" s="209"/>
      <c r="R597" s="209"/>
      <c r="S597" s="187"/>
      <c r="AV597" s="233" t="str">
        <f>IFERROR(TP_DATA[[#This Row],[Top '[m']]]-TP_DATA[[#This Row],[Bottom '[m']]], "")</f>
        <v/>
      </c>
      <c r="AW597" s="208"/>
      <c r="AX597" s="209"/>
      <c r="AY597" s="240"/>
      <c r="BB597" s="99"/>
      <c r="BC597" s="99"/>
      <c r="BD597" s="187"/>
      <c r="CH597" s="53" t="str">
        <f>IFERROR(TOWER_DATA[[#This Row],[Top '[m']]]-TOWER_DATA[[#This Row],[Bottom '[m']]], "")</f>
        <v/>
      </c>
      <c r="CI597" s="217" t="str">
        <f>IFERROR(-(TOWER_DATA[[#This Row],[D, bottom '[m']]]-TOWER_DATA[[#This Row],[D, top '[m']]])/(TOWER_DATA[[#This Row],[Bottom '[m']]]-TOWER_DATA[[#This Row],[Top '[m']]]),"")</f>
        <v/>
      </c>
      <c r="CJ597" s="145" t="str">
        <f t="shared" si="21"/>
        <v/>
      </c>
      <c r="CK597" s="220" t="str">
        <f>IFERROR((TOWER_DATA[[#This Row],[D, bottom '[m']]]+TOWER_DATA[[#This Row],[D, top '[m']]])/(2*TOWER_DATA[[#This Row],[t '[mm']]]/1000),"")</f>
        <v/>
      </c>
      <c r="DO597" s="209"/>
      <c r="DP597" s="209"/>
      <c r="DQ597" s="187"/>
      <c r="DT597" s="99"/>
      <c r="DU597" s="99"/>
    </row>
    <row r="598" spans="1:125" ht="18" customHeight="1">
      <c r="A598" s="271"/>
      <c r="D598" s="280"/>
      <c r="E598" s="52"/>
      <c r="K598" s="53" t="str">
        <f>IFERROR(MP_DATA[[#This Row],[Top '[m']]]-MP_DATA[[#This Row],[Bottom '[m']]], "")</f>
        <v/>
      </c>
      <c r="L598" s="208"/>
      <c r="M598" s="145" t="str">
        <f t="shared" si="22"/>
        <v/>
      </c>
      <c r="N598" s="220" t="str">
        <f>IFERROR((MP_DATA[[#This Row],[D, bottom '[m']]]+MP_DATA[[#This Row],[D, top '[m']]])/(2*MP_DATA[[#This Row],[t '[mm']]]/1000),"")</f>
        <v/>
      </c>
      <c r="Q598" s="209"/>
      <c r="R598" s="209"/>
      <c r="S598" s="187"/>
      <c r="AV598" s="233" t="str">
        <f>IFERROR(TP_DATA[[#This Row],[Top '[m']]]-TP_DATA[[#This Row],[Bottom '[m']]], "")</f>
        <v/>
      </c>
      <c r="AW598" s="208"/>
      <c r="AX598" s="209"/>
      <c r="AY598" s="240"/>
      <c r="BB598" s="99"/>
      <c r="BC598" s="99"/>
      <c r="BD598" s="187"/>
      <c r="CH598" s="53" t="str">
        <f>IFERROR(TOWER_DATA[[#This Row],[Top '[m']]]-TOWER_DATA[[#This Row],[Bottom '[m']]], "")</f>
        <v/>
      </c>
      <c r="CI598" s="217" t="str">
        <f>IFERROR(-(TOWER_DATA[[#This Row],[D, bottom '[m']]]-TOWER_DATA[[#This Row],[D, top '[m']]])/(TOWER_DATA[[#This Row],[Bottom '[m']]]-TOWER_DATA[[#This Row],[Top '[m']]]),"")</f>
        <v/>
      </c>
      <c r="CJ598" s="145" t="str">
        <f t="shared" si="21"/>
        <v/>
      </c>
      <c r="CK598" s="220" t="str">
        <f>IFERROR((TOWER_DATA[[#This Row],[D, bottom '[m']]]+TOWER_DATA[[#This Row],[D, top '[m']]])/(2*TOWER_DATA[[#This Row],[t '[mm']]]/1000),"")</f>
        <v/>
      </c>
      <c r="DO598" s="209"/>
      <c r="DP598" s="209"/>
      <c r="DQ598" s="187"/>
      <c r="DT598" s="99"/>
      <c r="DU598" s="99"/>
    </row>
    <row r="599" spans="1:125" ht="18" customHeight="1">
      <c r="A599" s="271"/>
      <c r="D599" s="280"/>
      <c r="E599" s="52"/>
      <c r="K599" s="53" t="str">
        <f>IFERROR(MP_DATA[[#This Row],[Top '[m']]]-MP_DATA[[#This Row],[Bottom '[m']]], "")</f>
        <v/>
      </c>
      <c r="L599" s="208"/>
      <c r="M599" s="145" t="str">
        <f t="shared" si="22"/>
        <v/>
      </c>
      <c r="N599" s="220" t="str">
        <f>IFERROR((MP_DATA[[#This Row],[D, bottom '[m']]]+MP_DATA[[#This Row],[D, top '[m']]])/(2*MP_DATA[[#This Row],[t '[mm']]]/1000),"")</f>
        <v/>
      </c>
      <c r="Q599" s="209"/>
      <c r="R599" s="209"/>
      <c r="S599" s="187"/>
      <c r="AV599" s="233" t="str">
        <f>IFERROR(TP_DATA[[#This Row],[Top '[m']]]-TP_DATA[[#This Row],[Bottom '[m']]], "")</f>
        <v/>
      </c>
      <c r="AW599" s="208"/>
      <c r="AX599" s="209"/>
      <c r="AY599" s="240"/>
      <c r="BB599" s="99"/>
      <c r="BC599" s="99"/>
      <c r="BD599" s="187"/>
      <c r="CH599" s="53" t="str">
        <f>IFERROR(TOWER_DATA[[#This Row],[Top '[m']]]-TOWER_DATA[[#This Row],[Bottom '[m']]], "")</f>
        <v/>
      </c>
      <c r="CI599" s="217" t="str">
        <f>IFERROR(-(TOWER_DATA[[#This Row],[D, bottom '[m']]]-TOWER_DATA[[#This Row],[D, top '[m']]])/(TOWER_DATA[[#This Row],[Bottom '[m']]]-TOWER_DATA[[#This Row],[Top '[m']]]),"")</f>
        <v/>
      </c>
      <c r="CJ599" s="145" t="str">
        <f t="shared" si="21"/>
        <v/>
      </c>
      <c r="CK599" s="220" t="str">
        <f>IFERROR((TOWER_DATA[[#This Row],[D, bottom '[m']]]+TOWER_DATA[[#This Row],[D, top '[m']]])/(2*TOWER_DATA[[#This Row],[t '[mm']]]/1000),"")</f>
        <v/>
      </c>
      <c r="DO599" s="209"/>
      <c r="DP599" s="209"/>
      <c r="DQ599" s="187"/>
      <c r="DT599" s="99"/>
      <c r="DU599" s="99"/>
    </row>
    <row r="600" spans="1:125" ht="18" customHeight="1">
      <c r="A600" s="271"/>
      <c r="D600" s="280"/>
      <c r="E600" s="52"/>
      <c r="K600" s="53" t="str">
        <f>IFERROR(MP_DATA[[#This Row],[Top '[m']]]-MP_DATA[[#This Row],[Bottom '[m']]], "")</f>
        <v/>
      </c>
      <c r="L600" s="208"/>
      <c r="M600" s="145" t="str">
        <f t="shared" si="22"/>
        <v/>
      </c>
      <c r="N600" s="220" t="str">
        <f>IFERROR((MP_DATA[[#This Row],[D, bottom '[m']]]+MP_DATA[[#This Row],[D, top '[m']]])/(2*MP_DATA[[#This Row],[t '[mm']]]/1000),"")</f>
        <v/>
      </c>
      <c r="Q600" s="209"/>
      <c r="R600" s="209"/>
      <c r="S600" s="187"/>
      <c r="AV600" s="233" t="str">
        <f>IFERROR(TP_DATA[[#This Row],[Top '[m']]]-TP_DATA[[#This Row],[Bottom '[m']]], "")</f>
        <v/>
      </c>
      <c r="AW600" s="208"/>
      <c r="AX600" s="209"/>
      <c r="AY600" s="240"/>
      <c r="BB600" s="99"/>
      <c r="BC600" s="99"/>
      <c r="BD600" s="187"/>
      <c r="CH600" s="53" t="str">
        <f>IFERROR(TOWER_DATA[[#This Row],[Top '[m']]]-TOWER_DATA[[#This Row],[Bottom '[m']]], "")</f>
        <v/>
      </c>
      <c r="CI600" s="217" t="str">
        <f>IFERROR(-(TOWER_DATA[[#This Row],[D, bottom '[m']]]-TOWER_DATA[[#This Row],[D, top '[m']]])/(TOWER_DATA[[#This Row],[Bottom '[m']]]-TOWER_DATA[[#This Row],[Top '[m']]]),"")</f>
        <v/>
      </c>
      <c r="CJ600" s="145" t="str">
        <f t="shared" si="21"/>
        <v/>
      </c>
      <c r="CK600" s="220" t="str">
        <f>IFERROR((TOWER_DATA[[#This Row],[D, bottom '[m']]]+TOWER_DATA[[#This Row],[D, top '[m']]])/(2*TOWER_DATA[[#This Row],[t '[mm']]]/1000),"")</f>
        <v/>
      </c>
      <c r="DO600" s="209"/>
      <c r="DP600" s="209"/>
      <c r="DQ600" s="187"/>
      <c r="DT600" s="99"/>
      <c r="DU600" s="99"/>
    </row>
    <row r="601" spans="1:125" ht="18" customHeight="1">
      <c r="A601" s="271"/>
      <c r="D601" s="280"/>
      <c r="E601" s="52"/>
      <c r="K601" s="53" t="str">
        <f>IFERROR(MP_DATA[[#This Row],[Top '[m']]]-MP_DATA[[#This Row],[Bottom '[m']]], "")</f>
        <v/>
      </c>
      <c r="L601" s="208"/>
      <c r="M601" s="145" t="str">
        <f t="shared" si="22"/>
        <v/>
      </c>
      <c r="N601" s="220" t="str">
        <f>IFERROR((MP_DATA[[#This Row],[D, bottom '[m']]]+MP_DATA[[#This Row],[D, top '[m']]])/(2*MP_DATA[[#This Row],[t '[mm']]]/1000),"")</f>
        <v/>
      </c>
      <c r="Q601" s="209"/>
      <c r="R601" s="209"/>
      <c r="S601" s="187"/>
      <c r="AV601" s="233" t="str">
        <f>IFERROR(TP_DATA[[#This Row],[Top '[m']]]-TP_DATA[[#This Row],[Bottom '[m']]], "")</f>
        <v/>
      </c>
      <c r="AW601" s="208"/>
      <c r="AX601" s="209"/>
      <c r="AY601" s="240"/>
      <c r="BB601" s="99"/>
      <c r="BC601" s="99"/>
      <c r="BD601" s="187"/>
      <c r="CH601" s="53" t="str">
        <f>IFERROR(TOWER_DATA[[#This Row],[Top '[m']]]-TOWER_DATA[[#This Row],[Bottom '[m']]], "")</f>
        <v/>
      </c>
      <c r="CI601" s="217" t="str">
        <f>IFERROR(-(TOWER_DATA[[#This Row],[D, bottom '[m']]]-TOWER_DATA[[#This Row],[D, top '[m']]])/(TOWER_DATA[[#This Row],[Bottom '[m']]]-TOWER_DATA[[#This Row],[Top '[m']]]),"")</f>
        <v/>
      </c>
      <c r="CJ601" s="145" t="str">
        <f t="shared" si="21"/>
        <v/>
      </c>
      <c r="CK601" s="220" t="str">
        <f>IFERROR((TOWER_DATA[[#This Row],[D, bottom '[m']]]+TOWER_DATA[[#This Row],[D, top '[m']]])/(2*TOWER_DATA[[#This Row],[t '[mm']]]/1000),"")</f>
        <v/>
      </c>
      <c r="DO601" s="209"/>
      <c r="DP601" s="209"/>
      <c r="DQ601" s="187"/>
      <c r="DT601" s="99"/>
      <c r="DU601" s="99"/>
    </row>
    <row r="602" spans="1:125" ht="18" customHeight="1">
      <c r="A602" s="271"/>
      <c r="D602" s="280"/>
      <c r="E602" s="52"/>
      <c r="K602" s="53" t="str">
        <f>IFERROR(MP_DATA[[#This Row],[Top '[m']]]-MP_DATA[[#This Row],[Bottom '[m']]], "")</f>
        <v/>
      </c>
      <c r="L602" s="208"/>
      <c r="M602" s="145" t="str">
        <f t="shared" si="22"/>
        <v/>
      </c>
      <c r="N602" s="220" t="str">
        <f>IFERROR((MP_DATA[[#This Row],[D, bottom '[m']]]+MP_DATA[[#This Row],[D, top '[m']]])/(2*MP_DATA[[#This Row],[t '[mm']]]/1000),"")</f>
        <v/>
      </c>
      <c r="Q602" s="209"/>
      <c r="R602" s="209"/>
      <c r="S602" s="187"/>
      <c r="AV602" s="233" t="str">
        <f>IFERROR(TP_DATA[[#This Row],[Top '[m']]]-TP_DATA[[#This Row],[Bottom '[m']]], "")</f>
        <v/>
      </c>
      <c r="AW602" s="208"/>
      <c r="AX602" s="209"/>
      <c r="AY602" s="240"/>
      <c r="BB602" s="99"/>
      <c r="BC602" s="99"/>
      <c r="BD602" s="187"/>
      <c r="CH602" s="53" t="str">
        <f>IFERROR(TOWER_DATA[[#This Row],[Top '[m']]]-TOWER_DATA[[#This Row],[Bottom '[m']]], "")</f>
        <v/>
      </c>
      <c r="CI602" s="217" t="str">
        <f>IFERROR(-(TOWER_DATA[[#This Row],[D, bottom '[m']]]-TOWER_DATA[[#This Row],[D, top '[m']]])/(TOWER_DATA[[#This Row],[Bottom '[m']]]-TOWER_DATA[[#This Row],[Top '[m']]]),"")</f>
        <v/>
      </c>
      <c r="CJ602" s="145" t="str">
        <f t="shared" si="21"/>
        <v/>
      </c>
      <c r="CK602" s="220" t="str">
        <f>IFERROR((TOWER_DATA[[#This Row],[D, bottom '[m']]]+TOWER_DATA[[#This Row],[D, top '[m']]])/(2*TOWER_DATA[[#This Row],[t '[mm']]]/1000),"")</f>
        <v/>
      </c>
      <c r="DO602" s="209"/>
      <c r="DP602" s="209"/>
      <c r="DQ602" s="187"/>
      <c r="DT602" s="99"/>
      <c r="DU602" s="99"/>
    </row>
    <row r="603" spans="1:125" ht="18" customHeight="1">
      <c r="A603" s="271"/>
      <c r="D603" s="280"/>
      <c r="E603" s="52"/>
      <c r="K603" s="53" t="str">
        <f>IFERROR(MP_DATA[[#This Row],[Top '[m']]]-MP_DATA[[#This Row],[Bottom '[m']]], "")</f>
        <v/>
      </c>
      <c r="L603" s="208"/>
      <c r="M603" s="145" t="str">
        <f t="shared" si="22"/>
        <v/>
      </c>
      <c r="N603" s="220" t="str">
        <f>IFERROR((MP_DATA[[#This Row],[D, bottom '[m']]]+MP_DATA[[#This Row],[D, top '[m']]])/(2*MP_DATA[[#This Row],[t '[mm']]]/1000),"")</f>
        <v/>
      </c>
      <c r="Q603" s="209"/>
      <c r="R603" s="209"/>
      <c r="S603" s="187"/>
      <c r="AV603" s="233" t="str">
        <f>IFERROR(TP_DATA[[#This Row],[Top '[m']]]-TP_DATA[[#This Row],[Bottom '[m']]], "")</f>
        <v/>
      </c>
      <c r="AW603" s="208"/>
      <c r="AX603" s="209"/>
      <c r="AY603" s="240"/>
      <c r="BB603" s="99"/>
      <c r="BC603" s="99"/>
      <c r="BD603" s="187"/>
      <c r="CH603" s="53" t="str">
        <f>IFERROR(TOWER_DATA[[#This Row],[Top '[m']]]-TOWER_DATA[[#This Row],[Bottom '[m']]], "")</f>
        <v/>
      </c>
      <c r="CI603" s="217" t="str">
        <f>IFERROR(-(TOWER_DATA[[#This Row],[D, bottom '[m']]]-TOWER_DATA[[#This Row],[D, top '[m']]])/(TOWER_DATA[[#This Row],[Bottom '[m']]]-TOWER_DATA[[#This Row],[Top '[m']]]),"")</f>
        <v/>
      </c>
      <c r="CJ603" s="145" t="str">
        <f t="shared" si="21"/>
        <v/>
      </c>
      <c r="CK603" s="220" t="str">
        <f>IFERROR((TOWER_DATA[[#This Row],[D, bottom '[m']]]+TOWER_DATA[[#This Row],[D, top '[m']]])/(2*TOWER_DATA[[#This Row],[t '[mm']]]/1000),"")</f>
        <v/>
      </c>
      <c r="DO603" s="209"/>
      <c r="DP603" s="209"/>
      <c r="DQ603" s="187"/>
      <c r="DT603" s="99"/>
      <c r="DU603" s="99"/>
    </row>
    <row r="604" spans="1:125" ht="18" customHeight="1">
      <c r="A604" s="271"/>
      <c r="D604" s="280"/>
      <c r="E604" s="52"/>
      <c r="K604" s="53" t="str">
        <f>IFERROR(MP_DATA[[#This Row],[Top '[m']]]-MP_DATA[[#This Row],[Bottom '[m']]], "")</f>
        <v/>
      </c>
      <c r="L604" s="208"/>
      <c r="M604" s="145" t="str">
        <f t="shared" si="22"/>
        <v/>
      </c>
      <c r="N604" s="220" t="str">
        <f>IFERROR((MP_DATA[[#This Row],[D, bottom '[m']]]+MP_DATA[[#This Row],[D, top '[m']]])/(2*MP_DATA[[#This Row],[t '[mm']]]/1000),"")</f>
        <v/>
      </c>
      <c r="Q604" s="209"/>
      <c r="R604" s="209"/>
      <c r="S604" s="187"/>
      <c r="AV604" s="233" t="str">
        <f>IFERROR(TP_DATA[[#This Row],[Top '[m']]]-TP_DATA[[#This Row],[Bottom '[m']]], "")</f>
        <v/>
      </c>
      <c r="AW604" s="208"/>
      <c r="AX604" s="209"/>
      <c r="AY604" s="240"/>
      <c r="BB604" s="99"/>
      <c r="BC604" s="99"/>
      <c r="BD604" s="187"/>
      <c r="CH604" s="53" t="str">
        <f>IFERROR(TOWER_DATA[[#This Row],[Top '[m']]]-TOWER_DATA[[#This Row],[Bottom '[m']]], "")</f>
        <v/>
      </c>
      <c r="CI604" s="217" t="str">
        <f>IFERROR(-(TOWER_DATA[[#This Row],[D, bottom '[m']]]-TOWER_DATA[[#This Row],[D, top '[m']]])/(TOWER_DATA[[#This Row],[Bottom '[m']]]-TOWER_DATA[[#This Row],[Top '[m']]]),"")</f>
        <v/>
      </c>
      <c r="CJ604" s="145" t="str">
        <f t="shared" si="21"/>
        <v/>
      </c>
      <c r="CK604" s="220" t="str">
        <f>IFERROR((TOWER_DATA[[#This Row],[D, bottom '[m']]]+TOWER_DATA[[#This Row],[D, top '[m']]])/(2*TOWER_DATA[[#This Row],[t '[mm']]]/1000),"")</f>
        <v/>
      </c>
      <c r="DO604" s="209"/>
      <c r="DP604" s="209"/>
      <c r="DQ604" s="187"/>
      <c r="DT604" s="99"/>
      <c r="DU604" s="99"/>
    </row>
    <row r="605" spans="1:125" ht="18" customHeight="1">
      <c r="A605" s="271"/>
      <c r="D605" s="280"/>
      <c r="E605" s="52"/>
      <c r="K605" s="53" t="str">
        <f>IFERROR(MP_DATA[[#This Row],[Top '[m']]]-MP_DATA[[#This Row],[Bottom '[m']]], "")</f>
        <v/>
      </c>
      <c r="L605" s="208"/>
      <c r="M605" s="145" t="str">
        <f t="shared" si="22"/>
        <v/>
      </c>
      <c r="N605" s="220" t="str">
        <f>IFERROR((MP_DATA[[#This Row],[D, bottom '[m']]]+MP_DATA[[#This Row],[D, top '[m']]])/(2*MP_DATA[[#This Row],[t '[mm']]]/1000),"")</f>
        <v/>
      </c>
      <c r="Q605" s="209"/>
      <c r="R605" s="209"/>
      <c r="S605" s="187"/>
      <c r="AV605" s="233" t="str">
        <f>IFERROR(TP_DATA[[#This Row],[Top '[m']]]-TP_DATA[[#This Row],[Bottom '[m']]], "")</f>
        <v/>
      </c>
      <c r="AW605" s="208"/>
      <c r="AX605" s="209"/>
      <c r="AY605" s="240"/>
      <c r="BB605" s="99"/>
      <c r="BC605" s="99"/>
      <c r="BD605" s="187"/>
      <c r="CH605" s="53" t="str">
        <f>IFERROR(TOWER_DATA[[#This Row],[Top '[m']]]-TOWER_DATA[[#This Row],[Bottom '[m']]], "")</f>
        <v/>
      </c>
      <c r="CI605" s="217" t="str">
        <f>IFERROR(-(TOWER_DATA[[#This Row],[D, bottom '[m']]]-TOWER_DATA[[#This Row],[D, top '[m']]])/(TOWER_DATA[[#This Row],[Bottom '[m']]]-TOWER_DATA[[#This Row],[Top '[m']]]),"")</f>
        <v/>
      </c>
      <c r="CJ605" s="145" t="str">
        <f t="shared" si="21"/>
        <v/>
      </c>
      <c r="CK605" s="220" t="str">
        <f>IFERROR((TOWER_DATA[[#This Row],[D, bottom '[m']]]+TOWER_DATA[[#This Row],[D, top '[m']]])/(2*TOWER_DATA[[#This Row],[t '[mm']]]/1000),"")</f>
        <v/>
      </c>
      <c r="DO605" s="209"/>
      <c r="DP605" s="209"/>
      <c r="DQ605" s="187"/>
      <c r="DT605" s="99"/>
      <c r="DU605" s="99"/>
    </row>
    <row r="606" spans="1:125" ht="18" customHeight="1">
      <c r="A606" s="271"/>
      <c r="D606" s="280"/>
      <c r="E606" s="52"/>
      <c r="K606" s="53" t="str">
        <f>IFERROR(MP_DATA[[#This Row],[Top '[m']]]-MP_DATA[[#This Row],[Bottom '[m']]], "")</f>
        <v/>
      </c>
      <c r="L606" s="208"/>
      <c r="M606" s="145" t="str">
        <f t="shared" si="22"/>
        <v/>
      </c>
      <c r="N606" s="220" t="str">
        <f>IFERROR((MP_DATA[[#This Row],[D, bottom '[m']]]+MP_DATA[[#This Row],[D, top '[m']]])/(2*MP_DATA[[#This Row],[t '[mm']]]/1000),"")</f>
        <v/>
      </c>
      <c r="Q606" s="209"/>
      <c r="R606" s="209"/>
      <c r="S606" s="187"/>
      <c r="AV606" s="233" t="str">
        <f>IFERROR(TP_DATA[[#This Row],[Top '[m']]]-TP_DATA[[#This Row],[Bottom '[m']]], "")</f>
        <v/>
      </c>
      <c r="AW606" s="208"/>
      <c r="AX606" s="209"/>
      <c r="AY606" s="240"/>
      <c r="BB606" s="99"/>
      <c r="BC606" s="99"/>
      <c r="BD606" s="187"/>
      <c r="CH606" s="53" t="str">
        <f>IFERROR(TOWER_DATA[[#This Row],[Top '[m']]]-TOWER_DATA[[#This Row],[Bottom '[m']]], "")</f>
        <v/>
      </c>
      <c r="CI606" s="217" t="str">
        <f>IFERROR(-(TOWER_DATA[[#This Row],[D, bottom '[m']]]-TOWER_DATA[[#This Row],[D, top '[m']]])/(TOWER_DATA[[#This Row],[Bottom '[m']]]-TOWER_DATA[[#This Row],[Top '[m']]]),"")</f>
        <v/>
      </c>
      <c r="CJ606" s="145" t="str">
        <f t="shared" si="21"/>
        <v/>
      </c>
      <c r="CK606" s="220" t="str">
        <f>IFERROR((TOWER_DATA[[#This Row],[D, bottom '[m']]]+TOWER_DATA[[#This Row],[D, top '[m']]])/(2*TOWER_DATA[[#This Row],[t '[mm']]]/1000),"")</f>
        <v/>
      </c>
      <c r="DO606" s="209"/>
      <c r="DP606" s="209"/>
      <c r="DQ606" s="187"/>
      <c r="DT606" s="99"/>
      <c r="DU606" s="99"/>
    </row>
    <row r="607" spans="1:125" ht="18" customHeight="1">
      <c r="A607" s="271"/>
      <c r="D607" s="280"/>
      <c r="E607" s="52"/>
      <c r="K607" s="53" t="str">
        <f>IFERROR(MP_DATA[[#This Row],[Top '[m']]]-MP_DATA[[#This Row],[Bottom '[m']]], "")</f>
        <v/>
      </c>
      <c r="L607" s="208"/>
      <c r="M607" s="145" t="str">
        <f t="shared" si="22"/>
        <v/>
      </c>
      <c r="N607" s="220" t="str">
        <f>IFERROR((MP_DATA[[#This Row],[D, bottom '[m']]]+MP_DATA[[#This Row],[D, top '[m']]])/(2*MP_DATA[[#This Row],[t '[mm']]]/1000),"")</f>
        <v/>
      </c>
      <c r="Q607" s="209"/>
      <c r="R607" s="209"/>
      <c r="S607" s="187"/>
      <c r="AV607" s="233" t="str">
        <f>IFERROR(TP_DATA[[#This Row],[Top '[m']]]-TP_DATA[[#This Row],[Bottom '[m']]], "")</f>
        <v/>
      </c>
      <c r="AW607" s="208"/>
      <c r="AX607" s="209"/>
      <c r="AY607" s="240"/>
      <c r="BB607" s="99"/>
      <c r="BC607" s="99"/>
      <c r="BD607" s="187"/>
      <c r="CH607" s="53" t="str">
        <f>IFERROR(TOWER_DATA[[#This Row],[Top '[m']]]-TOWER_DATA[[#This Row],[Bottom '[m']]], "")</f>
        <v/>
      </c>
      <c r="CI607" s="217" t="str">
        <f>IFERROR(-(TOWER_DATA[[#This Row],[D, bottom '[m']]]-TOWER_DATA[[#This Row],[D, top '[m']]])/(TOWER_DATA[[#This Row],[Bottom '[m']]]-TOWER_DATA[[#This Row],[Top '[m']]]),"")</f>
        <v/>
      </c>
      <c r="CJ607" s="145" t="str">
        <f t="shared" si="21"/>
        <v/>
      </c>
      <c r="CK607" s="220" t="str">
        <f>IFERROR((TOWER_DATA[[#This Row],[D, bottom '[m']]]+TOWER_DATA[[#This Row],[D, top '[m']]])/(2*TOWER_DATA[[#This Row],[t '[mm']]]/1000),"")</f>
        <v/>
      </c>
      <c r="DO607" s="209"/>
      <c r="DP607" s="209"/>
      <c r="DQ607" s="187"/>
      <c r="DT607" s="99"/>
      <c r="DU607" s="99"/>
    </row>
    <row r="608" spans="1:125" ht="18" customHeight="1">
      <c r="A608" s="271"/>
      <c r="D608" s="280"/>
      <c r="E608" s="52"/>
      <c r="K608" s="53" t="str">
        <f>IFERROR(MP_DATA[[#This Row],[Top '[m']]]-MP_DATA[[#This Row],[Bottom '[m']]], "")</f>
        <v/>
      </c>
      <c r="L608" s="208"/>
      <c r="M608" s="145" t="str">
        <f t="shared" si="22"/>
        <v/>
      </c>
      <c r="N608" s="220" t="str">
        <f>IFERROR((MP_DATA[[#This Row],[D, bottom '[m']]]+MP_DATA[[#This Row],[D, top '[m']]])/(2*MP_DATA[[#This Row],[t '[mm']]]/1000),"")</f>
        <v/>
      </c>
      <c r="Q608" s="209"/>
      <c r="R608" s="209"/>
      <c r="S608" s="187"/>
      <c r="AV608" s="233" t="str">
        <f>IFERROR(TP_DATA[[#This Row],[Top '[m']]]-TP_DATA[[#This Row],[Bottom '[m']]], "")</f>
        <v/>
      </c>
      <c r="AW608" s="208"/>
      <c r="AX608" s="209"/>
      <c r="AY608" s="240"/>
      <c r="BB608" s="99"/>
      <c r="BC608" s="99"/>
      <c r="BD608" s="187"/>
      <c r="CH608" s="53" t="str">
        <f>IFERROR(TOWER_DATA[[#This Row],[Top '[m']]]-TOWER_DATA[[#This Row],[Bottom '[m']]], "")</f>
        <v/>
      </c>
      <c r="CI608" s="217" t="str">
        <f>IFERROR(-(TOWER_DATA[[#This Row],[D, bottom '[m']]]-TOWER_DATA[[#This Row],[D, top '[m']]])/(TOWER_DATA[[#This Row],[Bottom '[m']]]-TOWER_DATA[[#This Row],[Top '[m']]]),"")</f>
        <v/>
      </c>
      <c r="CJ608" s="145" t="str">
        <f t="shared" si="21"/>
        <v/>
      </c>
      <c r="CK608" s="220" t="str">
        <f>IFERROR((TOWER_DATA[[#This Row],[D, bottom '[m']]]+TOWER_DATA[[#This Row],[D, top '[m']]])/(2*TOWER_DATA[[#This Row],[t '[mm']]]/1000),"")</f>
        <v/>
      </c>
      <c r="DO608" s="209"/>
      <c r="DP608" s="209"/>
      <c r="DQ608" s="187"/>
      <c r="DT608" s="99"/>
      <c r="DU608" s="99"/>
    </row>
    <row r="609" spans="1:125" ht="18" customHeight="1">
      <c r="A609" s="271"/>
      <c r="D609" s="280"/>
      <c r="E609" s="52"/>
      <c r="K609" s="53" t="str">
        <f>IFERROR(MP_DATA[[#This Row],[Top '[m']]]-MP_DATA[[#This Row],[Bottom '[m']]], "")</f>
        <v/>
      </c>
      <c r="L609" s="208"/>
      <c r="M609" s="145" t="str">
        <f t="shared" si="22"/>
        <v/>
      </c>
      <c r="N609" s="220" t="str">
        <f>IFERROR((MP_DATA[[#This Row],[D, bottom '[m']]]+MP_DATA[[#This Row],[D, top '[m']]])/(2*MP_DATA[[#This Row],[t '[mm']]]/1000),"")</f>
        <v/>
      </c>
      <c r="Q609" s="209"/>
      <c r="R609" s="209"/>
      <c r="S609" s="187"/>
      <c r="AV609" s="233" t="str">
        <f>IFERROR(TP_DATA[[#This Row],[Top '[m']]]-TP_DATA[[#This Row],[Bottom '[m']]], "")</f>
        <v/>
      </c>
      <c r="AW609" s="208"/>
      <c r="AX609" s="209"/>
      <c r="AY609" s="240"/>
      <c r="BB609" s="99"/>
      <c r="BC609" s="99"/>
      <c r="BD609" s="187"/>
      <c r="CH609" s="53" t="str">
        <f>IFERROR(TOWER_DATA[[#This Row],[Top '[m']]]-TOWER_DATA[[#This Row],[Bottom '[m']]], "")</f>
        <v/>
      </c>
      <c r="CI609" s="217" t="str">
        <f>IFERROR(-(TOWER_DATA[[#This Row],[D, bottom '[m']]]-TOWER_DATA[[#This Row],[D, top '[m']]])/(TOWER_DATA[[#This Row],[Bottom '[m']]]-TOWER_DATA[[#This Row],[Top '[m']]]),"")</f>
        <v/>
      </c>
      <c r="CJ609" s="145" t="str">
        <f t="shared" si="21"/>
        <v/>
      </c>
      <c r="CK609" s="220" t="str">
        <f>IFERROR((TOWER_DATA[[#This Row],[D, bottom '[m']]]+TOWER_DATA[[#This Row],[D, top '[m']]])/(2*TOWER_DATA[[#This Row],[t '[mm']]]/1000),"")</f>
        <v/>
      </c>
      <c r="DO609" s="209"/>
      <c r="DP609" s="209"/>
      <c r="DQ609" s="187"/>
      <c r="DT609" s="99"/>
      <c r="DU609" s="99"/>
    </row>
    <row r="610" spans="1:125" ht="18" customHeight="1">
      <c r="A610" s="271"/>
      <c r="D610" s="280"/>
      <c r="E610" s="52"/>
      <c r="K610" s="53" t="str">
        <f>IFERROR(MP_DATA[[#This Row],[Top '[m']]]-MP_DATA[[#This Row],[Bottom '[m']]], "")</f>
        <v/>
      </c>
      <c r="L610" s="208"/>
      <c r="M610" s="145" t="str">
        <f t="shared" si="22"/>
        <v/>
      </c>
      <c r="N610" s="220" t="str">
        <f>IFERROR((MP_DATA[[#This Row],[D, bottom '[m']]]+MP_DATA[[#This Row],[D, top '[m']]])/(2*MP_DATA[[#This Row],[t '[mm']]]/1000),"")</f>
        <v/>
      </c>
      <c r="Q610" s="209"/>
      <c r="R610" s="209"/>
      <c r="S610" s="187"/>
      <c r="AV610" s="233" t="str">
        <f>IFERROR(TP_DATA[[#This Row],[Top '[m']]]-TP_DATA[[#This Row],[Bottom '[m']]], "")</f>
        <v/>
      </c>
      <c r="AW610" s="208"/>
      <c r="AX610" s="209"/>
      <c r="AY610" s="240"/>
      <c r="BB610" s="99"/>
      <c r="BC610" s="99"/>
      <c r="BD610" s="187"/>
      <c r="CH610" s="53" t="str">
        <f>IFERROR(TOWER_DATA[[#This Row],[Top '[m']]]-TOWER_DATA[[#This Row],[Bottom '[m']]], "")</f>
        <v/>
      </c>
      <c r="CI610" s="217" t="str">
        <f>IFERROR(-(TOWER_DATA[[#This Row],[D, bottom '[m']]]-TOWER_DATA[[#This Row],[D, top '[m']]])/(TOWER_DATA[[#This Row],[Bottom '[m']]]-TOWER_DATA[[#This Row],[Top '[m']]]),"")</f>
        <v/>
      </c>
      <c r="CJ610" s="145" t="str">
        <f t="shared" si="21"/>
        <v/>
      </c>
      <c r="CK610" s="220" t="str">
        <f>IFERROR((TOWER_DATA[[#This Row],[D, bottom '[m']]]+TOWER_DATA[[#This Row],[D, top '[m']]])/(2*TOWER_DATA[[#This Row],[t '[mm']]]/1000),"")</f>
        <v/>
      </c>
      <c r="DO610" s="209"/>
      <c r="DP610" s="209"/>
      <c r="DQ610" s="187"/>
      <c r="DT610" s="99"/>
      <c r="DU610" s="99"/>
    </row>
    <row r="611" spans="1:125" ht="18" customHeight="1">
      <c r="A611" s="271"/>
      <c r="D611" s="280"/>
      <c r="E611" s="52"/>
      <c r="K611" s="53" t="str">
        <f>IFERROR(MP_DATA[[#This Row],[Top '[m']]]-MP_DATA[[#This Row],[Bottom '[m']]], "")</f>
        <v/>
      </c>
      <c r="L611" s="208"/>
      <c r="M611" s="145" t="str">
        <f t="shared" si="22"/>
        <v/>
      </c>
      <c r="N611" s="220" t="str">
        <f>IFERROR((MP_DATA[[#This Row],[D, bottom '[m']]]+MP_DATA[[#This Row],[D, top '[m']]])/(2*MP_DATA[[#This Row],[t '[mm']]]/1000),"")</f>
        <v/>
      </c>
      <c r="Q611" s="209"/>
      <c r="R611" s="209"/>
      <c r="S611" s="187"/>
      <c r="AV611" s="233" t="str">
        <f>IFERROR(TP_DATA[[#This Row],[Top '[m']]]-TP_DATA[[#This Row],[Bottom '[m']]], "")</f>
        <v/>
      </c>
      <c r="AW611" s="208"/>
      <c r="AX611" s="209"/>
      <c r="AY611" s="240"/>
      <c r="BB611" s="99"/>
      <c r="BC611" s="99"/>
      <c r="BD611" s="187"/>
      <c r="CH611" s="53" t="str">
        <f>IFERROR(TOWER_DATA[[#This Row],[Top '[m']]]-TOWER_DATA[[#This Row],[Bottom '[m']]], "")</f>
        <v/>
      </c>
      <c r="CI611" s="217" t="str">
        <f>IFERROR(-(TOWER_DATA[[#This Row],[D, bottom '[m']]]-TOWER_DATA[[#This Row],[D, top '[m']]])/(TOWER_DATA[[#This Row],[Bottom '[m']]]-TOWER_DATA[[#This Row],[Top '[m']]]),"")</f>
        <v/>
      </c>
      <c r="CJ611" s="145" t="str">
        <f t="shared" si="21"/>
        <v/>
      </c>
      <c r="CK611" s="220" t="str">
        <f>IFERROR((TOWER_DATA[[#This Row],[D, bottom '[m']]]+TOWER_DATA[[#This Row],[D, top '[m']]])/(2*TOWER_DATA[[#This Row],[t '[mm']]]/1000),"")</f>
        <v/>
      </c>
      <c r="DO611" s="209"/>
      <c r="DP611" s="209"/>
      <c r="DQ611" s="187"/>
      <c r="DT611" s="99"/>
      <c r="DU611" s="99"/>
    </row>
    <row r="612" spans="1:125" ht="18" customHeight="1">
      <c r="A612" s="271"/>
      <c r="D612" s="280"/>
      <c r="E612" s="52"/>
      <c r="K612" s="53" t="str">
        <f>IFERROR(MP_DATA[[#This Row],[Top '[m']]]-MP_DATA[[#This Row],[Bottom '[m']]], "")</f>
        <v/>
      </c>
      <c r="L612" s="208"/>
      <c r="M612" s="145" t="str">
        <f t="shared" si="22"/>
        <v/>
      </c>
      <c r="N612" s="220" t="str">
        <f>IFERROR((MP_DATA[[#This Row],[D, bottom '[m']]]+MP_DATA[[#This Row],[D, top '[m']]])/(2*MP_DATA[[#This Row],[t '[mm']]]/1000),"")</f>
        <v/>
      </c>
      <c r="Q612" s="209"/>
      <c r="R612" s="209"/>
      <c r="S612" s="187"/>
      <c r="AV612" s="233" t="str">
        <f>IFERROR(TP_DATA[[#This Row],[Top '[m']]]-TP_DATA[[#This Row],[Bottom '[m']]], "")</f>
        <v/>
      </c>
      <c r="AW612" s="208"/>
      <c r="AX612" s="209"/>
      <c r="AY612" s="240"/>
      <c r="BB612" s="99"/>
      <c r="BC612" s="99"/>
      <c r="BD612" s="187"/>
      <c r="CH612" s="53" t="str">
        <f>IFERROR(TOWER_DATA[[#This Row],[Top '[m']]]-TOWER_DATA[[#This Row],[Bottom '[m']]], "")</f>
        <v/>
      </c>
      <c r="CI612" s="217" t="str">
        <f>IFERROR(-(TOWER_DATA[[#This Row],[D, bottom '[m']]]-TOWER_DATA[[#This Row],[D, top '[m']]])/(TOWER_DATA[[#This Row],[Bottom '[m']]]-TOWER_DATA[[#This Row],[Top '[m']]]),"")</f>
        <v/>
      </c>
      <c r="CJ612" s="145" t="str">
        <f t="shared" si="21"/>
        <v/>
      </c>
      <c r="CK612" s="220" t="str">
        <f>IFERROR((TOWER_DATA[[#This Row],[D, bottom '[m']]]+TOWER_DATA[[#This Row],[D, top '[m']]])/(2*TOWER_DATA[[#This Row],[t '[mm']]]/1000),"")</f>
        <v/>
      </c>
      <c r="DO612" s="209"/>
      <c r="DP612" s="209"/>
      <c r="DQ612" s="187"/>
      <c r="DT612" s="99"/>
      <c r="DU612" s="99"/>
    </row>
    <row r="613" spans="1:125" ht="18" customHeight="1">
      <c r="A613" s="271"/>
      <c r="D613" s="280"/>
      <c r="E613" s="52"/>
      <c r="K613" s="53" t="str">
        <f>IFERROR(MP_DATA[[#This Row],[Top '[m']]]-MP_DATA[[#This Row],[Bottom '[m']]], "")</f>
        <v/>
      </c>
      <c r="L613" s="208"/>
      <c r="M613" s="145" t="str">
        <f t="shared" si="22"/>
        <v/>
      </c>
      <c r="N613" s="220" t="str">
        <f>IFERROR((MP_DATA[[#This Row],[D, bottom '[m']]]+MP_DATA[[#This Row],[D, top '[m']]])/(2*MP_DATA[[#This Row],[t '[mm']]]/1000),"")</f>
        <v/>
      </c>
      <c r="Q613" s="209"/>
      <c r="R613" s="209"/>
      <c r="S613" s="187"/>
      <c r="AV613" s="233" t="str">
        <f>IFERROR(TP_DATA[[#This Row],[Top '[m']]]-TP_DATA[[#This Row],[Bottom '[m']]], "")</f>
        <v/>
      </c>
      <c r="AW613" s="208"/>
      <c r="AX613" s="209"/>
      <c r="AY613" s="240"/>
      <c r="BB613" s="99"/>
      <c r="BC613" s="99"/>
      <c r="BD613" s="187"/>
      <c r="CH613" s="53" t="str">
        <f>IFERROR(TOWER_DATA[[#This Row],[Top '[m']]]-TOWER_DATA[[#This Row],[Bottom '[m']]], "")</f>
        <v/>
      </c>
      <c r="CI613" s="217" t="str">
        <f>IFERROR(-(TOWER_DATA[[#This Row],[D, bottom '[m']]]-TOWER_DATA[[#This Row],[D, top '[m']]])/(TOWER_DATA[[#This Row],[Bottom '[m']]]-TOWER_DATA[[#This Row],[Top '[m']]]),"")</f>
        <v/>
      </c>
      <c r="CJ613" s="145" t="str">
        <f t="shared" si="21"/>
        <v/>
      </c>
      <c r="CK613" s="220" t="str">
        <f>IFERROR((TOWER_DATA[[#This Row],[D, bottom '[m']]]+TOWER_DATA[[#This Row],[D, top '[m']]])/(2*TOWER_DATA[[#This Row],[t '[mm']]]/1000),"")</f>
        <v/>
      </c>
      <c r="DO613" s="209"/>
      <c r="DP613" s="209"/>
      <c r="DQ613" s="187"/>
      <c r="DT613" s="99"/>
      <c r="DU613" s="99"/>
    </row>
    <row r="614" spans="1:125" ht="18" customHeight="1">
      <c r="A614" s="271"/>
      <c r="D614" s="280"/>
      <c r="E614" s="52"/>
      <c r="K614" s="53" t="str">
        <f>IFERROR(MP_DATA[[#This Row],[Top '[m']]]-MP_DATA[[#This Row],[Bottom '[m']]], "")</f>
        <v/>
      </c>
      <c r="L614" s="208"/>
      <c r="M614" s="145" t="str">
        <f t="shared" si="22"/>
        <v/>
      </c>
      <c r="N614" s="220" t="str">
        <f>IFERROR((MP_DATA[[#This Row],[D, bottom '[m']]]+MP_DATA[[#This Row],[D, top '[m']]])/(2*MP_DATA[[#This Row],[t '[mm']]]/1000),"")</f>
        <v/>
      </c>
      <c r="Q614" s="209"/>
      <c r="R614" s="209"/>
      <c r="S614" s="187"/>
      <c r="AV614" s="233" t="str">
        <f>IFERROR(TP_DATA[[#This Row],[Top '[m']]]-TP_DATA[[#This Row],[Bottom '[m']]], "")</f>
        <v/>
      </c>
      <c r="AW614" s="208"/>
      <c r="AX614" s="209"/>
      <c r="AY614" s="240"/>
      <c r="BB614" s="99"/>
      <c r="BC614" s="99"/>
      <c r="BD614" s="187"/>
      <c r="CH614" s="53" t="str">
        <f>IFERROR(TOWER_DATA[[#This Row],[Top '[m']]]-TOWER_DATA[[#This Row],[Bottom '[m']]], "")</f>
        <v/>
      </c>
      <c r="CI614" s="217" t="str">
        <f>IFERROR(-(TOWER_DATA[[#This Row],[D, bottom '[m']]]-TOWER_DATA[[#This Row],[D, top '[m']]])/(TOWER_DATA[[#This Row],[Bottom '[m']]]-TOWER_DATA[[#This Row],[Top '[m']]]),"")</f>
        <v/>
      </c>
      <c r="CJ614" s="145" t="str">
        <f t="shared" si="21"/>
        <v/>
      </c>
      <c r="CK614" s="220" t="str">
        <f>IFERROR((TOWER_DATA[[#This Row],[D, bottom '[m']]]+TOWER_DATA[[#This Row],[D, top '[m']]])/(2*TOWER_DATA[[#This Row],[t '[mm']]]/1000),"")</f>
        <v/>
      </c>
      <c r="DO614" s="209"/>
      <c r="DP614" s="209"/>
      <c r="DQ614" s="187"/>
      <c r="DT614" s="99"/>
      <c r="DU614" s="99"/>
    </row>
    <row r="615" spans="1:125" ht="18" customHeight="1">
      <c r="A615" s="271"/>
      <c r="D615" s="280"/>
      <c r="E615" s="52"/>
      <c r="K615" s="53" t="str">
        <f>IFERROR(MP_DATA[[#This Row],[Top '[m']]]-MP_DATA[[#This Row],[Bottom '[m']]], "")</f>
        <v/>
      </c>
      <c r="L615" s="208"/>
      <c r="M615" s="145" t="str">
        <f t="shared" si="22"/>
        <v/>
      </c>
      <c r="N615" s="220" t="str">
        <f>IFERROR((MP_DATA[[#This Row],[D, bottom '[m']]]+MP_DATA[[#This Row],[D, top '[m']]])/(2*MP_DATA[[#This Row],[t '[mm']]]/1000),"")</f>
        <v/>
      </c>
      <c r="Q615" s="209"/>
      <c r="R615" s="209"/>
      <c r="S615" s="187"/>
      <c r="AV615" s="233" t="str">
        <f>IFERROR(TP_DATA[[#This Row],[Top '[m']]]-TP_DATA[[#This Row],[Bottom '[m']]], "")</f>
        <v/>
      </c>
      <c r="AW615" s="208"/>
      <c r="AX615" s="209"/>
      <c r="AY615" s="240"/>
      <c r="BB615" s="99"/>
      <c r="BC615" s="99"/>
      <c r="BD615" s="187"/>
      <c r="CH615" s="53" t="str">
        <f>IFERROR(TOWER_DATA[[#This Row],[Top '[m']]]-TOWER_DATA[[#This Row],[Bottom '[m']]], "")</f>
        <v/>
      </c>
      <c r="CI615" s="217" t="str">
        <f>IFERROR(-(TOWER_DATA[[#This Row],[D, bottom '[m']]]-TOWER_DATA[[#This Row],[D, top '[m']]])/(TOWER_DATA[[#This Row],[Bottom '[m']]]-TOWER_DATA[[#This Row],[Top '[m']]]),"")</f>
        <v/>
      </c>
      <c r="CJ615" s="145" t="str">
        <f t="shared" si="21"/>
        <v/>
      </c>
      <c r="CK615" s="220" t="str">
        <f>IFERROR((TOWER_DATA[[#This Row],[D, bottom '[m']]]+TOWER_DATA[[#This Row],[D, top '[m']]])/(2*TOWER_DATA[[#This Row],[t '[mm']]]/1000),"")</f>
        <v/>
      </c>
      <c r="DO615" s="209"/>
      <c r="DP615" s="209"/>
      <c r="DQ615" s="187"/>
      <c r="DT615" s="99"/>
      <c r="DU615" s="99"/>
    </row>
    <row r="616" spans="1:125" ht="18" customHeight="1">
      <c r="A616" s="271"/>
      <c r="D616" s="280"/>
      <c r="E616" s="52"/>
      <c r="K616" s="53" t="str">
        <f>IFERROR(MP_DATA[[#This Row],[Top '[m']]]-MP_DATA[[#This Row],[Bottom '[m']]], "")</f>
        <v/>
      </c>
      <c r="L616" s="208"/>
      <c r="M616" s="209"/>
      <c r="N616" s="210"/>
      <c r="Q616" s="209"/>
      <c r="R616" s="209"/>
      <c r="S616" s="187"/>
      <c r="AV616" s="233" t="str">
        <f>IFERROR(TP_DATA[[#This Row],[Top '[m']]]-TP_DATA[[#This Row],[Bottom '[m']]], "")</f>
        <v/>
      </c>
      <c r="AW616" s="208"/>
      <c r="AX616" s="209"/>
      <c r="AY616" s="240"/>
      <c r="BB616" s="99"/>
      <c r="BC616" s="99"/>
      <c r="BD616" s="187"/>
      <c r="CH616" s="53" t="str">
        <f>IFERROR(TOWER_DATA[[#This Row],[Top '[m']]]-TOWER_DATA[[#This Row],[Bottom '[m']]], "")</f>
        <v/>
      </c>
      <c r="CI616" s="217" t="str">
        <f>IFERROR(-(TOWER_DATA[[#This Row],[D, bottom '[m']]]-TOWER_DATA[[#This Row],[D, top '[m']]])/(TOWER_DATA[[#This Row],[Bottom '[m']]]-TOWER_DATA[[#This Row],[Top '[m']]]),"")</f>
        <v/>
      </c>
      <c r="CJ616" s="145" t="str">
        <f t="shared" si="21"/>
        <v/>
      </c>
      <c r="CK616" s="220" t="str">
        <f>IFERROR((TOWER_DATA[[#This Row],[D, bottom '[m']]]+TOWER_DATA[[#This Row],[D, top '[m']]])/(2*TOWER_DATA[[#This Row],[t '[mm']]]/1000),"")</f>
        <v/>
      </c>
      <c r="DO616" s="209"/>
      <c r="DP616" s="209"/>
      <c r="DQ616" s="187"/>
      <c r="DT616" s="99"/>
      <c r="DU616" s="99"/>
    </row>
    <row r="617" spans="1:125" ht="18" customHeight="1">
      <c r="A617" s="271"/>
      <c r="D617" s="280"/>
      <c r="E617" s="52"/>
      <c r="K617" s="53" t="str">
        <f>IFERROR(MP_DATA[[#This Row],[Top '[m']]]-MP_DATA[[#This Row],[Bottom '[m']]], "")</f>
        <v/>
      </c>
      <c r="L617" s="208"/>
      <c r="M617" s="209"/>
      <c r="N617" s="210"/>
      <c r="Q617" s="209"/>
      <c r="R617" s="209"/>
      <c r="S617" s="187"/>
      <c r="AV617" s="233" t="str">
        <f>IFERROR(TP_DATA[[#This Row],[Top '[m']]]-TP_DATA[[#This Row],[Bottom '[m']]], "")</f>
        <v/>
      </c>
      <c r="AW617" s="208"/>
      <c r="AX617" s="209"/>
      <c r="AY617" s="240"/>
      <c r="BB617" s="99"/>
      <c r="BC617" s="99"/>
      <c r="BD617" s="187"/>
      <c r="CH617" s="53" t="str">
        <f>IFERROR(TOWER_DATA[[#This Row],[Top '[m']]]-TOWER_DATA[[#This Row],[Bottom '[m']]], "")</f>
        <v/>
      </c>
      <c r="CI617" s="217" t="str">
        <f>IFERROR(-(TOWER_DATA[[#This Row],[D, bottom '[m']]]-TOWER_DATA[[#This Row],[D, top '[m']]])/(TOWER_DATA[[#This Row],[Bottom '[m']]]-TOWER_DATA[[#This Row],[Top '[m']]]),"")</f>
        <v/>
      </c>
      <c r="CJ617" s="145" t="str">
        <f t="shared" si="21"/>
        <v/>
      </c>
      <c r="CK617" s="220" t="str">
        <f>IFERROR((TOWER_DATA[[#This Row],[D, bottom '[m']]]+TOWER_DATA[[#This Row],[D, top '[m']]])/(2*TOWER_DATA[[#This Row],[t '[mm']]]/1000),"")</f>
        <v/>
      </c>
      <c r="DO617" s="209"/>
      <c r="DP617" s="209"/>
      <c r="DQ617" s="187"/>
      <c r="DT617" s="99"/>
      <c r="DU617" s="99"/>
    </row>
    <row r="618" spans="1:125" ht="18" customHeight="1">
      <c r="A618" s="271"/>
      <c r="D618" s="280"/>
      <c r="E618" s="52"/>
      <c r="K618" s="53" t="str">
        <f>IFERROR(MP_DATA[[#This Row],[Top '[m']]]-MP_DATA[[#This Row],[Bottom '[m']]], "")</f>
        <v/>
      </c>
      <c r="L618" s="208"/>
      <c r="M618" s="209"/>
      <c r="N618" s="210"/>
      <c r="Q618" s="209"/>
      <c r="R618" s="209"/>
      <c r="S618" s="187"/>
      <c r="AV618" s="233" t="str">
        <f>IFERROR(TP_DATA[[#This Row],[Top '[m']]]-TP_DATA[[#This Row],[Bottom '[m']]], "")</f>
        <v/>
      </c>
      <c r="AW618" s="208"/>
      <c r="AX618" s="209"/>
      <c r="AY618" s="240"/>
      <c r="BB618" s="99"/>
      <c r="BC618" s="99"/>
      <c r="BD618" s="187"/>
      <c r="CH618" s="53" t="str">
        <f>IFERROR(TOWER_DATA[[#This Row],[Top '[m']]]-TOWER_DATA[[#This Row],[Bottom '[m']]], "")</f>
        <v/>
      </c>
      <c r="CI618" s="217" t="str">
        <f>IFERROR(-(TOWER_DATA[[#This Row],[D, bottom '[m']]]-TOWER_DATA[[#This Row],[D, top '[m']]])/(TOWER_DATA[[#This Row],[Bottom '[m']]]-TOWER_DATA[[#This Row],[Top '[m']]]),"")</f>
        <v/>
      </c>
      <c r="CJ618" s="145" t="str">
        <f t="shared" si="21"/>
        <v/>
      </c>
      <c r="CK618" s="220" t="str">
        <f>IFERROR((TOWER_DATA[[#This Row],[D, bottom '[m']]]+TOWER_DATA[[#This Row],[D, top '[m']]])/(2*TOWER_DATA[[#This Row],[t '[mm']]]/1000),"")</f>
        <v/>
      </c>
      <c r="DO618" s="209"/>
      <c r="DP618" s="209"/>
      <c r="DQ618" s="187"/>
      <c r="DT618" s="99"/>
      <c r="DU618" s="99"/>
    </row>
    <row r="619" spans="1:125" ht="18" customHeight="1">
      <c r="A619" s="271"/>
      <c r="D619" s="280"/>
      <c r="E619" s="52"/>
      <c r="K619" s="53" t="str">
        <f>IFERROR(MP_DATA[[#This Row],[Top '[m']]]-MP_DATA[[#This Row],[Bottom '[m']]], "")</f>
        <v/>
      </c>
      <c r="L619" s="208"/>
      <c r="M619" s="209"/>
      <c r="N619" s="210"/>
      <c r="Q619" s="209"/>
      <c r="R619" s="209"/>
      <c r="S619" s="187"/>
      <c r="AV619" s="233" t="str">
        <f>IFERROR(TP_DATA[[#This Row],[Top '[m']]]-TP_DATA[[#This Row],[Bottom '[m']]], "")</f>
        <v/>
      </c>
      <c r="AW619" s="208"/>
      <c r="AX619" s="209"/>
      <c r="AY619" s="240"/>
      <c r="BB619" s="99"/>
      <c r="BC619" s="99"/>
      <c r="BD619" s="187"/>
      <c r="CH619" s="53" t="str">
        <f>IFERROR(TOWER_DATA[[#This Row],[Top '[m']]]-TOWER_DATA[[#This Row],[Bottom '[m']]], "")</f>
        <v/>
      </c>
      <c r="CI619" s="217" t="str">
        <f>IFERROR(-(TOWER_DATA[[#This Row],[D, bottom '[m']]]-TOWER_DATA[[#This Row],[D, top '[m']]])/(TOWER_DATA[[#This Row],[Bottom '[m']]]-TOWER_DATA[[#This Row],[Top '[m']]]),"")</f>
        <v/>
      </c>
      <c r="CJ619" s="145" t="str">
        <f t="shared" si="21"/>
        <v/>
      </c>
      <c r="CK619" s="220" t="str">
        <f>IFERROR((TOWER_DATA[[#This Row],[D, bottom '[m']]]+TOWER_DATA[[#This Row],[D, top '[m']]])/(2*TOWER_DATA[[#This Row],[t '[mm']]]/1000),"")</f>
        <v/>
      </c>
      <c r="DO619" s="209"/>
      <c r="DP619" s="209"/>
      <c r="DQ619" s="187"/>
      <c r="DT619" s="99"/>
      <c r="DU619" s="99"/>
    </row>
    <row r="620" spans="1:125" ht="18" customHeight="1">
      <c r="A620" s="271"/>
      <c r="D620" s="280"/>
      <c r="E620" s="52"/>
      <c r="K620" s="53" t="str">
        <f>IFERROR(MP_DATA[[#This Row],[Top '[m']]]-MP_DATA[[#This Row],[Bottom '[m']]], "")</f>
        <v/>
      </c>
      <c r="L620" s="208"/>
      <c r="M620" s="209"/>
      <c r="N620" s="210"/>
      <c r="Q620" s="209"/>
      <c r="R620" s="209"/>
      <c r="S620" s="187"/>
      <c r="AV620" s="233" t="str">
        <f>IFERROR(TP_DATA[[#This Row],[Top '[m']]]-TP_DATA[[#This Row],[Bottom '[m']]], "")</f>
        <v/>
      </c>
      <c r="AW620" s="208"/>
      <c r="AX620" s="209"/>
      <c r="AY620" s="240"/>
      <c r="BB620" s="99"/>
      <c r="BC620" s="99"/>
      <c r="BD620" s="187"/>
      <c r="CH620" s="53" t="str">
        <f>IFERROR(TOWER_DATA[[#This Row],[Top '[m']]]-TOWER_DATA[[#This Row],[Bottom '[m']]], "")</f>
        <v/>
      </c>
      <c r="CI620" s="217" t="str">
        <f>IFERROR(-(TOWER_DATA[[#This Row],[D, bottom '[m']]]-TOWER_DATA[[#This Row],[D, top '[m']]])/(TOWER_DATA[[#This Row],[Bottom '[m']]]-TOWER_DATA[[#This Row],[Top '[m']]]),"")</f>
        <v/>
      </c>
      <c r="CJ620" s="145" t="str">
        <f t="shared" si="21"/>
        <v/>
      </c>
      <c r="CK620" s="220" t="str">
        <f>IFERROR((TOWER_DATA[[#This Row],[D, bottom '[m']]]+TOWER_DATA[[#This Row],[D, top '[m']]])/(2*TOWER_DATA[[#This Row],[t '[mm']]]/1000),"")</f>
        <v/>
      </c>
      <c r="DO620" s="209"/>
      <c r="DP620" s="209"/>
      <c r="DQ620" s="187"/>
      <c r="DT620" s="99"/>
      <c r="DU620" s="99"/>
    </row>
    <row r="621" spans="1:125" ht="18" customHeight="1">
      <c r="A621" s="271"/>
      <c r="D621" s="280"/>
      <c r="E621" s="52"/>
      <c r="K621" s="53" t="str">
        <f>IFERROR(MP_DATA[[#This Row],[Top '[m']]]-MP_DATA[[#This Row],[Bottom '[m']]], "")</f>
        <v/>
      </c>
      <c r="L621" s="208"/>
      <c r="M621" s="209"/>
      <c r="N621" s="210"/>
      <c r="Q621" s="209"/>
      <c r="R621" s="209"/>
      <c r="S621" s="187"/>
      <c r="AV621" s="233" t="str">
        <f>IFERROR(TP_DATA[[#This Row],[Top '[m']]]-TP_DATA[[#This Row],[Bottom '[m']]], "")</f>
        <v/>
      </c>
      <c r="AW621" s="208"/>
      <c r="AX621" s="209"/>
      <c r="AY621" s="240"/>
      <c r="BB621" s="99"/>
      <c r="BC621" s="99"/>
      <c r="BD621" s="187"/>
      <c r="CH621" s="53" t="str">
        <f>IFERROR(TOWER_DATA[[#This Row],[Top '[m']]]-TOWER_DATA[[#This Row],[Bottom '[m']]], "")</f>
        <v/>
      </c>
      <c r="CI621" s="217" t="str">
        <f>IFERROR(-(TOWER_DATA[[#This Row],[D, bottom '[m']]]-TOWER_DATA[[#This Row],[D, top '[m']]])/(TOWER_DATA[[#This Row],[Bottom '[m']]]-TOWER_DATA[[#This Row],[Top '[m']]]),"")</f>
        <v/>
      </c>
      <c r="CJ621" s="145" t="str">
        <f t="shared" si="21"/>
        <v/>
      </c>
      <c r="CK621" s="220" t="str">
        <f>IFERROR((TOWER_DATA[[#This Row],[D, bottom '[m']]]+TOWER_DATA[[#This Row],[D, top '[m']]])/(2*TOWER_DATA[[#This Row],[t '[mm']]]/1000),"")</f>
        <v/>
      </c>
      <c r="DO621" s="209"/>
      <c r="DP621" s="209"/>
      <c r="DQ621" s="187"/>
      <c r="DT621" s="99"/>
      <c r="DU621" s="99"/>
    </row>
    <row r="622" spans="1:125" ht="18" customHeight="1">
      <c r="A622" s="271"/>
      <c r="D622" s="280"/>
      <c r="E622" s="52"/>
      <c r="K622" s="53" t="str">
        <f>IFERROR(MP_DATA[[#This Row],[Top '[m']]]-MP_DATA[[#This Row],[Bottom '[m']]], "")</f>
        <v/>
      </c>
      <c r="L622" s="208"/>
      <c r="M622" s="209"/>
      <c r="N622" s="210"/>
      <c r="Q622" s="209"/>
      <c r="R622" s="209"/>
      <c r="S622" s="187"/>
      <c r="AV622" s="233" t="str">
        <f>IFERROR(TP_DATA[[#This Row],[Top '[m']]]-TP_DATA[[#This Row],[Bottom '[m']]], "")</f>
        <v/>
      </c>
      <c r="AW622" s="208"/>
      <c r="AX622" s="209"/>
      <c r="AY622" s="240"/>
      <c r="BB622" s="99"/>
      <c r="BC622" s="99"/>
      <c r="BD622" s="187"/>
      <c r="CH622" s="53" t="str">
        <f>IFERROR(TOWER_DATA[[#This Row],[Top '[m']]]-TOWER_DATA[[#This Row],[Bottom '[m']]], "")</f>
        <v/>
      </c>
      <c r="CI622" s="217" t="str">
        <f>IFERROR(-(TOWER_DATA[[#This Row],[D, bottom '[m']]]-TOWER_DATA[[#This Row],[D, top '[m']]])/(TOWER_DATA[[#This Row],[Bottom '[m']]]-TOWER_DATA[[#This Row],[Top '[m']]]),"")</f>
        <v/>
      </c>
      <c r="CJ622" s="145" t="str">
        <f t="shared" si="21"/>
        <v/>
      </c>
      <c r="CK622" s="220" t="str">
        <f>IFERROR((TOWER_DATA[[#This Row],[D, bottom '[m']]]+TOWER_DATA[[#This Row],[D, top '[m']]])/(2*TOWER_DATA[[#This Row],[t '[mm']]]/1000),"")</f>
        <v/>
      </c>
      <c r="DO622" s="209"/>
      <c r="DP622" s="209"/>
      <c r="DQ622" s="187"/>
      <c r="DT622" s="99"/>
      <c r="DU622" s="99"/>
    </row>
    <row r="623" spans="1:125" ht="18" customHeight="1">
      <c r="A623" s="271"/>
      <c r="D623" s="280"/>
      <c r="E623" s="52"/>
      <c r="K623" s="53" t="str">
        <f>IFERROR(MP_DATA[[#This Row],[Top '[m']]]-MP_DATA[[#This Row],[Bottom '[m']]], "")</f>
        <v/>
      </c>
      <c r="L623" s="208"/>
      <c r="M623" s="209"/>
      <c r="N623" s="210"/>
      <c r="Q623" s="209"/>
      <c r="R623" s="209"/>
      <c r="S623" s="187"/>
      <c r="AV623" s="233" t="str">
        <f>IFERROR(TP_DATA[[#This Row],[Top '[m']]]-TP_DATA[[#This Row],[Bottom '[m']]], "")</f>
        <v/>
      </c>
      <c r="AW623" s="208"/>
      <c r="AX623" s="209"/>
      <c r="AY623" s="240"/>
      <c r="BB623" s="99"/>
      <c r="BC623" s="99"/>
      <c r="BD623" s="187"/>
      <c r="CH623" s="53" t="str">
        <f>IFERROR(TOWER_DATA[[#This Row],[Top '[m']]]-TOWER_DATA[[#This Row],[Bottom '[m']]], "")</f>
        <v/>
      </c>
      <c r="CI623" s="217" t="str">
        <f>IFERROR(-(TOWER_DATA[[#This Row],[D, bottom '[m']]]-TOWER_DATA[[#This Row],[D, top '[m']]])/(TOWER_DATA[[#This Row],[Bottom '[m']]]-TOWER_DATA[[#This Row],[Top '[m']]]),"")</f>
        <v/>
      </c>
      <c r="CJ623" s="145" t="str">
        <f t="shared" si="21"/>
        <v/>
      </c>
      <c r="CK623" s="220" t="str">
        <f>IFERROR((TOWER_DATA[[#This Row],[D, bottom '[m']]]+TOWER_DATA[[#This Row],[D, top '[m']]])/(2*TOWER_DATA[[#This Row],[t '[mm']]]/1000),"")</f>
        <v/>
      </c>
      <c r="DO623" s="209"/>
      <c r="DP623" s="209"/>
      <c r="DQ623" s="187"/>
      <c r="DT623" s="99"/>
      <c r="DU623" s="99"/>
    </row>
    <row r="624" spans="1:125" ht="18" customHeight="1">
      <c r="A624" s="271"/>
      <c r="D624" s="280"/>
      <c r="E624" s="52"/>
      <c r="L624" s="208"/>
      <c r="M624" s="209"/>
      <c r="N624" s="210"/>
      <c r="Q624" s="209"/>
      <c r="R624" s="209"/>
      <c r="S624" s="187"/>
      <c r="AV624" s="233" t="str">
        <f>IFERROR(TP_DATA[[#This Row],[Top '[m']]]-TP_DATA[[#This Row],[Bottom '[m']]], "")</f>
        <v/>
      </c>
      <c r="AW624" s="208"/>
      <c r="AX624" s="209"/>
      <c r="AY624" s="240"/>
      <c r="BB624" s="99"/>
      <c r="BC624" s="99"/>
      <c r="BD624" s="187"/>
      <c r="CH624" s="53" t="str">
        <f>IFERROR(TOWER_DATA[[#This Row],[Top '[m']]]-TOWER_DATA[[#This Row],[Bottom '[m']]], "")</f>
        <v/>
      </c>
      <c r="CI624" s="217" t="str">
        <f>IFERROR(-(TOWER_DATA[[#This Row],[D, bottom '[m']]]-TOWER_DATA[[#This Row],[D, top '[m']]])/(TOWER_DATA[[#This Row],[Bottom '[m']]]-TOWER_DATA[[#This Row],[Top '[m']]]),"")</f>
        <v/>
      </c>
      <c r="CJ624" s="145" t="str">
        <f t="shared" si="21"/>
        <v/>
      </c>
      <c r="CK624" s="220" t="str">
        <f>IFERROR((TOWER_DATA[[#This Row],[D, bottom '[m']]]+TOWER_DATA[[#This Row],[D, top '[m']]])/(2*TOWER_DATA[[#This Row],[t '[mm']]]/1000),"")</f>
        <v/>
      </c>
      <c r="DO624" s="209"/>
      <c r="DP624" s="209"/>
      <c r="DQ624" s="187"/>
      <c r="DT624" s="99"/>
      <c r="DU624" s="99"/>
    </row>
    <row r="625" spans="1:125" ht="18" customHeight="1">
      <c r="A625" s="271"/>
      <c r="D625" s="280"/>
      <c r="E625" s="52"/>
      <c r="L625" s="208"/>
      <c r="N625" s="210"/>
      <c r="Q625" s="209"/>
      <c r="R625" s="209"/>
      <c r="S625" s="187"/>
      <c r="AV625" s="233" t="str">
        <f>IFERROR(TP_DATA[[#This Row],[Top '[m']]]-TP_DATA[[#This Row],[Bottom '[m']]], "")</f>
        <v/>
      </c>
      <c r="AW625" s="208"/>
      <c r="AX625" s="209"/>
      <c r="AY625" s="240"/>
      <c r="BB625" s="99"/>
      <c r="BC625" s="99"/>
      <c r="BD625" s="187"/>
      <c r="CH625" s="53" t="str">
        <f>IFERROR(TOWER_DATA[[#This Row],[Top '[m']]]-TOWER_DATA[[#This Row],[Bottom '[m']]], "")</f>
        <v/>
      </c>
      <c r="CI625" s="217" t="str">
        <f>IFERROR(-(TOWER_DATA[[#This Row],[D, bottom '[m']]]-TOWER_DATA[[#This Row],[D, top '[m']]])/(TOWER_DATA[[#This Row],[Bottom '[m']]]-TOWER_DATA[[#This Row],[Top '[m']]]),"")</f>
        <v/>
      </c>
      <c r="CJ625" s="145" t="str">
        <f t="shared" ref="CJ625:CJ688" si="23">IF(7850/1000*(1/3)*PI()*ABS(CC625-CD625)*((CE625/2)^2+(CE625/2)*(CF625/2)+(CF625/2)^2-(CE625/2-CG625/1000)^2-(CE625/2-CG625/1000)*(CF625/2-CG625/1000)-(CF625/2-CG625/1000)^2)=0,"",7850/1000*(1/3)*PI()*ABS(CC625-CD625)*((CE625/2)^2+(CE625/2)*(CF625/2)+(CF625/2)^2-(CE625/2-CG625/1000)^2-(CE625/2-CG625/1000)*(CF625/2-CG625/1000)-(CF625/2-CG625/1000)^2))</f>
        <v/>
      </c>
      <c r="CK625" s="220" t="str">
        <f>IFERROR((TOWER_DATA[[#This Row],[D, bottom '[m']]]+TOWER_DATA[[#This Row],[D, top '[m']]])/(2*TOWER_DATA[[#This Row],[t '[mm']]]/1000),"")</f>
        <v/>
      </c>
      <c r="DO625" s="209"/>
      <c r="DP625" s="209"/>
      <c r="DQ625" s="187"/>
      <c r="DT625" s="99"/>
      <c r="DU625" s="99"/>
    </row>
    <row r="626" spans="1:125" ht="18" customHeight="1">
      <c r="A626" s="271"/>
      <c r="D626" s="280"/>
      <c r="E626" s="52"/>
      <c r="L626" s="208"/>
      <c r="N626" s="210"/>
      <c r="Q626" s="209"/>
      <c r="R626" s="209"/>
      <c r="S626" s="187"/>
      <c r="AV626" s="233" t="str">
        <f>IFERROR(TP_DATA[[#This Row],[Top '[m']]]-TP_DATA[[#This Row],[Bottom '[m']]], "")</f>
        <v/>
      </c>
      <c r="AW626" s="208"/>
      <c r="AX626" s="209"/>
      <c r="AY626" s="240"/>
      <c r="BB626" s="99"/>
      <c r="BC626" s="99"/>
      <c r="BD626" s="187"/>
      <c r="CH626" s="53" t="str">
        <f>IFERROR(TOWER_DATA[[#This Row],[Top '[m']]]-TOWER_DATA[[#This Row],[Bottom '[m']]], "")</f>
        <v/>
      </c>
      <c r="CI626" s="217" t="str">
        <f>IFERROR(-(TOWER_DATA[[#This Row],[D, bottom '[m']]]-TOWER_DATA[[#This Row],[D, top '[m']]])/(TOWER_DATA[[#This Row],[Bottom '[m']]]-TOWER_DATA[[#This Row],[Top '[m']]]),"")</f>
        <v/>
      </c>
      <c r="CJ626" s="145" t="str">
        <f t="shared" si="23"/>
        <v/>
      </c>
      <c r="CK626" s="220" t="str">
        <f>IFERROR((TOWER_DATA[[#This Row],[D, bottom '[m']]]+TOWER_DATA[[#This Row],[D, top '[m']]])/(2*TOWER_DATA[[#This Row],[t '[mm']]]/1000),"")</f>
        <v/>
      </c>
      <c r="DO626" s="209"/>
      <c r="DP626" s="209"/>
      <c r="DQ626" s="187"/>
      <c r="DT626" s="99"/>
      <c r="DU626" s="99"/>
    </row>
    <row r="627" spans="1:125" ht="18" customHeight="1">
      <c r="A627" s="271"/>
      <c r="D627" s="280"/>
      <c r="E627" s="52"/>
      <c r="L627" s="208"/>
      <c r="N627" s="210"/>
      <c r="Q627" s="209"/>
      <c r="R627" s="209"/>
      <c r="S627" s="187"/>
      <c r="AV627" s="233" t="str">
        <f>IFERROR(TP_DATA[[#This Row],[Top '[m']]]-TP_DATA[[#This Row],[Bottom '[m']]], "")</f>
        <v/>
      </c>
      <c r="AW627" s="208"/>
      <c r="AX627" s="209"/>
      <c r="AY627" s="240"/>
      <c r="BB627" s="99"/>
      <c r="BC627" s="99"/>
      <c r="BD627" s="187"/>
      <c r="CH627" s="53" t="str">
        <f>IFERROR(TOWER_DATA[[#This Row],[Top '[m']]]-TOWER_DATA[[#This Row],[Bottom '[m']]], "")</f>
        <v/>
      </c>
      <c r="CI627" s="217" t="str">
        <f>IFERROR(-(TOWER_DATA[[#This Row],[D, bottom '[m']]]-TOWER_DATA[[#This Row],[D, top '[m']]])/(TOWER_DATA[[#This Row],[Bottom '[m']]]-TOWER_DATA[[#This Row],[Top '[m']]]),"")</f>
        <v/>
      </c>
      <c r="CJ627" s="145" t="str">
        <f t="shared" si="23"/>
        <v/>
      </c>
      <c r="CK627" s="220" t="str">
        <f>IFERROR((TOWER_DATA[[#This Row],[D, bottom '[m']]]+TOWER_DATA[[#This Row],[D, top '[m']]])/(2*TOWER_DATA[[#This Row],[t '[mm']]]/1000),"")</f>
        <v/>
      </c>
      <c r="DO627" s="209"/>
      <c r="DP627" s="209"/>
      <c r="DQ627" s="187"/>
      <c r="DT627" s="99"/>
      <c r="DU627" s="99"/>
    </row>
    <row r="628" spans="1:125" ht="18" customHeight="1">
      <c r="A628" s="271"/>
      <c r="D628" s="280"/>
      <c r="E628" s="52"/>
      <c r="L628" s="208"/>
      <c r="N628" s="210"/>
      <c r="Q628" s="209"/>
      <c r="R628" s="209"/>
      <c r="S628" s="187"/>
      <c r="AV628" s="233" t="str">
        <f>IFERROR(TP_DATA[[#This Row],[Top '[m']]]-TP_DATA[[#This Row],[Bottom '[m']]], "")</f>
        <v/>
      </c>
      <c r="AW628" s="208"/>
      <c r="AX628" s="209"/>
      <c r="AY628" s="240"/>
      <c r="BB628" s="99"/>
      <c r="BC628" s="99"/>
      <c r="BD628" s="187"/>
      <c r="CH628" s="53" t="str">
        <f>IFERROR(TOWER_DATA[[#This Row],[Top '[m']]]-TOWER_DATA[[#This Row],[Bottom '[m']]], "")</f>
        <v/>
      </c>
      <c r="CI628" s="217" t="str">
        <f>IFERROR(-(TOWER_DATA[[#This Row],[D, bottom '[m']]]-TOWER_DATA[[#This Row],[D, top '[m']]])/(TOWER_DATA[[#This Row],[Bottom '[m']]]-TOWER_DATA[[#This Row],[Top '[m']]]),"")</f>
        <v/>
      </c>
      <c r="CJ628" s="145" t="str">
        <f t="shared" si="23"/>
        <v/>
      </c>
      <c r="CK628" s="220" t="str">
        <f>IFERROR((TOWER_DATA[[#This Row],[D, bottom '[m']]]+TOWER_DATA[[#This Row],[D, top '[m']]])/(2*TOWER_DATA[[#This Row],[t '[mm']]]/1000),"")</f>
        <v/>
      </c>
      <c r="DO628" s="209"/>
      <c r="DP628" s="209"/>
      <c r="DQ628" s="187"/>
      <c r="DT628" s="99"/>
      <c r="DU628" s="99"/>
    </row>
    <row r="629" spans="1:125" ht="18" customHeight="1">
      <c r="A629" s="271"/>
      <c r="D629" s="280"/>
      <c r="E629" s="52"/>
      <c r="L629" s="208"/>
      <c r="N629" s="210"/>
      <c r="Q629" s="209"/>
      <c r="R629" s="209"/>
      <c r="S629" s="187"/>
      <c r="AV629" s="233" t="str">
        <f>IFERROR(TP_DATA[[#This Row],[Top '[m']]]-TP_DATA[[#This Row],[Bottom '[m']]], "")</f>
        <v/>
      </c>
      <c r="AW629" s="208"/>
      <c r="AX629" s="209"/>
      <c r="AY629" s="240"/>
      <c r="BB629" s="99"/>
      <c r="BC629" s="99"/>
      <c r="BD629" s="187"/>
      <c r="CH629" s="53" t="str">
        <f>IFERROR(TOWER_DATA[[#This Row],[Top '[m']]]-TOWER_DATA[[#This Row],[Bottom '[m']]], "")</f>
        <v/>
      </c>
      <c r="CI629" s="217" t="str">
        <f>IFERROR(-(TOWER_DATA[[#This Row],[D, bottom '[m']]]-TOWER_DATA[[#This Row],[D, top '[m']]])/(TOWER_DATA[[#This Row],[Bottom '[m']]]-TOWER_DATA[[#This Row],[Top '[m']]]),"")</f>
        <v/>
      </c>
      <c r="CJ629" s="145" t="str">
        <f t="shared" si="23"/>
        <v/>
      </c>
      <c r="CK629" s="220" t="str">
        <f>IFERROR((TOWER_DATA[[#This Row],[D, bottom '[m']]]+TOWER_DATA[[#This Row],[D, top '[m']]])/(2*TOWER_DATA[[#This Row],[t '[mm']]]/1000),"")</f>
        <v/>
      </c>
      <c r="DO629" s="209"/>
      <c r="DP629" s="209"/>
      <c r="DQ629" s="187"/>
      <c r="DT629" s="99"/>
      <c r="DU629" s="99"/>
    </row>
    <row r="630" spans="1:125" ht="18" customHeight="1">
      <c r="A630" s="271"/>
      <c r="D630" s="280"/>
      <c r="E630" s="52"/>
      <c r="L630" s="208"/>
      <c r="N630" s="210"/>
      <c r="Q630" s="209"/>
      <c r="R630" s="209"/>
      <c r="S630" s="187"/>
      <c r="AV630" s="233" t="str">
        <f>IFERROR(TP_DATA[[#This Row],[Top '[m']]]-TP_DATA[[#This Row],[Bottom '[m']]], "")</f>
        <v/>
      </c>
      <c r="AW630" s="208"/>
      <c r="AX630" s="209"/>
      <c r="AY630" s="240"/>
      <c r="BB630" s="99"/>
      <c r="BC630" s="99"/>
      <c r="BD630" s="187"/>
      <c r="CH630" s="53" t="str">
        <f>IFERROR(TOWER_DATA[[#This Row],[Top '[m']]]-TOWER_DATA[[#This Row],[Bottom '[m']]], "")</f>
        <v/>
      </c>
      <c r="CI630" s="217" t="str">
        <f>IFERROR(-(TOWER_DATA[[#This Row],[D, bottom '[m']]]-TOWER_DATA[[#This Row],[D, top '[m']]])/(TOWER_DATA[[#This Row],[Bottom '[m']]]-TOWER_DATA[[#This Row],[Top '[m']]]),"")</f>
        <v/>
      </c>
      <c r="CJ630" s="145" t="str">
        <f t="shared" si="23"/>
        <v/>
      </c>
      <c r="CK630" s="220" t="str">
        <f>IFERROR((TOWER_DATA[[#This Row],[D, bottom '[m']]]+TOWER_DATA[[#This Row],[D, top '[m']]])/(2*TOWER_DATA[[#This Row],[t '[mm']]]/1000),"")</f>
        <v/>
      </c>
      <c r="DO630" s="209"/>
      <c r="DP630" s="209"/>
      <c r="DQ630" s="187"/>
      <c r="DT630" s="99"/>
      <c r="DU630" s="99"/>
    </row>
    <row r="631" spans="1:125" ht="18" customHeight="1">
      <c r="A631" s="271"/>
      <c r="D631" s="280"/>
      <c r="E631" s="52"/>
      <c r="L631" s="208"/>
      <c r="N631" s="210"/>
      <c r="Q631" s="209"/>
      <c r="R631" s="209"/>
      <c r="S631" s="187"/>
      <c r="AV631" s="233" t="str">
        <f>IFERROR(TP_DATA[[#This Row],[Top '[m']]]-TP_DATA[[#This Row],[Bottom '[m']]], "")</f>
        <v/>
      </c>
      <c r="AW631" s="208"/>
      <c r="AX631" s="209"/>
      <c r="AY631" s="240"/>
      <c r="BB631" s="99"/>
      <c r="BC631" s="99"/>
      <c r="BD631" s="187"/>
      <c r="CH631" s="53" t="str">
        <f>IFERROR(TOWER_DATA[[#This Row],[Top '[m']]]-TOWER_DATA[[#This Row],[Bottom '[m']]], "")</f>
        <v/>
      </c>
      <c r="CI631" s="217" t="str">
        <f>IFERROR(-(TOWER_DATA[[#This Row],[D, bottom '[m']]]-TOWER_DATA[[#This Row],[D, top '[m']]])/(TOWER_DATA[[#This Row],[Bottom '[m']]]-TOWER_DATA[[#This Row],[Top '[m']]]),"")</f>
        <v/>
      </c>
      <c r="CJ631" s="145" t="str">
        <f t="shared" si="23"/>
        <v/>
      </c>
      <c r="CK631" s="220" t="str">
        <f>IFERROR((TOWER_DATA[[#This Row],[D, bottom '[m']]]+TOWER_DATA[[#This Row],[D, top '[m']]])/(2*TOWER_DATA[[#This Row],[t '[mm']]]/1000),"")</f>
        <v/>
      </c>
      <c r="DO631" s="209"/>
      <c r="DP631" s="209"/>
      <c r="DQ631" s="187"/>
      <c r="DT631" s="99"/>
      <c r="DU631" s="99"/>
    </row>
    <row r="632" spans="1:125" ht="18" customHeight="1">
      <c r="A632" s="271"/>
      <c r="D632" s="280"/>
      <c r="E632" s="52"/>
      <c r="L632" s="208"/>
      <c r="N632" s="210"/>
      <c r="Q632" s="209"/>
      <c r="R632" s="209"/>
      <c r="S632" s="187"/>
      <c r="AV632" s="233" t="str">
        <f>IFERROR(TP_DATA[[#This Row],[Top '[m']]]-TP_DATA[[#This Row],[Bottom '[m']]], "")</f>
        <v/>
      </c>
      <c r="AW632" s="208"/>
      <c r="AX632" s="209"/>
      <c r="AY632" s="240"/>
      <c r="BB632" s="99"/>
      <c r="BC632" s="99"/>
      <c r="BD632" s="187"/>
      <c r="CH632" s="53" t="str">
        <f>IFERROR(TOWER_DATA[[#This Row],[Top '[m']]]-TOWER_DATA[[#This Row],[Bottom '[m']]], "")</f>
        <v/>
      </c>
      <c r="CI632" s="217" t="str">
        <f>IFERROR(-(TOWER_DATA[[#This Row],[D, bottom '[m']]]-TOWER_DATA[[#This Row],[D, top '[m']]])/(TOWER_DATA[[#This Row],[Bottom '[m']]]-TOWER_DATA[[#This Row],[Top '[m']]]),"")</f>
        <v/>
      </c>
      <c r="CJ632" s="145" t="str">
        <f t="shared" si="23"/>
        <v/>
      </c>
      <c r="CK632" s="220" t="str">
        <f>IFERROR((TOWER_DATA[[#This Row],[D, bottom '[m']]]+TOWER_DATA[[#This Row],[D, top '[m']]])/(2*TOWER_DATA[[#This Row],[t '[mm']]]/1000),"")</f>
        <v/>
      </c>
      <c r="DO632" s="209"/>
      <c r="DP632" s="209"/>
      <c r="DQ632" s="187"/>
      <c r="DT632" s="99"/>
      <c r="DU632" s="99"/>
    </row>
    <row r="633" spans="1:125" ht="18" customHeight="1">
      <c r="A633" s="271"/>
      <c r="D633" s="280"/>
      <c r="E633" s="52"/>
      <c r="L633" s="208"/>
      <c r="N633" s="210"/>
      <c r="Q633" s="209"/>
      <c r="R633" s="209"/>
      <c r="S633" s="187"/>
      <c r="AV633" s="233" t="str">
        <f>IFERROR(TP_DATA[[#This Row],[Top '[m']]]-TP_DATA[[#This Row],[Bottom '[m']]], "")</f>
        <v/>
      </c>
      <c r="AW633" s="208"/>
      <c r="AX633" s="209"/>
      <c r="AY633" s="240"/>
      <c r="BB633" s="99"/>
      <c r="BC633" s="99"/>
      <c r="BD633" s="187"/>
      <c r="CH633" s="53" t="str">
        <f>IFERROR(TOWER_DATA[[#This Row],[Top '[m']]]-TOWER_DATA[[#This Row],[Bottom '[m']]], "")</f>
        <v/>
      </c>
      <c r="CI633" s="217" t="str">
        <f>IFERROR(-(TOWER_DATA[[#This Row],[D, bottom '[m']]]-TOWER_DATA[[#This Row],[D, top '[m']]])/(TOWER_DATA[[#This Row],[Bottom '[m']]]-TOWER_DATA[[#This Row],[Top '[m']]]),"")</f>
        <v/>
      </c>
      <c r="CJ633" s="145" t="str">
        <f t="shared" si="23"/>
        <v/>
      </c>
      <c r="CK633" s="220" t="str">
        <f>IFERROR((TOWER_DATA[[#This Row],[D, bottom '[m']]]+TOWER_DATA[[#This Row],[D, top '[m']]])/(2*TOWER_DATA[[#This Row],[t '[mm']]]/1000),"")</f>
        <v/>
      </c>
      <c r="DO633" s="209"/>
      <c r="DP633" s="209"/>
      <c r="DQ633" s="187"/>
      <c r="DT633" s="99"/>
      <c r="DU633" s="99"/>
    </row>
    <row r="634" spans="1:125" ht="18" customHeight="1">
      <c r="A634" s="271"/>
      <c r="D634" s="280"/>
      <c r="E634" s="52"/>
      <c r="L634" s="208"/>
      <c r="N634" s="210"/>
      <c r="Q634" s="209"/>
      <c r="R634" s="209"/>
      <c r="S634" s="187"/>
      <c r="AV634" s="233" t="str">
        <f>IFERROR(TP_DATA[[#This Row],[Top '[m']]]-TP_DATA[[#This Row],[Bottom '[m']]], "")</f>
        <v/>
      </c>
      <c r="AW634" s="208"/>
      <c r="AX634" s="209"/>
      <c r="AY634" s="240"/>
      <c r="BB634" s="99"/>
      <c r="BC634" s="99"/>
      <c r="BD634" s="187"/>
      <c r="CH634" s="53" t="str">
        <f>IFERROR(TOWER_DATA[[#This Row],[Top '[m']]]-TOWER_DATA[[#This Row],[Bottom '[m']]], "")</f>
        <v/>
      </c>
      <c r="CI634" s="217" t="str">
        <f>IFERROR(-(TOWER_DATA[[#This Row],[D, bottom '[m']]]-TOWER_DATA[[#This Row],[D, top '[m']]])/(TOWER_DATA[[#This Row],[Bottom '[m']]]-TOWER_DATA[[#This Row],[Top '[m']]]),"")</f>
        <v/>
      </c>
      <c r="CJ634" s="145" t="str">
        <f t="shared" si="23"/>
        <v/>
      </c>
      <c r="CK634" s="220" t="str">
        <f>IFERROR((TOWER_DATA[[#This Row],[D, bottom '[m']]]+TOWER_DATA[[#This Row],[D, top '[m']]])/(2*TOWER_DATA[[#This Row],[t '[mm']]]/1000),"")</f>
        <v/>
      </c>
      <c r="DO634" s="209"/>
      <c r="DP634" s="209"/>
      <c r="DQ634" s="187"/>
      <c r="DT634" s="99"/>
      <c r="DU634" s="99"/>
    </row>
    <row r="635" spans="1:125" ht="18" customHeight="1">
      <c r="A635" s="271"/>
      <c r="D635" s="280"/>
      <c r="E635" s="52"/>
      <c r="L635" s="208"/>
      <c r="N635" s="210"/>
      <c r="Q635" s="209"/>
      <c r="R635" s="209"/>
      <c r="S635" s="187"/>
      <c r="AV635" s="233" t="str">
        <f>IFERROR(TP_DATA[[#This Row],[Top '[m']]]-TP_DATA[[#This Row],[Bottom '[m']]], "")</f>
        <v/>
      </c>
      <c r="AW635" s="208"/>
      <c r="AX635" s="209"/>
      <c r="AY635" s="240"/>
      <c r="BB635" s="99"/>
      <c r="BC635" s="99"/>
      <c r="BD635" s="187"/>
      <c r="CH635" s="53" t="str">
        <f>IFERROR(TOWER_DATA[[#This Row],[Top '[m']]]-TOWER_DATA[[#This Row],[Bottom '[m']]], "")</f>
        <v/>
      </c>
      <c r="CI635" s="217" t="str">
        <f>IFERROR(-(TOWER_DATA[[#This Row],[D, bottom '[m']]]-TOWER_DATA[[#This Row],[D, top '[m']]])/(TOWER_DATA[[#This Row],[Bottom '[m']]]-TOWER_DATA[[#This Row],[Top '[m']]]),"")</f>
        <v/>
      </c>
      <c r="CJ635" s="145" t="str">
        <f t="shared" si="23"/>
        <v/>
      </c>
      <c r="CK635" s="220" t="str">
        <f>IFERROR((TOWER_DATA[[#This Row],[D, bottom '[m']]]+TOWER_DATA[[#This Row],[D, top '[m']]])/(2*TOWER_DATA[[#This Row],[t '[mm']]]/1000),"")</f>
        <v/>
      </c>
      <c r="DO635" s="209"/>
      <c r="DP635" s="209"/>
      <c r="DQ635" s="187"/>
      <c r="DT635" s="99"/>
      <c r="DU635" s="99"/>
    </row>
    <row r="636" spans="1:125" ht="18" customHeight="1">
      <c r="A636" s="271"/>
      <c r="D636" s="280"/>
      <c r="E636" s="52"/>
      <c r="L636" s="208"/>
      <c r="N636" s="210"/>
      <c r="Q636" s="209"/>
      <c r="R636" s="209"/>
      <c r="S636" s="187"/>
      <c r="AV636" s="233" t="str">
        <f>IFERROR(TP_DATA[[#This Row],[Top '[m']]]-TP_DATA[[#This Row],[Bottom '[m']]], "")</f>
        <v/>
      </c>
      <c r="AW636" s="208"/>
      <c r="AX636" s="209"/>
      <c r="AY636" s="240"/>
      <c r="BB636" s="99"/>
      <c r="BC636" s="99"/>
      <c r="BD636" s="187"/>
      <c r="CH636" s="53" t="str">
        <f>IFERROR(TOWER_DATA[[#This Row],[Top '[m']]]-TOWER_DATA[[#This Row],[Bottom '[m']]], "")</f>
        <v/>
      </c>
      <c r="CI636" s="217" t="str">
        <f>IFERROR(-(TOWER_DATA[[#This Row],[D, bottom '[m']]]-TOWER_DATA[[#This Row],[D, top '[m']]])/(TOWER_DATA[[#This Row],[Bottom '[m']]]-TOWER_DATA[[#This Row],[Top '[m']]]),"")</f>
        <v/>
      </c>
      <c r="CJ636" s="145" t="str">
        <f t="shared" si="23"/>
        <v/>
      </c>
      <c r="CK636" s="220" t="str">
        <f>IFERROR((TOWER_DATA[[#This Row],[D, bottom '[m']]]+TOWER_DATA[[#This Row],[D, top '[m']]])/(2*TOWER_DATA[[#This Row],[t '[mm']]]/1000),"")</f>
        <v/>
      </c>
      <c r="DO636" s="209"/>
      <c r="DP636" s="209"/>
      <c r="DQ636" s="187"/>
      <c r="DT636" s="99"/>
      <c r="DU636" s="99"/>
    </row>
    <row r="637" spans="1:125" ht="18" customHeight="1">
      <c r="A637" s="271"/>
      <c r="D637" s="280"/>
      <c r="E637" s="52"/>
      <c r="L637" s="208"/>
      <c r="N637" s="210"/>
      <c r="Q637" s="209"/>
      <c r="R637" s="209"/>
      <c r="S637" s="187"/>
      <c r="AV637" s="233" t="str">
        <f>IFERROR(TP_DATA[[#This Row],[Top '[m']]]-TP_DATA[[#This Row],[Bottom '[m']]], "")</f>
        <v/>
      </c>
      <c r="AW637" s="208"/>
      <c r="AX637" s="209"/>
      <c r="AY637" s="240"/>
      <c r="BB637" s="99"/>
      <c r="BC637" s="99"/>
      <c r="BD637" s="187"/>
      <c r="CH637" s="53" t="str">
        <f>IFERROR(TOWER_DATA[[#This Row],[Top '[m']]]-TOWER_DATA[[#This Row],[Bottom '[m']]], "")</f>
        <v/>
      </c>
      <c r="CI637" s="217" t="str">
        <f>IFERROR(-(TOWER_DATA[[#This Row],[D, bottom '[m']]]-TOWER_DATA[[#This Row],[D, top '[m']]])/(TOWER_DATA[[#This Row],[Bottom '[m']]]-TOWER_DATA[[#This Row],[Top '[m']]]),"")</f>
        <v/>
      </c>
      <c r="CJ637" s="145" t="str">
        <f t="shared" si="23"/>
        <v/>
      </c>
      <c r="CK637" s="220" t="str">
        <f>IFERROR((TOWER_DATA[[#This Row],[D, bottom '[m']]]+TOWER_DATA[[#This Row],[D, top '[m']]])/(2*TOWER_DATA[[#This Row],[t '[mm']]]/1000),"")</f>
        <v/>
      </c>
      <c r="DO637" s="209"/>
      <c r="DP637" s="209"/>
      <c r="DQ637" s="187"/>
      <c r="DT637" s="99"/>
      <c r="DU637" s="99"/>
    </row>
    <row r="638" spans="1:125" ht="18" customHeight="1">
      <c r="A638" s="271"/>
      <c r="D638" s="280"/>
      <c r="E638" s="52"/>
      <c r="L638" s="208"/>
      <c r="N638" s="210"/>
      <c r="Q638" s="209"/>
      <c r="R638" s="209"/>
      <c r="S638" s="187"/>
      <c r="AV638" s="233" t="str">
        <f>IFERROR(TP_DATA[[#This Row],[Top '[m']]]-TP_DATA[[#This Row],[Bottom '[m']]], "")</f>
        <v/>
      </c>
      <c r="AW638" s="208"/>
      <c r="AX638" s="209"/>
      <c r="AY638" s="240"/>
      <c r="BB638" s="99"/>
      <c r="BC638" s="99"/>
      <c r="BD638" s="187"/>
      <c r="CH638" s="53" t="str">
        <f>IFERROR(TOWER_DATA[[#This Row],[Top '[m']]]-TOWER_DATA[[#This Row],[Bottom '[m']]], "")</f>
        <v/>
      </c>
      <c r="CI638" s="217" t="str">
        <f>IFERROR(-(TOWER_DATA[[#This Row],[D, bottom '[m']]]-TOWER_DATA[[#This Row],[D, top '[m']]])/(TOWER_DATA[[#This Row],[Bottom '[m']]]-TOWER_DATA[[#This Row],[Top '[m']]]),"")</f>
        <v/>
      </c>
      <c r="CJ638" s="145" t="str">
        <f t="shared" si="23"/>
        <v/>
      </c>
      <c r="CK638" s="220" t="str">
        <f>IFERROR((TOWER_DATA[[#This Row],[D, bottom '[m']]]+TOWER_DATA[[#This Row],[D, top '[m']]])/(2*TOWER_DATA[[#This Row],[t '[mm']]]/1000),"")</f>
        <v/>
      </c>
      <c r="DO638" s="209"/>
      <c r="DP638" s="209"/>
      <c r="DQ638" s="187"/>
      <c r="DT638" s="99"/>
      <c r="DU638" s="99"/>
    </row>
    <row r="639" spans="1:125" ht="18" customHeight="1">
      <c r="A639" s="271"/>
      <c r="D639" s="280"/>
      <c r="E639" s="52"/>
      <c r="L639" s="208"/>
      <c r="N639" s="210"/>
      <c r="Q639" s="209"/>
      <c r="R639" s="209"/>
      <c r="S639" s="187"/>
      <c r="AV639" s="233" t="str">
        <f>IFERROR(TP_DATA[[#This Row],[Top '[m']]]-TP_DATA[[#This Row],[Bottom '[m']]], "")</f>
        <v/>
      </c>
      <c r="AW639" s="208"/>
      <c r="AX639" s="209"/>
      <c r="AY639" s="240"/>
      <c r="BB639" s="99"/>
      <c r="BC639" s="99"/>
      <c r="BD639" s="187"/>
      <c r="CH639" s="53" t="str">
        <f>IFERROR(TOWER_DATA[[#This Row],[Top '[m']]]-TOWER_DATA[[#This Row],[Bottom '[m']]], "")</f>
        <v/>
      </c>
      <c r="CI639" s="217" t="str">
        <f>IFERROR(-(TOWER_DATA[[#This Row],[D, bottom '[m']]]-TOWER_DATA[[#This Row],[D, top '[m']]])/(TOWER_DATA[[#This Row],[Bottom '[m']]]-TOWER_DATA[[#This Row],[Top '[m']]]),"")</f>
        <v/>
      </c>
      <c r="CJ639" s="145" t="str">
        <f t="shared" si="23"/>
        <v/>
      </c>
      <c r="CK639" s="220" t="str">
        <f>IFERROR((TOWER_DATA[[#This Row],[D, bottom '[m']]]+TOWER_DATA[[#This Row],[D, top '[m']]])/(2*TOWER_DATA[[#This Row],[t '[mm']]]/1000),"")</f>
        <v/>
      </c>
      <c r="DO639" s="209"/>
      <c r="DP639" s="209"/>
      <c r="DQ639" s="187"/>
      <c r="DT639" s="99"/>
      <c r="DU639" s="99"/>
    </row>
    <row r="640" spans="1:125" ht="18" customHeight="1">
      <c r="A640" s="271"/>
      <c r="D640" s="280"/>
      <c r="E640" s="52"/>
      <c r="L640" s="208"/>
      <c r="N640" s="210"/>
      <c r="Q640" s="209"/>
      <c r="R640" s="209"/>
      <c r="S640" s="187"/>
      <c r="AV640" s="233" t="str">
        <f>IFERROR(TP_DATA[[#This Row],[Top '[m']]]-TP_DATA[[#This Row],[Bottom '[m']]], "")</f>
        <v/>
      </c>
      <c r="AW640" s="208"/>
      <c r="AX640" s="209"/>
      <c r="AY640" s="240"/>
      <c r="BB640" s="99"/>
      <c r="BC640" s="99"/>
      <c r="BD640" s="187"/>
      <c r="CH640" s="53" t="str">
        <f>IFERROR(TOWER_DATA[[#This Row],[Top '[m']]]-TOWER_DATA[[#This Row],[Bottom '[m']]], "")</f>
        <v/>
      </c>
      <c r="CI640" s="217" t="str">
        <f>IFERROR(-(TOWER_DATA[[#This Row],[D, bottom '[m']]]-TOWER_DATA[[#This Row],[D, top '[m']]])/(TOWER_DATA[[#This Row],[Bottom '[m']]]-TOWER_DATA[[#This Row],[Top '[m']]]),"")</f>
        <v/>
      </c>
      <c r="CJ640" s="145" t="str">
        <f t="shared" si="23"/>
        <v/>
      </c>
      <c r="CK640" s="220" t="str">
        <f>IFERROR((TOWER_DATA[[#This Row],[D, bottom '[m']]]+TOWER_DATA[[#This Row],[D, top '[m']]])/(2*TOWER_DATA[[#This Row],[t '[mm']]]/1000),"")</f>
        <v/>
      </c>
      <c r="DO640" s="209"/>
      <c r="DP640" s="209"/>
      <c r="DQ640" s="187"/>
      <c r="DT640" s="99"/>
      <c r="DU640" s="99"/>
    </row>
    <row r="641" spans="1:125" ht="18" customHeight="1">
      <c r="A641" s="271"/>
      <c r="D641" s="280"/>
      <c r="E641" s="52"/>
      <c r="L641" s="208"/>
      <c r="N641" s="210"/>
      <c r="Q641" s="209"/>
      <c r="R641" s="209"/>
      <c r="S641" s="187"/>
      <c r="AV641" s="233" t="str">
        <f>IFERROR(TP_DATA[[#This Row],[Top '[m']]]-TP_DATA[[#This Row],[Bottom '[m']]], "")</f>
        <v/>
      </c>
      <c r="AW641" s="208"/>
      <c r="AX641" s="209"/>
      <c r="AY641" s="240"/>
      <c r="BB641" s="99"/>
      <c r="BC641" s="99"/>
      <c r="BD641" s="187"/>
      <c r="CH641" s="53" t="str">
        <f>IFERROR(TOWER_DATA[[#This Row],[Top '[m']]]-TOWER_DATA[[#This Row],[Bottom '[m']]], "")</f>
        <v/>
      </c>
      <c r="CI641" s="217" t="str">
        <f>IFERROR(-(TOWER_DATA[[#This Row],[D, bottom '[m']]]-TOWER_DATA[[#This Row],[D, top '[m']]])/(TOWER_DATA[[#This Row],[Bottom '[m']]]-TOWER_DATA[[#This Row],[Top '[m']]]),"")</f>
        <v/>
      </c>
      <c r="CJ641" s="145" t="str">
        <f t="shared" si="23"/>
        <v/>
      </c>
      <c r="CK641" s="220" t="str">
        <f>IFERROR((TOWER_DATA[[#This Row],[D, bottom '[m']]]+TOWER_DATA[[#This Row],[D, top '[m']]])/(2*TOWER_DATA[[#This Row],[t '[mm']]]/1000),"")</f>
        <v/>
      </c>
      <c r="DO641" s="209"/>
      <c r="DP641" s="209"/>
      <c r="DQ641" s="187"/>
      <c r="DT641" s="99"/>
      <c r="DU641" s="99"/>
    </row>
    <row r="642" spans="1:125" ht="18" customHeight="1">
      <c r="A642" s="271"/>
      <c r="D642" s="280"/>
      <c r="E642" s="52"/>
      <c r="L642" s="208"/>
      <c r="N642" s="210"/>
      <c r="Q642" s="209"/>
      <c r="R642" s="209"/>
      <c r="S642" s="187"/>
      <c r="AV642" s="233" t="str">
        <f>IFERROR(TP_DATA[[#This Row],[Top '[m']]]-TP_DATA[[#This Row],[Bottom '[m']]], "")</f>
        <v/>
      </c>
      <c r="AW642" s="208"/>
      <c r="AX642" s="209"/>
      <c r="AY642" s="240"/>
      <c r="BB642" s="99"/>
      <c r="BC642" s="99"/>
      <c r="BD642" s="187"/>
      <c r="CH642" s="53" t="str">
        <f>IFERROR(TOWER_DATA[[#This Row],[Top '[m']]]-TOWER_DATA[[#This Row],[Bottom '[m']]], "")</f>
        <v/>
      </c>
      <c r="CI642" s="217" t="str">
        <f>IFERROR(-(TOWER_DATA[[#This Row],[D, bottom '[m']]]-TOWER_DATA[[#This Row],[D, top '[m']]])/(TOWER_DATA[[#This Row],[Bottom '[m']]]-TOWER_DATA[[#This Row],[Top '[m']]]),"")</f>
        <v/>
      </c>
      <c r="CJ642" s="145" t="str">
        <f t="shared" si="23"/>
        <v/>
      </c>
      <c r="CK642" s="220" t="str">
        <f>IFERROR((TOWER_DATA[[#This Row],[D, bottom '[m']]]+TOWER_DATA[[#This Row],[D, top '[m']]])/(2*TOWER_DATA[[#This Row],[t '[mm']]]/1000),"")</f>
        <v/>
      </c>
      <c r="DO642" s="209"/>
      <c r="DP642" s="209"/>
      <c r="DQ642" s="187"/>
      <c r="DT642" s="99"/>
      <c r="DU642" s="99"/>
    </row>
    <row r="643" spans="1:125" ht="18" customHeight="1">
      <c r="A643" s="271"/>
      <c r="D643" s="280"/>
      <c r="E643" s="52"/>
      <c r="L643" s="208"/>
      <c r="N643" s="210"/>
      <c r="Q643" s="209"/>
      <c r="R643" s="209"/>
      <c r="S643" s="187"/>
      <c r="AV643" s="233" t="str">
        <f>IFERROR(TP_DATA[[#This Row],[Top '[m']]]-TP_DATA[[#This Row],[Bottom '[m']]], "")</f>
        <v/>
      </c>
      <c r="AW643" s="208"/>
      <c r="AX643" s="209"/>
      <c r="AY643" s="240"/>
      <c r="BB643" s="99"/>
      <c r="BC643" s="99"/>
      <c r="BD643" s="187"/>
      <c r="CH643" s="53" t="str">
        <f>IFERROR(TOWER_DATA[[#This Row],[Top '[m']]]-TOWER_DATA[[#This Row],[Bottom '[m']]], "")</f>
        <v/>
      </c>
      <c r="CI643" s="217" t="str">
        <f>IFERROR(-(TOWER_DATA[[#This Row],[D, bottom '[m']]]-TOWER_DATA[[#This Row],[D, top '[m']]])/(TOWER_DATA[[#This Row],[Bottom '[m']]]-TOWER_DATA[[#This Row],[Top '[m']]]),"")</f>
        <v/>
      </c>
      <c r="CJ643" s="145" t="str">
        <f t="shared" si="23"/>
        <v/>
      </c>
      <c r="CK643" s="220" t="str">
        <f>IFERROR((TOWER_DATA[[#This Row],[D, bottom '[m']]]+TOWER_DATA[[#This Row],[D, top '[m']]])/(2*TOWER_DATA[[#This Row],[t '[mm']]]/1000),"")</f>
        <v/>
      </c>
      <c r="DO643" s="209"/>
      <c r="DP643" s="209"/>
      <c r="DQ643" s="187"/>
      <c r="DT643" s="99"/>
      <c r="DU643" s="99"/>
    </row>
    <row r="644" spans="1:125" ht="18" customHeight="1">
      <c r="A644" s="271"/>
      <c r="D644" s="280"/>
      <c r="E644" s="52"/>
      <c r="L644" s="208"/>
      <c r="N644" s="210"/>
      <c r="Q644" s="209"/>
      <c r="R644" s="209"/>
      <c r="S644" s="187"/>
      <c r="AV644" s="233" t="str">
        <f>IFERROR(TP_DATA[[#This Row],[Top '[m']]]-TP_DATA[[#This Row],[Bottom '[m']]], "")</f>
        <v/>
      </c>
      <c r="AW644" s="208"/>
      <c r="AX644" s="209"/>
      <c r="AY644" s="240"/>
      <c r="BB644" s="99"/>
      <c r="BC644" s="99"/>
      <c r="BD644" s="187"/>
      <c r="CH644" s="53" t="str">
        <f>IFERROR(TOWER_DATA[[#This Row],[Top '[m']]]-TOWER_DATA[[#This Row],[Bottom '[m']]], "")</f>
        <v/>
      </c>
      <c r="CI644" s="217" t="str">
        <f>IFERROR(-(TOWER_DATA[[#This Row],[D, bottom '[m']]]-TOWER_DATA[[#This Row],[D, top '[m']]])/(TOWER_DATA[[#This Row],[Bottom '[m']]]-TOWER_DATA[[#This Row],[Top '[m']]]),"")</f>
        <v/>
      </c>
      <c r="CJ644" s="145" t="str">
        <f t="shared" si="23"/>
        <v/>
      </c>
      <c r="CK644" s="220" t="str">
        <f>IFERROR((TOWER_DATA[[#This Row],[D, bottom '[m']]]+TOWER_DATA[[#This Row],[D, top '[m']]])/(2*TOWER_DATA[[#This Row],[t '[mm']]]/1000),"")</f>
        <v/>
      </c>
      <c r="DO644" s="209"/>
      <c r="DP644" s="209"/>
      <c r="DQ644" s="187"/>
      <c r="DT644" s="99"/>
      <c r="DU644" s="99"/>
    </row>
    <row r="645" spans="1:125" ht="18" customHeight="1">
      <c r="A645" s="271"/>
      <c r="D645" s="280"/>
      <c r="E645" s="52"/>
      <c r="L645" s="208"/>
      <c r="N645" s="210"/>
      <c r="Q645" s="209"/>
      <c r="R645" s="209"/>
      <c r="S645" s="187"/>
      <c r="AV645" s="233" t="str">
        <f>IFERROR(TP_DATA[[#This Row],[Top '[m']]]-TP_DATA[[#This Row],[Bottom '[m']]], "")</f>
        <v/>
      </c>
      <c r="AW645" s="208"/>
      <c r="AX645" s="209"/>
      <c r="AY645" s="240"/>
      <c r="BB645" s="99"/>
      <c r="BC645" s="99"/>
      <c r="BD645" s="187"/>
      <c r="CH645" s="53" t="str">
        <f>IFERROR(TOWER_DATA[[#This Row],[Top '[m']]]-TOWER_DATA[[#This Row],[Bottom '[m']]], "")</f>
        <v/>
      </c>
      <c r="CI645" s="217" t="str">
        <f>IFERROR(-(TOWER_DATA[[#This Row],[D, bottom '[m']]]-TOWER_DATA[[#This Row],[D, top '[m']]])/(TOWER_DATA[[#This Row],[Bottom '[m']]]-TOWER_DATA[[#This Row],[Top '[m']]]),"")</f>
        <v/>
      </c>
      <c r="CJ645" s="145" t="str">
        <f t="shared" si="23"/>
        <v/>
      </c>
      <c r="CK645" s="220" t="str">
        <f>IFERROR((TOWER_DATA[[#This Row],[D, bottom '[m']]]+TOWER_DATA[[#This Row],[D, top '[m']]])/(2*TOWER_DATA[[#This Row],[t '[mm']]]/1000),"")</f>
        <v/>
      </c>
      <c r="DO645" s="209"/>
      <c r="DP645" s="209"/>
      <c r="DQ645" s="187"/>
      <c r="DT645" s="99"/>
      <c r="DU645" s="99"/>
    </row>
    <row r="646" spans="1:125" ht="18" customHeight="1">
      <c r="A646" s="271"/>
      <c r="D646" s="280"/>
      <c r="E646" s="52"/>
      <c r="L646" s="208"/>
      <c r="N646" s="210"/>
      <c r="Q646" s="209"/>
      <c r="R646" s="209"/>
      <c r="S646" s="187"/>
      <c r="AV646" s="233" t="str">
        <f>IFERROR(TP_DATA[[#This Row],[Top '[m']]]-TP_DATA[[#This Row],[Bottom '[m']]], "")</f>
        <v/>
      </c>
      <c r="AW646" s="208"/>
      <c r="AX646" s="209"/>
      <c r="AY646" s="240"/>
      <c r="BB646" s="99"/>
      <c r="BC646" s="99"/>
      <c r="BD646" s="187"/>
      <c r="CH646" s="53" t="str">
        <f>IFERROR(TOWER_DATA[[#This Row],[Top '[m']]]-TOWER_DATA[[#This Row],[Bottom '[m']]], "")</f>
        <v/>
      </c>
      <c r="CI646" s="217" t="str">
        <f>IFERROR(-(TOWER_DATA[[#This Row],[D, bottom '[m']]]-TOWER_DATA[[#This Row],[D, top '[m']]])/(TOWER_DATA[[#This Row],[Bottom '[m']]]-TOWER_DATA[[#This Row],[Top '[m']]]),"")</f>
        <v/>
      </c>
      <c r="CJ646" s="145" t="str">
        <f t="shared" si="23"/>
        <v/>
      </c>
      <c r="CK646" s="220" t="str">
        <f>IFERROR((TOWER_DATA[[#This Row],[D, bottom '[m']]]+TOWER_DATA[[#This Row],[D, top '[m']]])/(2*TOWER_DATA[[#This Row],[t '[mm']]]/1000),"")</f>
        <v/>
      </c>
      <c r="DO646" s="209"/>
      <c r="DP646" s="209"/>
      <c r="DQ646" s="187"/>
      <c r="DT646" s="99"/>
      <c r="DU646" s="99"/>
    </row>
    <row r="647" spans="1:125" ht="18" customHeight="1">
      <c r="A647" s="271"/>
      <c r="D647" s="280"/>
      <c r="E647" s="52"/>
      <c r="L647" s="208"/>
      <c r="N647" s="210"/>
      <c r="Q647" s="209"/>
      <c r="R647" s="209"/>
      <c r="S647" s="187"/>
      <c r="AV647" s="233" t="str">
        <f>IFERROR(TP_DATA[[#This Row],[Top '[m']]]-TP_DATA[[#This Row],[Bottom '[m']]], "")</f>
        <v/>
      </c>
      <c r="AW647" s="208"/>
      <c r="AX647" s="209"/>
      <c r="AY647" s="240"/>
      <c r="BB647" s="99"/>
      <c r="BC647" s="99"/>
      <c r="BD647" s="187"/>
      <c r="CH647" s="53" t="str">
        <f>IFERROR(TOWER_DATA[[#This Row],[Top '[m']]]-TOWER_DATA[[#This Row],[Bottom '[m']]], "")</f>
        <v/>
      </c>
      <c r="CI647" s="217" t="str">
        <f>IFERROR(-(TOWER_DATA[[#This Row],[D, bottom '[m']]]-TOWER_DATA[[#This Row],[D, top '[m']]])/(TOWER_DATA[[#This Row],[Bottom '[m']]]-TOWER_DATA[[#This Row],[Top '[m']]]),"")</f>
        <v/>
      </c>
      <c r="CJ647" s="145" t="str">
        <f t="shared" si="23"/>
        <v/>
      </c>
      <c r="CK647" s="220" t="str">
        <f>IFERROR((TOWER_DATA[[#This Row],[D, bottom '[m']]]+TOWER_DATA[[#This Row],[D, top '[m']]])/(2*TOWER_DATA[[#This Row],[t '[mm']]]/1000),"")</f>
        <v/>
      </c>
      <c r="DO647" s="209"/>
      <c r="DP647" s="209"/>
      <c r="DQ647" s="187"/>
      <c r="DT647" s="99"/>
      <c r="DU647" s="99"/>
    </row>
    <row r="648" spans="1:125" ht="18" customHeight="1">
      <c r="A648" s="271"/>
      <c r="D648" s="280"/>
      <c r="E648" s="52"/>
      <c r="L648" s="208"/>
      <c r="N648" s="210"/>
      <c r="Q648" s="209"/>
      <c r="R648" s="209"/>
      <c r="S648" s="187"/>
      <c r="AV648" s="233" t="str">
        <f>IFERROR(TP_DATA[[#This Row],[Top '[m']]]-TP_DATA[[#This Row],[Bottom '[m']]], "")</f>
        <v/>
      </c>
      <c r="AW648" s="208"/>
      <c r="AX648" s="209"/>
      <c r="AY648" s="240"/>
      <c r="BB648" s="99"/>
      <c r="BC648" s="99"/>
      <c r="BD648" s="187"/>
      <c r="CH648" s="53" t="str">
        <f>IFERROR(TOWER_DATA[[#This Row],[Top '[m']]]-TOWER_DATA[[#This Row],[Bottom '[m']]], "")</f>
        <v/>
      </c>
      <c r="CI648" s="217" t="str">
        <f>IFERROR(-(TOWER_DATA[[#This Row],[D, bottom '[m']]]-TOWER_DATA[[#This Row],[D, top '[m']]])/(TOWER_DATA[[#This Row],[Bottom '[m']]]-TOWER_DATA[[#This Row],[Top '[m']]]),"")</f>
        <v/>
      </c>
      <c r="CJ648" s="145" t="str">
        <f t="shared" si="23"/>
        <v/>
      </c>
      <c r="CK648" s="220" t="str">
        <f>IFERROR((TOWER_DATA[[#This Row],[D, bottom '[m']]]+TOWER_DATA[[#This Row],[D, top '[m']]])/(2*TOWER_DATA[[#This Row],[t '[mm']]]/1000),"")</f>
        <v/>
      </c>
      <c r="DO648" s="209"/>
      <c r="DP648" s="209"/>
      <c r="DQ648" s="187"/>
      <c r="DT648" s="99"/>
      <c r="DU648" s="99"/>
    </row>
    <row r="649" spans="1:125" ht="18" customHeight="1">
      <c r="A649" s="271"/>
      <c r="D649" s="280"/>
      <c r="E649" s="52"/>
      <c r="L649" s="208"/>
      <c r="N649" s="210"/>
      <c r="Q649" s="209"/>
      <c r="R649" s="209"/>
      <c r="S649" s="187"/>
      <c r="AV649" s="233" t="str">
        <f>IFERROR(TP_DATA[[#This Row],[Top '[m']]]-TP_DATA[[#This Row],[Bottom '[m']]], "")</f>
        <v/>
      </c>
      <c r="AW649" s="208"/>
      <c r="AX649" s="209"/>
      <c r="AY649" s="240"/>
      <c r="BB649" s="99"/>
      <c r="BC649" s="99"/>
      <c r="BD649" s="187"/>
      <c r="CH649" s="53" t="str">
        <f>IFERROR(TOWER_DATA[[#This Row],[Top '[m']]]-TOWER_DATA[[#This Row],[Bottom '[m']]], "")</f>
        <v/>
      </c>
      <c r="CI649" s="217" t="str">
        <f>IFERROR(-(TOWER_DATA[[#This Row],[D, bottom '[m']]]-TOWER_DATA[[#This Row],[D, top '[m']]])/(TOWER_DATA[[#This Row],[Bottom '[m']]]-TOWER_DATA[[#This Row],[Top '[m']]]),"")</f>
        <v/>
      </c>
      <c r="CJ649" s="145" t="str">
        <f t="shared" si="23"/>
        <v/>
      </c>
      <c r="CK649" s="220" t="str">
        <f>IFERROR((TOWER_DATA[[#This Row],[D, bottom '[m']]]+TOWER_DATA[[#This Row],[D, top '[m']]])/(2*TOWER_DATA[[#This Row],[t '[mm']]]/1000),"")</f>
        <v/>
      </c>
      <c r="DO649" s="209"/>
      <c r="DP649" s="209"/>
      <c r="DQ649" s="187"/>
      <c r="DT649" s="99"/>
      <c r="DU649" s="99"/>
    </row>
    <row r="650" spans="1:125" ht="18" customHeight="1">
      <c r="A650" s="271"/>
      <c r="D650" s="280"/>
      <c r="E650" s="52"/>
      <c r="L650" s="208"/>
      <c r="N650" s="210"/>
      <c r="Q650" s="209"/>
      <c r="R650" s="209"/>
      <c r="S650" s="187"/>
      <c r="AV650" s="233" t="str">
        <f>IFERROR(TP_DATA[[#This Row],[Top '[m']]]-TP_DATA[[#This Row],[Bottom '[m']]], "")</f>
        <v/>
      </c>
      <c r="AW650" s="208"/>
      <c r="AX650" s="209"/>
      <c r="AY650" s="240"/>
      <c r="BB650" s="99"/>
      <c r="BC650" s="99"/>
      <c r="BD650" s="187"/>
      <c r="CH650" s="53" t="str">
        <f>IFERROR(TOWER_DATA[[#This Row],[Top '[m']]]-TOWER_DATA[[#This Row],[Bottom '[m']]], "")</f>
        <v/>
      </c>
      <c r="CI650" s="217" t="str">
        <f>IFERROR(-(TOWER_DATA[[#This Row],[D, bottom '[m']]]-TOWER_DATA[[#This Row],[D, top '[m']]])/(TOWER_DATA[[#This Row],[Bottom '[m']]]-TOWER_DATA[[#This Row],[Top '[m']]]),"")</f>
        <v/>
      </c>
      <c r="CJ650" s="145" t="str">
        <f t="shared" si="23"/>
        <v/>
      </c>
      <c r="CK650" s="220" t="str">
        <f>IFERROR((TOWER_DATA[[#This Row],[D, bottom '[m']]]+TOWER_DATA[[#This Row],[D, top '[m']]])/(2*TOWER_DATA[[#This Row],[t '[mm']]]/1000),"")</f>
        <v/>
      </c>
      <c r="DO650" s="209"/>
      <c r="DP650" s="209"/>
      <c r="DQ650" s="187"/>
      <c r="DT650" s="99"/>
      <c r="DU650" s="99"/>
    </row>
    <row r="651" spans="1:125" ht="18" customHeight="1">
      <c r="A651" s="271"/>
      <c r="D651" s="280"/>
      <c r="E651" s="52"/>
      <c r="L651" s="208"/>
      <c r="N651" s="210"/>
      <c r="Q651" s="209"/>
      <c r="R651" s="209"/>
      <c r="S651" s="187"/>
      <c r="AV651" s="233" t="str">
        <f>IFERROR(TP_DATA[[#This Row],[Top '[m']]]-TP_DATA[[#This Row],[Bottom '[m']]], "")</f>
        <v/>
      </c>
      <c r="AW651" s="208"/>
      <c r="AX651" s="209"/>
      <c r="AY651" s="240"/>
      <c r="BB651" s="99"/>
      <c r="BC651" s="99"/>
      <c r="BD651" s="187"/>
      <c r="CH651" s="53" t="str">
        <f>IFERROR(TOWER_DATA[[#This Row],[Top '[m']]]-TOWER_DATA[[#This Row],[Bottom '[m']]], "")</f>
        <v/>
      </c>
      <c r="CI651" s="217" t="str">
        <f>IFERROR(-(TOWER_DATA[[#This Row],[D, bottom '[m']]]-TOWER_DATA[[#This Row],[D, top '[m']]])/(TOWER_DATA[[#This Row],[Bottom '[m']]]-TOWER_DATA[[#This Row],[Top '[m']]]),"")</f>
        <v/>
      </c>
      <c r="CJ651" s="145" t="str">
        <f t="shared" si="23"/>
        <v/>
      </c>
      <c r="CK651" s="220" t="str">
        <f>IFERROR((TOWER_DATA[[#This Row],[D, bottom '[m']]]+TOWER_DATA[[#This Row],[D, top '[m']]])/(2*TOWER_DATA[[#This Row],[t '[mm']]]/1000),"")</f>
        <v/>
      </c>
      <c r="DO651" s="209"/>
      <c r="DP651" s="209"/>
      <c r="DQ651" s="187"/>
      <c r="DT651" s="99"/>
      <c r="DU651" s="99"/>
    </row>
    <row r="652" spans="1:125" ht="18" customHeight="1">
      <c r="A652" s="271"/>
      <c r="D652" s="280"/>
      <c r="E652" s="52"/>
      <c r="L652" s="208"/>
      <c r="N652" s="210"/>
      <c r="Q652" s="209"/>
      <c r="R652" s="209"/>
      <c r="S652" s="187"/>
      <c r="AV652" s="233" t="str">
        <f>IFERROR(TP_DATA[[#This Row],[Top '[m']]]-TP_DATA[[#This Row],[Bottom '[m']]], "")</f>
        <v/>
      </c>
      <c r="AW652" s="208"/>
      <c r="AX652" s="209"/>
      <c r="AY652" s="240"/>
      <c r="BB652" s="99"/>
      <c r="BC652" s="99"/>
      <c r="BD652" s="187"/>
      <c r="CH652" s="53" t="str">
        <f>IFERROR(TOWER_DATA[[#This Row],[Top '[m']]]-TOWER_DATA[[#This Row],[Bottom '[m']]], "")</f>
        <v/>
      </c>
      <c r="CI652" s="217" t="str">
        <f>IFERROR(-(TOWER_DATA[[#This Row],[D, bottom '[m']]]-TOWER_DATA[[#This Row],[D, top '[m']]])/(TOWER_DATA[[#This Row],[Bottom '[m']]]-TOWER_DATA[[#This Row],[Top '[m']]]),"")</f>
        <v/>
      </c>
      <c r="CJ652" s="145" t="str">
        <f t="shared" si="23"/>
        <v/>
      </c>
      <c r="CK652" s="220" t="str">
        <f>IFERROR((TOWER_DATA[[#This Row],[D, bottom '[m']]]+TOWER_DATA[[#This Row],[D, top '[m']]])/(2*TOWER_DATA[[#This Row],[t '[mm']]]/1000),"")</f>
        <v/>
      </c>
      <c r="DO652" s="209"/>
      <c r="DP652" s="209"/>
      <c r="DQ652" s="187"/>
      <c r="DT652" s="99"/>
      <c r="DU652" s="99"/>
    </row>
    <row r="653" spans="1:125" ht="18" customHeight="1">
      <c r="A653" s="271"/>
      <c r="D653" s="280"/>
      <c r="E653" s="52"/>
      <c r="L653" s="208"/>
      <c r="N653" s="210"/>
      <c r="Q653" s="209"/>
      <c r="R653" s="209"/>
      <c r="S653" s="187"/>
      <c r="AV653" s="233" t="str">
        <f>IFERROR(TP_DATA[[#This Row],[Top '[m']]]-TP_DATA[[#This Row],[Bottom '[m']]], "")</f>
        <v/>
      </c>
      <c r="AW653" s="208"/>
      <c r="AX653" s="209"/>
      <c r="AY653" s="240"/>
      <c r="BB653" s="99"/>
      <c r="BC653" s="99"/>
      <c r="BD653" s="187"/>
      <c r="CH653" s="53" t="str">
        <f>IFERROR(TOWER_DATA[[#This Row],[Top '[m']]]-TOWER_DATA[[#This Row],[Bottom '[m']]], "")</f>
        <v/>
      </c>
      <c r="CI653" s="217" t="str">
        <f>IFERROR(-(TOWER_DATA[[#This Row],[D, bottom '[m']]]-TOWER_DATA[[#This Row],[D, top '[m']]])/(TOWER_DATA[[#This Row],[Bottom '[m']]]-TOWER_DATA[[#This Row],[Top '[m']]]),"")</f>
        <v/>
      </c>
      <c r="CJ653" s="145" t="str">
        <f t="shared" si="23"/>
        <v/>
      </c>
      <c r="CK653" s="220" t="str">
        <f>IFERROR((TOWER_DATA[[#This Row],[D, bottom '[m']]]+TOWER_DATA[[#This Row],[D, top '[m']]])/(2*TOWER_DATA[[#This Row],[t '[mm']]]/1000),"")</f>
        <v/>
      </c>
      <c r="DO653" s="209"/>
      <c r="DP653" s="209"/>
      <c r="DQ653" s="187"/>
      <c r="DT653" s="99"/>
      <c r="DU653" s="99"/>
    </row>
    <row r="654" spans="1:125" ht="18" customHeight="1">
      <c r="A654" s="271"/>
      <c r="D654" s="280"/>
      <c r="E654" s="52"/>
      <c r="L654" s="208"/>
      <c r="N654" s="210"/>
      <c r="Q654" s="209"/>
      <c r="R654" s="209"/>
      <c r="S654" s="187"/>
      <c r="AV654" s="233" t="str">
        <f>IFERROR(TP_DATA[[#This Row],[Top '[m']]]-TP_DATA[[#This Row],[Bottom '[m']]], "")</f>
        <v/>
      </c>
      <c r="AW654" s="208"/>
      <c r="AX654" s="209"/>
      <c r="AY654" s="240"/>
      <c r="BB654" s="99"/>
      <c r="BC654" s="99"/>
      <c r="BD654" s="187"/>
      <c r="CH654" s="53" t="str">
        <f>IFERROR(TOWER_DATA[[#This Row],[Top '[m']]]-TOWER_DATA[[#This Row],[Bottom '[m']]], "")</f>
        <v/>
      </c>
      <c r="CI654" s="217" t="str">
        <f>IFERROR(-(TOWER_DATA[[#This Row],[D, bottom '[m']]]-TOWER_DATA[[#This Row],[D, top '[m']]])/(TOWER_DATA[[#This Row],[Bottom '[m']]]-TOWER_DATA[[#This Row],[Top '[m']]]),"")</f>
        <v/>
      </c>
      <c r="CJ654" s="145" t="str">
        <f t="shared" si="23"/>
        <v/>
      </c>
      <c r="CK654" s="220" t="str">
        <f>IFERROR((TOWER_DATA[[#This Row],[D, bottom '[m']]]+TOWER_DATA[[#This Row],[D, top '[m']]])/(2*TOWER_DATA[[#This Row],[t '[mm']]]/1000),"")</f>
        <v/>
      </c>
      <c r="DO654" s="209"/>
      <c r="DP654" s="209"/>
      <c r="DQ654" s="187"/>
      <c r="DT654" s="99"/>
      <c r="DU654" s="99"/>
    </row>
    <row r="655" spans="1:125" ht="18" customHeight="1">
      <c r="A655" s="271"/>
      <c r="D655" s="280"/>
      <c r="E655" s="52"/>
      <c r="L655" s="208"/>
      <c r="N655" s="210"/>
      <c r="Q655" s="209"/>
      <c r="R655" s="209"/>
      <c r="S655" s="187"/>
      <c r="AV655" s="233" t="str">
        <f>IFERROR(TP_DATA[[#This Row],[Top '[m']]]-TP_DATA[[#This Row],[Bottom '[m']]], "")</f>
        <v/>
      </c>
      <c r="AW655" s="208"/>
      <c r="AX655" s="209"/>
      <c r="AY655" s="240"/>
      <c r="BB655" s="99"/>
      <c r="BC655" s="99"/>
      <c r="BD655" s="187"/>
      <c r="CH655" s="53" t="str">
        <f>IFERROR(TOWER_DATA[[#This Row],[Top '[m']]]-TOWER_DATA[[#This Row],[Bottom '[m']]], "")</f>
        <v/>
      </c>
      <c r="CI655" s="217" t="str">
        <f>IFERROR(-(TOWER_DATA[[#This Row],[D, bottom '[m']]]-TOWER_DATA[[#This Row],[D, top '[m']]])/(TOWER_DATA[[#This Row],[Bottom '[m']]]-TOWER_DATA[[#This Row],[Top '[m']]]),"")</f>
        <v/>
      </c>
      <c r="CJ655" s="145" t="str">
        <f t="shared" si="23"/>
        <v/>
      </c>
      <c r="CK655" s="220" t="str">
        <f>IFERROR((TOWER_DATA[[#This Row],[D, bottom '[m']]]+TOWER_DATA[[#This Row],[D, top '[m']]])/(2*TOWER_DATA[[#This Row],[t '[mm']]]/1000),"")</f>
        <v/>
      </c>
      <c r="DO655" s="209"/>
      <c r="DP655" s="209"/>
      <c r="DQ655" s="187"/>
      <c r="DT655" s="99"/>
      <c r="DU655" s="99"/>
    </row>
    <row r="656" spans="1:125" ht="18" customHeight="1">
      <c r="A656" s="271"/>
      <c r="D656" s="280"/>
      <c r="E656" s="52"/>
      <c r="L656" s="208"/>
      <c r="N656" s="210"/>
      <c r="Q656" s="209"/>
      <c r="R656" s="209"/>
      <c r="S656" s="187"/>
      <c r="AV656" s="233" t="str">
        <f>IFERROR(TP_DATA[[#This Row],[Top '[m']]]-TP_DATA[[#This Row],[Bottom '[m']]], "")</f>
        <v/>
      </c>
      <c r="AW656" s="208"/>
      <c r="AX656" s="209"/>
      <c r="AY656" s="240"/>
      <c r="BB656" s="99"/>
      <c r="BC656" s="99"/>
      <c r="BD656" s="187"/>
      <c r="CH656" s="53" t="str">
        <f>IFERROR(TOWER_DATA[[#This Row],[Top '[m']]]-TOWER_DATA[[#This Row],[Bottom '[m']]], "")</f>
        <v/>
      </c>
      <c r="CI656" s="217" t="str">
        <f>IFERROR(-(TOWER_DATA[[#This Row],[D, bottom '[m']]]-TOWER_DATA[[#This Row],[D, top '[m']]])/(TOWER_DATA[[#This Row],[Bottom '[m']]]-TOWER_DATA[[#This Row],[Top '[m']]]),"")</f>
        <v/>
      </c>
      <c r="CJ656" s="145" t="str">
        <f t="shared" si="23"/>
        <v/>
      </c>
      <c r="CK656" s="220" t="str">
        <f>IFERROR((TOWER_DATA[[#This Row],[D, bottom '[m']]]+TOWER_DATA[[#This Row],[D, top '[m']]])/(2*TOWER_DATA[[#This Row],[t '[mm']]]/1000),"")</f>
        <v/>
      </c>
      <c r="DO656" s="209"/>
      <c r="DP656" s="209"/>
      <c r="DQ656" s="187"/>
      <c r="DT656" s="99"/>
      <c r="DU656" s="99"/>
    </row>
    <row r="657" spans="1:125" ht="18" customHeight="1">
      <c r="A657" s="271"/>
      <c r="D657" s="280"/>
      <c r="E657" s="52"/>
      <c r="N657" s="210"/>
      <c r="Q657" s="209"/>
      <c r="R657" s="209"/>
      <c r="S657" s="187"/>
      <c r="AV657" s="233" t="str">
        <f>IFERROR(TP_DATA[[#This Row],[Top '[m']]]-TP_DATA[[#This Row],[Bottom '[m']]], "")</f>
        <v/>
      </c>
      <c r="AW657" s="208"/>
      <c r="AX657" s="209"/>
      <c r="AY657" s="240"/>
      <c r="BB657" s="99"/>
      <c r="BC657" s="99"/>
      <c r="BD657" s="187"/>
      <c r="CH657" s="53" t="str">
        <f>IFERROR(TOWER_DATA[[#This Row],[Top '[m']]]-TOWER_DATA[[#This Row],[Bottom '[m']]], "")</f>
        <v/>
      </c>
      <c r="CI657" s="217" t="str">
        <f>IFERROR(-(TOWER_DATA[[#This Row],[D, bottom '[m']]]-TOWER_DATA[[#This Row],[D, top '[m']]])/(TOWER_DATA[[#This Row],[Bottom '[m']]]-TOWER_DATA[[#This Row],[Top '[m']]]),"")</f>
        <v/>
      </c>
      <c r="CJ657" s="145" t="str">
        <f t="shared" si="23"/>
        <v/>
      </c>
      <c r="CK657" s="220" t="str">
        <f>IFERROR((TOWER_DATA[[#This Row],[D, bottom '[m']]]+TOWER_DATA[[#This Row],[D, top '[m']]])/(2*TOWER_DATA[[#This Row],[t '[mm']]]/1000),"")</f>
        <v/>
      </c>
      <c r="DO657" s="209"/>
      <c r="DP657" s="209"/>
      <c r="DQ657" s="187"/>
      <c r="DT657" s="99"/>
      <c r="DU657" s="99"/>
    </row>
    <row r="658" spans="1:125" ht="18" customHeight="1">
      <c r="A658" s="271"/>
      <c r="D658" s="280"/>
      <c r="E658" s="52"/>
      <c r="N658" s="210"/>
      <c r="Q658" s="209"/>
      <c r="R658" s="209"/>
      <c r="S658" s="187"/>
      <c r="AV658" s="233" t="str">
        <f>IFERROR(TP_DATA[[#This Row],[Top '[m']]]-TP_DATA[[#This Row],[Bottom '[m']]], "")</f>
        <v/>
      </c>
      <c r="AW658" s="208"/>
      <c r="AX658" s="209"/>
      <c r="AY658" s="240"/>
      <c r="BB658" s="99"/>
      <c r="BC658" s="99"/>
      <c r="BD658" s="187"/>
      <c r="CH658" s="53" t="str">
        <f>IFERROR(TOWER_DATA[[#This Row],[Top '[m']]]-TOWER_DATA[[#This Row],[Bottom '[m']]], "")</f>
        <v/>
      </c>
      <c r="CI658" s="217" t="str">
        <f>IFERROR(-(TOWER_DATA[[#This Row],[D, bottom '[m']]]-TOWER_DATA[[#This Row],[D, top '[m']]])/(TOWER_DATA[[#This Row],[Bottom '[m']]]-TOWER_DATA[[#This Row],[Top '[m']]]),"")</f>
        <v/>
      </c>
      <c r="CJ658" s="145" t="str">
        <f t="shared" si="23"/>
        <v/>
      </c>
      <c r="CK658" s="220" t="str">
        <f>IFERROR((TOWER_DATA[[#This Row],[D, bottom '[m']]]+TOWER_DATA[[#This Row],[D, top '[m']]])/(2*TOWER_DATA[[#This Row],[t '[mm']]]/1000),"")</f>
        <v/>
      </c>
      <c r="DO658" s="209"/>
      <c r="DP658" s="209"/>
      <c r="DQ658" s="187"/>
      <c r="DT658" s="99"/>
      <c r="DU658" s="99"/>
    </row>
    <row r="659" spans="1:125" ht="18" customHeight="1">
      <c r="A659" s="271"/>
      <c r="D659" s="280"/>
      <c r="E659" s="52"/>
      <c r="N659" s="210"/>
      <c r="Q659" s="209"/>
      <c r="R659" s="209"/>
      <c r="S659" s="187"/>
      <c r="AV659" s="233" t="str">
        <f>IFERROR(TP_DATA[[#This Row],[Top '[m']]]-TP_DATA[[#This Row],[Bottom '[m']]], "")</f>
        <v/>
      </c>
      <c r="AW659" s="208"/>
      <c r="AX659" s="209"/>
      <c r="AY659" s="240"/>
      <c r="BB659" s="99"/>
      <c r="BC659" s="99"/>
      <c r="BD659" s="187"/>
      <c r="CH659" s="53" t="str">
        <f>IFERROR(TOWER_DATA[[#This Row],[Top '[m']]]-TOWER_DATA[[#This Row],[Bottom '[m']]], "")</f>
        <v/>
      </c>
      <c r="CI659" s="217" t="str">
        <f>IFERROR(-(TOWER_DATA[[#This Row],[D, bottom '[m']]]-TOWER_DATA[[#This Row],[D, top '[m']]])/(TOWER_DATA[[#This Row],[Bottom '[m']]]-TOWER_DATA[[#This Row],[Top '[m']]]),"")</f>
        <v/>
      </c>
      <c r="CJ659" s="145" t="str">
        <f t="shared" si="23"/>
        <v/>
      </c>
      <c r="CK659" s="220" t="str">
        <f>IFERROR((TOWER_DATA[[#This Row],[D, bottom '[m']]]+TOWER_DATA[[#This Row],[D, top '[m']]])/(2*TOWER_DATA[[#This Row],[t '[mm']]]/1000),"")</f>
        <v/>
      </c>
      <c r="DO659" s="209"/>
      <c r="DP659" s="209"/>
      <c r="DQ659" s="187"/>
      <c r="DT659" s="99"/>
      <c r="DU659" s="99"/>
    </row>
    <row r="660" spans="1:125" ht="18" customHeight="1">
      <c r="A660" s="271"/>
      <c r="D660" s="280"/>
      <c r="E660" s="52"/>
      <c r="N660" s="210"/>
      <c r="Q660" s="209"/>
      <c r="R660" s="209"/>
      <c r="S660" s="187"/>
      <c r="AV660" s="233" t="str">
        <f>IFERROR(TP_DATA[[#This Row],[Top '[m']]]-TP_DATA[[#This Row],[Bottom '[m']]], "")</f>
        <v/>
      </c>
      <c r="AW660" s="208"/>
      <c r="AX660" s="209"/>
      <c r="AY660" s="240"/>
      <c r="BB660" s="99"/>
      <c r="BC660" s="99"/>
      <c r="BD660" s="187"/>
      <c r="CH660" s="53" t="str">
        <f>IFERROR(TOWER_DATA[[#This Row],[Top '[m']]]-TOWER_DATA[[#This Row],[Bottom '[m']]], "")</f>
        <v/>
      </c>
      <c r="CI660" s="217" t="str">
        <f>IFERROR(-(TOWER_DATA[[#This Row],[D, bottom '[m']]]-TOWER_DATA[[#This Row],[D, top '[m']]])/(TOWER_DATA[[#This Row],[Bottom '[m']]]-TOWER_DATA[[#This Row],[Top '[m']]]),"")</f>
        <v/>
      </c>
      <c r="CJ660" s="145" t="str">
        <f t="shared" si="23"/>
        <v/>
      </c>
      <c r="CK660" s="220" t="str">
        <f>IFERROR((TOWER_DATA[[#This Row],[D, bottom '[m']]]+TOWER_DATA[[#This Row],[D, top '[m']]])/(2*TOWER_DATA[[#This Row],[t '[mm']]]/1000),"")</f>
        <v/>
      </c>
      <c r="DO660" s="209"/>
      <c r="DP660" s="209"/>
      <c r="DQ660" s="187"/>
      <c r="DT660" s="99"/>
      <c r="DU660" s="99"/>
    </row>
    <row r="661" spans="1:125" ht="18" customHeight="1">
      <c r="A661" s="271"/>
      <c r="D661" s="280"/>
      <c r="E661" s="52"/>
      <c r="N661" s="210"/>
      <c r="Q661" s="209"/>
      <c r="R661" s="209"/>
      <c r="S661" s="187"/>
      <c r="AV661" s="233" t="str">
        <f>IFERROR(TP_DATA[[#This Row],[Top '[m']]]-TP_DATA[[#This Row],[Bottom '[m']]], "")</f>
        <v/>
      </c>
      <c r="AW661" s="208"/>
      <c r="AX661" s="209"/>
      <c r="AY661" s="240"/>
      <c r="BB661" s="99"/>
      <c r="BC661" s="99"/>
      <c r="BD661" s="187"/>
      <c r="CH661" s="53" t="str">
        <f>IFERROR(TOWER_DATA[[#This Row],[Top '[m']]]-TOWER_DATA[[#This Row],[Bottom '[m']]], "")</f>
        <v/>
      </c>
      <c r="CI661" s="217" t="str">
        <f>IFERROR(-(TOWER_DATA[[#This Row],[D, bottom '[m']]]-TOWER_DATA[[#This Row],[D, top '[m']]])/(TOWER_DATA[[#This Row],[Bottom '[m']]]-TOWER_DATA[[#This Row],[Top '[m']]]),"")</f>
        <v/>
      </c>
      <c r="CJ661" s="145" t="str">
        <f t="shared" si="23"/>
        <v/>
      </c>
      <c r="CK661" s="220" t="str">
        <f>IFERROR((TOWER_DATA[[#This Row],[D, bottom '[m']]]+TOWER_DATA[[#This Row],[D, top '[m']]])/(2*TOWER_DATA[[#This Row],[t '[mm']]]/1000),"")</f>
        <v/>
      </c>
      <c r="DO661" s="209"/>
      <c r="DP661" s="209"/>
      <c r="DQ661" s="187"/>
      <c r="DT661" s="99"/>
      <c r="DU661" s="99"/>
    </row>
    <row r="662" spans="1:125" ht="18" customHeight="1">
      <c r="A662" s="271"/>
      <c r="D662" s="280"/>
      <c r="E662" s="52"/>
      <c r="N662" s="210"/>
      <c r="Q662" s="209"/>
      <c r="R662" s="209"/>
      <c r="S662" s="187"/>
      <c r="AV662" s="233" t="str">
        <f>IFERROR(TP_DATA[[#This Row],[Top '[m']]]-TP_DATA[[#This Row],[Bottom '[m']]], "")</f>
        <v/>
      </c>
      <c r="AW662" s="208"/>
      <c r="AX662" s="209"/>
      <c r="AY662" s="240"/>
      <c r="BB662" s="99"/>
      <c r="BC662" s="99"/>
      <c r="BD662" s="187"/>
      <c r="CH662" s="53" t="str">
        <f>IFERROR(TOWER_DATA[[#This Row],[Top '[m']]]-TOWER_DATA[[#This Row],[Bottom '[m']]], "")</f>
        <v/>
      </c>
      <c r="CI662" s="217" t="str">
        <f>IFERROR(-(TOWER_DATA[[#This Row],[D, bottom '[m']]]-TOWER_DATA[[#This Row],[D, top '[m']]])/(TOWER_DATA[[#This Row],[Bottom '[m']]]-TOWER_DATA[[#This Row],[Top '[m']]]),"")</f>
        <v/>
      </c>
      <c r="CJ662" s="145" t="str">
        <f t="shared" si="23"/>
        <v/>
      </c>
      <c r="CK662" s="220" t="str">
        <f>IFERROR((TOWER_DATA[[#This Row],[D, bottom '[m']]]+TOWER_DATA[[#This Row],[D, top '[m']]])/(2*TOWER_DATA[[#This Row],[t '[mm']]]/1000),"")</f>
        <v/>
      </c>
      <c r="DO662" s="209"/>
      <c r="DP662" s="209"/>
      <c r="DQ662" s="187"/>
      <c r="DT662" s="99"/>
      <c r="DU662" s="99"/>
    </row>
    <row r="663" spans="1:125" ht="18" customHeight="1">
      <c r="A663" s="271"/>
      <c r="D663" s="280"/>
      <c r="E663" s="52"/>
      <c r="N663" s="210"/>
      <c r="Q663" s="209"/>
      <c r="R663" s="209"/>
      <c r="S663" s="187"/>
      <c r="AV663" s="233" t="str">
        <f>IFERROR(TP_DATA[[#This Row],[Top '[m']]]-TP_DATA[[#This Row],[Bottom '[m']]], "")</f>
        <v/>
      </c>
      <c r="AW663" s="208"/>
      <c r="AX663" s="209"/>
      <c r="AY663" s="240"/>
      <c r="BB663" s="99"/>
      <c r="BC663" s="99"/>
      <c r="BD663" s="187"/>
      <c r="CH663" s="53" t="str">
        <f>IFERROR(TOWER_DATA[[#This Row],[Top '[m']]]-TOWER_DATA[[#This Row],[Bottom '[m']]], "")</f>
        <v/>
      </c>
      <c r="CI663" s="217" t="str">
        <f>IFERROR(-(TOWER_DATA[[#This Row],[D, bottom '[m']]]-TOWER_DATA[[#This Row],[D, top '[m']]])/(TOWER_DATA[[#This Row],[Bottom '[m']]]-TOWER_DATA[[#This Row],[Top '[m']]]),"")</f>
        <v/>
      </c>
      <c r="CJ663" s="145" t="str">
        <f t="shared" si="23"/>
        <v/>
      </c>
      <c r="CK663" s="220" t="str">
        <f>IFERROR((TOWER_DATA[[#This Row],[D, bottom '[m']]]+TOWER_DATA[[#This Row],[D, top '[m']]])/(2*TOWER_DATA[[#This Row],[t '[mm']]]/1000),"")</f>
        <v/>
      </c>
      <c r="DO663" s="209"/>
      <c r="DP663" s="209"/>
      <c r="DQ663" s="187"/>
      <c r="DT663" s="99"/>
      <c r="DU663" s="99"/>
    </row>
    <row r="664" spans="1:125" ht="18" customHeight="1">
      <c r="A664" s="271"/>
      <c r="D664" s="280"/>
      <c r="E664" s="52"/>
      <c r="N664" s="210"/>
      <c r="Q664" s="209"/>
      <c r="R664" s="209"/>
      <c r="S664" s="187"/>
      <c r="AV664" s="233" t="str">
        <f>IFERROR(TP_DATA[[#This Row],[Top '[m']]]-TP_DATA[[#This Row],[Bottom '[m']]], "")</f>
        <v/>
      </c>
      <c r="AW664" s="208"/>
      <c r="AX664" s="209"/>
      <c r="AY664" s="240"/>
      <c r="BB664" s="99"/>
      <c r="BC664" s="99"/>
      <c r="BD664" s="187"/>
      <c r="CH664" s="53" t="str">
        <f>IFERROR(TOWER_DATA[[#This Row],[Top '[m']]]-TOWER_DATA[[#This Row],[Bottom '[m']]], "")</f>
        <v/>
      </c>
      <c r="CI664" s="217" t="str">
        <f>IFERROR(-(TOWER_DATA[[#This Row],[D, bottom '[m']]]-TOWER_DATA[[#This Row],[D, top '[m']]])/(TOWER_DATA[[#This Row],[Bottom '[m']]]-TOWER_DATA[[#This Row],[Top '[m']]]),"")</f>
        <v/>
      </c>
      <c r="CJ664" s="145" t="str">
        <f t="shared" si="23"/>
        <v/>
      </c>
      <c r="CK664" s="220" t="str">
        <f>IFERROR((TOWER_DATA[[#This Row],[D, bottom '[m']]]+TOWER_DATA[[#This Row],[D, top '[m']]])/(2*TOWER_DATA[[#This Row],[t '[mm']]]/1000),"")</f>
        <v/>
      </c>
      <c r="DO664" s="209"/>
      <c r="DP664" s="209"/>
      <c r="DQ664" s="187"/>
      <c r="DT664" s="99"/>
      <c r="DU664" s="99"/>
    </row>
    <row r="665" spans="1:125" ht="18" customHeight="1">
      <c r="A665" s="271"/>
      <c r="D665" s="280"/>
      <c r="E665" s="52"/>
      <c r="N665" s="210"/>
      <c r="Q665" s="209"/>
      <c r="R665" s="209"/>
      <c r="S665" s="187"/>
      <c r="AV665" s="233" t="str">
        <f>IFERROR(TP_DATA[[#This Row],[Top '[m']]]-TP_DATA[[#This Row],[Bottom '[m']]], "")</f>
        <v/>
      </c>
      <c r="AW665" s="208"/>
      <c r="AX665" s="209"/>
      <c r="AY665" s="240"/>
      <c r="BB665" s="99"/>
      <c r="BC665" s="99"/>
      <c r="BD665" s="187"/>
      <c r="CH665" s="53" t="str">
        <f>IFERROR(TOWER_DATA[[#This Row],[Top '[m']]]-TOWER_DATA[[#This Row],[Bottom '[m']]], "")</f>
        <v/>
      </c>
      <c r="CI665" s="217" t="str">
        <f>IFERROR(-(TOWER_DATA[[#This Row],[D, bottom '[m']]]-TOWER_DATA[[#This Row],[D, top '[m']]])/(TOWER_DATA[[#This Row],[Bottom '[m']]]-TOWER_DATA[[#This Row],[Top '[m']]]),"")</f>
        <v/>
      </c>
      <c r="CJ665" s="145" t="str">
        <f t="shared" si="23"/>
        <v/>
      </c>
      <c r="CK665" s="220" t="str">
        <f>IFERROR((TOWER_DATA[[#This Row],[D, bottom '[m']]]+TOWER_DATA[[#This Row],[D, top '[m']]])/(2*TOWER_DATA[[#This Row],[t '[mm']]]/1000),"")</f>
        <v/>
      </c>
      <c r="DO665" s="209"/>
      <c r="DP665" s="209"/>
      <c r="DQ665" s="187"/>
      <c r="DT665" s="99"/>
      <c r="DU665" s="99"/>
    </row>
    <row r="666" spans="1:125" ht="18" customHeight="1">
      <c r="A666" s="271"/>
      <c r="D666" s="280"/>
      <c r="E666" s="52"/>
      <c r="N666" s="210"/>
      <c r="Q666" s="209"/>
      <c r="R666" s="209"/>
      <c r="S666" s="187"/>
      <c r="AV666" s="233" t="str">
        <f>IFERROR(TP_DATA[[#This Row],[Top '[m']]]-TP_DATA[[#This Row],[Bottom '[m']]], "")</f>
        <v/>
      </c>
      <c r="AW666" s="208"/>
      <c r="AX666" s="209"/>
      <c r="AY666" s="240"/>
      <c r="BB666" s="99"/>
      <c r="BC666" s="99"/>
      <c r="BD666" s="187"/>
      <c r="CH666" s="53" t="str">
        <f>IFERROR(TOWER_DATA[[#This Row],[Top '[m']]]-TOWER_DATA[[#This Row],[Bottom '[m']]], "")</f>
        <v/>
      </c>
      <c r="CI666" s="217" t="str">
        <f>IFERROR(-(TOWER_DATA[[#This Row],[D, bottom '[m']]]-TOWER_DATA[[#This Row],[D, top '[m']]])/(TOWER_DATA[[#This Row],[Bottom '[m']]]-TOWER_DATA[[#This Row],[Top '[m']]]),"")</f>
        <v/>
      </c>
      <c r="CJ666" s="145" t="str">
        <f t="shared" si="23"/>
        <v/>
      </c>
      <c r="CK666" s="220" t="str">
        <f>IFERROR((TOWER_DATA[[#This Row],[D, bottom '[m']]]+TOWER_DATA[[#This Row],[D, top '[m']]])/(2*TOWER_DATA[[#This Row],[t '[mm']]]/1000),"")</f>
        <v/>
      </c>
      <c r="DO666" s="209"/>
      <c r="DP666" s="209"/>
      <c r="DQ666" s="187"/>
      <c r="DT666" s="99"/>
      <c r="DU666" s="99"/>
    </row>
    <row r="667" spans="1:125" ht="18" customHeight="1">
      <c r="A667" s="271"/>
      <c r="D667" s="280"/>
      <c r="E667" s="52"/>
      <c r="N667" s="210"/>
      <c r="Q667" s="209"/>
      <c r="R667" s="209"/>
      <c r="S667" s="187"/>
      <c r="AV667" s="233" t="str">
        <f>IFERROR(TP_DATA[[#This Row],[Top '[m']]]-TP_DATA[[#This Row],[Bottom '[m']]], "")</f>
        <v/>
      </c>
      <c r="AW667" s="208"/>
      <c r="AX667" s="209"/>
      <c r="AY667" s="240"/>
      <c r="BB667" s="99"/>
      <c r="BC667" s="99"/>
      <c r="BD667" s="187"/>
      <c r="CH667" s="53" t="str">
        <f>IFERROR(TOWER_DATA[[#This Row],[Top '[m']]]-TOWER_DATA[[#This Row],[Bottom '[m']]], "")</f>
        <v/>
      </c>
      <c r="CI667" s="217" t="str">
        <f>IFERROR(-(TOWER_DATA[[#This Row],[D, bottom '[m']]]-TOWER_DATA[[#This Row],[D, top '[m']]])/(TOWER_DATA[[#This Row],[Bottom '[m']]]-TOWER_DATA[[#This Row],[Top '[m']]]),"")</f>
        <v/>
      </c>
      <c r="CJ667" s="145" t="str">
        <f t="shared" si="23"/>
        <v/>
      </c>
      <c r="CK667" s="220" t="str">
        <f>IFERROR((TOWER_DATA[[#This Row],[D, bottom '[m']]]+TOWER_DATA[[#This Row],[D, top '[m']]])/(2*TOWER_DATA[[#This Row],[t '[mm']]]/1000),"")</f>
        <v/>
      </c>
      <c r="DO667" s="209"/>
      <c r="DP667" s="209"/>
      <c r="DQ667" s="187"/>
      <c r="DT667" s="99"/>
      <c r="DU667" s="99"/>
    </row>
    <row r="668" spans="1:125" ht="18" customHeight="1">
      <c r="A668" s="271"/>
      <c r="D668" s="280"/>
      <c r="E668" s="52"/>
      <c r="N668" s="210"/>
      <c r="Q668" s="209"/>
      <c r="R668" s="209"/>
      <c r="S668" s="187"/>
      <c r="AV668" s="233" t="str">
        <f>IFERROR(TP_DATA[[#This Row],[Top '[m']]]-TP_DATA[[#This Row],[Bottom '[m']]], "")</f>
        <v/>
      </c>
      <c r="AW668" s="208"/>
      <c r="AX668" s="209"/>
      <c r="AY668" s="240"/>
      <c r="BB668" s="99"/>
      <c r="BC668" s="99"/>
      <c r="BD668" s="187"/>
      <c r="CH668" s="53" t="str">
        <f>IFERROR(TOWER_DATA[[#This Row],[Top '[m']]]-TOWER_DATA[[#This Row],[Bottom '[m']]], "")</f>
        <v/>
      </c>
      <c r="CI668" s="217" t="str">
        <f>IFERROR(-(TOWER_DATA[[#This Row],[D, bottom '[m']]]-TOWER_DATA[[#This Row],[D, top '[m']]])/(TOWER_DATA[[#This Row],[Bottom '[m']]]-TOWER_DATA[[#This Row],[Top '[m']]]),"")</f>
        <v/>
      </c>
      <c r="CJ668" s="145" t="str">
        <f t="shared" si="23"/>
        <v/>
      </c>
      <c r="CK668" s="220" t="str">
        <f>IFERROR((TOWER_DATA[[#This Row],[D, bottom '[m']]]+TOWER_DATA[[#This Row],[D, top '[m']]])/(2*TOWER_DATA[[#This Row],[t '[mm']]]/1000),"")</f>
        <v/>
      </c>
      <c r="DO668" s="209"/>
      <c r="DP668" s="209"/>
      <c r="DQ668" s="187"/>
      <c r="DT668" s="99"/>
      <c r="DU668" s="99"/>
    </row>
    <row r="669" spans="1:125" ht="18" customHeight="1">
      <c r="A669" s="271"/>
      <c r="D669" s="280"/>
      <c r="E669" s="52"/>
      <c r="N669" s="210"/>
      <c r="Q669" s="209"/>
      <c r="R669" s="209"/>
      <c r="S669" s="187"/>
      <c r="AV669" s="233" t="str">
        <f>IFERROR(TP_DATA[[#This Row],[Top '[m']]]-TP_DATA[[#This Row],[Bottom '[m']]], "")</f>
        <v/>
      </c>
      <c r="AW669" s="208"/>
      <c r="AX669" s="209"/>
      <c r="AY669" s="240"/>
      <c r="BB669" s="99"/>
      <c r="BC669" s="99"/>
      <c r="BD669" s="187"/>
      <c r="CH669" s="53" t="str">
        <f>IFERROR(TOWER_DATA[[#This Row],[Top '[m']]]-TOWER_DATA[[#This Row],[Bottom '[m']]], "")</f>
        <v/>
      </c>
      <c r="CI669" s="217" t="str">
        <f>IFERROR(-(TOWER_DATA[[#This Row],[D, bottom '[m']]]-TOWER_DATA[[#This Row],[D, top '[m']]])/(TOWER_DATA[[#This Row],[Bottom '[m']]]-TOWER_DATA[[#This Row],[Top '[m']]]),"")</f>
        <v/>
      </c>
      <c r="CJ669" s="145" t="str">
        <f t="shared" si="23"/>
        <v/>
      </c>
      <c r="CK669" s="220" t="str">
        <f>IFERROR((TOWER_DATA[[#This Row],[D, bottom '[m']]]+TOWER_DATA[[#This Row],[D, top '[m']]])/(2*TOWER_DATA[[#This Row],[t '[mm']]]/1000),"")</f>
        <v/>
      </c>
      <c r="DO669" s="209"/>
      <c r="DP669" s="209"/>
      <c r="DQ669" s="187"/>
      <c r="DT669" s="99"/>
      <c r="DU669" s="99"/>
    </row>
    <row r="670" spans="1:125" ht="18" customHeight="1">
      <c r="A670" s="271"/>
      <c r="D670" s="280"/>
      <c r="E670" s="52"/>
      <c r="N670" s="210"/>
      <c r="Q670" s="209"/>
      <c r="R670" s="209"/>
      <c r="S670" s="187"/>
      <c r="AV670" s="233" t="str">
        <f>IFERROR(TP_DATA[[#This Row],[Top '[m']]]-TP_DATA[[#This Row],[Bottom '[m']]], "")</f>
        <v/>
      </c>
      <c r="AW670" s="208"/>
      <c r="AX670" s="209"/>
      <c r="AY670" s="240"/>
      <c r="BB670" s="99"/>
      <c r="BC670" s="99"/>
      <c r="BD670" s="187"/>
      <c r="CH670" s="53" t="str">
        <f>IFERROR(TOWER_DATA[[#This Row],[Top '[m']]]-TOWER_DATA[[#This Row],[Bottom '[m']]], "")</f>
        <v/>
      </c>
      <c r="CI670" s="217" t="str">
        <f>IFERROR(-(TOWER_DATA[[#This Row],[D, bottom '[m']]]-TOWER_DATA[[#This Row],[D, top '[m']]])/(TOWER_DATA[[#This Row],[Bottom '[m']]]-TOWER_DATA[[#This Row],[Top '[m']]]),"")</f>
        <v/>
      </c>
      <c r="CJ670" s="145" t="str">
        <f t="shared" si="23"/>
        <v/>
      </c>
      <c r="CK670" s="220" t="str">
        <f>IFERROR((TOWER_DATA[[#This Row],[D, bottom '[m']]]+TOWER_DATA[[#This Row],[D, top '[m']]])/(2*TOWER_DATA[[#This Row],[t '[mm']]]/1000),"")</f>
        <v/>
      </c>
      <c r="DO670" s="209"/>
      <c r="DP670" s="209"/>
      <c r="DQ670" s="187"/>
      <c r="DT670" s="99"/>
      <c r="DU670" s="99"/>
    </row>
    <row r="671" spans="1:125" ht="18" customHeight="1">
      <c r="A671" s="271"/>
      <c r="D671" s="280"/>
      <c r="E671" s="52"/>
      <c r="N671" s="210"/>
      <c r="Q671" s="209"/>
      <c r="R671" s="209"/>
      <c r="S671" s="187"/>
      <c r="AV671" s="233" t="str">
        <f>IFERROR(TP_DATA[[#This Row],[Top '[m']]]-TP_DATA[[#This Row],[Bottom '[m']]], "")</f>
        <v/>
      </c>
      <c r="AW671" s="208"/>
      <c r="AX671" s="209"/>
      <c r="AY671" s="240"/>
      <c r="BB671" s="99"/>
      <c r="BC671" s="99"/>
      <c r="BD671" s="187"/>
      <c r="CH671" s="53" t="str">
        <f>IFERROR(TOWER_DATA[[#This Row],[Top '[m']]]-TOWER_DATA[[#This Row],[Bottom '[m']]], "")</f>
        <v/>
      </c>
      <c r="CI671" s="217" t="str">
        <f>IFERROR(-(TOWER_DATA[[#This Row],[D, bottom '[m']]]-TOWER_DATA[[#This Row],[D, top '[m']]])/(TOWER_DATA[[#This Row],[Bottom '[m']]]-TOWER_DATA[[#This Row],[Top '[m']]]),"")</f>
        <v/>
      </c>
      <c r="CJ671" s="145" t="str">
        <f t="shared" si="23"/>
        <v/>
      </c>
      <c r="CK671" s="220" t="str">
        <f>IFERROR((TOWER_DATA[[#This Row],[D, bottom '[m']]]+TOWER_DATA[[#This Row],[D, top '[m']]])/(2*TOWER_DATA[[#This Row],[t '[mm']]]/1000),"")</f>
        <v/>
      </c>
      <c r="DO671" s="209"/>
      <c r="DP671" s="209"/>
      <c r="DQ671" s="187"/>
      <c r="DT671" s="99"/>
      <c r="DU671" s="99"/>
    </row>
    <row r="672" spans="1:125" ht="18" customHeight="1">
      <c r="A672" s="271"/>
      <c r="D672" s="280"/>
      <c r="E672" s="52"/>
      <c r="N672" s="210"/>
      <c r="Q672" s="209"/>
      <c r="R672" s="209"/>
      <c r="S672" s="187"/>
      <c r="AV672" s="233" t="str">
        <f>IFERROR(TP_DATA[[#This Row],[Top '[m']]]-TP_DATA[[#This Row],[Bottom '[m']]], "")</f>
        <v/>
      </c>
      <c r="AW672" s="208"/>
      <c r="AX672" s="209"/>
      <c r="AY672" s="240"/>
      <c r="BB672" s="99"/>
      <c r="BC672" s="99"/>
      <c r="BD672" s="187"/>
      <c r="CH672" s="53" t="str">
        <f>IFERROR(TOWER_DATA[[#This Row],[Top '[m']]]-TOWER_DATA[[#This Row],[Bottom '[m']]], "")</f>
        <v/>
      </c>
      <c r="CI672" s="217" t="str">
        <f>IFERROR(-(TOWER_DATA[[#This Row],[D, bottom '[m']]]-TOWER_DATA[[#This Row],[D, top '[m']]])/(TOWER_DATA[[#This Row],[Bottom '[m']]]-TOWER_DATA[[#This Row],[Top '[m']]]),"")</f>
        <v/>
      </c>
      <c r="CJ672" s="145" t="str">
        <f t="shared" si="23"/>
        <v/>
      </c>
      <c r="CK672" s="220" t="str">
        <f>IFERROR((TOWER_DATA[[#This Row],[D, bottom '[m']]]+TOWER_DATA[[#This Row],[D, top '[m']]])/(2*TOWER_DATA[[#This Row],[t '[mm']]]/1000),"")</f>
        <v/>
      </c>
      <c r="DP672" s="209"/>
      <c r="DQ672" s="187"/>
      <c r="DT672" s="99"/>
      <c r="DU672" s="99"/>
    </row>
    <row r="673" spans="1:125" ht="18" customHeight="1">
      <c r="A673" s="271"/>
      <c r="D673" s="280"/>
      <c r="E673" s="52"/>
      <c r="N673" s="210"/>
      <c r="Q673" s="209"/>
      <c r="R673" s="209"/>
      <c r="S673" s="187"/>
      <c r="AV673" s="233" t="str">
        <f>IFERROR(TP_DATA[[#This Row],[Top '[m']]]-TP_DATA[[#This Row],[Bottom '[m']]], "")</f>
        <v/>
      </c>
      <c r="AW673" s="208"/>
      <c r="AX673" s="209"/>
      <c r="AY673" s="240"/>
      <c r="BB673" s="99"/>
      <c r="BC673" s="99"/>
      <c r="BD673" s="187"/>
      <c r="CH673" s="53" t="str">
        <f>IFERROR(TOWER_DATA[[#This Row],[Top '[m']]]-TOWER_DATA[[#This Row],[Bottom '[m']]], "")</f>
        <v/>
      </c>
      <c r="CI673" s="217" t="str">
        <f>IFERROR(-(TOWER_DATA[[#This Row],[D, bottom '[m']]]-TOWER_DATA[[#This Row],[D, top '[m']]])/(TOWER_DATA[[#This Row],[Bottom '[m']]]-TOWER_DATA[[#This Row],[Top '[m']]]),"")</f>
        <v/>
      </c>
      <c r="CJ673" s="145" t="str">
        <f t="shared" si="23"/>
        <v/>
      </c>
      <c r="CK673" s="220" t="str">
        <f>IFERROR((TOWER_DATA[[#This Row],[D, bottom '[m']]]+TOWER_DATA[[#This Row],[D, top '[m']]])/(2*TOWER_DATA[[#This Row],[t '[mm']]]/1000),"")</f>
        <v/>
      </c>
      <c r="DP673" s="209"/>
      <c r="DQ673" s="187"/>
      <c r="DT673" s="99"/>
      <c r="DU673" s="99"/>
    </row>
    <row r="674" spans="1:125" ht="18" customHeight="1">
      <c r="A674" s="271"/>
      <c r="D674" s="280"/>
      <c r="E674" s="52"/>
      <c r="N674" s="210"/>
      <c r="Q674" s="209"/>
      <c r="R674" s="209"/>
      <c r="S674" s="187"/>
      <c r="AV674" s="233" t="str">
        <f>IFERROR(TP_DATA[[#This Row],[Top '[m']]]-TP_DATA[[#This Row],[Bottom '[m']]], "")</f>
        <v/>
      </c>
      <c r="AW674" s="208"/>
      <c r="AX674" s="209"/>
      <c r="AY674" s="240"/>
      <c r="BB674" s="99"/>
      <c r="BC674" s="99"/>
      <c r="BD674" s="187"/>
      <c r="CH674" s="53" t="str">
        <f>IFERROR(TOWER_DATA[[#This Row],[Top '[m']]]-TOWER_DATA[[#This Row],[Bottom '[m']]], "")</f>
        <v/>
      </c>
      <c r="CI674" s="217" t="str">
        <f>IFERROR(-(TOWER_DATA[[#This Row],[D, bottom '[m']]]-TOWER_DATA[[#This Row],[D, top '[m']]])/(TOWER_DATA[[#This Row],[Bottom '[m']]]-TOWER_DATA[[#This Row],[Top '[m']]]),"")</f>
        <v/>
      </c>
      <c r="CJ674" s="145" t="str">
        <f t="shared" si="23"/>
        <v/>
      </c>
      <c r="CK674" s="220" t="str">
        <f>IFERROR((TOWER_DATA[[#This Row],[D, bottom '[m']]]+TOWER_DATA[[#This Row],[D, top '[m']]])/(2*TOWER_DATA[[#This Row],[t '[mm']]]/1000),"")</f>
        <v/>
      </c>
      <c r="DP674" s="209"/>
      <c r="DQ674" s="187"/>
      <c r="DT674" s="99"/>
      <c r="DU674" s="99"/>
    </row>
    <row r="675" spans="1:125" ht="18" customHeight="1">
      <c r="A675" s="271"/>
      <c r="D675" s="280"/>
      <c r="E675" s="52"/>
      <c r="N675" s="210"/>
      <c r="Q675" s="209"/>
      <c r="R675" s="209"/>
      <c r="S675" s="187"/>
      <c r="AV675" s="233" t="str">
        <f>IFERROR(TP_DATA[[#This Row],[Top '[m']]]-TP_DATA[[#This Row],[Bottom '[m']]], "")</f>
        <v/>
      </c>
      <c r="AW675" s="208"/>
      <c r="AX675" s="209"/>
      <c r="AY675" s="240"/>
      <c r="BB675" s="99"/>
      <c r="BC675" s="99"/>
      <c r="BD675" s="187"/>
      <c r="CH675" s="53" t="str">
        <f>IFERROR(TOWER_DATA[[#This Row],[Top '[m']]]-TOWER_DATA[[#This Row],[Bottom '[m']]], "")</f>
        <v/>
      </c>
      <c r="CI675" s="217" t="str">
        <f>IFERROR(-(TOWER_DATA[[#This Row],[D, bottom '[m']]]-TOWER_DATA[[#This Row],[D, top '[m']]])/(TOWER_DATA[[#This Row],[Bottom '[m']]]-TOWER_DATA[[#This Row],[Top '[m']]]),"")</f>
        <v/>
      </c>
      <c r="CJ675" s="145" t="str">
        <f t="shared" si="23"/>
        <v/>
      </c>
      <c r="CK675" s="220" t="str">
        <f>IFERROR((TOWER_DATA[[#This Row],[D, bottom '[m']]]+TOWER_DATA[[#This Row],[D, top '[m']]])/(2*TOWER_DATA[[#This Row],[t '[mm']]]/1000),"")</f>
        <v/>
      </c>
      <c r="DP675" s="209"/>
      <c r="DQ675" s="187"/>
      <c r="DT675" s="99"/>
      <c r="DU675" s="99"/>
    </row>
    <row r="676" spans="1:125" ht="18" customHeight="1">
      <c r="A676" s="271"/>
      <c r="D676" s="280"/>
      <c r="E676" s="52"/>
      <c r="N676" s="210"/>
      <c r="Q676" s="209"/>
      <c r="R676" s="209"/>
      <c r="S676" s="187"/>
      <c r="AV676" s="233" t="str">
        <f>IFERROR(TP_DATA[[#This Row],[Top '[m']]]-TP_DATA[[#This Row],[Bottom '[m']]], "")</f>
        <v/>
      </c>
      <c r="AW676" s="208"/>
      <c r="AX676" s="209"/>
      <c r="AY676" s="240"/>
      <c r="BB676" s="99"/>
      <c r="BC676" s="99"/>
      <c r="BD676" s="187"/>
      <c r="CH676" s="53" t="str">
        <f>IFERROR(TOWER_DATA[[#This Row],[Top '[m']]]-TOWER_DATA[[#This Row],[Bottom '[m']]], "")</f>
        <v/>
      </c>
      <c r="CI676" s="217" t="str">
        <f>IFERROR(-(TOWER_DATA[[#This Row],[D, bottom '[m']]]-TOWER_DATA[[#This Row],[D, top '[m']]])/(TOWER_DATA[[#This Row],[Bottom '[m']]]-TOWER_DATA[[#This Row],[Top '[m']]]),"")</f>
        <v/>
      </c>
      <c r="CJ676" s="145" t="str">
        <f t="shared" si="23"/>
        <v/>
      </c>
      <c r="CK676" s="220" t="str">
        <f>IFERROR((TOWER_DATA[[#This Row],[D, bottom '[m']]]+TOWER_DATA[[#This Row],[D, top '[m']]])/(2*TOWER_DATA[[#This Row],[t '[mm']]]/1000),"")</f>
        <v/>
      </c>
      <c r="DP676" s="209"/>
      <c r="DQ676" s="187"/>
      <c r="DT676" s="99"/>
      <c r="DU676" s="99"/>
    </row>
    <row r="677" spans="1:125" ht="18" customHeight="1">
      <c r="A677" s="271"/>
      <c r="D677" s="280"/>
      <c r="E677" s="52"/>
      <c r="N677" s="210"/>
      <c r="Q677" s="209"/>
      <c r="R677" s="209"/>
      <c r="S677" s="187"/>
      <c r="AV677" s="233" t="str">
        <f>IFERROR(TP_DATA[[#This Row],[Top '[m']]]-TP_DATA[[#This Row],[Bottom '[m']]], "")</f>
        <v/>
      </c>
      <c r="AW677" s="208"/>
      <c r="AX677" s="209"/>
      <c r="AY677" s="240"/>
      <c r="BB677" s="99"/>
      <c r="BC677" s="99"/>
      <c r="BD677" s="187"/>
      <c r="CH677" s="53" t="str">
        <f>IFERROR(TOWER_DATA[[#This Row],[Top '[m']]]-TOWER_DATA[[#This Row],[Bottom '[m']]], "")</f>
        <v/>
      </c>
      <c r="CI677" s="217" t="str">
        <f>IFERROR(-(TOWER_DATA[[#This Row],[D, bottom '[m']]]-TOWER_DATA[[#This Row],[D, top '[m']]])/(TOWER_DATA[[#This Row],[Bottom '[m']]]-TOWER_DATA[[#This Row],[Top '[m']]]),"")</f>
        <v/>
      </c>
      <c r="CJ677" s="145" t="str">
        <f t="shared" si="23"/>
        <v/>
      </c>
      <c r="CK677" s="220" t="str">
        <f>IFERROR((TOWER_DATA[[#This Row],[D, bottom '[m']]]+TOWER_DATA[[#This Row],[D, top '[m']]])/(2*TOWER_DATA[[#This Row],[t '[mm']]]/1000),"")</f>
        <v/>
      </c>
      <c r="DP677" s="209"/>
      <c r="DQ677" s="187"/>
      <c r="DT677" s="99"/>
      <c r="DU677" s="99"/>
    </row>
    <row r="678" spans="1:125" ht="18" customHeight="1">
      <c r="A678" s="271"/>
      <c r="D678" s="280"/>
      <c r="E678" s="52"/>
      <c r="N678" s="210"/>
      <c r="Q678" s="209"/>
      <c r="R678" s="209"/>
      <c r="S678" s="187"/>
      <c r="AV678" s="233" t="str">
        <f>IFERROR(TP_DATA[[#This Row],[Top '[m']]]-TP_DATA[[#This Row],[Bottom '[m']]], "")</f>
        <v/>
      </c>
      <c r="AW678" s="208"/>
      <c r="AX678" s="209"/>
      <c r="AY678" s="240"/>
      <c r="BB678" s="99"/>
      <c r="BC678" s="99"/>
      <c r="BD678" s="187"/>
      <c r="CH678" s="53" t="str">
        <f>IFERROR(TOWER_DATA[[#This Row],[Top '[m']]]-TOWER_DATA[[#This Row],[Bottom '[m']]], "")</f>
        <v/>
      </c>
      <c r="CI678" s="217" t="str">
        <f>IFERROR(-(TOWER_DATA[[#This Row],[D, bottom '[m']]]-TOWER_DATA[[#This Row],[D, top '[m']]])/(TOWER_DATA[[#This Row],[Bottom '[m']]]-TOWER_DATA[[#This Row],[Top '[m']]]),"")</f>
        <v/>
      </c>
      <c r="CJ678" s="145" t="str">
        <f t="shared" si="23"/>
        <v/>
      </c>
      <c r="CK678" s="220" t="str">
        <f>IFERROR((TOWER_DATA[[#This Row],[D, bottom '[m']]]+TOWER_DATA[[#This Row],[D, top '[m']]])/(2*TOWER_DATA[[#This Row],[t '[mm']]]/1000),"")</f>
        <v/>
      </c>
      <c r="DP678" s="209"/>
      <c r="DQ678" s="187"/>
      <c r="DT678" s="99"/>
      <c r="DU678" s="99"/>
    </row>
    <row r="679" spans="1:125" ht="18" customHeight="1">
      <c r="A679" s="271"/>
      <c r="D679" s="280"/>
      <c r="E679" s="52"/>
      <c r="N679" s="210"/>
      <c r="Q679" s="209"/>
      <c r="R679" s="209"/>
      <c r="S679" s="187"/>
      <c r="AV679" s="233" t="str">
        <f>IFERROR(TP_DATA[[#This Row],[Top '[m']]]-TP_DATA[[#This Row],[Bottom '[m']]], "")</f>
        <v/>
      </c>
      <c r="AW679" s="208"/>
      <c r="AX679" s="209"/>
      <c r="AY679" s="240"/>
      <c r="BB679" s="99"/>
      <c r="BC679" s="99"/>
      <c r="BD679" s="187"/>
      <c r="CH679" s="53" t="str">
        <f>IFERROR(TOWER_DATA[[#This Row],[Top '[m']]]-TOWER_DATA[[#This Row],[Bottom '[m']]], "")</f>
        <v/>
      </c>
      <c r="CI679" s="217" t="str">
        <f>IFERROR(-(TOWER_DATA[[#This Row],[D, bottom '[m']]]-TOWER_DATA[[#This Row],[D, top '[m']]])/(TOWER_DATA[[#This Row],[Bottom '[m']]]-TOWER_DATA[[#This Row],[Top '[m']]]),"")</f>
        <v/>
      </c>
      <c r="CJ679" s="145" t="str">
        <f t="shared" si="23"/>
        <v/>
      </c>
      <c r="CK679" s="220" t="str">
        <f>IFERROR((TOWER_DATA[[#This Row],[D, bottom '[m']]]+TOWER_DATA[[#This Row],[D, top '[m']]])/(2*TOWER_DATA[[#This Row],[t '[mm']]]/1000),"")</f>
        <v/>
      </c>
      <c r="DP679" s="209"/>
      <c r="DQ679" s="187"/>
      <c r="DT679" s="99"/>
      <c r="DU679" s="99"/>
    </row>
    <row r="680" spans="1:125" ht="18" customHeight="1">
      <c r="A680" s="271"/>
      <c r="D680" s="280"/>
      <c r="E680" s="52"/>
      <c r="N680" s="210"/>
      <c r="Q680" s="209"/>
      <c r="R680" s="209"/>
      <c r="S680" s="187"/>
      <c r="AV680" s="233" t="str">
        <f>IFERROR(TP_DATA[[#This Row],[Top '[m']]]-TP_DATA[[#This Row],[Bottom '[m']]], "")</f>
        <v/>
      </c>
      <c r="AW680" s="208"/>
      <c r="AX680" s="209"/>
      <c r="AY680" s="240"/>
      <c r="BB680" s="99"/>
      <c r="BC680" s="99"/>
      <c r="BD680" s="187"/>
      <c r="CH680" s="53" t="str">
        <f>IFERROR(TOWER_DATA[[#This Row],[Top '[m']]]-TOWER_DATA[[#This Row],[Bottom '[m']]], "")</f>
        <v/>
      </c>
      <c r="CI680" s="217" t="str">
        <f>IFERROR(-(TOWER_DATA[[#This Row],[D, bottom '[m']]]-TOWER_DATA[[#This Row],[D, top '[m']]])/(TOWER_DATA[[#This Row],[Bottom '[m']]]-TOWER_DATA[[#This Row],[Top '[m']]]),"")</f>
        <v/>
      </c>
      <c r="CJ680" s="145" t="str">
        <f t="shared" si="23"/>
        <v/>
      </c>
      <c r="CK680" s="220" t="str">
        <f>IFERROR((TOWER_DATA[[#This Row],[D, bottom '[m']]]+TOWER_DATA[[#This Row],[D, top '[m']]])/(2*TOWER_DATA[[#This Row],[t '[mm']]]/1000),"")</f>
        <v/>
      </c>
      <c r="DP680" s="209"/>
      <c r="DQ680" s="187"/>
      <c r="DT680" s="99"/>
      <c r="DU680" s="99"/>
    </row>
    <row r="681" spans="1:125" ht="18" customHeight="1">
      <c r="A681" s="271"/>
      <c r="D681" s="280"/>
      <c r="E681" s="52"/>
      <c r="N681" s="210"/>
      <c r="Q681" s="209"/>
      <c r="R681" s="209"/>
      <c r="S681" s="187"/>
      <c r="AV681" s="233" t="str">
        <f>IFERROR(TP_DATA[[#This Row],[Top '[m']]]-TP_DATA[[#This Row],[Bottom '[m']]], "")</f>
        <v/>
      </c>
      <c r="AW681" s="208"/>
      <c r="AX681" s="209"/>
      <c r="AY681" s="240"/>
      <c r="BB681" s="99"/>
      <c r="BC681" s="99"/>
      <c r="BD681" s="187"/>
      <c r="CH681" s="53" t="str">
        <f>IFERROR(TOWER_DATA[[#This Row],[Top '[m']]]-TOWER_DATA[[#This Row],[Bottom '[m']]], "")</f>
        <v/>
      </c>
      <c r="CI681" s="217" t="str">
        <f>IFERROR(-(TOWER_DATA[[#This Row],[D, bottom '[m']]]-TOWER_DATA[[#This Row],[D, top '[m']]])/(TOWER_DATA[[#This Row],[Bottom '[m']]]-TOWER_DATA[[#This Row],[Top '[m']]]),"")</f>
        <v/>
      </c>
      <c r="CJ681" s="145" t="str">
        <f t="shared" si="23"/>
        <v/>
      </c>
      <c r="CK681" s="220" t="str">
        <f>IFERROR((TOWER_DATA[[#This Row],[D, bottom '[m']]]+TOWER_DATA[[#This Row],[D, top '[m']]])/(2*TOWER_DATA[[#This Row],[t '[mm']]]/1000),"")</f>
        <v/>
      </c>
      <c r="DP681" s="209"/>
      <c r="DQ681" s="187"/>
      <c r="DT681" s="99"/>
      <c r="DU681" s="99"/>
    </row>
    <row r="682" spans="1:125" ht="18" customHeight="1">
      <c r="A682" s="271"/>
      <c r="D682" s="280"/>
      <c r="E682" s="52"/>
      <c r="N682" s="210"/>
      <c r="Q682" s="209"/>
      <c r="R682" s="209"/>
      <c r="S682" s="187"/>
      <c r="AV682" s="233" t="str">
        <f>IFERROR(TP_DATA[[#This Row],[Top '[m']]]-TP_DATA[[#This Row],[Bottom '[m']]], "")</f>
        <v/>
      </c>
      <c r="AW682" s="208"/>
      <c r="AX682" s="209"/>
      <c r="AY682" s="240"/>
      <c r="BB682" s="99"/>
      <c r="BC682" s="99"/>
      <c r="BD682" s="187"/>
      <c r="CH682" s="53" t="str">
        <f>IFERROR(TOWER_DATA[[#This Row],[Top '[m']]]-TOWER_DATA[[#This Row],[Bottom '[m']]], "")</f>
        <v/>
      </c>
      <c r="CI682" s="217" t="str">
        <f>IFERROR(-(TOWER_DATA[[#This Row],[D, bottom '[m']]]-TOWER_DATA[[#This Row],[D, top '[m']]])/(TOWER_DATA[[#This Row],[Bottom '[m']]]-TOWER_DATA[[#This Row],[Top '[m']]]),"")</f>
        <v/>
      </c>
      <c r="CJ682" s="145" t="str">
        <f t="shared" si="23"/>
        <v/>
      </c>
      <c r="CK682" s="220" t="str">
        <f>IFERROR((TOWER_DATA[[#This Row],[D, bottom '[m']]]+TOWER_DATA[[#This Row],[D, top '[m']]])/(2*TOWER_DATA[[#This Row],[t '[mm']]]/1000),"")</f>
        <v/>
      </c>
      <c r="DP682" s="209"/>
      <c r="DQ682" s="187"/>
      <c r="DT682" s="99"/>
      <c r="DU682" s="99"/>
    </row>
    <row r="683" spans="1:125" ht="18" customHeight="1">
      <c r="A683" s="271"/>
      <c r="D683" s="280"/>
      <c r="E683" s="52"/>
      <c r="N683" s="210"/>
      <c r="Q683" s="209"/>
      <c r="R683" s="209"/>
      <c r="S683" s="187"/>
      <c r="AV683" s="233" t="str">
        <f>IFERROR(TP_DATA[[#This Row],[Top '[m']]]-TP_DATA[[#This Row],[Bottom '[m']]], "")</f>
        <v/>
      </c>
      <c r="AW683" s="208"/>
      <c r="AX683" s="209"/>
      <c r="AY683" s="240"/>
      <c r="BB683" s="99"/>
      <c r="BC683" s="99"/>
      <c r="BD683" s="187"/>
      <c r="CH683" s="53" t="str">
        <f>IFERROR(TOWER_DATA[[#This Row],[Top '[m']]]-TOWER_DATA[[#This Row],[Bottom '[m']]], "")</f>
        <v/>
      </c>
      <c r="CI683" s="217" t="str">
        <f>IFERROR(-(TOWER_DATA[[#This Row],[D, bottom '[m']]]-TOWER_DATA[[#This Row],[D, top '[m']]])/(TOWER_DATA[[#This Row],[Bottom '[m']]]-TOWER_DATA[[#This Row],[Top '[m']]]),"")</f>
        <v/>
      </c>
      <c r="CJ683" s="145" t="str">
        <f t="shared" si="23"/>
        <v/>
      </c>
      <c r="CK683" s="220" t="str">
        <f>IFERROR((TOWER_DATA[[#This Row],[D, bottom '[m']]]+TOWER_DATA[[#This Row],[D, top '[m']]])/(2*TOWER_DATA[[#This Row],[t '[mm']]]/1000),"")</f>
        <v/>
      </c>
      <c r="DP683" s="209"/>
      <c r="DQ683" s="187"/>
      <c r="DT683" s="99"/>
      <c r="DU683" s="99"/>
    </row>
    <row r="684" spans="1:125" ht="18" customHeight="1">
      <c r="A684" s="271"/>
      <c r="D684" s="280"/>
      <c r="E684" s="52"/>
      <c r="N684" s="210"/>
      <c r="Q684" s="209"/>
      <c r="R684" s="209"/>
      <c r="S684" s="187"/>
      <c r="AV684" s="233" t="str">
        <f>IFERROR(TP_DATA[[#This Row],[Top '[m']]]-TP_DATA[[#This Row],[Bottom '[m']]], "")</f>
        <v/>
      </c>
      <c r="AW684" s="208"/>
      <c r="AX684" s="209"/>
      <c r="AY684" s="240"/>
      <c r="BB684" s="99"/>
      <c r="BC684" s="99"/>
      <c r="BD684" s="187"/>
      <c r="CH684" s="53" t="str">
        <f>IFERROR(TOWER_DATA[[#This Row],[Top '[m']]]-TOWER_DATA[[#This Row],[Bottom '[m']]], "")</f>
        <v/>
      </c>
      <c r="CI684" s="217" t="str">
        <f>IFERROR(-(TOWER_DATA[[#This Row],[D, bottom '[m']]]-TOWER_DATA[[#This Row],[D, top '[m']]])/(TOWER_DATA[[#This Row],[Bottom '[m']]]-TOWER_DATA[[#This Row],[Top '[m']]]),"")</f>
        <v/>
      </c>
      <c r="CJ684" s="145" t="str">
        <f t="shared" si="23"/>
        <v/>
      </c>
      <c r="CK684" s="220" t="str">
        <f>IFERROR((TOWER_DATA[[#This Row],[D, bottom '[m']]]+TOWER_DATA[[#This Row],[D, top '[m']]])/(2*TOWER_DATA[[#This Row],[t '[mm']]]/1000),"")</f>
        <v/>
      </c>
      <c r="DP684" s="209"/>
      <c r="DQ684" s="187"/>
      <c r="DT684" s="99"/>
      <c r="DU684" s="99"/>
    </row>
    <row r="685" spans="1:125" ht="18" customHeight="1">
      <c r="A685" s="271"/>
      <c r="D685" s="280"/>
      <c r="E685" s="52"/>
      <c r="N685" s="210"/>
      <c r="Q685" s="209"/>
      <c r="R685" s="209"/>
      <c r="S685" s="187"/>
      <c r="AV685" s="233" t="str">
        <f>IFERROR(TP_DATA[[#This Row],[Top '[m']]]-TP_DATA[[#This Row],[Bottom '[m']]], "")</f>
        <v/>
      </c>
      <c r="AW685" s="208"/>
      <c r="AX685" s="209"/>
      <c r="AY685" s="240"/>
      <c r="BB685" s="99"/>
      <c r="BC685" s="99"/>
      <c r="BD685" s="187"/>
      <c r="CH685" s="53" t="str">
        <f>IFERROR(TOWER_DATA[[#This Row],[Top '[m']]]-TOWER_DATA[[#This Row],[Bottom '[m']]], "")</f>
        <v/>
      </c>
      <c r="CI685" s="217" t="str">
        <f>IFERROR(-(TOWER_DATA[[#This Row],[D, bottom '[m']]]-TOWER_DATA[[#This Row],[D, top '[m']]])/(TOWER_DATA[[#This Row],[Bottom '[m']]]-TOWER_DATA[[#This Row],[Top '[m']]]),"")</f>
        <v/>
      </c>
      <c r="CJ685" s="145" t="str">
        <f t="shared" si="23"/>
        <v/>
      </c>
      <c r="CK685" s="220" t="str">
        <f>IFERROR((TOWER_DATA[[#This Row],[D, bottom '[m']]]+TOWER_DATA[[#This Row],[D, top '[m']]])/(2*TOWER_DATA[[#This Row],[t '[mm']]]/1000),"")</f>
        <v/>
      </c>
      <c r="DP685" s="209"/>
      <c r="DQ685" s="187"/>
      <c r="DT685" s="99"/>
      <c r="DU685" s="99"/>
    </row>
    <row r="686" spans="1:125" ht="18" customHeight="1">
      <c r="A686" s="271"/>
      <c r="D686" s="280"/>
      <c r="E686" s="52"/>
      <c r="N686" s="210"/>
      <c r="Q686" s="209"/>
      <c r="R686" s="209"/>
      <c r="S686" s="187"/>
      <c r="AV686" s="233" t="str">
        <f>IFERROR(TP_DATA[[#This Row],[Top '[m']]]-TP_DATA[[#This Row],[Bottom '[m']]], "")</f>
        <v/>
      </c>
      <c r="AW686" s="208"/>
      <c r="AX686" s="209"/>
      <c r="AY686" s="240"/>
      <c r="BB686" s="99"/>
      <c r="BC686" s="99"/>
      <c r="BD686" s="187"/>
      <c r="CH686" s="53" t="str">
        <f>IFERROR(TOWER_DATA[[#This Row],[Top '[m']]]-TOWER_DATA[[#This Row],[Bottom '[m']]], "")</f>
        <v/>
      </c>
      <c r="CI686" s="217" t="str">
        <f>IFERROR(-(TOWER_DATA[[#This Row],[D, bottom '[m']]]-TOWER_DATA[[#This Row],[D, top '[m']]])/(TOWER_DATA[[#This Row],[Bottom '[m']]]-TOWER_DATA[[#This Row],[Top '[m']]]),"")</f>
        <v/>
      </c>
      <c r="CJ686" s="145" t="str">
        <f t="shared" si="23"/>
        <v/>
      </c>
      <c r="CK686" s="220" t="str">
        <f>IFERROR((TOWER_DATA[[#This Row],[D, bottom '[m']]]+TOWER_DATA[[#This Row],[D, top '[m']]])/(2*TOWER_DATA[[#This Row],[t '[mm']]]/1000),"")</f>
        <v/>
      </c>
      <c r="DP686" s="209"/>
      <c r="DQ686" s="187"/>
      <c r="DT686" s="99"/>
      <c r="DU686" s="99"/>
    </row>
    <row r="687" spans="1:125" ht="18" customHeight="1">
      <c r="A687" s="271"/>
      <c r="D687" s="280"/>
      <c r="E687" s="52"/>
      <c r="N687" s="210"/>
      <c r="Q687" s="209"/>
      <c r="R687" s="209"/>
      <c r="S687" s="187"/>
      <c r="AV687" s="233" t="str">
        <f>IFERROR(TP_DATA[[#This Row],[Top '[m']]]-TP_DATA[[#This Row],[Bottom '[m']]], "")</f>
        <v/>
      </c>
      <c r="AW687" s="208"/>
      <c r="AX687" s="209"/>
      <c r="AY687" s="240"/>
      <c r="BB687" s="99"/>
      <c r="BC687" s="99"/>
      <c r="BD687" s="187"/>
      <c r="CH687" s="53" t="str">
        <f>IFERROR(TOWER_DATA[[#This Row],[Top '[m']]]-TOWER_DATA[[#This Row],[Bottom '[m']]], "")</f>
        <v/>
      </c>
      <c r="CI687" s="217" t="str">
        <f>IFERROR(-(TOWER_DATA[[#This Row],[D, bottom '[m']]]-TOWER_DATA[[#This Row],[D, top '[m']]])/(TOWER_DATA[[#This Row],[Bottom '[m']]]-TOWER_DATA[[#This Row],[Top '[m']]]),"")</f>
        <v/>
      </c>
      <c r="CJ687" s="145" t="str">
        <f t="shared" si="23"/>
        <v/>
      </c>
      <c r="CK687" s="220" t="str">
        <f>IFERROR((TOWER_DATA[[#This Row],[D, bottom '[m']]]+TOWER_DATA[[#This Row],[D, top '[m']]])/(2*TOWER_DATA[[#This Row],[t '[mm']]]/1000),"")</f>
        <v/>
      </c>
      <c r="DP687" s="209"/>
      <c r="DQ687" s="187"/>
      <c r="DT687" s="99"/>
      <c r="DU687" s="99"/>
    </row>
    <row r="688" spans="1:125" ht="18" customHeight="1">
      <c r="A688" s="271"/>
      <c r="D688" s="280"/>
      <c r="E688" s="52"/>
      <c r="N688" s="210"/>
      <c r="Q688" s="209"/>
      <c r="R688" s="209"/>
      <c r="S688" s="187"/>
      <c r="AV688" s="233" t="str">
        <f>IFERROR(TP_DATA[[#This Row],[Top '[m']]]-TP_DATA[[#This Row],[Bottom '[m']]], "")</f>
        <v/>
      </c>
      <c r="AW688" s="208"/>
      <c r="AX688" s="209"/>
      <c r="AY688" s="240"/>
      <c r="BB688" s="99"/>
      <c r="BC688" s="99"/>
      <c r="BD688" s="187"/>
      <c r="CH688" s="53" t="str">
        <f>IFERROR(TOWER_DATA[[#This Row],[Top '[m']]]-TOWER_DATA[[#This Row],[Bottom '[m']]], "")</f>
        <v/>
      </c>
      <c r="CI688" s="217" t="str">
        <f>IFERROR(-(TOWER_DATA[[#This Row],[D, bottom '[m']]]-TOWER_DATA[[#This Row],[D, top '[m']]])/(TOWER_DATA[[#This Row],[Bottom '[m']]]-TOWER_DATA[[#This Row],[Top '[m']]]),"")</f>
        <v/>
      </c>
      <c r="CJ688" s="145" t="str">
        <f t="shared" si="23"/>
        <v/>
      </c>
      <c r="CK688" s="220" t="str">
        <f>IFERROR((TOWER_DATA[[#This Row],[D, bottom '[m']]]+TOWER_DATA[[#This Row],[D, top '[m']]])/(2*TOWER_DATA[[#This Row],[t '[mm']]]/1000),"")</f>
        <v/>
      </c>
      <c r="DP688" s="209"/>
      <c r="DQ688" s="187"/>
      <c r="DT688" s="99"/>
      <c r="DU688" s="99"/>
    </row>
    <row r="689" spans="1:125" ht="18" customHeight="1">
      <c r="A689" s="271"/>
      <c r="D689" s="280"/>
      <c r="E689" s="52"/>
      <c r="N689" s="210"/>
      <c r="Q689" s="209"/>
      <c r="R689" s="209"/>
      <c r="S689" s="187"/>
      <c r="AV689" s="233" t="str">
        <f>IFERROR(TP_DATA[[#This Row],[Top '[m']]]-TP_DATA[[#This Row],[Bottom '[m']]], "")</f>
        <v/>
      </c>
      <c r="AW689" s="208"/>
      <c r="AX689" s="209"/>
      <c r="AY689" s="240"/>
      <c r="BB689" s="99"/>
      <c r="BC689" s="99"/>
      <c r="BD689" s="187"/>
      <c r="CH689" s="53" t="str">
        <f>IFERROR(TOWER_DATA[[#This Row],[Top '[m']]]-TOWER_DATA[[#This Row],[Bottom '[m']]], "")</f>
        <v/>
      </c>
      <c r="CI689" s="217" t="str">
        <f>IFERROR(-(TOWER_DATA[[#This Row],[D, bottom '[m']]]-TOWER_DATA[[#This Row],[D, top '[m']]])/(TOWER_DATA[[#This Row],[Bottom '[m']]]-TOWER_DATA[[#This Row],[Top '[m']]]),"")</f>
        <v/>
      </c>
      <c r="CJ689" s="145" t="str">
        <f t="shared" ref="CJ689:CJ752" si="24">IF(7850/1000*(1/3)*PI()*ABS(CC689-CD689)*((CE689/2)^2+(CE689/2)*(CF689/2)+(CF689/2)^2-(CE689/2-CG689/1000)^2-(CE689/2-CG689/1000)*(CF689/2-CG689/1000)-(CF689/2-CG689/1000)^2)=0,"",7850/1000*(1/3)*PI()*ABS(CC689-CD689)*((CE689/2)^2+(CE689/2)*(CF689/2)+(CF689/2)^2-(CE689/2-CG689/1000)^2-(CE689/2-CG689/1000)*(CF689/2-CG689/1000)-(CF689/2-CG689/1000)^2))</f>
        <v/>
      </c>
      <c r="CK689" s="220" t="str">
        <f>IFERROR((TOWER_DATA[[#This Row],[D, bottom '[m']]]+TOWER_DATA[[#This Row],[D, top '[m']]])/(2*TOWER_DATA[[#This Row],[t '[mm']]]/1000),"")</f>
        <v/>
      </c>
      <c r="DP689" s="209"/>
      <c r="DQ689" s="187"/>
      <c r="DT689" s="99"/>
      <c r="DU689" s="99"/>
    </row>
    <row r="690" spans="1:125" ht="18" customHeight="1">
      <c r="A690" s="271"/>
      <c r="D690" s="280"/>
      <c r="E690" s="52"/>
      <c r="N690" s="210"/>
      <c r="Q690" s="209"/>
      <c r="R690" s="209"/>
      <c r="S690" s="187"/>
      <c r="AV690" s="233" t="str">
        <f>IFERROR(TP_DATA[[#This Row],[Top '[m']]]-TP_DATA[[#This Row],[Bottom '[m']]], "")</f>
        <v/>
      </c>
      <c r="AW690" s="208"/>
      <c r="AX690" s="209"/>
      <c r="AY690" s="240"/>
      <c r="BB690" s="99"/>
      <c r="BC690" s="99"/>
      <c r="BD690" s="187"/>
      <c r="CH690" s="53" t="str">
        <f>IFERROR(TOWER_DATA[[#This Row],[Top '[m']]]-TOWER_DATA[[#This Row],[Bottom '[m']]], "")</f>
        <v/>
      </c>
      <c r="CI690" s="217" t="str">
        <f>IFERROR(-(TOWER_DATA[[#This Row],[D, bottom '[m']]]-TOWER_DATA[[#This Row],[D, top '[m']]])/(TOWER_DATA[[#This Row],[Bottom '[m']]]-TOWER_DATA[[#This Row],[Top '[m']]]),"")</f>
        <v/>
      </c>
      <c r="CJ690" s="145" t="str">
        <f t="shared" si="24"/>
        <v/>
      </c>
      <c r="CK690" s="220" t="str">
        <f>IFERROR((TOWER_DATA[[#This Row],[D, bottom '[m']]]+TOWER_DATA[[#This Row],[D, top '[m']]])/(2*TOWER_DATA[[#This Row],[t '[mm']]]/1000),"")</f>
        <v/>
      </c>
      <c r="DP690" s="209"/>
      <c r="DQ690" s="187"/>
      <c r="DT690" s="99"/>
      <c r="DU690" s="99"/>
    </row>
    <row r="691" spans="1:125" ht="18" customHeight="1">
      <c r="A691" s="271"/>
      <c r="D691" s="280"/>
      <c r="E691" s="52"/>
      <c r="N691" s="210"/>
      <c r="Q691" s="209"/>
      <c r="R691" s="209"/>
      <c r="S691" s="187"/>
      <c r="AV691" s="233" t="str">
        <f>IFERROR(TP_DATA[[#This Row],[Top '[m']]]-TP_DATA[[#This Row],[Bottom '[m']]], "")</f>
        <v/>
      </c>
      <c r="AW691" s="208"/>
      <c r="AX691" s="209"/>
      <c r="AY691" s="240"/>
      <c r="BB691" s="99"/>
      <c r="BC691" s="99"/>
      <c r="BD691" s="187"/>
      <c r="CH691" s="53" t="str">
        <f>IFERROR(TOWER_DATA[[#This Row],[Top '[m']]]-TOWER_DATA[[#This Row],[Bottom '[m']]], "")</f>
        <v/>
      </c>
      <c r="CI691" s="217" t="str">
        <f>IFERROR(-(TOWER_DATA[[#This Row],[D, bottom '[m']]]-TOWER_DATA[[#This Row],[D, top '[m']]])/(TOWER_DATA[[#This Row],[Bottom '[m']]]-TOWER_DATA[[#This Row],[Top '[m']]]),"")</f>
        <v/>
      </c>
      <c r="CJ691" s="145" t="str">
        <f t="shared" si="24"/>
        <v/>
      </c>
      <c r="CK691" s="220" t="str">
        <f>IFERROR((TOWER_DATA[[#This Row],[D, bottom '[m']]]+TOWER_DATA[[#This Row],[D, top '[m']]])/(2*TOWER_DATA[[#This Row],[t '[mm']]]/1000),"")</f>
        <v/>
      </c>
      <c r="DP691" s="209"/>
      <c r="DQ691" s="187"/>
      <c r="DT691" s="99"/>
      <c r="DU691" s="99"/>
    </row>
    <row r="692" spans="1:125" ht="18" customHeight="1">
      <c r="A692" s="271"/>
      <c r="D692" s="280"/>
      <c r="E692" s="52"/>
      <c r="N692" s="210"/>
      <c r="Q692" s="209"/>
      <c r="R692" s="209"/>
      <c r="S692" s="187"/>
      <c r="AV692" s="233" t="str">
        <f>IFERROR(TP_DATA[[#This Row],[Top '[m']]]-TP_DATA[[#This Row],[Bottom '[m']]], "")</f>
        <v/>
      </c>
      <c r="AW692" s="208"/>
      <c r="AX692" s="209"/>
      <c r="AY692" s="240"/>
      <c r="BB692" s="99"/>
      <c r="BC692" s="99"/>
      <c r="BD692" s="187"/>
      <c r="CH692" s="53" t="str">
        <f>IFERROR(TOWER_DATA[[#This Row],[Top '[m']]]-TOWER_DATA[[#This Row],[Bottom '[m']]], "")</f>
        <v/>
      </c>
      <c r="CI692" s="217" t="str">
        <f>IFERROR(-(TOWER_DATA[[#This Row],[D, bottom '[m']]]-TOWER_DATA[[#This Row],[D, top '[m']]])/(TOWER_DATA[[#This Row],[Bottom '[m']]]-TOWER_DATA[[#This Row],[Top '[m']]]),"")</f>
        <v/>
      </c>
      <c r="CJ692" s="145" t="str">
        <f t="shared" si="24"/>
        <v/>
      </c>
      <c r="CK692" s="220" t="str">
        <f>IFERROR((TOWER_DATA[[#This Row],[D, bottom '[m']]]+TOWER_DATA[[#This Row],[D, top '[m']]])/(2*TOWER_DATA[[#This Row],[t '[mm']]]/1000),"")</f>
        <v/>
      </c>
      <c r="DP692" s="209"/>
      <c r="DQ692" s="187"/>
      <c r="DT692" s="99"/>
      <c r="DU692" s="99"/>
    </row>
    <row r="693" spans="1:125" ht="18" customHeight="1">
      <c r="A693" s="271"/>
      <c r="D693" s="280"/>
      <c r="E693" s="52"/>
      <c r="N693" s="210"/>
      <c r="Q693" s="209"/>
      <c r="R693" s="209"/>
      <c r="S693" s="187"/>
      <c r="AV693" s="233" t="str">
        <f>IFERROR(TP_DATA[[#This Row],[Top '[m']]]-TP_DATA[[#This Row],[Bottom '[m']]], "")</f>
        <v/>
      </c>
      <c r="AW693" s="208"/>
      <c r="AX693" s="209"/>
      <c r="AY693" s="240"/>
      <c r="BB693" s="99"/>
      <c r="BC693" s="99"/>
      <c r="BD693" s="187"/>
      <c r="CH693" s="53" t="str">
        <f>IFERROR(TOWER_DATA[[#This Row],[Top '[m']]]-TOWER_DATA[[#This Row],[Bottom '[m']]], "")</f>
        <v/>
      </c>
      <c r="CI693" s="217" t="str">
        <f>IFERROR(-(TOWER_DATA[[#This Row],[D, bottom '[m']]]-TOWER_DATA[[#This Row],[D, top '[m']]])/(TOWER_DATA[[#This Row],[Bottom '[m']]]-TOWER_DATA[[#This Row],[Top '[m']]]),"")</f>
        <v/>
      </c>
      <c r="CJ693" s="145" t="str">
        <f t="shared" si="24"/>
        <v/>
      </c>
      <c r="CK693" s="220" t="str">
        <f>IFERROR((TOWER_DATA[[#This Row],[D, bottom '[m']]]+TOWER_DATA[[#This Row],[D, top '[m']]])/(2*TOWER_DATA[[#This Row],[t '[mm']]]/1000),"")</f>
        <v/>
      </c>
      <c r="DP693" s="209"/>
      <c r="DQ693" s="187"/>
      <c r="DT693" s="99"/>
      <c r="DU693" s="99"/>
    </row>
    <row r="694" spans="1:125" ht="18" customHeight="1">
      <c r="A694" s="271"/>
      <c r="D694" s="280"/>
      <c r="E694" s="52"/>
      <c r="N694" s="210"/>
      <c r="Q694" s="209"/>
      <c r="R694" s="209"/>
      <c r="S694" s="187"/>
      <c r="AV694" s="233" t="str">
        <f>IFERROR(TP_DATA[[#This Row],[Top '[m']]]-TP_DATA[[#This Row],[Bottom '[m']]], "")</f>
        <v/>
      </c>
      <c r="AW694" s="208"/>
      <c r="AX694" s="209"/>
      <c r="AY694" s="240"/>
      <c r="BB694" s="99"/>
      <c r="BC694" s="99"/>
      <c r="BD694" s="187"/>
      <c r="CH694" s="53" t="str">
        <f>IFERROR(TOWER_DATA[[#This Row],[Top '[m']]]-TOWER_DATA[[#This Row],[Bottom '[m']]], "")</f>
        <v/>
      </c>
      <c r="CI694" s="217" t="str">
        <f>IFERROR(-(TOWER_DATA[[#This Row],[D, bottom '[m']]]-TOWER_DATA[[#This Row],[D, top '[m']]])/(TOWER_DATA[[#This Row],[Bottom '[m']]]-TOWER_DATA[[#This Row],[Top '[m']]]),"")</f>
        <v/>
      </c>
      <c r="CJ694" s="145" t="str">
        <f t="shared" si="24"/>
        <v/>
      </c>
      <c r="CK694" s="220" t="str">
        <f>IFERROR((TOWER_DATA[[#This Row],[D, bottom '[m']]]+TOWER_DATA[[#This Row],[D, top '[m']]])/(2*TOWER_DATA[[#This Row],[t '[mm']]]/1000),"")</f>
        <v/>
      </c>
      <c r="DP694" s="209"/>
      <c r="DQ694" s="187"/>
      <c r="DT694" s="99"/>
      <c r="DU694" s="99"/>
    </row>
    <row r="695" spans="1:125" ht="18" customHeight="1">
      <c r="A695" s="271"/>
      <c r="D695" s="280"/>
      <c r="E695" s="52"/>
      <c r="N695" s="210"/>
      <c r="Q695" s="209"/>
      <c r="R695" s="209"/>
      <c r="S695" s="187"/>
      <c r="AV695" s="233" t="str">
        <f>IFERROR(TP_DATA[[#This Row],[Top '[m']]]-TP_DATA[[#This Row],[Bottom '[m']]], "")</f>
        <v/>
      </c>
      <c r="AW695" s="208"/>
      <c r="AX695" s="209"/>
      <c r="AY695" s="240"/>
      <c r="BB695" s="99"/>
      <c r="BC695" s="99"/>
      <c r="BD695" s="187"/>
      <c r="CH695" s="53" t="str">
        <f>IFERROR(TOWER_DATA[[#This Row],[Top '[m']]]-TOWER_DATA[[#This Row],[Bottom '[m']]], "")</f>
        <v/>
      </c>
      <c r="CI695" s="217" t="str">
        <f>IFERROR(-(TOWER_DATA[[#This Row],[D, bottom '[m']]]-TOWER_DATA[[#This Row],[D, top '[m']]])/(TOWER_DATA[[#This Row],[Bottom '[m']]]-TOWER_DATA[[#This Row],[Top '[m']]]),"")</f>
        <v/>
      </c>
      <c r="CJ695" s="145" t="str">
        <f t="shared" si="24"/>
        <v/>
      </c>
      <c r="CK695" s="220" t="str">
        <f>IFERROR((TOWER_DATA[[#This Row],[D, bottom '[m']]]+TOWER_DATA[[#This Row],[D, top '[m']]])/(2*TOWER_DATA[[#This Row],[t '[mm']]]/1000),"")</f>
        <v/>
      </c>
      <c r="DP695" s="209"/>
      <c r="DQ695" s="187"/>
      <c r="DT695" s="99"/>
      <c r="DU695" s="99"/>
    </row>
    <row r="696" spans="1:125" ht="18" customHeight="1">
      <c r="A696" s="271"/>
      <c r="D696" s="280"/>
      <c r="E696" s="52"/>
      <c r="N696" s="210"/>
      <c r="Q696" s="209"/>
      <c r="R696" s="209"/>
      <c r="S696" s="187"/>
      <c r="AV696" s="233" t="str">
        <f>IFERROR(TP_DATA[[#This Row],[Top '[m']]]-TP_DATA[[#This Row],[Bottom '[m']]], "")</f>
        <v/>
      </c>
      <c r="AW696" s="208"/>
      <c r="AX696" s="209"/>
      <c r="AY696" s="240"/>
      <c r="BB696" s="99"/>
      <c r="BC696" s="99"/>
      <c r="BD696" s="187"/>
      <c r="CH696" s="53" t="str">
        <f>IFERROR(TOWER_DATA[[#This Row],[Top '[m']]]-TOWER_DATA[[#This Row],[Bottom '[m']]], "")</f>
        <v/>
      </c>
      <c r="CI696" s="217" t="str">
        <f>IFERROR(-(TOWER_DATA[[#This Row],[D, bottom '[m']]]-TOWER_DATA[[#This Row],[D, top '[m']]])/(TOWER_DATA[[#This Row],[Bottom '[m']]]-TOWER_DATA[[#This Row],[Top '[m']]]),"")</f>
        <v/>
      </c>
      <c r="CJ696" s="145" t="str">
        <f t="shared" si="24"/>
        <v/>
      </c>
      <c r="CK696" s="220" t="str">
        <f>IFERROR((TOWER_DATA[[#This Row],[D, bottom '[m']]]+TOWER_DATA[[#This Row],[D, top '[m']]])/(2*TOWER_DATA[[#This Row],[t '[mm']]]/1000),"")</f>
        <v/>
      </c>
      <c r="DP696" s="209"/>
      <c r="DQ696" s="187"/>
      <c r="DT696" s="99"/>
      <c r="DU696" s="99"/>
    </row>
    <row r="697" spans="1:125" ht="18" customHeight="1">
      <c r="A697" s="271"/>
      <c r="D697" s="280"/>
      <c r="E697" s="52"/>
      <c r="N697" s="210"/>
      <c r="Q697" s="209"/>
      <c r="R697" s="209"/>
      <c r="S697" s="187"/>
      <c r="AV697" s="233" t="str">
        <f>IFERROR(TP_DATA[[#This Row],[Top '[m']]]-TP_DATA[[#This Row],[Bottom '[m']]], "")</f>
        <v/>
      </c>
      <c r="AW697" s="208"/>
      <c r="AX697" s="209"/>
      <c r="AY697" s="240"/>
      <c r="BB697" s="99"/>
      <c r="BC697" s="99"/>
      <c r="BD697" s="187"/>
      <c r="CH697" s="53" t="str">
        <f>IFERROR(TOWER_DATA[[#This Row],[Top '[m']]]-TOWER_DATA[[#This Row],[Bottom '[m']]], "")</f>
        <v/>
      </c>
      <c r="CI697" s="217" t="str">
        <f>IFERROR(-(TOWER_DATA[[#This Row],[D, bottom '[m']]]-TOWER_DATA[[#This Row],[D, top '[m']]])/(TOWER_DATA[[#This Row],[Bottom '[m']]]-TOWER_DATA[[#This Row],[Top '[m']]]),"")</f>
        <v/>
      </c>
      <c r="CJ697" s="145" t="str">
        <f t="shared" si="24"/>
        <v/>
      </c>
      <c r="CK697" s="220" t="str">
        <f>IFERROR((TOWER_DATA[[#This Row],[D, bottom '[m']]]+TOWER_DATA[[#This Row],[D, top '[m']]])/(2*TOWER_DATA[[#This Row],[t '[mm']]]/1000),"")</f>
        <v/>
      </c>
      <c r="DP697" s="209"/>
      <c r="DQ697" s="187"/>
      <c r="DT697" s="99"/>
      <c r="DU697" s="99"/>
    </row>
    <row r="698" spans="1:125" ht="18" customHeight="1">
      <c r="A698" s="271"/>
      <c r="D698" s="280"/>
      <c r="E698" s="52"/>
      <c r="N698" s="210"/>
      <c r="Q698" s="209"/>
      <c r="R698" s="209"/>
      <c r="S698" s="187"/>
      <c r="AV698" s="233" t="str">
        <f>IFERROR(TP_DATA[[#This Row],[Top '[m']]]-TP_DATA[[#This Row],[Bottom '[m']]], "")</f>
        <v/>
      </c>
      <c r="AW698" s="208"/>
      <c r="AX698" s="209"/>
      <c r="AY698" s="240"/>
      <c r="BB698" s="99"/>
      <c r="BC698" s="99"/>
      <c r="BD698" s="187"/>
      <c r="CH698" s="53" t="str">
        <f>IFERROR(TOWER_DATA[[#This Row],[Top '[m']]]-TOWER_DATA[[#This Row],[Bottom '[m']]], "")</f>
        <v/>
      </c>
      <c r="CI698" s="217" t="str">
        <f>IFERROR(-(TOWER_DATA[[#This Row],[D, bottom '[m']]]-TOWER_DATA[[#This Row],[D, top '[m']]])/(TOWER_DATA[[#This Row],[Bottom '[m']]]-TOWER_DATA[[#This Row],[Top '[m']]]),"")</f>
        <v/>
      </c>
      <c r="CJ698" s="145" t="str">
        <f t="shared" si="24"/>
        <v/>
      </c>
      <c r="CK698" s="220" t="str">
        <f>IFERROR((TOWER_DATA[[#This Row],[D, bottom '[m']]]+TOWER_DATA[[#This Row],[D, top '[m']]])/(2*TOWER_DATA[[#This Row],[t '[mm']]]/1000),"")</f>
        <v/>
      </c>
      <c r="DP698" s="209"/>
      <c r="DQ698" s="187"/>
      <c r="DT698" s="99"/>
      <c r="DU698" s="99"/>
    </row>
    <row r="699" spans="1:125" ht="18" customHeight="1">
      <c r="A699" s="271"/>
      <c r="D699" s="280"/>
      <c r="E699" s="52"/>
      <c r="N699" s="210"/>
      <c r="Q699" s="209"/>
      <c r="R699" s="209"/>
      <c r="S699" s="187"/>
      <c r="AV699" s="233" t="str">
        <f>IFERROR(TP_DATA[[#This Row],[Top '[m']]]-TP_DATA[[#This Row],[Bottom '[m']]], "")</f>
        <v/>
      </c>
      <c r="AW699" s="208"/>
      <c r="AX699" s="209"/>
      <c r="AY699" s="240"/>
      <c r="BB699" s="99"/>
      <c r="BC699" s="99"/>
      <c r="BD699" s="187"/>
      <c r="CH699" s="53" t="str">
        <f>IFERROR(TOWER_DATA[[#This Row],[Top '[m']]]-TOWER_DATA[[#This Row],[Bottom '[m']]], "")</f>
        <v/>
      </c>
      <c r="CI699" s="217" t="str">
        <f>IFERROR(-(TOWER_DATA[[#This Row],[D, bottom '[m']]]-TOWER_DATA[[#This Row],[D, top '[m']]])/(TOWER_DATA[[#This Row],[Bottom '[m']]]-TOWER_DATA[[#This Row],[Top '[m']]]),"")</f>
        <v/>
      </c>
      <c r="CJ699" s="145" t="str">
        <f t="shared" si="24"/>
        <v/>
      </c>
      <c r="CK699" s="220" t="str">
        <f>IFERROR((TOWER_DATA[[#This Row],[D, bottom '[m']]]+TOWER_DATA[[#This Row],[D, top '[m']]])/(2*TOWER_DATA[[#This Row],[t '[mm']]]/1000),"")</f>
        <v/>
      </c>
      <c r="DP699" s="209"/>
      <c r="DQ699" s="187"/>
      <c r="DT699" s="99"/>
      <c r="DU699" s="99"/>
    </row>
    <row r="700" spans="1:125" ht="18" customHeight="1">
      <c r="A700" s="271"/>
      <c r="D700" s="280"/>
      <c r="E700" s="52"/>
      <c r="N700" s="210"/>
      <c r="Q700" s="209"/>
      <c r="R700" s="209"/>
      <c r="S700" s="187"/>
      <c r="AV700" s="233" t="str">
        <f>IFERROR(TP_DATA[[#This Row],[Top '[m']]]-TP_DATA[[#This Row],[Bottom '[m']]], "")</f>
        <v/>
      </c>
      <c r="AW700" s="208"/>
      <c r="AX700" s="209"/>
      <c r="AY700" s="240"/>
      <c r="BB700" s="99"/>
      <c r="BC700" s="99"/>
      <c r="BD700" s="187"/>
      <c r="CH700" s="53" t="str">
        <f>IFERROR(TOWER_DATA[[#This Row],[Top '[m']]]-TOWER_DATA[[#This Row],[Bottom '[m']]], "")</f>
        <v/>
      </c>
      <c r="CI700" s="217" t="str">
        <f>IFERROR(-(TOWER_DATA[[#This Row],[D, bottom '[m']]]-TOWER_DATA[[#This Row],[D, top '[m']]])/(TOWER_DATA[[#This Row],[Bottom '[m']]]-TOWER_DATA[[#This Row],[Top '[m']]]),"")</f>
        <v/>
      </c>
      <c r="CJ700" s="145" t="str">
        <f t="shared" si="24"/>
        <v/>
      </c>
      <c r="CK700" s="220" t="str">
        <f>IFERROR((TOWER_DATA[[#This Row],[D, bottom '[m']]]+TOWER_DATA[[#This Row],[D, top '[m']]])/(2*TOWER_DATA[[#This Row],[t '[mm']]]/1000),"")</f>
        <v/>
      </c>
      <c r="DP700" s="209"/>
      <c r="DQ700" s="187"/>
      <c r="DT700" s="99"/>
      <c r="DU700" s="99"/>
    </row>
    <row r="701" spans="1:125" ht="18" customHeight="1">
      <c r="A701" s="271"/>
      <c r="D701" s="280"/>
      <c r="E701" s="52"/>
      <c r="N701" s="210"/>
      <c r="Q701" s="209"/>
      <c r="R701" s="209"/>
      <c r="S701" s="187"/>
      <c r="AV701" s="233" t="str">
        <f>IFERROR(TP_DATA[[#This Row],[Top '[m']]]-TP_DATA[[#This Row],[Bottom '[m']]], "")</f>
        <v/>
      </c>
      <c r="AW701" s="208"/>
      <c r="AX701" s="209"/>
      <c r="AY701" s="240"/>
      <c r="BB701" s="99"/>
      <c r="BC701" s="99"/>
      <c r="BD701" s="187"/>
      <c r="CH701" s="53" t="str">
        <f>IFERROR(TOWER_DATA[[#This Row],[Top '[m']]]-TOWER_DATA[[#This Row],[Bottom '[m']]], "")</f>
        <v/>
      </c>
      <c r="CI701" s="217" t="str">
        <f>IFERROR(-(TOWER_DATA[[#This Row],[D, bottom '[m']]]-TOWER_DATA[[#This Row],[D, top '[m']]])/(TOWER_DATA[[#This Row],[Bottom '[m']]]-TOWER_DATA[[#This Row],[Top '[m']]]),"")</f>
        <v/>
      </c>
      <c r="CJ701" s="145" t="str">
        <f t="shared" si="24"/>
        <v/>
      </c>
      <c r="CK701" s="220" t="str">
        <f>IFERROR((TOWER_DATA[[#This Row],[D, bottom '[m']]]+TOWER_DATA[[#This Row],[D, top '[m']]])/(2*TOWER_DATA[[#This Row],[t '[mm']]]/1000),"")</f>
        <v/>
      </c>
      <c r="DP701" s="209"/>
      <c r="DQ701" s="187"/>
      <c r="DT701" s="99"/>
      <c r="DU701" s="99"/>
    </row>
    <row r="702" spans="1:125" ht="18" customHeight="1">
      <c r="A702" s="271"/>
      <c r="D702" s="280"/>
      <c r="E702" s="52"/>
      <c r="N702" s="210"/>
      <c r="Q702" s="209"/>
      <c r="R702" s="209"/>
      <c r="S702" s="187"/>
      <c r="AV702" s="233" t="str">
        <f>IFERROR(TP_DATA[[#This Row],[Top '[m']]]-TP_DATA[[#This Row],[Bottom '[m']]], "")</f>
        <v/>
      </c>
      <c r="AW702" s="208"/>
      <c r="AX702" s="209"/>
      <c r="AY702" s="240"/>
      <c r="BB702" s="99"/>
      <c r="BC702" s="99"/>
      <c r="BD702" s="187"/>
      <c r="CH702" s="53" t="str">
        <f>IFERROR(TOWER_DATA[[#This Row],[Top '[m']]]-TOWER_DATA[[#This Row],[Bottom '[m']]], "")</f>
        <v/>
      </c>
      <c r="CI702" s="217" t="str">
        <f>IFERROR(-(TOWER_DATA[[#This Row],[D, bottom '[m']]]-TOWER_DATA[[#This Row],[D, top '[m']]])/(TOWER_DATA[[#This Row],[Bottom '[m']]]-TOWER_DATA[[#This Row],[Top '[m']]]),"")</f>
        <v/>
      </c>
      <c r="CJ702" s="145" t="str">
        <f t="shared" si="24"/>
        <v/>
      </c>
      <c r="CK702" s="220" t="str">
        <f>IFERROR((TOWER_DATA[[#This Row],[D, bottom '[m']]]+TOWER_DATA[[#This Row],[D, top '[m']]])/(2*TOWER_DATA[[#This Row],[t '[mm']]]/1000),"")</f>
        <v/>
      </c>
      <c r="DP702" s="209"/>
      <c r="DQ702" s="187"/>
      <c r="DT702" s="99"/>
      <c r="DU702" s="99"/>
    </row>
    <row r="703" spans="1:125" ht="18" customHeight="1">
      <c r="A703" s="271"/>
      <c r="D703" s="280"/>
      <c r="E703" s="52"/>
      <c r="N703" s="210"/>
      <c r="Q703" s="209"/>
      <c r="R703" s="209"/>
      <c r="S703" s="187"/>
      <c r="AV703" s="233" t="str">
        <f>IFERROR(TP_DATA[[#This Row],[Top '[m']]]-TP_DATA[[#This Row],[Bottom '[m']]], "")</f>
        <v/>
      </c>
      <c r="AW703" s="208"/>
      <c r="AX703" s="209"/>
      <c r="AY703" s="240"/>
      <c r="BB703" s="99"/>
      <c r="BC703" s="99"/>
      <c r="BD703" s="187"/>
      <c r="CH703" s="53" t="str">
        <f>IFERROR(TOWER_DATA[[#This Row],[Top '[m']]]-TOWER_DATA[[#This Row],[Bottom '[m']]], "")</f>
        <v/>
      </c>
      <c r="CI703" s="217" t="str">
        <f>IFERROR(-(TOWER_DATA[[#This Row],[D, bottom '[m']]]-TOWER_DATA[[#This Row],[D, top '[m']]])/(TOWER_DATA[[#This Row],[Bottom '[m']]]-TOWER_DATA[[#This Row],[Top '[m']]]),"")</f>
        <v/>
      </c>
      <c r="CJ703" s="145" t="str">
        <f t="shared" si="24"/>
        <v/>
      </c>
      <c r="CK703" s="220" t="str">
        <f>IFERROR((TOWER_DATA[[#This Row],[D, bottom '[m']]]+TOWER_DATA[[#This Row],[D, top '[m']]])/(2*TOWER_DATA[[#This Row],[t '[mm']]]/1000),"")</f>
        <v/>
      </c>
      <c r="DP703" s="209"/>
      <c r="DQ703" s="187"/>
      <c r="DT703" s="99"/>
      <c r="DU703" s="99"/>
    </row>
    <row r="704" spans="1:125" ht="18" customHeight="1">
      <c r="A704" s="271"/>
      <c r="D704" s="280"/>
      <c r="E704" s="52"/>
      <c r="N704" s="210"/>
      <c r="Q704" s="209"/>
      <c r="R704" s="209"/>
      <c r="S704" s="187"/>
      <c r="AV704" s="233" t="str">
        <f>IFERROR(TP_DATA[[#This Row],[Top '[m']]]-TP_DATA[[#This Row],[Bottom '[m']]], "")</f>
        <v/>
      </c>
      <c r="AW704" s="208"/>
      <c r="AX704" s="209"/>
      <c r="AY704" s="240"/>
      <c r="BB704" s="99"/>
      <c r="BC704" s="99"/>
      <c r="BD704" s="187"/>
      <c r="CH704" s="53" t="str">
        <f>IFERROR(TOWER_DATA[[#This Row],[Top '[m']]]-TOWER_DATA[[#This Row],[Bottom '[m']]], "")</f>
        <v/>
      </c>
      <c r="CI704" s="217" t="str">
        <f>IFERROR(-(TOWER_DATA[[#This Row],[D, bottom '[m']]]-TOWER_DATA[[#This Row],[D, top '[m']]])/(TOWER_DATA[[#This Row],[Bottom '[m']]]-TOWER_DATA[[#This Row],[Top '[m']]]),"")</f>
        <v/>
      </c>
      <c r="CJ704" s="145" t="str">
        <f t="shared" si="24"/>
        <v/>
      </c>
      <c r="CK704" s="220" t="str">
        <f>IFERROR((TOWER_DATA[[#This Row],[D, bottom '[m']]]+TOWER_DATA[[#This Row],[D, top '[m']]])/(2*TOWER_DATA[[#This Row],[t '[mm']]]/1000),"")</f>
        <v/>
      </c>
      <c r="DP704" s="209"/>
      <c r="DQ704" s="187"/>
      <c r="DT704" s="99"/>
      <c r="DU704" s="99"/>
    </row>
    <row r="705" spans="1:125" ht="18" customHeight="1">
      <c r="A705" s="271"/>
      <c r="D705" s="280"/>
      <c r="E705" s="52"/>
      <c r="N705" s="210"/>
      <c r="Q705" s="209"/>
      <c r="R705" s="209"/>
      <c r="S705" s="187"/>
      <c r="AV705" s="233" t="str">
        <f>IFERROR(TP_DATA[[#This Row],[Top '[m']]]-TP_DATA[[#This Row],[Bottom '[m']]], "")</f>
        <v/>
      </c>
      <c r="AW705" s="208"/>
      <c r="AX705" s="209"/>
      <c r="AY705" s="240"/>
      <c r="BB705" s="99"/>
      <c r="BC705" s="99"/>
      <c r="BD705" s="187"/>
      <c r="CH705" s="53" t="str">
        <f>IFERROR(TOWER_DATA[[#This Row],[Top '[m']]]-TOWER_DATA[[#This Row],[Bottom '[m']]], "")</f>
        <v/>
      </c>
      <c r="CI705" s="217" t="str">
        <f>IFERROR(-(TOWER_DATA[[#This Row],[D, bottom '[m']]]-TOWER_DATA[[#This Row],[D, top '[m']]])/(TOWER_DATA[[#This Row],[Bottom '[m']]]-TOWER_DATA[[#This Row],[Top '[m']]]),"")</f>
        <v/>
      </c>
      <c r="CJ705" s="145" t="str">
        <f t="shared" si="24"/>
        <v/>
      </c>
      <c r="CK705" s="220" t="str">
        <f>IFERROR((TOWER_DATA[[#This Row],[D, bottom '[m']]]+TOWER_DATA[[#This Row],[D, top '[m']]])/(2*TOWER_DATA[[#This Row],[t '[mm']]]/1000),"")</f>
        <v/>
      </c>
      <c r="DP705" s="209"/>
      <c r="DQ705" s="187"/>
      <c r="DT705" s="99"/>
      <c r="DU705" s="99"/>
    </row>
    <row r="706" spans="1:125" ht="18" customHeight="1">
      <c r="A706" s="271"/>
      <c r="D706" s="280"/>
      <c r="E706" s="52"/>
      <c r="N706" s="210"/>
      <c r="Q706" s="209"/>
      <c r="R706" s="209"/>
      <c r="S706" s="187"/>
      <c r="AV706" s="233" t="str">
        <f>IFERROR(TP_DATA[[#This Row],[Top '[m']]]-TP_DATA[[#This Row],[Bottom '[m']]], "")</f>
        <v/>
      </c>
      <c r="AW706" s="208"/>
      <c r="AX706" s="209"/>
      <c r="AY706" s="240"/>
      <c r="BB706" s="99"/>
      <c r="BC706" s="99"/>
      <c r="BD706" s="187"/>
      <c r="CH706" s="53" t="str">
        <f>IFERROR(TOWER_DATA[[#This Row],[Top '[m']]]-TOWER_DATA[[#This Row],[Bottom '[m']]], "")</f>
        <v/>
      </c>
      <c r="CI706" s="217" t="str">
        <f>IFERROR(-(TOWER_DATA[[#This Row],[D, bottom '[m']]]-TOWER_DATA[[#This Row],[D, top '[m']]])/(TOWER_DATA[[#This Row],[Bottom '[m']]]-TOWER_DATA[[#This Row],[Top '[m']]]),"")</f>
        <v/>
      </c>
      <c r="CJ706" s="145" t="str">
        <f t="shared" si="24"/>
        <v/>
      </c>
      <c r="CK706" s="220" t="str">
        <f>IFERROR((TOWER_DATA[[#This Row],[D, bottom '[m']]]+TOWER_DATA[[#This Row],[D, top '[m']]])/(2*TOWER_DATA[[#This Row],[t '[mm']]]/1000),"")</f>
        <v/>
      </c>
      <c r="DP706" s="209"/>
      <c r="DQ706" s="187"/>
      <c r="DT706" s="99"/>
      <c r="DU706" s="99"/>
    </row>
    <row r="707" spans="1:125" ht="18" customHeight="1">
      <c r="A707" s="271"/>
      <c r="D707" s="280"/>
      <c r="E707" s="52"/>
      <c r="N707" s="210"/>
      <c r="Q707" s="209"/>
      <c r="R707" s="209"/>
      <c r="S707" s="187"/>
      <c r="AV707" s="233" t="str">
        <f>IFERROR(TP_DATA[[#This Row],[Top '[m']]]-TP_DATA[[#This Row],[Bottom '[m']]], "")</f>
        <v/>
      </c>
      <c r="AW707" s="208"/>
      <c r="AX707" s="209"/>
      <c r="AY707" s="240"/>
      <c r="BB707" s="99"/>
      <c r="BC707" s="99"/>
      <c r="BD707" s="187"/>
      <c r="CH707" s="53" t="str">
        <f>IFERROR(TOWER_DATA[[#This Row],[Top '[m']]]-TOWER_DATA[[#This Row],[Bottom '[m']]], "")</f>
        <v/>
      </c>
      <c r="CI707" s="217" t="str">
        <f>IFERROR(-(TOWER_DATA[[#This Row],[D, bottom '[m']]]-TOWER_DATA[[#This Row],[D, top '[m']]])/(TOWER_DATA[[#This Row],[Bottom '[m']]]-TOWER_DATA[[#This Row],[Top '[m']]]),"")</f>
        <v/>
      </c>
      <c r="CJ707" s="145" t="str">
        <f t="shared" si="24"/>
        <v/>
      </c>
      <c r="CK707" s="220" t="str">
        <f>IFERROR((TOWER_DATA[[#This Row],[D, bottom '[m']]]+TOWER_DATA[[#This Row],[D, top '[m']]])/(2*TOWER_DATA[[#This Row],[t '[mm']]]/1000),"")</f>
        <v/>
      </c>
      <c r="DP707" s="209"/>
      <c r="DQ707" s="187"/>
      <c r="DT707" s="99"/>
      <c r="DU707" s="99"/>
    </row>
    <row r="708" spans="1:125" ht="18" customHeight="1">
      <c r="A708" s="271"/>
      <c r="D708" s="280"/>
      <c r="E708" s="52"/>
      <c r="N708" s="210"/>
      <c r="Q708" s="209"/>
      <c r="R708" s="209"/>
      <c r="S708" s="187"/>
      <c r="AV708" s="233" t="str">
        <f>IFERROR(TP_DATA[[#This Row],[Top '[m']]]-TP_DATA[[#This Row],[Bottom '[m']]], "")</f>
        <v/>
      </c>
      <c r="AW708" s="208"/>
      <c r="AX708" s="209"/>
      <c r="AY708" s="240"/>
      <c r="BB708" s="99"/>
      <c r="BC708" s="99"/>
      <c r="BD708" s="187"/>
      <c r="CH708" s="53" t="str">
        <f>IFERROR(TOWER_DATA[[#This Row],[Top '[m']]]-TOWER_DATA[[#This Row],[Bottom '[m']]], "")</f>
        <v/>
      </c>
      <c r="CI708" s="217" t="str">
        <f>IFERROR(-(TOWER_DATA[[#This Row],[D, bottom '[m']]]-TOWER_DATA[[#This Row],[D, top '[m']]])/(TOWER_DATA[[#This Row],[Bottom '[m']]]-TOWER_DATA[[#This Row],[Top '[m']]]),"")</f>
        <v/>
      </c>
      <c r="CJ708" s="145" t="str">
        <f t="shared" si="24"/>
        <v/>
      </c>
      <c r="CK708" s="220" t="str">
        <f>IFERROR((TOWER_DATA[[#This Row],[D, bottom '[m']]]+TOWER_DATA[[#This Row],[D, top '[m']]])/(2*TOWER_DATA[[#This Row],[t '[mm']]]/1000),"")</f>
        <v/>
      </c>
      <c r="DP708" s="209"/>
      <c r="DQ708" s="187"/>
      <c r="DT708" s="99"/>
      <c r="DU708" s="99"/>
    </row>
    <row r="709" spans="1:125" ht="18" customHeight="1">
      <c r="A709" s="271"/>
      <c r="D709" s="280"/>
      <c r="E709" s="52"/>
      <c r="N709" s="210"/>
      <c r="Q709" s="209"/>
      <c r="R709" s="209"/>
      <c r="S709" s="187"/>
      <c r="AV709" s="233" t="str">
        <f>IFERROR(TP_DATA[[#This Row],[Top '[m']]]-TP_DATA[[#This Row],[Bottom '[m']]], "")</f>
        <v/>
      </c>
      <c r="AW709" s="208"/>
      <c r="AX709" s="209"/>
      <c r="AY709" s="240"/>
      <c r="BB709" s="99"/>
      <c r="BC709" s="99"/>
      <c r="BD709" s="187"/>
      <c r="CH709" s="53" t="str">
        <f>IFERROR(TOWER_DATA[[#This Row],[Top '[m']]]-TOWER_DATA[[#This Row],[Bottom '[m']]], "")</f>
        <v/>
      </c>
      <c r="CI709" s="217" t="str">
        <f>IFERROR(-(TOWER_DATA[[#This Row],[D, bottom '[m']]]-TOWER_DATA[[#This Row],[D, top '[m']]])/(TOWER_DATA[[#This Row],[Bottom '[m']]]-TOWER_DATA[[#This Row],[Top '[m']]]),"")</f>
        <v/>
      </c>
      <c r="CJ709" s="145" t="str">
        <f t="shared" si="24"/>
        <v/>
      </c>
      <c r="CK709" s="220" t="str">
        <f>IFERROR((TOWER_DATA[[#This Row],[D, bottom '[m']]]+TOWER_DATA[[#This Row],[D, top '[m']]])/(2*TOWER_DATA[[#This Row],[t '[mm']]]/1000),"")</f>
        <v/>
      </c>
      <c r="DP709" s="209"/>
      <c r="DQ709" s="187"/>
      <c r="DT709" s="99"/>
      <c r="DU709" s="99"/>
    </row>
    <row r="710" spans="1:125" ht="18" customHeight="1">
      <c r="A710" s="271"/>
      <c r="D710" s="280"/>
      <c r="E710" s="52"/>
      <c r="N710" s="210"/>
      <c r="Q710" s="209"/>
      <c r="R710" s="209"/>
      <c r="S710" s="187"/>
      <c r="AV710" s="233" t="str">
        <f>IFERROR(TP_DATA[[#This Row],[Top '[m']]]-TP_DATA[[#This Row],[Bottom '[m']]], "")</f>
        <v/>
      </c>
      <c r="AW710" s="208"/>
      <c r="AX710" s="209"/>
      <c r="AY710" s="240"/>
      <c r="BB710" s="99"/>
      <c r="BC710" s="99"/>
      <c r="BD710" s="187"/>
      <c r="CH710" s="53" t="str">
        <f>IFERROR(TOWER_DATA[[#This Row],[Top '[m']]]-TOWER_DATA[[#This Row],[Bottom '[m']]], "")</f>
        <v/>
      </c>
      <c r="CI710" s="217" t="str">
        <f>IFERROR(-(TOWER_DATA[[#This Row],[D, bottom '[m']]]-TOWER_DATA[[#This Row],[D, top '[m']]])/(TOWER_DATA[[#This Row],[Bottom '[m']]]-TOWER_DATA[[#This Row],[Top '[m']]]),"")</f>
        <v/>
      </c>
      <c r="CJ710" s="145" t="str">
        <f t="shared" si="24"/>
        <v/>
      </c>
      <c r="CK710" s="220" t="str">
        <f>IFERROR((TOWER_DATA[[#This Row],[D, bottom '[m']]]+TOWER_DATA[[#This Row],[D, top '[m']]])/(2*TOWER_DATA[[#This Row],[t '[mm']]]/1000),"")</f>
        <v/>
      </c>
      <c r="DP710" s="209"/>
      <c r="DQ710" s="187"/>
      <c r="DT710" s="99"/>
      <c r="DU710" s="99"/>
    </row>
    <row r="711" spans="1:125" ht="18" customHeight="1">
      <c r="A711" s="271"/>
      <c r="D711" s="280"/>
      <c r="E711" s="52"/>
      <c r="N711" s="210"/>
      <c r="Q711" s="209"/>
      <c r="R711" s="209"/>
      <c r="S711" s="187"/>
      <c r="AV711" s="233" t="str">
        <f>IFERROR(TP_DATA[[#This Row],[Top '[m']]]-TP_DATA[[#This Row],[Bottom '[m']]], "")</f>
        <v/>
      </c>
      <c r="AW711" s="208"/>
      <c r="AX711" s="209"/>
      <c r="AY711" s="240"/>
      <c r="BB711" s="99"/>
      <c r="BC711" s="99"/>
      <c r="BD711" s="187"/>
      <c r="CH711" s="53" t="str">
        <f>IFERROR(TOWER_DATA[[#This Row],[Top '[m']]]-TOWER_DATA[[#This Row],[Bottom '[m']]], "")</f>
        <v/>
      </c>
      <c r="CI711" s="217" t="str">
        <f>IFERROR(-(TOWER_DATA[[#This Row],[D, bottom '[m']]]-TOWER_DATA[[#This Row],[D, top '[m']]])/(TOWER_DATA[[#This Row],[Bottom '[m']]]-TOWER_DATA[[#This Row],[Top '[m']]]),"")</f>
        <v/>
      </c>
      <c r="CJ711" s="145" t="str">
        <f t="shared" si="24"/>
        <v/>
      </c>
      <c r="CK711" s="220" t="str">
        <f>IFERROR((TOWER_DATA[[#This Row],[D, bottom '[m']]]+TOWER_DATA[[#This Row],[D, top '[m']]])/(2*TOWER_DATA[[#This Row],[t '[mm']]]/1000),"")</f>
        <v/>
      </c>
      <c r="DP711" s="209"/>
      <c r="DQ711" s="187"/>
      <c r="DT711" s="99"/>
      <c r="DU711" s="99"/>
    </row>
    <row r="712" spans="1:125" ht="18" customHeight="1">
      <c r="A712" s="271"/>
      <c r="D712" s="280"/>
      <c r="E712" s="52"/>
      <c r="N712" s="210"/>
      <c r="Q712" s="209"/>
      <c r="R712" s="209"/>
      <c r="S712" s="187"/>
      <c r="AV712" s="233" t="str">
        <f>IFERROR(TP_DATA[[#This Row],[Top '[m']]]-TP_DATA[[#This Row],[Bottom '[m']]], "")</f>
        <v/>
      </c>
      <c r="AW712" s="208"/>
      <c r="AX712" s="209"/>
      <c r="AY712" s="240"/>
      <c r="BB712" s="99"/>
      <c r="BC712" s="99"/>
      <c r="BD712" s="187"/>
      <c r="CH712" s="53" t="str">
        <f>IFERROR(TOWER_DATA[[#This Row],[Top '[m']]]-TOWER_DATA[[#This Row],[Bottom '[m']]], "")</f>
        <v/>
      </c>
      <c r="CI712" s="217" t="str">
        <f>IFERROR(-(TOWER_DATA[[#This Row],[D, bottom '[m']]]-TOWER_DATA[[#This Row],[D, top '[m']]])/(TOWER_DATA[[#This Row],[Bottom '[m']]]-TOWER_DATA[[#This Row],[Top '[m']]]),"")</f>
        <v/>
      </c>
      <c r="CJ712" s="145" t="str">
        <f t="shared" si="24"/>
        <v/>
      </c>
      <c r="CK712" s="220" t="str">
        <f>IFERROR((TOWER_DATA[[#This Row],[D, bottom '[m']]]+TOWER_DATA[[#This Row],[D, top '[m']]])/(2*TOWER_DATA[[#This Row],[t '[mm']]]/1000),"")</f>
        <v/>
      </c>
      <c r="DP712" s="209"/>
      <c r="DQ712" s="187"/>
      <c r="DT712" s="99"/>
      <c r="DU712" s="99"/>
    </row>
    <row r="713" spans="1:125" ht="18" customHeight="1">
      <c r="A713" s="271"/>
      <c r="D713" s="280"/>
      <c r="E713" s="52"/>
      <c r="N713" s="210"/>
      <c r="Q713" s="209"/>
      <c r="R713" s="209"/>
      <c r="S713" s="187"/>
      <c r="AV713" s="233" t="str">
        <f>IFERROR(TP_DATA[[#This Row],[Top '[m']]]-TP_DATA[[#This Row],[Bottom '[m']]], "")</f>
        <v/>
      </c>
      <c r="AW713" s="208"/>
      <c r="AX713" s="209"/>
      <c r="AY713" s="240"/>
      <c r="BB713" s="99"/>
      <c r="BC713" s="99"/>
      <c r="BD713" s="187"/>
      <c r="CH713" s="53" t="str">
        <f>IFERROR(TOWER_DATA[[#This Row],[Top '[m']]]-TOWER_DATA[[#This Row],[Bottom '[m']]], "")</f>
        <v/>
      </c>
      <c r="CI713" s="217" t="str">
        <f>IFERROR(-(TOWER_DATA[[#This Row],[D, bottom '[m']]]-TOWER_DATA[[#This Row],[D, top '[m']]])/(TOWER_DATA[[#This Row],[Bottom '[m']]]-TOWER_DATA[[#This Row],[Top '[m']]]),"")</f>
        <v/>
      </c>
      <c r="CJ713" s="145" t="str">
        <f t="shared" si="24"/>
        <v/>
      </c>
      <c r="CK713" s="220" t="str">
        <f>IFERROR((TOWER_DATA[[#This Row],[D, bottom '[m']]]+TOWER_DATA[[#This Row],[D, top '[m']]])/(2*TOWER_DATA[[#This Row],[t '[mm']]]/1000),"")</f>
        <v/>
      </c>
      <c r="DP713" s="209"/>
      <c r="DQ713" s="187"/>
      <c r="DT713" s="99"/>
      <c r="DU713" s="99"/>
    </row>
    <row r="714" spans="1:125" ht="18" customHeight="1">
      <c r="A714" s="271"/>
      <c r="D714" s="280"/>
      <c r="E714" s="52"/>
      <c r="N714" s="210"/>
      <c r="Q714" s="209"/>
      <c r="R714" s="209"/>
      <c r="S714" s="187"/>
      <c r="AV714" s="233" t="str">
        <f>IFERROR(TP_DATA[[#This Row],[Top '[m']]]-TP_DATA[[#This Row],[Bottom '[m']]], "")</f>
        <v/>
      </c>
      <c r="AW714" s="208"/>
      <c r="AX714" s="209"/>
      <c r="AY714" s="240"/>
      <c r="BB714" s="99"/>
      <c r="BC714" s="99"/>
      <c r="BD714" s="187"/>
      <c r="CH714" s="53" t="str">
        <f>IFERROR(TOWER_DATA[[#This Row],[Top '[m']]]-TOWER_DATA[[#This Row],[Bottom '[m']]], "")</f>
        <v/>
      </c>
      <c r="CI714" s="217" t="str">
        <f>IFERROR(-(TOWER_DATA[[#This Row],[D, bottom '[m']]]-TOWER_DATA[[#This Row],[D, top '[m']]])/(TOWER_DATA[[#This Row],[Bottom '[m']]]-TOWER_DATA[[#This Row],[Top '[m']]]),"")</f>
        <v/>
      </c>
      <c r="CJ714" s="145" t="str">
        <f t="shared" si="24"/>
        <v/>
      </c>
      <c r="CK714" s="220" t="str">
        <f>IFERROR((TOWER_DATA[[#This Row],[D, bottom '[m']]]+TOWER_DATA[[#This Row],[D, top '[m']]])/(2*TOWER_DATA[[#This Row],[t '[mm']]]/1000),"")</f>
        <v/>
      </c>
      <c r="DP714" s="209"/>
      <c r="DQ714" s="187"/>
      <c r="DT714" s="99"/>
      <c r="DU714" s="99"/>
    </row>
    <row r="715" spans="1:125" ht="18" customHeight="1">
      <c r="A715" s="271"/>
      <c r="D715" s="280"/>
      <c r="E715" s="52"/>
      <c r="N715" s="210"/>
      <c r="Q715" s="209"/>
      <c r="R715" s="209"/>
      <c r="S715" s="187"/>
      <c r="AV715" s="233" t="str">
        <f>IFERROR(TP_DATA[[#This Row],[Top '[m']]]-TP_DATA[[#This Row],[Bottom '[m']]], "")</f>
        <v/>
      </c>
      <c r="AW715" s="208"/>
      <c r="AX715" s="209"/>
      <c r="AY715" s="240"/>
      <c r="BB715" s="99"/>
      <c r="BC715" s="99"/>
      <c r="BD715" s="187"/>
      <c r="CH715" s="53" t="str">
        <f>IFERROR(TOWER_DATA[[#This Row],[Top '[m']]]-TOWER_DATA[[#This Row],[Bottom '[m']]], "")</f>
        <v/>
      </c>
      <c r="CI715" s="217" t="str">
        <f>IFERROR(-(TOWER_DATA[[#This Row],[D, bottom '[m']]]-TOWER_DATA[[#This Row],[D, top '[m']]])/(TOWER_DATA[[#This Row],[Bottom '[m']]]-TOWER_DATA[[#This Row],[Top '[m']]]),"")</f>
        <v/>
      </c>
      <c r="CJ715" s="145" t="str">
        <f t="shared" si="24"/>
        <v/>
      </c>
      <c r="CK715" s="220" t="str">
        <f>IFERROR((TOWER_DATA[[#This Row],[D, bottom '[m']]]+TOWER_DATA[[#This Row],[D, top '[m']]])/(2*TOWER_DATA[[#This Row],[t '[mm']]]/1000),"")</f>
        <v/>
      </c>
      <c r="DP715" s="209"/>
      <c r="DQ715" s="187"/>
      <c r="DT715" s="99"/>
      <c r="DU715" s="99"/>
    </row>
    <row r="716" spans="1:125" ht="18" customHeight="1">
      <c r="A716" s="271"/>
      <c r="D716" s="280"/>
      <c r="E716" s="52"/>
      <c r="N716" s="210"/>
      <c r="Q716" s="209"/>
      <c r="R716" s="209"/>
      <c r="S716" s="187"/>
      <c r="AV716" s="233" t="str">
        <f>IFERROR(TP_DATA[[#This Row],[Top '[m']]]-TP_DATA[[#This Row],[Bottom '[m']]], "")</f>
        <v/>
      </c>
      <c r="AW716" s="208"/>
      <c r="AX716" s="209"/>
      <c r="AY716" s="240"/>
      <c r="BB716" s="99"/>
      <c r="BC716" s="99"/>
      <c r="BD716" s="187"/>
      <c r="CH716" s="53" t="str">
        <f>IFERROR(TOWER_DATA[[#This Row],[Top '[m']]]-TOWER_DATA[[#This Row],[Bottom '[m']]], "")</f>
        <v/>
      </c>
      <c r="CI716" s="217" t="str">
        <f>IFERROR(-(TOWER_DATA[[#This Row],[D, bottom '[m']]]-TOWER_DATA[[#This Row],[D, top '[m']]])/(TOWER_DATA[[#This Row],[Bottom '[m']]]-TOWER_DATA[[#This Row],[Top '[m']]]),"")</f>
        <v/>
      </c>
      <c r="CJ716" s="145" t="str">
        <f t="shared" si="24"/>
        <v/>
      </c>
      <c r="CK716" s="220" t="str">
        <f>IFERROR((TOWER_DATA[[#This Row],[D, bottom '[m']]]+TOWER_DATA[[#This Row],[D, top '[m']]])/(2*TOWER_DATA[[#This Row],[t '[mm']]]/1000),"")</f>
        <v/>
      </c>
      <c r="DP716" s="209"/>
      <c r="DQ716" s="187"/>
      <c r="DT716" s="99"/>
      <c r="DU716" s="99"/>
    </row>
    <row r="717" spans="1:125" ht="18" customHeight="1">
      <c r="A717" s="271"/>
      <c r="D717" s="280"/>
      <c r="E717" s="52"/>
      <c r="N717" s="210"/>
      <c r="Q717" s="209"/>
      <c r="R717" s="209"/>
      <c r="S717" s="187"/>
      <c r="AV717" s="233" t="str">
        <f>IFERROR(TP_DATA[[#This Row],[Top '[m']]]-TP_DATA[[#This Row],[Bottom '[m']]], "")</f>
        <v/>
      </c>
      <c r="AW717" s="208"/>
      <c r="AX717" s="209"/>
      <c r="AY717" s="240"/>
      <c r="BB717" s="99"/>
      <c r="BC717" s="99"/>
      <c r="BD717" s="187"/>
      <c r="CH717" s="53" t="str">
        <f>IFERROR(TOWER_DATA[[#This Row],[Top '[m']]]-TOWER_DATA[[#This Row],[Bottom '[m']]], "")</f>
        <v/>
      </c>
      <c r="CI717" s="217" t="str">
        <f>IFERROR(-(TOWER_DATA[[#This Row],[D, bottom '[m']]]-TOWER_DATA[[#This Row],[D, top '[m']]])/(TOWER_DATA[[#This Row],[Bottom '[m']]]-TOWER_DATA[[#This Row],[Top '[m']]]),"")</f>
        <v/>
      </c>
      <c r="CJ717" s="145" t="str">
        <f t="shared" si="24"/>
        <v/>
      </c>
      <c r="CK717" s="220" t="str">
        <f>IFERROR((TOWER_DATA[[#This Row],[D, bottom '[m']]]+TOWER_DATA[[#This Row],[D, top '[m']]])/(2*TOWER_DATA[[#This Row],[t '[mm']]]/1000),"")</f>
        <v/>
      </c>
      <c r="DP717" s="209"/>
      <c r="DQ717" s="187"/>
      <c r="DT717" s="99"/>
      <c r="DU717" s="99"/>
    </row>
    <row r="718" spans="1:125" ht="18" customHeight="1">
      <c r="A718" s="271"/>
      <c r="D718" s="280"/>
      <c r="E718" s="52"/>
      <c r="N718" s="210"/>
      <c r="Q718" s="209"/>
      <c r="R718" s="209"/>
      <c r="S718" s="187"/>
      <c r="AV718" s="233" t="str">
        <f>IFERROR(TP_DATA[[#This Row],[Top '[m']]]-TP_DATA[[#This Row],[Bottom '[m']]], "")</f>
        <v/>
      </c>
      <c r="AW718" s="208"/>
      <c r="AX718" s="209"/>
      <c r="AY718" s="240"/>
      <c r="BB718" s="99"/>
      <c r="BC718" s="99"/>
      <c r="BD718" s="187"/>
      <c r="CH718" s="53" t="str">
        <f>IFERROR(TOWER_DATA[[#This Row],[Top '[m']]]-TOWER_DATA[[#This Row],[Bottom '[m']]], "")</f>
        <v/>
      </c>
      <c r="CI718" s="217" t="str">
        <f>IFERROR(-(TOWER_DATA[[#This Row],[D, bottom '[m']]]-TOWER_DATA[[#This Row],[D, top '[m']]])/(TOWER_DATA[[#This Row],[Bottom '[m']]]-TOWER_DATA[[#This Row],[Top '[m']]]),"")</f>
        <v/>
      </c>
      <c r="CJ718" s="145" t="str">
        <f t="shared" si="24"/>
        <v/>
      </c>
      <c r="CK718" s="220" t="str">
        <f>IFERROR((TOWER_DATA[[#This Row],[D, bottom '[m']]]+TOWER_DATA[[#This Row],[D, top '[m']]])/(2*TOWER_DATA[[#This Row],[t '[mm']]]/1000),"")</f>
        <v/>
      </c>
      <c r="DP718" s="209"/>
      <c r="DQ718" s="187"/>
      <c r="DT718" s="99"/>
      <c r="DU718" s="99"/>
    </row>
    <row r="719" spans="1:125" ht="18" customHeight="1">
      <c r="A719" s="271"/>
      <c r="D719" s="280"/>
      <c r="E719" s="52"/>
      <c r="N719" s="210"/>
      <c r="Q719" s="209"/>
      <c r="R719" s="209"/>
      <c r="S719" s="187"/>
      <c r="AV719" s="233" t="str">
        <f>IFERROR(TP_DATA[[#This Row],[Top '[m']]]-TP_DATA[[#This Row],[Bottom '[m']]], "")</f>
        <v/>
      </c>
      <c r="AW719" s="208"/>
      <c r="AX719" s="209"/>
      <c r="AY719" s="240"/>
      <c r="BB719" s="99"/>
      <c r="BC719" s="99"/>
      <c r="BD719" s="187"/>
      <c r="CH719" s="53" t="str">
        <f>IFERROR(TOWER_DATA[[#This Row],[Top '[m']]]-TOWER_DATA[[#This Row],[Bottom '[m']]], "")</f>
        <v/>
      </c>
      <c r="CI719" s="217" t="str">
        <f>IFERROR(-(TOWER_DATA[[#This Row],[D, bottom '[m']]]-TOWER_DATA[[#This Row],[D, top '[m']]])/(TOWER_DATA[[#This Row],[Bottom '[m']]]-TOWER_DATA[[#This Row],[Top '[m']]]),"")</f>
        <v/>
      </c>
      <c r="CJ719" s="145" t="str">
        <f t="shared" si="24"/>
        <v/>
      </c>
      <c r="CK719" s="220" t="str">
        <f>IFERROR((TOWER_DATA[[#This Row],[D, bottom '[m']]]+TOWER_DATA[[#This Row],[D, top '[m']]])/(2*TOWER_DATA[[#This Row],[t '[mm']]]/1000),"")</f>
        <v/>
      </c>
      <c r="DP719" s="209"/>
      <c r="DQ719" s="187"/>
      <c r="DT719" s="99"/>
      <c r="DU719" s="99"/>
    </row>
    <row r="720" spans="1:125" ht="18" customHeight="1">
      <c r="A720" s="271"/>
      <c r="D720" s="280"/>
      <c r="E720" s="52"/>
      <c r="N720" s="210"/>
      <c r="Q720" s="209"/>
      <c r="R720" s="209"/>
      <c r="S720" s="187"/>
      <c r="AV720" s="233" t="str">
        <f>IFERROR(TP_DATA[[#This Row],[Top '[m']]]-TP_DATA[[#This Row],[Bottom '[m']]], "")</f>
        <v/>
      </c>
      <c r="AW720" s="208"/>
      <c r="AX720" s="209"/>
      <c r="AY720" s="240"/>
      <c r="BB720" s="99"/>
      <c r="BC720" s="99"/>
      <c r="BD720" s="187"/>
      <c r="CH720" s="53" t="str">
        <f>IFERROR(TOWER_DATA[[#This Row],[Top '[m']]]-TOWER_DATA[[#This Row],[Bottom '[m']]], "")</f>
        <v/>
      </c>
      <c r="CI720" s="217" t="str">
        <f>IFERROR(-(TOWER_DATA[[#This Row],[D, bottom '[m']]]-TOWER_DATA[[#This Row],[D, top '[m']]])/(TOWER_DATA[[#This Row],[Bottom '[m']]]-TOWER_DATA[[#This Row],[Top '[m']]]),"")</f>
        <v/>
      </c>
      <c r="CJ720" s="145" t="str">
        <f t="shared" si="24"/>
        <v/>
      </c>
      <c r="CK720" s="220" t="str">
        <f>IFERROR((TOWER_DATA[[#This Row],[D, bottom '[m']]]+TOWER_DATA[[#This Row],[D, top '[m']]])/(2*TOWER_DATA[[#This Row],[t '[mm']]]/1000),"")</f>
        <v/>
      </c>
      <c r="DP720" s="209"/>
      <c r="DQ720" s="187"/>
      <c r="DT720" s="99"/>
      <c r="DU720" s="99"/>
    </row>
    <row r="721" spans="1:125" ht="18" customHeight="1">
      <c r="A721" s="271"/>
      <c r="D721" s="280"/>
      <c r="E721" s="52"/>
      <c r="N721" s="210"/>
      <c r="Q721" s="209"/>
      <c r="R721" s="209"/>
      <c r="S721" s="187"/>
      <c r="AV721" s="233" t="str">
        <f>IFERROR(TP_DATA[[#This Row],[Top '[m']]]-TP_DATA[[#This Row],[Bottom '[m']]], "")</f>
        <v/>
      </c>
      <c r="AW721" s="208"/>
      <c r="AX721" s="209"/>
      <c r="AY721" s="240"/>
      <c r="BB721" s="99"/>
      <c r="BC721" s="99"/>
      <c r="BD721" s="187"/>
      <c r="CH721" s="53" t="str">
        <f>IFERROR(TOWER_DATA[[#This Row],[Top '[m']]]-TOWER_DATA[[#This Row],[Bottom '[m']]], "")</f>
        <v/>
      </c>
      <c r="CI721" s="217" t="str">
        <f>IFERROR(-(TOWER_DATA[[#This Row],[D, bottom '[m']]]-TOWER_DATA[[#This Row],[D, top '[m']]])/(TOWER_DATA[[#This Row],[Bottom '[m']]]-TOWER_DATA[[#This Row],[Top '[m']]]),"")</f>
        <v/>
      </c>
      <c r="CJ721" s="145" t="str">
        <f t="shared" si="24"/>
        <v/>
      </c>
      <c r="CK721" s="220" t="str">
        <f>IFERROR((TOWER_DATA[[#This Row],[D, bottom '[m']]]+TOWER_DATA[[#This Row],[D, top '[m']]])/(2*TOWER_DATA[[#This Row],[t '[mm']]]/1000),"")</f>
        <v/>
      </c>
      <c r="DP721" s="209"/>
      <c r="DQ721" s="187"/>
      <c r="DT721" s="99"/>
      <c r="DU721" s="99"/>
    </row>
    <row r="722" spans="1:125" ht="18" customHeight="1">
      <c r="A722" s="271"/>
      <c r="D722" s="280"/>
      <c r="E722" s="52"/>
      <c r="N722" s="210"/>
      <c r="Q722" s="209"/>
      <c r="R722" s="209"/>
      <c r="S722" s="187"/>
      <c r="AV722" s="233" t="str">
        <f>IFERROR(TP_DATA[[#This Row],[Top '[m']]]-TP_DATA[[#This Row],[Bottom '[m']]], "")</f>
        <v/>
      </c>
      <c r="AW722" s="208"/>
      <c r="AX722" s="209"/>
      <c r="AY722" s="240"/>
      <c r="BB722" s="99"/>
      <c r="BC722" s="99"/>
      <c r="BD722" s="187"/>
      <c r="CH722" s="53" t="str">
        <f>IFERROR(TOWER_DATA[[#This Row],[Top '[m']]]-TOWER_DATA[[#This Row],[Bottom '[m']]], "")</f>
        <v/>
      </c>
      <c r="CI722" s="217" t="str">
        <f>IFERROR(-(TOWER_DATA[[#This Row],[D, bottom '[m']]]-TOWER_DATA[[#This Row],[D, top '[m']]])/(TOWER_DATA[[#This Row],[Bottom '[m']]]-TOWER_DATA[[#This Row],[Top '[m']]]),"")</f>
        <v/>
      </c>
      <c r="CJ722" s="145" t="str">
        <f t="shared" si="24"/>
        <v/>
      </c>
      <c r="CK722" s="220" t="str">
        <f>IFERROR((TOWER_DATA[[#This Row],[D, bottom '[m']]]+TOWER_DATA[[#This Row],[D, top '[m']]])/(2*TOWER_DATA[[#This Row],[t '[mm']]]/1000),"")</f>
        <v/>
      </c>
      <c r="DP722" s="209"/>
      <c r="DQ722" s="187"/>
      <c r="DT722" s="99"/>
      <c r="DU722" s="99"/>
    </row>
    <row r="723" spans="1:125" ht="18" customHeight="1">
      <c r="A723" s="271"/>
      <c r="D723" s="280"/>
      <c r="E723" s="52"/>
      <c r="N723" s="210"/>
      <c r="Q723" s="209"/>
      <c r="R723" s="209"/>
      <c r="S723" s="187"/>
      <c r="AV723" s="233" t="str">
        <f>IFERROR(TP_DATA[[#This Row],[Top '[m']]]-TP_DATA[[#This Row],[Bottom '[m']]], "")</f>
        <v/>
      </c>
      <c r="AW723" s="208"/>
      <c r="AX723" s="209"/>
      <c r="AY723" s="240"/>
      <c r="BB723" s="99"/>
      <c r="BC723" s="99"/>
      <c r="BD723" s="187"/>
      <c r="CH723" s="53" t="str">
        <f>IFERROR(TOWER_DATA[[#This Row],[Top '[m']]]-TOWER_DATA[[#This Row],[Bottom '[m']]], "")</f>
        <v/>
      </c>
      <c r="CI723" s="217" t="str">
        <f>IFERROR(-(TOWER_DATA[[#This Row],[D, bottom '[m']]]-TOWER_DATA[[#This Row],[D, top '[m']]])/(TOWER_DATA[[#This Row],[Bottom '[m']]]-TOWER_DATA[[#This Row],[Top '[m']]]),"")</f>
        <v/>
      </c>
      <c r="CJ723" s="145" t="str">
        <f t="shared" si="24"/>
        <v/>
      </c>
      <c r="CK723" s="220" t="str">
        <f>IFERROR((TOWER_DATA[[#This Row],[D, bottom '[m']]]+TOWER_DATA[[#This Row],[D, top '[m']]])/(2*TOWER_DATA[[#This Row],[t '[mm']]]/1000),"")</f>
        <v/>
      </c>
      <c r="DP723" s="209"/>
      <c r="DQ723" s="187"/>
      <c r="DT723" s="99"/>
      <c r="DU723" s="99"/>
    </row>
    <row r="724" spans="1:125" ht="18" customHeight="1">
      <c r="A724" s="271"/>
      <c r="D724" s="280"/>
      <c r="E724" s="52"/>
      <c r="N724" s="210"/>
      <c r="Q724" s="209"/>
      <c r="R724" s="209"/>
      <c r="S724" s="187"/>
      <c r="AV724" s="233" t="str">
        <f>IFERROR(TP_DATA[[#This Row],[Top '[m']]]-TP_DATA[[#This Row],[Bottom '[m']]], "")</f>
        <v/>
      </c>
      <c r="AW724" s="208"/>
      <c r="AX724" s="209"/>
      <c r="AY724" s="240"/>
      <c r="BB724" s="99"/>
      <c r="BC724" s="99"/>
      <c r="BD724" s="187"/>
      <c r="CH724" s="53" t="str">
        <f>IFERROR(TOWER_DATA[[#This Row],[Top '[m']]]-TOWER_DATA[[#This Row],[Bottom '[m']]], "")</f>
        <v/>
      </c>
      <c r="CI724" s="217" t="str">
        <f>IFERROR(-(TOWER_DATA[[#This Row],[D, bottom '[m']]]-TOWER_DATA[[#This Row],[D, top '[m']]])/(TOWER_DATA[[#This Row],[Bottom '[m']]]-TOWER_DATA[[#This Row],[Top '[m']]]),"")</f>
        <v/>
      </c>
      <c r="CJ724" s="145" t="str">
        <f t="shared" si="24"/>
        <v/>
      </c>
      <c r="CK724" s="220" t="str">
        <f>IFERROR((TOWER_DATA[[#This Row],[D, bottom '[m']]]+TOWER_DATA[[#This Row],[D, top '[m']]])/(2*TOWER_DATA[[#This Row],[t '[mm']]]/1000),"")</f>
        <v/>
      </c>
      <c r="DP724" s="209"/>
      <c r="DQ724" s="187"/>
      <c r="DT724" s="99"/>
      <c r="DU724" s="99"/>
    </row>
    <row r="725" spans="1:125" ht="18" customHeight="1">
      <c r="A725" s="271"/>
      <c r="D725" s="280"/>
      <c r="E725" s="52"/>
      <c r="N725" s="210"/>
      <c r="Q725" s="209"/>
      <c r="R725" s="209"/>
      <c r="S725" s="187"/>
      <c r="AV725" s="233" t="str">
        <f>IFERROR(TP_DATA[[#This Row],[Top '[m']]]-TP_DATA[[#This Row],[Bottom '[m']]], "")</f>
        <v/>
      </c>
      <c r="AW725" s="208"/>
      <c r="AX725" s="209"/>
      <c r="AY725" s="240"/>
      <c r="BB725" s="99"/>
      <c r="BC725" s="99"/>
      <c r="BD725" s="187"/>
      <c r="CH725" s="53" t="str">
        <f>IFERROR(TOWER_DATA[[#This Row],[Top '[m']]]-TOWER_DATA[[#This Row],[Bottom '[m']]], "")</f>
        <v/>
      </c>
      <c r="CI725" s="217" t="str">
        <f>IFERROR(-(TOWER_DATA[[#This Row],[D, bottom '[m']]]-TOWER_DATA[[#This Row],[D, top '[m']]])/(TOWER_DATA[[#This Row],[Bottom '[m']]]-TOWER_DATA[[#This Row],[Top '[m']]]),"")</f>
        <v/>
      </c>
      <c r="CJ725" s="145" t="str">
        <f t="shared" si="24"/>
        <v/>
      </c>
      <c r="CK725" s="220" t="str">
        <f>IFERROR((TOWER_DATA[[#This Row],[D, bottom '[m']]]+TOWER_DATA[[#This Row],[D, top '[m']]])/(2*TOWER_DATA[[#This Row],[t '[mm']]]/1000),"")</f>
        <v/>
      </c>
      <c r="DP725" s="209"/>
      <c r="DQ725" s="187"/>
      <c r="DT725" s="99"/>
      <c r="DU725" s="99"/>
    </row>
    <row r="726" spans="1:125" ht="18" customHeight="1">
      <c r="A726" s="271"/>
      <c r="D726" s="280"/>
      <c r="E726" s="52"/>
      <c r="N726" s="210"/>
      <c r="Q726" s="209"/>
      <c r="R726" s="209"/>
      <c r="S726" s="187"/>
      <c r="AV726" s="233" t="str">
        <f>IFERROR(TP_DATA[[#This Row],[Top '[m']]]-TP_DATA[[#This Row],[Bottom '[m']]], "")</f>
        <v/>
      </c>
      <c r="AW726" s="208"/>
      <c r="AX726" s="209"/>
      <c r="AY726" s="240"/>
      <c r="BB726" s="99"/>
      <c r="BC726" s="99"/>
      <c r="BD726" s="187"/>
      <c r="CH726" s="53" t="str">
        <f>IFERROR(TOWER_DATA[[#This Row],[Top '[m']]]-TOWER_DATA[[#This Row],[Bottom '[m']]], "")</f>
        <v/>
      </c>
      <c r="CI726" s="217" t="str">
        <f>IFERROR(-(TOWER_DATA[[#This Row],[D, bottom '[m']]]-TOWER_DATA[[#This Row],[D, top '[m']]])/(TOWER_DATA[[#This Row],[Bottom '[m']]]-TOWER_DATA[[#This Row],[Top '[m']]]),"")</f>
        <v/>
      </c>
      <c r="CJ726" s="145" t="str">
        <f t="shared" si="24"/>
        <v/>
      </c>
      <c r="CK726" s="220" t="str">
        <f>IFERROR((TOWER_DATA[[#This Row],[D, bottom '[m']]]+TOWER_DATA[[#This Row],[D, top '[m']]])/(2*TOWER_DATA[[#This Row],[t '[mm']]]/1000),"")</f>
        <v/>
      </c>
      <c r="DP726" s="209"/>
      <c r="DQ726" s="187"/>
      <c r="DT726" s="99"/>
      <c r="DU726" s="99"/>
    </row>
    <row r="727" spans="1:125" ht="18" customHeight="1">
      <c r="A727" s="271"/>
      <c r="D727" s="280"/>
      <c r="E727" s="52"/>
      <c r="N727" s="210"/>
      <c r="Q727" s="209"/>
      <c r="R727" s="209"/>
      <c r="S727" s="187"/>
      <c r="AV727" s="233" t="str">
        <f>IFERROR(TP_DATA[[#This Row],[Top '[m']]]-TP_DATA[[#This Row],[Bottom '[m']]], "")</f>
        <v/>
      </c>
      <c r="AW727" s="208"/>
      <c r="AX727" s="209"/>
      <c r="AY727" s="240"/>
      <c r="BB727" s="99"/>
      <c r="BC727" s="99"/>
      <c r="BD727" s="187"/>
      <c r="CH727" s="53" t="str">
        <f>IFERROR(TOWER_DATA[[#This Row],[Top '[m']]]-TOWER_DATA[[#This Row],[Bottom '[m']]], "")</f>
        <v/>
      </c>
      <c r="CI727" s="217" t="str">
        <f>IFERROR(-(TOWER_DATA[[#This Row],[D, bottom '[m']]]-TOWER_DATA[[#This Row],[D, top '[m']]])/(TOWER_DATA[[#This Row],[Bottom '[m']]]-TOWER_DATA[[#This Row],[Top '[m']]]),"")</f>
        <v/>
      </c>
      <c r="CJ727" s="145" t="str">
        <f t="shared" si="24"/>
        <v/>
      </c>
      <c r="CK727" s="220" t="str">
        <f>IFERROR((TOWER_DATA[[#This Row],[D, bottom '[m']]]+TOWER_DATA[[#This Row],[D, top '[m']]])/(2*TOWER_DATA[[#This Row],[t '[mm']]]/1000),"")</f>
        <v/>
      </c>
      <c r="DP727" s="209"/>
      <c r="DQ727" s="187"/>
      <c r="DT727" s="99"/>
      <c r="DU727" s="99"/>
    </row>
    <row r="728" spans="1:125" ht="18" customHeight="1">
      <c r="A728" s="271"/>
      <c r="D728" s="280"/>
      <c r="E728" s="52"/>
      <c r="N728" s="210"/>
      <c r="Q728" s="209"/>
      <c r="R728" s="209"/>
      <c r="S728" s="187"/>
      <c r="AV728" s="233" t="str">
        <f>IFERROR(TP_DATA[[#This Row],[Top '[m']]]-TP_DATA[[#This Row],[Bottom '[m']]], "")</f>
        <v/>
      </c>
      <c r="AW728" s="208"/>
      <c r="AX728" s="209"/>
      <c r="AY728" s="240"/>
      <c r="BB728" s="99"/>
      <c r="BC728" s="99"/>
      <c r="BD728" s="187"/>
      <c r="CH728" s="53" t="str">
        <f>IFERROR(TOWER_DATA[[#This Row],[Top '[m']]]-TOWER_DATA[[#This Row],[Bottom '[m']]], "")</f>
        <v/>
      </c>
      <c r="CI728" s="217" t="str">
        <f>IFERROR(-(TOWER_DATA[[#This Row],[D, bottom '[m']]]-TOWER_DATA[[#This Row],[D, top '[m']]])/(TOWER_DATA[[#This Row],[Bottom '[m']]]-TOWER_DATA[[#This Row],[Top '[m']]]),"")</f>
        <v/>
      </c>
      <c r="CJ728" s="145" t="str">
        <f t="shared" si="24"/>
        <v/>
      </c>
      <c r="CK728" s="220" t="str">
        <f>IFERROR((TOWER_DATA[[#This Row],[D, bottom '[m']]]+TOWER_DATA[[#This Row],[D, top '[m']]])/(2*TOWER_DATA[[#This Row],[t '[mm']]]/1000),"")</f>
        <v/>
      </c>
      <c r="DP728" s="209"/>
      <c r="DQ728" s="187"/>
      <c r="DT728" s="99"/>
      <c r="DU728" s="99"/>
    </row>
    <row r="729" spans="1:125" ht="18" customHeight="1">
      <c r="A729" s="271"/>
      <c r="D729" s="280"/>
      <c r="E729" s="52"/>
      <c r="N729" s="210"/>
      <c r="Q729" s="209"/>
      <c r="R729" s="209"/>
      <c r="S729" s="187"/>
      <c r="AV729" s="233" t="str">
        <f>IFERROR(TP_DATA[[#This Row],[Top '[m']]]-TP_DATA[[#This Row],[Bottom '[m']]], "")</f>
        <v/>
      </c>
      <c r="AW729" s="208"/>
      <c r="AX729" s="209"/>
      <c r="AY729" s="240"/>
      <c r="BB729" s="99"/>
      <c r="BC729" s="99"/>
      <c r="BD729" s="187"/>
      <c r="CH729" s="53" t="str">
        <f>IFERROR(TOWER_DATA[[#This Row],[Top '[m']]]-TOWER_DATA[[#This Row],[Bottom '[m']]], "")</f>
        <v/>
      </c>
      <c r="CI729" s="217" t="str">
        <f>IFERROR(-(TOWER_DATA[[#This Row],[D, bottom '[m']]]-TOWER_DATA[[#This Row],[D, top '[m']]])/(TOWER_DATA[[#This Row],[Bottom '[m']]]-TOWER_DATA[[#This Row],[Top '[m']]]),"")</f>
        <v/>
      </c>
      <c r="CJ729" s="145" t="str">
        <f t="shared" si="24"/>
        <v/>
      </c>
      <c r="CK729" s="220" t="str">
        <f>IFERROR((TOWER_DATA[[#This Row],[D, bottom '[m']]]+TOWER_DATA[[#This Row],[D, top '[m']]])/(2*TOWER_DATA[[#This Row],[t '[mm']]]/1000),"")</f>
        <v/>
      </c>
      <c r="DP729" s="209"/>
      <c r="DQ729" s="187"/>
      <c r="DT729" s="99"/>
      <c r="DU729" s="99"/>
    </row>
    <row r="730" spans="1:125" ht="18" customHeight="1">
      <c r="A730" s="271"/>
      <c r="D730" s="280"/>
      <c r="E730" s="52"/>
      <c r="N730" s="210"/>
      <c r="Q730" s="209"/>
      <c r="R730" s="209"/>
      <c r="S730" s="187"/>
      <c r="AV730" s="233" t="str">
        <f>IFERROR(TP_DATA[[#This Row],[Top '[m']]]-TP_DATA[[#This Row],[Bottom '[m']]], "")</f>
        <v/>
      </c>
      <c r="AW730" s="208"/>
      <c r="AX730" s="209"/>
      <c r="AY730" s="240"/>
      <c r="BB730" s="99"/>
      <c r="BC730" s="99"/>
      <c r="BD730" s="187"/>
      <c r="CH730" s="53" t="str">
        <f>IFERROR(TOWER_DATA[[#This Row],[Top '[m']]]-TOWER_DATA[[#This Row],[Bottom '[m']]], "")</f>
        <v/>
      </c>
      <c r="CI730" s="217" t="str">
        <f>IFERROR(-(TOWER_DATA[[#This Row],[D, bottom '[m']]]-TOWER_DATA[[#This Row],[D, top '[m']]])/(TOWER_DATA[[#This Row],[Bottom '[m']]]-TOWER_DATA[[#This Row],[Top '[m']]]),"")</f>
        <v/>
      </c>
      <c r="CJ730" s="145" t="str">
        <f t="shared" si="24"/>
        <v/>
      </c>
      <c r="CK730" s="220" t="str">
        <f>IFERROR((TOWER_DATA[[#This Row],[D, bottom '[m']]]+TOWER_DATA[[#This Row],[D, top '[m']]])/(2*TOWER_DATA[[#This Row],[t '[mm']]]/1000),"")</f>
        <v/>
      </c>
      <c r="DP730" s="209"/>
      <c r="DQ730" s="187"/>
      <c r="DT730" s="99"/>
      <c r="DU730" s="99"/>
    </row>
    <row r="731" spans="1:125" ht="18" customHeight="1">
      <c r="A731" s="271"/>
      <c r="D731" s="280"/>
      <c r="E731" s="52"/>
      <c r="N731" s="210"/>
      <c r="Q731" s="209"/>
      <c r="R731" s="209"/>
      <c r="S731" s="187"/>
      <c r="AV731" s="233" t="str">
        <f>IFERROR(TP_DATA[[#This Row],[Top '[m']]]-TP_DATA[[#This Row],[Bottom '[m']]], "")</f>
        <v/>
      </c>
      <c r="AW731" s="208"/>
      <c r="AX731" s="209"/>
      <c r="AY731" s="240"/>
      <c r="BB731" s="99"/>
      <c r="BC731" s="99"/>
      <c r="BD731" s="187"/>
      <c r="CH731" s="53" t="str">
        <f>IFERROR(TOWER_DATA[[#This Row],[Top '[m']]]-TOWER_DATA[[#This Row],[Bottom '[m']]], "")</f>
        <v/>
      </c>
      <c r="CI731" s="217" t="str">
        <f>IFERROR(-(TOWER_DATA[[#This Row],[D, bottom '[m']]]-TOWER_DATA[[#This Row],[D, top '[m']]])/(TOWER_DATA[[#This Row],[Bottom '[m']]]-TOWER_DATA[[#This Row],[Top '[m']]]),"")</f>
        <v/>
      </c>
      <c r="CJ731" s="145" t="str">
        <f t="shared" si="24"/>
        <v/>
      </c>
      <c r="CK731" s="220" t="str">
        <f>IFERROR((TOWER_DATA[[#This Row],[D, bottom '[m']]]+TOWER_DATA[[#This Row],[D, top '[m']]])/(2*TOWER_DATA[[#This Row],[t '[mm']]]/1000),"")</f>
        <v/>
      </c>
      <c r="DP731" s="209"/>
      <c r="DQ731" s="187"/>
      <c r="DT731" s="99"/>
      <c r="DU731" s="99"/>
    </row>
    <row r="732" spans="1:125" ht="18" customHeight="1">
      <c r="A732" s="271"/>
      <c r="D732" s="280"/>
      <c r="E732" s="52"/>
      <c r="N732" s="210"/>
      <c r="Q732" s="209"/>
      <c r="R732" s="209"/>
      <c r="S732" s="187"/>
      <c r="AV732" s="233" t="str">
        <f>IFERROR(TP_DATA[[#This Row],[Top '[m']]]-TP_DATA[[#This Row],[Bottom '[m']]], "")</f>
        <v/>
      </c>
      <c r="AW732" s="208"/>
      <c r="AX732" s="209"/>
      <c r="AY732" s="240"/>
      <c r="BB732" s="99"/>
      <c r="BC732" s="99"/>
      <c r="BD732" s="187"/>
      <c r="CH732" s="53" t="str">
        <f>IFERROR(TOWER_DATA[[#This Row],[Top '[m']]]-TOWER_DATA[[#This Row],[Bottom '[m']]], "")</f>
        <v/>
      </c>
      <c r="CI732" s="217" t="str">
        <f>IFERROR(-(TOWER_DATA[[#This Row],[D, bottom '[m']]]-TOWER_DATA[[#This Row],[D, top '[m']]])/(TOWER_DATA[[#This Row],[Bottom '[m']]]-TOWER_DATA[[#This Row],[Top '[m']]]),"")</f>
        <v/>
      </c>
      <c r="CJ732" s="145" t="str">
        <f t="shared" si="24"/>
        <v/>
      </c>
      <c r="CK732" s="220" t="str">
        <f>IFERROR((TOWER_DATA[[#This Row],[D, bottom '[m']]]+TOWER_DATA[[#This Row],[D, top '[m']]])/(2*TOWER_DATA[[#This Row],[t '[mm']]]/1000),"")</f>
        <v/>
      </c>
      <c r="DP732" s="209"/>
      <c r="DQ732" s="187"/>
      <c r="DT732" s="99"/>
      <c r="DU732" s="99"/>
    </row>
    <row r="733" spans="1:125" ht="18" customHeight="1">
      <c r="A733" s="271"/>
      <c r="D733" s="280"/>
      <c r="E733" s="52"/>
      <c r="N733" s="210"/>
      <c r="Q733" s="209"/>
      <c r="R733" s="209"/>
      <c r="S733" s="187"/>
      <c r="AV733" s="233" t="str">
        <f>IFERROR(TP_DATA[[#This Row],[Top '[m']]]-TP_DATA[[#This Row],[Bottom '[m']]], "")</f>
        <v/>
      </c>
      <c r="AW733" s="208"/>
      <c r="AX733" s="209"/>
      <c r="AY733" s="240"/>
      <c r="BB733" s="99"/>
      <c r="BC733" s="99"/>
      <c r="BD733" s="187"/>
      <c r="CH733" s="53" t="str">
        <f>IFERROR(TOWER_DATA[[#This Row],[Top '[m']]]-TOWER_DATA[[#This Row],[Bottom '[m']]], "")</f>
        <v/>
      </c>
      <c r="CI733" s="217" t="str">
        <f>IFERROR(-(TOWER_DATA[[#This Row],[D, bottom '[m']]]-TOWER_DATA[[#This Row],[D, top '[m']]])/(TOWER_DATA[[#This Row],[Bottom '[m']]]-TOWER_DATA[[#This Row],[Top '[m']]]),"")</f>
        <v/>
      </c>
      <c r="CJ733" s="145" t="str">
        <f t="shared" si="24"/>
        <v/>
      </c>
      <c r="CK733" s="220" t="str">
        <f>IFERROR((TOWER_DATA[[#This Row],[D, bottom '[m']]]+TOWER_DATA[[#This Row],[D, top '[m']]])/(2*TOWER_DATA[[#This Row],[t '[mm']]]/1000),"")</f>
        <v/>
      </c>
      <c r="DP733" s="209"/>
      <c r="DQ733" s="187"/>
      <c r="DT733" s="99"/>
      <c r="DU733" s="99"/>
    </row>
    <row r="734" spans="1:125" ht="18" customHeight="1">
      <c r="A734" s="271"/>
      <c r="D734" s="280"/>
      <c r="E734" s="52"/>
      <c r="N734" s="210"/>
      <c r="Q734" s="209"/>
      <c r="R734" s="209"/>
      <c r="S734" s="187"/>
      <c r="AV734" s="233" t="str">
        <f>IFERROR(TP_DATA[[#This Row],[Top '[m']]]-TP_DATA[[#This Row],[Bottom '[m']]], "")</f>
        <v/>
      </c>
      <c r="AW734" s="208"/>
      <c r="AX734" s="209"/>
      <c r="AY734" s="240"/>
      <c r="BB734" s="99"/>
      <c r="BC734" s="99"/>
      <c r="BD734" s="187"/>
      <c r="CH734" s="53" t="str">
        <f>IFERROR(TOWER_DATA[[#This Row],[Top '[m']]]-TOWER_DATA[[#This Row],[Bottom '[m']]], "")</f>
        <v/>
      </c>
      <c r="CI734" s="217" t="str">
        <f>IFERROR(-(TOWER_DATA[[#This Row],[D, bottom '[m']]]-TOWER_DATA[[#This Row],[D, top '[m']]])/(TOWER_DATA[[#This Row],[Bottom '[m']]]-TOWER_DATA[[#This Row],[Top '[m']]]),"")</f>
        <v/>
      </c>
      <c r="CJ734" s="145" t="str">
        <f t="shared" si="24"/>
        <v/>
      </c>
      <c r="CK734" s="220" t="str">
        <f>IFERROR((TOWER_DATA[[#This Row],[D, bottom '[m']]]+TOWER_DATA[[#This Row],[D, top '[m']]])/(2*TOWER_DATA[[#This Row],[t '[mm']]]/1000),"")</f>
        <v/>
      </c>
      <c r="DP734" s="209"/>
      <c r="DQ734" s="187"/>
      <c r="DT734" s="99"/>
      <c r="DU734" s="99"/>
    </row>
    <row r="735" spans="1:125" ht="18" customHeight="1">
      <c r="A735" s="271"/>
      <c r="D735" s="280"/>
      <c r="E735" s="52"/>
      <c r="N735" s="210"/>
      <c r="Q735" s="209"/>
      <c r="R735" s="209"/>
      <c r="S735" s="187"/>
      <c r="AV735" s="233" t="str">
        <f>IFERROR(TP_DATA[[#This Row],[Top '[m']]]-TP_DATA[[#This Row],[Bottom '[m']]], "")</f>
        <v/>
      </c>
      <c r="AW735" s="208"/>
      <c r="AX735" s="209"/>
      <c r="AY735" s="240"/>
      <c r="BB735" s="99"/>
      <c r="BC735" s="99"/>
      <c r="BD735" s="187"/>
      <c r="CH735" s="53" t="str">
        <f>IFERROR(TOWER_DATA[[#This Row],[Top '[m']]]-TOWER_DATA[[#This Row],[Bottom '[m']]], "")</f>
        <v/>
      </c>
      <c r="CI735" s="217" t="str">
        <f>IFERROR(-(TOWER_DATA[[#This Row],[D, bottom '[m']]]-TOWER_DATA[[#This Row],[D, top '[m']]])/(TOWER_DATA[[#This Row],[Bottom '[m']]]-TOWER_DATA[[#This Row],[Top '[m']]]),"")</f>
        <v/>
      </c>
      <c r="CJ735" s="145" t="str">
        <f t="shared" si="24"/>
        <v/>
      </c>
      <c r="CK735" s="220" t="str">
        <f>IFERROR((TOWER_DATA[[#This Row],[D, bottom '[m']]]+TOWER_DATA[[#This Row],[D, top '[m']]])/(2*TOWER_DATA[[#This Row],[t '[mm']]]/1000),"")</f>
        <v/>
      </c>
      <c r="DP735" s="209"/>
      <c r="DQ735" s="187"/>
      <c r="DT735" s="99"/>
      <c r="DU735" s="99"/>
    </row>
    <row r="736" spans="1:125" ht="18" customHeight="1">
      <c r="A736" s="271"/>
      <c r="D736" s="280"/>
      <c r="E736" s="52"/>
      <c r="N736" s="210"/>
      <c r="Q736" s="209"/>
      <c r="R736" s="209"/>
      <c r="S736" s="187"/>
      <c r="AV736" s="233" t="str">
        <f>IFERROR(TP_DATA[[#This Row],[Top '[m']]]-TP_DATA[[#This Row],[Bottom '[m']]], "")</f>
        <v/>
      </c>
      <c r="AW736" s="208"/>
      <c r="AX736" s="209"/>
      <c r="AY736" s="240"/>
      <c r="BB736" s="99"/>
      <c r="BC736" s="99"/>
      <c r="BD736" s="187"/>
      <c r="CH736" s="53" t="str">
        <f>IFERROR(TOWER_DATA[[#This Row],[Top '[m']]]-TOWER_DATA[[#This Row],[Bottom '[m']]], "")</f>
        <v/>
      </c>
      <c r="CI736" s="217" t="str">
        <f>IFERROR(-(TOWER_DATA[[#This Row],[D, bottom '[m']]]-TOWER_DATA[[#This Row],[D, top '[m']]])/(TOWER_DATA[[#This Row],[Bottom '[m']]]-TOWER_DATA[[#This Row],[Top '[m']]]),"")</f>
        <v/>
      </c>
      <c r="CJ736" s="145" t="str">
        <f t="shared" si="24"/>
        <v/>
      </c>
      <c r="CK736" s="220" t="str">
        <f>IFERROR((TOWER_DATA[[#This Row],[D, bottom '[m']]]+TOWER_DATA[[#This Row],[D, top '[m']]])/(2*TOWER_DATA[[#This Row],[t '[mm']]]/1000),"")</f>
        <v/>
      </c>
      <c r="DP736" s="209"/>
      <c r="DQ736" s="187"/>
      <c r="DT736" s="99"/>
      <c r="DU736" s="99"/>
    </row>
    <row r="737" spans="1:125" ht="18" customHeight="1">
      <c r="A737" s="271"/>
      <c r="D737" s="280"/>
      <c r="E737" s="52"/>
      <c r="N737" s="210"/>
      <c r="Q737" s="209"/>
      <c r="R737" s="209"/>
      <c r="S737" s="187"/>
      <c r="AV737" s="233" t="str">
        <f>IFERROR(TP_DATA[[#This Row],[Top '[m']]]-TP_DATA[[#This Row],[Bottom '[m']]], "")</f>
        <v/>
      </c>
      <c r="AW737" s="208"/>
      <c r="AX737" s="209"/>
      <c r="AY737" s="240"/>
      <c r="BB737" s="99"/>
      <c r="BC737" s="99"/>
      <c r="BD737" s="187"/>
      <c r="CH737" s="53" t="str">
        <f>IFERROR(TOWER_DATA[[#This Row],[Top '[m']]]-TOWER_DATA[[#This Row],[Bottom '[m']]], "")</f>
        <v/>
      </c>
      <c r="CI737" s="217" t="str">
        <f>IFERROR(-(TOWER_DATA[[#This Row],[D, bottom '[m']]]-TOWER_DATA[[#This Row],[D, top '[m']]])/(TOWER_DATA[[#This Row],[Bottom '[m']]]-TOWER_DATA[[#This Row],[Top '[m']]]),"")</f>
        <v/>
      </c>
      <c r="CJ737" s="145" t="str">
        <f t="shared" si="24"/>
        <v/>
      </c>
      <c r="CK737" s="220" t="str">
        <f>IFERROR((TOWER_DATA[[#This Row],[D, bottom '[m']]]+TOWER_DATA[[#This Row],[D, top '[m']]])/(2*TOWER_DATA[[#This Row],[t '[mm']]]/1000),"")</f>
        <v/>
      </c>
      <c r="DP737" s="209"/>
      <c r="DQ737" s="187"/>
      <c r="DT737" s="99"/>
      <c r="DU737" s="99"/>
    </row>
    <row r="738" spans="1:125" ht="18" customHeight="1">
      <c r="A738" s="271"/>
      <c r="D738" s="280"/>
      <c r="E738" s="52"/>
      <c r="N738" s="210"/>
      <c r="Q738" s="209"/>
      <c r="R738" s="209"/>
      <c r="S738" s="187"/>
      <c r="AV738" s="233" t="str">
        <f>IFERROR(TP_DATA[[#This Row],[Top '[m']]]-TP_DATA[[#This Row],[Bottom '[m']]], "")</f>
        <v/>
      </c>
      <c r="AW738" s="208"/>
      <c r="AX738" s="209"/>
      <c r="AY738" s="240"/>
      <c r="BB738" s="99"/>
      <c r="BC738" s="99"/>
      <c r="BD738" s="187"/>
      <c r="CH738" s="53" t="str">
        <f>IFERROR(TOWER_DATA[[#This Row],[Top '[m']]]-TOWER_DATA[[#This Row],[Bottom '[m']]], "")</f>
        <v/>
      </c>
      <c r="CI738" s="217" t="str">
        <f>IFERROR(-(TOWER_DATA[[#This Row],[D, bottom '[m']]]-TOWER_DATA[[#This Row],[D, top '[m']]])/(TOWER_DATA[[#This Row],[Bottom '[m']]]-TOWER_DATA[[#This Row],[Top '[m']]]),"")</f>
        <v/>
      </c>
      <c r="CJ738" s="145" t="str">
        <f t="shared" si="24"/>
        <v/>
      </c>
      <c r="CK738" s="220" t="str">
        <f>IFERROR((TOWER_DATA[[#This Row],[D, bottom '[m']]]+TOWER_DATA[[#This Row],[D, top '[m']]])/(2*TOWER_DATA[[#This Row],[t '[mm']]]/1000),"")</f>
        <v/>
      </c>
      <c r="DP738" s="209"/>
      <c r="DQ738" s="187"/>
      <c r="DT738" s="99"/>
      <c r="DU738" s="99"/>
    </row>
    <row r="739" spans="1:125" ht="18" customHeight="1">
      <c r="A739" s="271"/>
      <c r="D739" s="280"/>
      <c r="E739" s="52"/>
      <c r="N739" s="210"/>
      <c r="Q739" s="209"/>
      <c r="R739" s="209"/>
      <c r="S739" s="187"/>
      <c r="AV739" s="233" t="str">
        <f>IFERROR(TP_DATA[[#This Row],[Top '[m']]]-TP_DATA[[#This Row],[Bottom '[m']]], "")</f>
        <v/>
      </c>
      <c r="AW739" s="208"/>
      <c r="AX739" s="209"/>
      <c r="AY739" s="240"/>
      <c r="BB739" s="99"/>
      <c r="BC739" s="99"/>
      <c r="BD739" s="187"/>
      <c r="CH739" s="53" t="str">
        <f>IFERROR(TOWER_DATA[[#This Row],[Top '[m']]]-TOWER_DATA[[#This Row],[Bottom '[m']]], "")</f>
        <v/>
      </c>
      <c r="CI739" s="217" t="str">
        <f>IFERROR(-(TOWER_DATA[[#This Row],[D, bottom '[m']]]-TOWER_DATA[[#This Row],[D, top '[m']]])/(TOWER_DATA[[#This Row],[Bottom '[m']]]-TOWER_DATA[[#This Row],[Top '[m']]]),"")</f>
        <v/>
      </c>
      <c r="CJ739" s="145" t="str">
        <f t="shared" si="24"/>
        <v/>
      </c>
      <c r="CK739" s="220" t="str">
        <f>IFERROR((TOWER_DATA[[#This Row],[D, bottom '[m']]]+TOWER_DATA[[#This Row],[D, top '[m']]])/(2*TOWER_DATA[[#This Row],[t '[mm']]]/1000),"")</f>
        <v/>
      </c>
      <c r="DP739" s="209"/>
      <c r="DQ739" s="187"/>
      <c r="DT739" s="99"/>
      <c r="DU739" s="99"/>
    </row>
    <row r="740" spans="1:125" ht="18" customHeight="1">
      <c r="A740" s="271"/>
      <c r="D740" s="280"/>
      <c r="E740" s="52"/>
      <c r="N740" s="210"/>
      <c r="Q740" s="209"/>
      <c r="R740" s="209"/>
      <c r="S740" s="187"/>
      <c r="AV740" s="233" t="str">
        <f>IFERROR(TP_DATA[[#This Row],[Top '[m']]]-TP_DATA[[#This Row],[Bottom '[m']]], "")</f>
        <v/>
      </c>
      <c r="AW740" s="208"/>
      <c r="AX740" s="209"/>
      <c r="AY740" s="240"/>
      <c r="BB740" s="99"/>
      <c r="BC740" s="99"/>
      <c r="BD740" s="187"/>
      <c r="CH740" s="53" t="str">
        <f>IFERROR(TOWER_DATA[[#This Row],[Top '[m']]]-TOWER_DATA[[#This Row],[Bottom '[m']]], "")</f>
        <v/>
      </c>
      <c r="CI740" s="217" t="str">
        <f>IFERROR(-(TOWER_DATA[[#This Row],[D, bottom '[m']]]-TOWER_DATA[[#This Row],[D, top '[m']]])/(TOWER_DATA[[#This Row],[Bottom '[m']]]-TOWER_DATA[[#This Row],[Top '[m']]]),"")</f>
        <v/>
      </c>
      <c r="CJ740" s="145" t="str">
        <f t="shared" si="24"/>
        <v/>
      </c>
      <c r="CK740" s="220" t="str">
        <f>IFERROR((TOWER_DATA[[#This Row],[D, bottom '[m']]]+TOWER_DATA[[#This Row],[D, top '[m']]])/(2*TOWER_DATA[[#This Row],[t '[mm']]]/1000),"")</f>
        <v/>
      </c>
      <c r="DP740" s="209"/>
      <c r="DQ740" s="187"/>
      <c r="DT740" s="99"/>
      <c r="DU740" s="99"/>
    </row>
    <row r="741" spans="1:125" ht="18" customHeight="1">
      <c r="A741" s="271"/>
      <c r="D741" s="280"/>
      <c r="E741" s="52"/>
      <c r="N741" s="210"/>
      <c r="Q741" s="209"/>
      <c r="R741" s="209"/>
      <c r="S741" s="187"/>
      <c r="AV741" s="233" t="str">
        <f>IFERROR(TP_DATA[[#This Row],[Top '[m']]]-TP_DATA[[#This Row],[Bottom '[m']]], "")</f>
        <v/>
      </c>
      <c r="AW741" s="208"/>
      <c r="AX741" s="209"/>
      <c r="AY741" s="240"/>
      <c r="BB741" s="99"/>
      <c r="BC741" s="99"/>
      <c r="BD741" s="187"/>
      <c r="CH741" s="53" t="str">
        <f>IFERROR(TOWER_DATA[[#This Row],[Top '[m']]]-TOWER_DATA[[#This Row],[Bottom '[m']]], "")</f>
        <v/>
      </c>
      <c r="CI741" s="217" t="str">
        <f>IFERROR(-(TOWER_DATA[[#This Row],[D, bottom '[m']]]-TOWER_DATA[[#This Row],[D, top '[m']]])/(TOWER_DATA[[#This Row],[Bottom '[m']]]-TOWER_DATA[[#This Row],[Top '[m']]]),"")</f>
        <v/>
      </c>
      <c r="CJ741" s="145" t="str">
        <f t="shared" si="24"/>
        <v/>
      </c>
      <c r="CK741" s="220" t="str">
        <f>IFERROR((TOWER_DATA[[#This Row],[D, bottom '[m']]]+TOWER_DATA[[#This Row],[D, top '[m']]])/(2*TOWER_DATA[[#This Row],[t '[mm']]]/1000),"")</f>
        <v/>
      </c>
      <c r="DP741" s="209"/>
      <c r="DQ741" s="187"/>
      <c r="DT741" s="99"/>
      <c r="DU741" s="99"/>
    </row>
    <row r="742" spans="1:125" ht="18" customHeight="1">
      <c r="A742" s="271"/>
      <c r="D742" s="280"/>
      <c r="E742" s="52"/>
      <c r="N742" s="210"/>
      <c r="Q742" s="209"/>
      <c r="R742" s="209"/>
      <c r="S742" s="187"/>
      <c r="AV742" s="233" t="str">
        <f>IFERROR(TP_DATA[[#This Row],[Top '[m']]]-TP_DATA[[#This Row],[Bottom '[m']]], "")</f>
        <v/>
      </c>
      <c r="AW742" s="208"/>
      <c r="AX742" s="209"/>
      <c r="AY742" s="240"/>
      <c r="BB742" s="99"/>
      <c r="BC742" s="99"/>
      <c r="BD742" s="187"/>
      <c r="CH742" s="53" t="str">
        <f>IFERROR(TOWER_DATA[[#This Row],[Top '[m']]]-TOWER_DATA[[#This Row],[Bottom '[m']]], "")</f>
        <v/>
      </c>
      <c r="CI742" s="217" t="str">
        <f>IFERROR(-(TOWER_DATA[[#This Row],[D, bottom '[m']]]-TOWER_DATA[[#This Row],[D, top '[m']]])/(TOWER_DATA[[#This Row],[Bottom '[m']]]-TOWER_DATA[[#This Row],[Top '[m']]]),"")</f>
        <v/>
      </c>
      <c r="CJ742" s="145" t="str">
        <f t="shared" si="24"/>
        <v/>
      </c>
      <c r="CK742" s="220" t="str">
        <f>IFERROR((TOWER_DATA[[#This Row],[D, bottom '[m']]]+TOWER_DATA[[#This Row],[D, top '[m']]])/(2*TOWER_DATA[[#This Row],[t '[mm']]]/1000),"")</f>
        <v/>
      </c>
      <c r="DP742" s="209"/>
      <c r="DQ742" s="187"/>
      <c r="DT742" s="99"/>
      <c r="DU742" s="99"/>
    </row>
    <row r="743" spans="1:125" ht="18" customHeight="1">
      <c r="A743" s="271"/>
      <c r="D743" s="280"/>
      <c r="E743" s="52"/>
      <c r="N743" s="210"/>
      <c r="Q743" s="209"/>
      <c r="R743" s="209"/>
      <c r="S743" s="187"/>
      <c r="AV743" s="233" t="str">
        <f>IFERROR(TP_DATA[[#This Row],[Top '[m']]]-TP_DATA[[#This Row],[Bottom '[m']]], "")</f>
        <v/>
      </c>
      <c r="AW743" s="208"/>
      <c r="AX743" s="209"/>
      <c r="AY743" s="240"/>
      <c r="BB743" s="99"/>
      <c r="BC743" s="99"/>
      <c r="BD743" s="187"/>
      <c r="CH743" s="53" t="str">
        <f>IFERROR(TOWER_DATA[[#This Row],[Top '[m']]]-TOWER_DATA[[#This Row],[Bottom '[m']]], "")</f>
        <v/>
      </c>
      <c r="CI743" s="217" t="str">
        <f>IFERROR(-(TOWER_DATA[[#This Row],[D, bottom '[m']]]-TOWER_DATA[[#This Row],[D, top '[m']]])/(TOWER_DATA[[#This Row],[Bottom '[m']]]-TOWER_DATA[[#This Row],[Top '[m']]]),"")</f>
        <v/>
      </c>
      <c r="CJ743" s="145" t="str">
        <f t="shared" si="24"/>
        <v/>
      </c>
      <c r="CK743" s="220" t="str">
        <f>IFERROR((TOWER_DATA[[#This Row],[D, bottom '[m']]]+TOWER_DATA[[#This Row],[D, top '[m']]])/(2*TOWER_DATA[[#This Row],[t '[mm']]]/1000),"")</f>
        <v/>
      </c>
      <c r="DP743" s="209"/>
      <c r="DQ743" s="187"/>
      <c r="DT743" s="99"/>
      <c r="DU743" s="99"/>
    </row>
    <row r="744" spans="1:125" ht="18" customHeight="1">
      <c r="A744" s="271"/>
      <c r="D744" s="280"/>
      <c r="E744" s="52"/>
      <c r="N744" s="210"/>
      <c r="Q744" s="209"/>
      <c r="R744" s="209"/>
      <c r="S744" s="187"/>
      <c r="AV744" s="233" t="str">
        <f>IFERROR(TP_DATA[[#This Row],[Top '[m']]]-TP_DATA[[#This Row],[Bottom '[m']]], "")</f>
        <v/>
      </c>
      <c r="AW744" s="208"/>
      <c r="AX744" s="209"/>
      <c r="AY744" s="240"/>
      <c r="BB744" s="99"/>
      <c r="BC744" s="99"/>
      <c r="BD744" s="187"/>
      <c r="CH744" s="53" t="str">
        <f>IFERROR(TOWER_DATA[[#This Row],[Top '[m']]]-TOWER_DATA[[#This Row],[Bottom '[m']]], "")</f>
        <v/>
      </c>
      <c r="CI744" s="217" t="str">
        <f>IFERROR(-(TOWER_DATA[[#This Row],[D, bottom '[m']]]-TOWER_DATA[[#This Row],[D, top '[m']]])/(TOWER_DATA[[#This Row],[Bottom '[m']]]-TOWER_DATA[[#This Row],[Top '[m']]]),"")</f>
        <v/>
      </c>
      <c r="CJ744" s="145" t="str">
        <f t="shared" si="24"/>
        <v/>
      </c>
      <c r="CK744" s="220" t="str">
        <f>IFERROR((TOWER_DATA[[#This Row],[D, bottom '[m']]]+TOWER_DATA[[#This Row],[D, top '[m']]])/(2*TOWER_DATA[[#This Row],[t '[mm']]]/1000),"")</f>
        <v/>
      </c>
      <c r="DP744" s="209"/>
      <c r="DQ744" s="187"/>
      <c r="DT744" s="99"/>
      <c r="DU744" s="99"/>
    </row>
    <row r="745" spans="1:125" ht="18" customHeight="1">
      <c r="A745" s="271"/>
      <c r="D745" s="280"/>
      <c r="E745" s="52"/>
      <c r="N745" s="210"/>
      <c r="Q745" s="209"/>
      <c r="R745" s="209"/>
      <c r="S745" s="187"/>
      <c r="AV745" s="233" t="str">
        <f>IFERROR(TP_DATA[[#This Row],[Top '[m']]]-TP_DATA[[#This Row],[Bottom '[m']]], "")</f>
        <v/>
      </c>
      <c r="AW745" s="208"/>
      <c r="AX745" s="209"/>
      <c r="AY745" s="240"/>
      <c r="BB745" s="99"/>
      <c r="BC745" s="99"/>
      <c r="BD745" s="187"/>
      <c r="CH745" s="53" t="str">
        <f>IFERROR(TOWER_DATA[[#This Row],[Top '[m']]]-TOWER_DATA[[#This Row],[Bottom '[m']]], "")</f>
        <v/>
      </c>
      <c r="CI745" s="217" t="str">
        <f>IFERROR(-(TOWER_DATA[[#This Row],[D, bottom '[m']]]-TOWER_DATA[[#This Row],[D, top '[m']]])/(TOWER_DATA[[#This Row],[Bottom '[m']]]-TOWER_DATA[[#This Row],[Top '[m']]]),"")</f>
        <v/>
      </c>
      <c r="CJ745" s="145" t="str">
        <f t="shared" si="24"/>
        <v/>
      </c>
      <c r="CK745" s="220" t="str">
        <f>IFERROR((TOWER_DATA[[#This Row],[D, bottom '[m']]]+TOWER_DATA[[#This Row],[D, top '[m']]])/(2*TOWER_DATA[[#This Row],[t '[mm']]]/1000),"")</f>
        <v/>
      </c>
      <c r="DP745" s="209"/>
      <c r="DQ745" s="187"/>
      <c r="DT745" s="99"/>
      <c r="DU745" s="99"/>
    </row>
    <row r="746" spans="1:125" ht="18" customHeight="1">
      <c r="A746" s="271"/>
      <c r="D746" s="280"/>
      <c r="E746" s="52"/>
      <c r="N746" s="210"/>
      <c r="Q746" s="209"/>
      <c r="R746" s="209"/>
      <c r="S746" s="187"/>
      <c r="AV746" s="233" t="str">
        <f>IFERROR(TP_DATA[[#This Row],[Top '[m']]]-TP_DATA[[#This Row],[Bottom '[m']]], "")</f>
        <v/>
      </c>
      <c r="AW746" s="208"/>
      <c r="AX746" s="209"/>
      <c r="AY746" s="240"/>
      <c r="BB746" s="99"/>
      <c r="BC746" s="99"/>
      <c r="BD746" s="187"/>
      <c r="CH746" s="53" t="str">
        <f>IFERROR(TOWER_DATA[[#This Row],[Top '[m']]]-TOWER_DATA[[#This Row],[Bottom '[m']]], "")</f>
        <v/>
      </c>
      <c r="CI746" s="217" t="str">
        <f>IFERROR(-(TOWER_DATA[[#This Row],[D, bottom '[m']]]-TOWER_DATA[[#This Row],[D, top '[m']]])/(TOWER_DATA[[#This Row],[Bottom '[m']]]-TOWER_DATA[[#This Row],[Top '[m']]]),"")</f>
        <v/>
      </c>
      <c r="CJ746" s="145" t="str">
        <f t="shared" si="24"/>
        <v/>
      </c>
      <c r="CK746" s="220" t="str">
        <f>IFERROR((TOWER_DATA[[#This Row],[D, bottom '[m']]]+TOWER_DATA[[#This Row],[D, top '[m']]])/(2*TOWER_DATA[[#This Row],[t '[mm']]]/1000),"")</f>
        <v/>
      </c>
      <c r="DP746" s="209"/>
      <c r="DQ746" s="187"/>
      <c r="DT746" s="99"/>
      <c r="DU746" s="99"/>
    </row>
    <row r="747" spans="1:125" ht="18" customHeight="1">
      <c r="A747" s="271"/>
      <c r="D747" s="280"/>
      <c r="E747" s="52"/>
      <c r="N747" s="210"/>
      <c r="Q747" s="209"/>
      <c r="R747" s="209"/>
      <c r="S747" s="187"/>
      <c r="AV747" s="233" t="str">
        <f>IFERROR(TP_DATA[[#This Row],[Top '[m']]]-TP_DATA[[#This Row],[Bottom '[m']]], "")</f>
        <v/>
      </c>
      <c r="AW747" s="208"/>
      <c r="AX747" s="209"/>
      <c r="AY747" s="240"/>
      <c r="BB747" s="99"/>
      <c r="BC747" s="99"/>
      <c r="BD747" s="187"/>
      <c r="CH747" s="53" t="str">
        <f>IFERROR(TOWER_DATA[[#This Row],[Top '[m']]]-TOWER_DATA[[#This Row],[Bottom '[m']]], "")</f>
        <v/>
      </c>
      <c r="CI747" s="217" t="str">
        <f>IFERROR(-(TOWER_DATA[[#This Row],[D, bottom '[m']]]-TOWER_DATA[[#This Row],[D, top '[m']]])/(TOWER_DATA[[#This Row],[Bottom '[m']]]-TOWER_DATA[[#This Row],[Top '[m']]]),"")</f>
        <v/>
      </c>
      <c r="CJ747" s="145" t="str">
        <f t="shared" si="24"/>
        <v/>
      </c>
      <c r="CK747" s="220" t="str">
        <f>IFERROR((TOWER_DATA[[#This Row],[D, bottom '[m']]]+TOWER_DATA[[#This Row],[D, top '[m']]])/(2*TOWER_DATA[[#This Row],[t '[mm']]]/1000),"")</f>
        <v/>
      </c>
      <c r="DP747" s="209"/>
      <c r="DQ747" s="187"/>
      <c r="DT747" s="99"/>
      <c r="DU747" s="99"/>
    </row>
    <row r="748" spans="1:125" ht="18" customHeight="1">
      <c r="A748" s="271"/>
      <c r="D748" s="280"/>
      <c r="E748" s="52"/>
      <c r="N748" s="210"/>
      <c r="Q748" s="209"/>
      <c r="R748" s="209"/>
      <c r="S748" s="187"/>
      <c r="AV748" s="233" t="str">
        <f>IFERROR(TP_DATA[[#This Row],[Top '[m']]]-TP_DATA[[#This Row],[Bottom '[m']]], "")</f>
        <v/>
      </c>
      <c r="AW748" s="208"/>
      <c r="AX748" s="209"/>
      <c r="AY748" s="240"/>
      <c r="BB748" s="99"/>
      <c r="BC748" s="99"/>
      <c r="BD748" s="187"/>
      <c r="CH748" s="53" t="str">
        <f>IFERROR(TOWER_DATA[[#This Row],[Top '[m']]]-TOWER_DATA[[#This Row],[Bottom '[m']]], "")</f>
        <v/>
      </c>
      <c r="CI748" s="217" t="str">
        <f>IFERROR(-(TOWER_DATA[[#This Row],[D, bottom '[m']]]-TOWER_DATA[[#This Row],[D, top '[m']]])/(TOWER_DATA[[#This Row],[Bottom '[m']]]-TOWER_DATA[[#This Row],[Top '[m']]]),"")</f>
        <v/>
      </c>
      <c r="CJ748" s="145" t="str">
        <f t="shared" si="24"/>
        <v/>
      </c>
      <c r="CK748" s="220" t="str">
        <f>IFERROR((TOWER_DATA[[#This Row],[D, bottom '[m']]]+TOWER_DATA[[#This Row],[D, top '[m']]])/(2*TOWER_DATA[[#This Row],[t '[mm']]]/1000),"")</f>
        <v/>
      </c>
      <c r="DP748" s="209"/>
      <c r="DQ748" s="187"/>
      <c r="DT748" s="99"/>
      <c r="DU748" s="99"/>
    </row>
    <row r="749" spans="1:125" ht="18" customHeight="1">
      <c r="A749" s="271"/>
      <c r="D749" s="280"/>
      <c r="E749" s="52"/>
      <c r="N749" s="210"/>
      <c r="Q749" s="209"/>
      <c r="R749" s="209"/>
      <c r="S749" s="187"/>
      <c r="AV749" s="241"/>
      <c r="AW749" s="208"/>
      <c r="AX749" s="209"/>
      <c r="AY749" s="240"/>
      <c r="BB749" s="99"/>
      <c r="BC749" s="99"/>
      <c r="BD749" s="187"/>
      <c r="CH749" s="53" t="str">
        <f>IFERROR(TOWER_DATA[[#This Row],[Top '[m']]]-TOWER_DATA[[#This Row],[Bottom '[m']]], "")</f>
        <v/>
      </c>
      <c r="CI749" s="217" t="str">
        <f>IFERROR(-(TOWER_DATA[[#This Row],[D, bottom '[m']]]-TOWER_DATA[[#This Row],[D, top '[m']]])/(TOWER_DATA[[#This Row],[Bottom '[m']]]-TOWER_DATA[[#This Row],[Top '[m']]]),"")</f>
        <v/>
      </c>
      <c r="CJ749" s="145" t="str">
        <f t="shared" si="24"/>
        <v/>
      </c>
      <c r="CK749" s="220" t="str">
        <f>IFERROR((TOWER_DATA[[#This Row],[D, bottom '[m']]]+TOWER_DATA[[#This Row],[D, top '[m']]])/(2*TOWER_DATA[[#This Row],[t '[mm']]]/1000),"")</f>
        <v/>
      </c>
      <c r="DP749" s="209"/>
      <c r="DQ749" s="187"/>
      <c r="DT749" s="99"/>
      <c r="DU749" s="99"/>
    </row>
    <row r="750" spans="1:125" ht="18" customHeight="1">
      <c r="A750" s="271"/>
      <c r="D750" s="280"/>
      <c r="E750" s="52"/>
      <c r="N750" s="210"/>
      <c r="Q750" s="209"/>
      <c r="R750" s="209"/>
      <c r="S750" s="187"/>
      <c r="AV750" s="241"/>
      <c r="AW750" s="208"/>
      <c r="AX750" s="209"/>
      <c r="AY750" s="240"/>
      <c r="BB750" s="99"/>
      <c r="BC750" s="99"/>
      <c r="BD750" s="187"/>
      <c r="CH750" s="53" t="str">
        <f>IFERROR(TOWER_DATA[[#This Row],[Top '[m']]]-TOWER_DATA[[#This Row],[Bottom '[m']]], "")</f>
        <v/>
      </c>
      <c r="CI750" s="217" t="str">
        <f>IFERROR(-(TOWER_DATA[[#This Row],[D, bottom '[m']]]-TOWER_DATA[[#This Row],[D, top '[m']]])/(TOWER_DATA[[#This Row],[Bottom '[m']]]-TOWER_DATA[[#This Row],[Top '[m']]]),"")</f>
        <v/>
      </c>
      <c r="CJ750" s="145" t="str">
        <f t="shared" si="24"/>
        <v/>
      </c>
      <c r="CK750" s="220" t="str">
        <f>IFERROR((TOWER_DATA[[#This Row],[D, bottom '[m']]]+TOWER_DATA[[#This Row],[D, top '[m']]])/(2*TOWER_DATA[[#This Row],[t '[mm']]]/1000),"")</f>
        <v/>
      </c>
      <c r="DP750" s="209"/>
      <c r="DQ750" s="187"/>
      <c r="DT750" s="99"/>
      <c r="DU750" s="99"/>
    </row>
    <row r="751" spans="1:125" ht="18" customHeight="1">
      <c r="A751" s="271"/>
      <c r="D751" s="280"/>
      <c r="E751" s="52"/>
      <c r="N751" s="210"/>
      <c r="Q751" s="209"/>
      <c r="R751" s="209"/>
      <c r="S751" s="187"/>
      <c r="AV751" s="241"/>
      <c r="AW751" s="208"/>
      <c r="AX751" s="209"/>
      <c r="AY751" s="240"/>
      <c r="BB751" s="99"/>
      <c r="BC751" s="99"/>
      <c r="BD751" s="187"/>
      <c r="CH751" s="53" t="str">
        <f>IFERROR(TOWER_DATA[[#This Row],[Top '[m']]]-TOWER_DATA[[#This Row],[Bottom '[m']]], "")</f>
        <v/>
      </c>
      <c r="CI751" s="217" t="str">
        <f>IFERROR(-(TOWER_DATA[[#This Row],[D, bottom '[m']]]-TOWER_DATA[[#This Row],[D, top '[m']]])/(TOWER_DATA[[#This Row],[Bottom '[m']]]-TOWER_DATA[[#This Row],[Top '[m']]]),"")</f>
        <v/>
      </c>
      <c r="CJ751" s="145" t="str">
        <f t="shared" si="24"/>
        <v/>
      </c>
      <c r="CK751" s="220" t="str">
        <f>IFERROR((TOWER_DATA[[#This Row],[D, bottom '[m']]]+TOWER_DATA[[#This Row],[D, top '[m']]])/(2*TOWER_DATA[[#This Row],[t '[mm']]]/1000),"")</f>
        <v/>
      </c>
      <c r="DP751" s="209"/>
      <c r="DQ751" s="187"/>
      <c r="DT751" s="99"/>
      <c r="DU751" s="99"/>
    </row>
    <row r="752" spans="1:125" ht="18" customHeight="1">
      <c r="A752" s="271"/>
      <c r="D752" s="280"/>
      <c r="E752" s="52"/>
      <c r="N752" s="210"/>
      <c r="Q752" s="209"/>
      <c r="R752" s="209"/>
      <c r="S752" s="187"/>
      <c r="AV752" s="241"/>
      <c r="AW752" s="208"/>
      <c r="AX752" s="209"/>
      <c r="AY752" s="240"/>
      <c r="BB752" s="99"/>
      <c r="BC752" s="99"/>
      <c r="BD752" s="187"/>
      <c r="CH752" s="53" t="str">
        <f>IFERROR(TOWER_DATA[[#This Row],[Top '[m']]]-TOWER_DATA[[#This Row],[Bottom '[m']]], "")</f>
        <v/>
      </c>
      <c r="CI752" s="217" t="str">
        <f>IFERROR(-(TOWER_DATA[[#This Row],[D, bottom '[m']]]-TOWER_DATA[[#This Row],[D, top '[m']]])/(TOWER_DATA[[#This Row],[Bottom '[m']]]-TOWER_DATA[[#This Row],[Top '[m']]]),"")</f>
        <v/>
      </c>
      <c r="CJ752" s="145" t="str">
        <f t="shared" si="24"/>
        <v/>
      </c>
      <c r="CK752" s="220" t="str">
        <f>IFERROR((TOWER_DATA[[#This Row],[D, bottom '[m']]]+TOWER_DATA[[#This Row],[D, top '[m']]])/(2*TOWER_DATA[[#This Row],[t '[mm']]]/1000),"")</f>
        <v/>
      </c>
      <c r="DP752" s="209"/>
      <c r="DQ752" s="187"/>
      <c r="DT752" s="99"/>
      <c r="DU752" s="99"/>
    </row>
    <row r="753" spans="1:125" ht="18" customHeight="1">
      <c r="A753" s="271"/>
      <c r="D753" s="280"/>
      <c r="E753" s="52"/>
      <c r="N753" s="210"/>
      <c r="Q753" s="209"/>
      <c r="R753" s="209"/>
      <c r="S753" s="187"/>
      <c r="AV753" s="241"/>
      <c r="AW753" s="208"/>
      <c r="AX753" s="209"/>
      <c r="AY753" s="240"/>
      <c r="BB753" s="99"/>
      <c r="BC753" s="99"/>
      <c r="BD753" s="187"/>
      <c r="CH753" s="53" t="str">
        <f>IFERROR(TOWER_DATA[[#This Row],[Top '[m']]]-TOWER_DATA[[#This Row],[Bottom '[m']]], "")</f>
        <v/>
      </c>
      <c r="CI753" s="217" t="str">
        <f>IFERROR(-(TOWER_DATA[[#This Row],[D, bottom '[m']]]-TOWER_DATA[[#This Row],[D, top '[m']]])/(TOWER_DATA[[#This Row],[Bottom '[m']]]-TOWER_DATA[[#This Row],[Top '[m']]]),"")</f>
        <v/>
      </c>
      <c r="CJ753" s="145" t="str">
        <f t="shared" ref="CJ753:CJ816" si="25">IF(7850/1000*(1/3)*PI()*ABS(CC753-CD753)*((CE753/2)^2+(CE753/2)*(CF753/2)+(CF753/2)^2-(CE753/2-CG753/1000)^2-(CE753/2-CG753/1000)*(CF753/2-CG753/1000)-(CF753/2-CG753/1000)^2)=0,"",7850/1000*(1/3)*PI()*ABS(CC753-CD753)*((CE753/2)^2+(CE753/2)*(CF753/2)+(CF753/2)^2-(CE753/2-CG753/1000)^2-(CE753/2-CG753/1000)*(CF753/2-CG753/1000)-(CF753/2-CG753/1000)^2))</f>
        <v/>
      </c>
      <c r="CK753" s="220" t="str">
        <f>IFERROR((TOWER_DATA[[#This Row],[D, bottom '[m']]]+TOWER_DATA[[#This Row],[D, top '[m']]])/(2*TOWER_DATA[[#This Row],[t '[mm']]]/1000),"")</f>
        <v/>
      </c>
      <c r="DP753" s="209"/>
      <c r="DQ753" s="187"/>
      <c r="DT753" s="99"/>
      <c r="DU753" s="99"/>
    </row>
    <row r="754" spans="1:125" ht="18" customHeight="1">
      <c r="A754" s="271"/>
      <c r="D754" s="280"/>
      <c r="E754" s="52"/>
      <c r="N754" s="210"/>
      <c r="Q754" s="209"/>
      <c r="R754" s="209"/>
      <c r="S754" s="187"/>
      <c r="AV754" s="241"/>
      <c r="AW754" s="208"/>
      <c r="AX754" s="209"/>
      <c r="AY754" s="240"/>
      <c r="BB754" s="99"/>
      <c r="BC754" s="99"/>
      <c r="BD754" s="187"/>
      <c r="CH754" s="53" t="str">
        <f>IFERROR(TOWER_DATA[[#This Row],[Top '[m']]]-TOWER_DATA[[#This Row],[Bottom '[m']]], "")</f>
        <v/>
      </c>
      <c r="CI754" s="217" t="str">
        <f>IFERROR(-(TOWER_DATA[[#This Row],[D, bottom '[m']]]-TOWER_DATA[[#This Row],[D, top '[m']]])/(TOWER_DATA[[#This Row],[Bottom '[m']]]-TOWER_DATA[[#This Row],[Top '[m']]]),"")</f>
        <v/>
      </c>
      <c r="CJ754" s="145" t="str">
        <f t="shared" si="25"/>
        <v/>
      </c>
      <c r="CK754" s="220" t="str">
        <f>IFERROR((TOWER_DATA[[#This Row],[D, bottom '[m']]]+TOWER_DATA[[#This Row],[D, top '[m']]])/(2*TOWER_DATA[[#This Row],[t '[mm']]]/1000),"")</f>
        <v/>
      </c>
      <c r="DP754" s="209"/>
      <c r="DQ754" s="187"/>
      <c r="DT754" s="99"/>
      <c r="DU754" s="99"/>
    </row>
    <row r="755" spans="1:125" ht="18" customHeight="1">
      <c r="A755" s="271"/>
      <c r="D755" s="280"/>
      <c r="E755" s="52"/>
      <c r="N755" s="210"/>
      <c r="Q755" s="209"/>
      <c r="R755" s="209"/>
      <c r="S755" s="187"/>
      <c r="AV755" s="241"/>
      <c r="AW755" s="208"/>
      <c r="AX755" s="209"/>
      <c r="AY755" s="240"/>
      <c r="BB755" s="99"/>
      <c r="BC755" s="99"/>
      <c r="BD755" s="187"/>
      <c r="CH755" s="53" t="str">
        <f>IFERROR(TOWER_DATA[[#This Row],[Top '[m']]]-TOWER_DATA[[#This Row],[Bottom '[m']]], "")</f>
        <v/>
      </c>
      <c r="CI755" s="217" t="str">
        <f>IFERROR(-(TOWER_DATA[[#This Row],[D, bottom '[m']]]-TOWER_DATA[[#This Row],[D, top '[m']]])/(TOWER_DATA[[#This Row],[Bottom '[m']]]-TOWER_DATA[[#This Row],[Top '[m']]]),"")</f>
        <v/>
      </c>
      <c r="CJ755" s="145" t="str">
        <f t="shared" si="25"/>
        <v/>
      </c>
      <c r="CK755" s="220" t="str">
        <f>IFERROR((TOWER_DATA[[#This Row],[D, bottom '[m']]]+TOWER_DATA[[#This Row],[D, top '[m']]])/(2*TOWER_DATA[[#This Row],[t '[mm']]]/1000),"")</f>
        <v/>
      </c>
      <c r="DP755" s="209"/>
      <c r="DQ755" s="187"/>
      <c r="DT755" s="99"/>
      <c r="DU755" s="99"/>
    </row>
    <row r="756" spans="1:125" ht="18" customHeight="1">
      <c r="A756" s="271"/>
      <c r="D756" s="280"/>
      <c r="E756" s="52"/>
      <c r="N756" s="210"/>
      <c r="Q756" s="209"/>
      <c r="R756" s="209"/>
      <c r="S756" s="187"/>
      <c r="AV756" s="241"/>
      <c r="AW756" s="208"/>
      <c r="AX756" s="209"/>
      <c r="AY756" s="240"/>
      <c r="BB756" s="99"/>
      <c r="BC756" s="99"/>
      <c r="BD756" s="187"/>
      <c r="CH756" s="53" t="str">
        <f>IFERROR(TOWER_DATA[[#This Row],[Top '[m']]]-TOWER_DATA[[#This Row],[Bottom '[m']]], "")</f>
        <v/>
      </c>
      <c r="CI756" s="217" t="str">
        <f>IFERROR(-(TOWER_DATA[[#This Row],[D, bottom '[m']]]-TOWER_DATA[[#This Row],[D, top '[m']]])/(TOWER_DATA[[#This Row],[Bottom '[m']]]-TOWER_DATA[[#This Row],[Top '[m']]]),"")</f>
        <v/>
      </c>
      <c r="CJ756" s="145" t="str">
        <f t="shared" si="25"/>
        <v/>
      </c>
      <c r="CK756" s="220" t="str">
        <f>IFERROR((TOWER_DATA[[#This Row],[D, bottom '[m']]]+TOWER_DATA[[#This Row],[D, top '[m']]])/(2*TOWER_DATA[[#This Row],[t '[mm']]]/1000),"")</f>
        <v/>
      </c>
      <c r="DP756" s="209"/>
      <c r="DQ756" s="187"/>
      <c r="DT756" s="99"/>
      <c r="DU756" s="99"/>
    </row>
    <row r="757" spans="1:125" ht="18" customHeight="1">
      <c r="A757" s="271"/>
      <c r="D757" s="280"/>
      <c r="E757" s="52"/>
      <c r="N757" s="210"/>
      <c r="Q757" s="209"/>
      <c r="R757" s="209"/>
      <c r="S757" s="187"/>
      <c r="AV757" s="241"/>
      <c r="AW757" s="208"/>
      <c r="AX757" s="209"/>
      <c r="AY757" s="240"/>
      <c r="BB757" s="99"/>
      <c r="BC757" s="99"/>
      <c r="BD757" s="187"/>
      <c r="CH757" s="53" t="str">
        <f>IFERROR(TOWER_DATA[[#This Row],[Top '[m']]]-TOWER_DATA[[#This Row],[Bottom '[m']]], "")</f>
        <v/>
      </c>
      <c r="CI757" s="217" t="str">
        <f>IFERROR(-(TOWER_DATA[[#This Row],[D, bottom '[m']]]-TOWER_DATA[[#This Row],[D, top '[m']]])/(TOWER_DATA[[#This Row],[Bottom '[m']]]-TOWER_DATA[[#This Row],[Top '[m']]]),"")</f>
        <v/>
      </c>
      <c r="CJ757" s="145" t="str">
        <f t="shared" si="25"/>
        <v/>
      </c>
      <c r="CK757" s="220" t="str">
        <f>IFERROR((TOWER_DATA[[#This Row],[D, bottom '[m']]]+TOWER_DATA[[#This Row],[D, top '[m']]])/(2*TOWER_DATA[[#This Row],[t '[mm']]]/1000),"")</f>
        <v/>
      </c>
      <c r="DP757" s="209"/>
      <c r="DQ757" s="187"/>
      <c r="DT757" s="99"/>
      <c r="DU757" s="99"/>
    </row>
    <row r="758" spans="1:125" ht="18" customHeight="1">
      <c r="A758" s="271"/>
      <c r="D758" s="280"/>
      <c r="E758" s="52"/>
      <c r="N758" s="210"/>
      <c r="Q758" s="209"/>
      <c r="R758" s="209"/>
      <c r="S758" s="187"/>
      <c r="AV758" s="241"/>
      <c r="AW758" s="208"/>
      <c r="AX758" s="209"/>
      <c r="AY758" s="240"/>
      <c r="BB758" s="99"/>
      <c r="BC758" s="99"/>
      <c r="BD758" s="187"/>
      <c r="CH758" s="53" t="str">
        <f>IFERROR(TOWER_DATA[[#This Row],[Top '[m']]]-TOWER_DATA[[#This Row],[Bottom '[m']]], "")</f>
        <v/>
      </c>
      <c r="CI758" s="217" t="str">
        <f>IFERROR(-(TOWER_DATA[[#This Row],[D, bottom '[m']]]-TOWER_DATA[[#This Row],[D, top '[m']]])/(TOWER_DATA[[#This Row],[Bottom '[m']]]-TOWER_DATA[[#This Row],[Top '[m']]]),"")</f>
        <v/>
      </c>
      <c r="CJ758" s="145" t="str">
        <f t="shared" si="25"/>
        <v/>
      </c>
      <c r="CK758" s="220" t="str">
        <f>IFERROR((TOWER_DATA[[#This Row],[D, bottom '[m']]]+TOWER_DATA[[#This Row],[D, top '[m']]])/(2*TOWER_DATA[[#This Row],[t '[mm']]]/1000),"")</f>
        <v/>
      </c>
      <c r="DP758" s="209"/>
      <c r="DQ758" s="187"/>
      <c r="DT758" s="99"/>
      <c r="DU758" s="99"/>
    </row>
    <row r="759" spans="1:125" ht="18" customHeight="1">
      <c r="A759" s="271"/>
      <c r="D759" s="280"/>
      <c r="E759" s="52"/>
      <c r="N759" s="210"/>
      <c r="Q759" s="209"/>
      <c r="R759" s="209"/>
      <c r="S759" s="187"/>
      <c r="AV759" s="241"/>
      <c r="AW759" s="208"/>
      <c r="AX759" s="209"/>
      <c r="AY759" s="240"/>
      <c r="BB759" s="99"/>
      <c r="BC759" s="99"/>
      <c r="BD759" s="187"/>
      <c r="CH759" s="53" t="str">
        <f>IFERROR(TOWER_DATA[[#This Row],[Top '[m']]]-TOWER_DATA[[#This Row],[Bottom '[m']]], "")</f>
        <v/>
      </c>
      <c r="CI759" s="217" t="str">
        <f>IFERROR(-(TOWER_DATA[[#This Row],[D, bottom '[m']]]-TOWER_DATA[[#This Row],[D, top '[m']]])/(TOWER_DATA[[#This Row],[Bottom '[m']]]-TOWER_DATA[[#This Row],[Top '[m']]]),"")</f>
        <v/>
      </c>
      <c r="CJ759" s="145" t="str">
        <f t="shared" si="25"/>
        <v/>
      </c>
      <c r="CK759" s="220" t="str">
        <f>IFERROR((TOWER_DATA[[#This Row],[D, bottom '[m']]]+TOWER_DATA[[#This Row],[D, top '[m']]])/(2*TOWER_DATA[[#This Row],[t '[mm']]]/1000),"")</f>
        <v/>
      </c>
      <c r="DP759" s="209"/>
      <c r="DQ759" s="187"/>
      <c r="DT759" s="99"/>
      <c r="DU759" s="99"/>
    </row>
    <row r="760" spans="1:125" ht="18" customHeight="1">
      <c r="A760" s="271"/>
      <c r="D760" s="280"/>
      <c r="E760" s="52"/>
      <c r="N760" s="210"/>
      <c r="Q760" s="209"/>
      <c r="R760" s="209"/>
      <c r="S760" s="187"/>
      <c r="AV760" s="241"/>
      <c r="AW760" s="208"/>
      <c r="AX760" s="209"/>
      <c r="AY760" s="240"/>
      <c r="BB760" s="99"/>
      <c r="BC760" s="99"/>
      <c r="BD760" s="187"/>
      <c r="CH760" s="53" t="str">
        <f>IFERROR(TOWER_DATA[[#This Row],[Top '[m']]]-TOWER_DATA[[#This Row],[Bottom '[m']]], "")</f>
        <v/>
      </c>
      <c r="CI760" s="217" t="str">
        <f>IFERROR(-(TOWER_DATA[[#This Row],[D, bottom '[m']]]-TOWER_DATA[[#This Row],[D, top '[m']]])/(TOWER_DATA[[#This Row],[Bottom '[m']]]-TOWER_DATA[[#This Row],[Top '[m']]]),"")</f>
        <v/>
      </c>
      <c r="CJ760" s="145" t="str">
        <f t="shared" si="25"/>
        <v/>
      </c>
      <c r="CK760" s="220" t="str">
        <f>IFERROR((TOWER_DATA[[#This Row],[D, bottom '[m']]]+TOWER_DATA[[#This Row],[D, top '[m']]])/(2*TOWER_DATA[[#This Row],[t '[mm']]]/1000),"")</f>
        <v/>
      </c>
      <c r="DP760" s="209"/>
      <c r="DQ760" s="187"/>
      <c r="DT760" s="99"/>
      <c r="DU760" s="99"/>
    </row>
    <row r="761" spans="1:125" ht="18" customHeight="1">
      <c r="A761" s="271"/>
      <c r="D761" s="280"/>
      <c r="E761" s="52"/>
      <c r="N761" s="210"/>
      <c r="Q761" s="209"/>
      <c r="R761" s="209"/>
      <c r="S761" s="187"/>
      <c r="AV761" s="241"/>
      <c r="AW761" s="208"/>
      <c r="AX761" s="209"/>
      <c r="AY761" s="240"/>
      <c r="BB761" s="99"/>
      <c r="BC761" s="99"/>
      <c r="BD761" s="187"/>
      <c r="CH761" s="53" t="str">
        <f>IFERROR(TOWER_DATA[[#This Row],[Top '[m']]]-TOWER_DATA[[#This Row],[Bottom '[m']]], "")</f>
        <v/>
      </c>
      <c r="CI761" s="217" t="str">
        <f>IFERROR(-(TOWER_DATA[[#This Row],[D, bottom '[m']]]-TOWER_DATA[[#This Row],[D, top '[m']]])/(TOWER_DATA[[#This Row],[Bottom '[m']]]-TOWER_DATA[[#This Row],[Top '[m']]]),"")</f>
        <v/>
      </c>
      <c r="CJ761" s="145" t="str">
        <f t="shared" si="25"/>
        <v/>
      </c>
      <c r="CK761" s="220" t="str">
        <f>IFERROR((TOWER_DATA[[#This Row],[D, bottom '[m']]]+TOWER_DATA[[#This Row],[D, top '[m']]])/(2*TOWER_DATA[[#This Row],[t '[mm']]]/1000),"")</f>
        <v/>
      </c>
      <c r="DP761" s="209"/>
      <c r="DQ761" s="187"/>
      <c r="DT761" s="99"/>
      <c r="DU761" s="99"/>
    </row>
    <row r="762" spans="1:125" ht="18" customHeight="1">
      <c r="A762" s="271"/>
      <c r="D762" s="280"/>
      <c r="E762" s="52"/>
      <c r="N762" s="210"/>
      <c r="Q762" s="209"/>
      <c r="R762" s="209"/>
      <c r="S762" s="187"/>
      <c r="AV762" s="241"/>
      <c r="AW762" s="208"/>
      <c r="AX762" s="209"/>
      <c r="AY762" s="240"/>
      <c r="BB762" s="99"/>
      <c r="BC762" s="99"/>
      <c r="BD762" s="187"/>
      <c r="CH762" s="53" t="str">
        <f>IFERROR(TOWER_DATA[[#This Row],[Top '[m']]]-TOWER_DATA[[#This Row],[Bottom '[m']]], "")</f>
        <v/>
      </c>
      <c r="CI762" s="217" t="str">
        <f>IFERROR(-(TOWER_DATA[[#This Row],[D, bottom '[m']]]-TOWER_DATA[[#This Row],[D, top '[m']]])/(TOWER_DATA[[#This Row],[Bottom '[m']]]-TOWER_DATA[[#This Row],[Top '[m']]]),"")</f>
        <v/>
      </c>
      <c r="CJ762" s="145" t="str">
        <f t="shared" si="25"/>
        <v/>
      </c>
      <c r="CK762" s="220" t="str">
        <f>IFERROR((TOWER_DATA[[#This Row],[D, bottom '[m']]]+TOWER_DATA[[#This Row],[D, top '[m']]])/(2*TOWER_DATA[[#This Row],[t '[mm']]]/1000),"")</f>
        <v/>
      </c>
      <c r="DP762" s="209"/>
      <c r="DQ762" s="187"/>
      <c r="DT762" s="99"/>
      <c r="DU762" s="99"/>
    </row>
    <row r="763" spans="1:125" ht="18" customHeight="1">
      <c r="A763" s="271"/>
      <c r="D763" s="280"/>
      <c r="E763" s="52"/>
      <c r="N763" s="210"/>
      <c r="Q763" s="209"/>
      <c r="R763" s="209"/>
      <c r="S763" s="187"/>
      <c r="AV763" s="241"/>
      <c r="AW763" s="208"/>
      <c r="AX763" s="209"/>
      <c r="AY763" s="240"/>
      <c r="BB763" s="99"/>
      <c r="BC763" s="99"/>
      <c r="BD763" s="187"/>
      <c r="CH763" s="53" t="str">
        <f>IFERROR(TOWER_DATA[[#This Row],[Top '[m']]]-TOWER_DATA[[#This Row],[Bottom '[m']]], "")</f>
        <v/>
      </c>
      <c r="CI763" s="217" t="str">
        <f>IFERROR(-(TOWER_DATA[[#This Row],[D, bottom '[m']]]-TOWER_DATA[[#This Row],[D, top '[m']]])/(TOWER_DATA[[#This Row],[Bottom '[m']]]-TOWER_DATA[[#This Row],[Top '[m']]]),"")</f>
        <v/>
      </c>
      <c r="CJ763" s="145" t="str">
        <f t="shared" si="25"/>
        <v/>
      </c>
      <c r="CK763" s="220" t="str">
        <f>IFERROR((TOWER_DATA[[#This Row],[D, bottom '[m']]]+TOWER_DATA[[#This Row],[D, top '[m']]])/(2*TOWER_DATA[[#This Row],[t '[mm']]]/1000),"")</f>
        <v/>
      </c>
      <c r="DP763" s="209"/>
      <c r="DQ763" s="187"/>
      <c r="DT763" s="99"/>
      <c r="DU763" s="99"/>
    </row>
    <row r="764" spans="1:125" ht="18" customHeight="1">
      <c r="A764" s="271"/>
      <c r="D764" s="280"/>
      <c r="E764" s="52"/>
      <c r="N764" s="210"/>
      <c r="Q764" s="209"/>
      <c r="R764" s="209"/>
      <c r="S764" s="187"/>
      <c r="AV764" s="241"/>
      <c r="AW764" s="208"/>
      <c r="AX764" s="209"/>
      <c r="AY764" s="240"/>
      <c r="BB764" s="99"/>
      <c r="BC764" s="99"/>
      <c r="BD764" s="187"/>
      <c r="CH764" s="53" t="str">
        <f>IFERROR(TOWER_DATA[[#This Row],[Top '[m']]]-TOWER_DATA[[#This Row],[Bottom '[m']]], "")</f>
        <v/>
      </c>
      <c r="CI764" s="217" t="str">
        <f>IFERROR(-(TOWER_DATA[[#This Row],[D, bottom '[m']]]-TOWER_DATA[[#This Row],[D, top '[m']]])/(TOWER_DATA[[#This Row],[Bottom '[m']]]-TOWER_DATA[[#This Row],[Top '[m']]]),"")</f>
        <v/>
      </c>
      <c r="CJ764" s="145" t="str">
        <f t="shared" si="25"/>
        <v/>
      </c>
      <c r="CK764" s="220" t="str">
        <f>IFERROR((TOWER_DATA[[#This Row],[D, bottom '[m']]]+TOWER_DATA[[#This Row],[D, top '[m']]])/(2*TOWER_DATA[[#This Row],[t '[mm']]]/1000),"")</f>
        <v/>
      </c>
      <c r="DP764" s="209"/>
      <c r="DQ764" s="187"/>
      <c r="DT764" s="99"/>
      <c r="DU764" s="99"/>
    </row>
    <row r="765" spans="1:125" ht="18" customHeight="1">
      <c r="A765" s="271"/>
      <c r="D765" s="280"/>
      <c r="E765" s="52"/>
      <c r="N765" s="210"/>
      <c r="Q765" s="209"/>
      <c r="R765" s="209"/>
      <c r="S765" s="187"/>
      <c r="AV765" s="241"/>
      <c r="AW765" s="208"/>
      <c r="AX765" s="209"/>
      <c r="AY765" s="240"/>
      <c r="BB765" s="99"/>
      <c r="BC765" s="99"/>
      <c r="BD765" s="187"/>
      <c r="CH765" s="53" t="str">
        <f>IFERROR(TOWER_DATA[[#This Row],[Top '[m']]]-TOWER_DATA[[#This Row],[Bottom '[m']]], "")</f>
        <v/>
      </c>
      <c r="CI765" s="217" t="str">
        <f>IFERROR(-(TOWER_DATA[[#This Row],[D, bottom '[m']]]-TOWER_DATA[[#This Row],[D, top '[m']]])/(TOWER_DATA[[#This Row],[Bottom '[m']]]-TOWER_DATA[[#This Row],[Top '[m']]]),"")</f>
        <v/>
      </c>
      <c r="CJ765" s="145" t="str">
        <f t="shared" si="25"/>
        <v/>
      </c>
      <c r="CK765" s="220" t="str">
        <f>IFERROR((TOWER_DATA[[#This Row],[D, bottom '[m']]]+TOWER_DATA[[#This Row],[D, top '[m']]])/(2*TOWER_DATA[[#This Row],[t '[mm']]]/1000),"")</f>
        <v/>
      </c>
      <c r="DP765" s="209"/>
      <c r="DQ765" s="187"/>
      <c r="DT765" s="99"/>
      <c r="DU765" s="99"/>
    </row>
    <row r="766" spans="1:125" ht="18" customHeight="1">
      <c r="A766" s="271"/>
      <c r="D766" s="280"/>
      <c r="E766" s="52"/>
      <c r="N766" s="210"/>
      <c r="Q766" s="209"/>
      <c r="R766" s="209"/>
      <c r="S766" s="187"/>
      <c r="AV766" s="241"/>
      <c r="AW766" s="208"/>
      <c r="AX766" s="209"/>
      <c r="AY766" s="240"/>
      <c r="BB766" s="99"/>
      <c r="BC766" s="99"/>
      <c r="BD766" s="187"/>
      <c r="CH766" s="53" t="str">
        <f>IFERROR(TOWER_DATA[[#This Row],[Top '[m']]]-TOWER_DATA[[#This Row],[Bottom '[m']]], "")</f>
        <v/>
      </c>
      <c r="CI766" s="217" t="str">
        <f>IFERROR(-(TOWER_DATA[[#This Row],[D, bottom '[m']]]-TOWER_DATA[[#This Row],[D, top '[m']]])/(TOWER_DATA[[#This Row],[Bottom '[m']]]-TOWER_DATA[[#This Row],[Top '[m']]]),"")</f>
        <v/>
      </c>
      <c r="CJ766" s="145" t="str">
        <f t="shared" si="25"/>
        <v/>
      </c>
      <c r="CK766" s="220" t="str">
        <f>IFERROR((TOWER_DATA[[#This Row],[D, bottom '[m']]]+TOWER_DATA[[#This Row],[D, top '[m']]])/(2*TOWER_DATA[[#This Row],[t '[mm']]]/1000),"")</f>
        <v/>
      </c>
      <c r="DP766" s="209"/>
      <c r="DQ766" s="187"/>
      <c r="DT766" s="99"/>
      <c r="DU766" s="99"/>
    </row>
    <row r="767" spans="1:125" ht="18" customHeight="1">
      <c r="A767" s="271"/>
      <c r="D767" s="280"/>
      <c r="E767" s="52"/>
      <c r="N767" s="210"/>
      <c r="Q767" s="209"/>
      <c r="R767" s="209"/>
      <c r="S767" s="187"/>
      <c r="AV767" s="241"/>
      <c r="AW767" s="208"/>
      <c r="AX767" s="209"/>
      <c r="AY767" s="240"/>
      <c r="BB767" s="99"/>
      <c r="BC767" s="99"/>
      <c r="BD767" s="187"/>
      <c r="CH767" s="53" t="str">
        <f>IFERROR(TOWER_DATA[[#This Row],[Top '[m']]]-TOWER_DATA[[#This Row],[Bottom '[m']]], "")</f>
        <v/>
      </c>
      <c r="CI767" s="217" t="str">
        <f>IFERROR(-(TOWER_DATA[[#This Row],[D, bottom '[m']]]-TOWER_DATA[[#This Row],[D, top '[m']]])/(TOWER_DATA[[#This Row],[Bottom '[m']]]-TOWER_DATA[[#This Row],[Top '[m']]]),"")</f>
        <v/>
      </c>
      <c r="CJ767" s="145" t="str">
        <f t="shared" si="25"/>
        <v/>
      </c>
      <c r="CK767" s="220" t="str">
        <f>IFERROR((TOWER_DATA[[#This Row],[D, bottom '[m']]]+TOWER_DATA[[#This Row],[D, top '[m']]])/(2*TOWER_DATA[[#This Row],[t '[mm']]]/1000),"")</f>
        <v/>
      </c>
      <c r="DP767" s="209"/>
      <c r="DQ767" s="187"/>
      <c r="DT767" s="99"/>
      <c r="DU767" s="99"/>
    </row>
    <row r="768" spans="1:125" ht="18" customHeight="1">
      <c r="A768" s="271"/>
      <c r="D768" s="280"/>
      <c r="E768" s="52"/>
      <c r="N768" s="210"/>
      <c r="Q768" s="209"/>
      <c r="R768" s="209"/>
      <c r="S768" s="187"/>
      <c r="AV768" s="241"/>
      <c r="AW768" s="208"/>
      <c r="AX768" s="209"/>
      <c r="AY768" s="240"/>
      <c r="BB768" s="99"/>
      <c r="BC768" s="99"/>
      <c r="BD768" s="187"/>
      <c r="CH768" s="53" t="str">
        <f>IFERROR(TOWER_DATA[[#This Row],[Top '[m']]]-TOWER_DATA[[#This Row],[Bottom '[m']]], "")</f>
        <v/>
      </c>
      <c r="CI768" s="217" t="str">
        <f>IFERROR(-(TOWER_DATA[[#This Row],[D, bottom '[m']]]-TOWER_DATA[[#This Row],[D, top '[m']]])/(TOWER_DATA[[#This Row],[Bottom '[m']]]-TOWER_DATA[[#This Row],[Top '[m']]]),"")</f>
        <v/>
      </c>
      <c r="CJ768" s="145" t="str">
        <f t="shared" si="25"/>
        <v/>
      </c>
      <c r="CK768" s="220" t="str">
        <f>IFERROR((TOWER_DATA[[#This Row],[D, bottom '[m']]]+TOWER_DATA[[#This Row],[D, top '[m']]])/(2*TOWER_DATA[[#This Row],[t '[mm']]]/1000),"")</f>
        <v/>
      </c>
      <c r="DP768" s="209"/>
      <c r="DQ768" s="187"/>
      <c r="DT768" s="99"/>
      <c r="DU768" s="99"/>
    </row>
    <row r="769" spans="1:125" ht="18" customHeight="1">
      <c r="A769" s="271"/>
      <c r="D769" s="280"/>
      <c r="E769" s="52"/>
      <c r="N769" s="210"/>
      <c r="Q769" s="209"/>
      <c r="R769" s="209"/>
      <c r="S769" s="187"/>
      <c r="AV769" s="241"/>
      <c r="AW769" s="208"/>
      <c r="AX769" s="209"/>
      <c r="AY769" s="240"/>
      <c r="BB769" s="99"/>
      <c r="BC769" s="99"/>
      <c r="BD769" s="187"/>
      <c r="CH769" s="53" t="str">
        <f>IFERROR(TOWER_DATA[[#This Row],[Top '[m']]]-TOWER_DATA[[#This Row],[Bottom '[m']]], "")</f>
        <v/>
      </c>
      <c r="CI769" s="217" t="str">
        <f>IFERROR(-(TOWER_DATA[[#This Row],[D, bottom '[m']]]-TOWER_DATA[[#This Row],[D, top '[m']]])/(TOWER_DATA[[#This Row],[Bottom '[m']]]-TOWER_DATA[[#This Row],[Top '[m']]]),"")</f>
        <v/>
      </c>
      <c r="CJ769" s="145" t="str">
        <f t="shared" si="25"/>
        <v/>
      </c>
      <c r="CK769" s="220" t="str">
        <f>IFERROR((TOWER_DATA[[#This Row],[D, bottom '[m']]]+TOWER_DATA[[#This Row],[D, top '[m']]])/(2*TOWER_DATA[[#This Row],[t '[mm']]]/1000),"")</f>
        <v/>
      </c>
      <c r="DP769" s="209"/>
      <c r="DQ769" s="187"/>
      <c r="DT769" s="99"/>
      <c r="DU769" s="99"/>
    </row>
    <row r="770" spans="1:125" ht="18" customHeight="1">
      <c r="A770" s="271"/>
      <c r="D770" s="280"/>
      <c r="E770" s="52"/>
      <c r="N770" s="210"/>
      <c r="Q770" s="209"/>
      <c r="R770" s="209"/>
      <c r="S770" s="187"/>
      <c r="AV770" s="241"/>
      <c r="AW770" s="208"/>
      <c r="AX770" s="209"/>
      <c r="AY770" s="240"/>
      <c r="BB770" s="99"/>
      <c r="BC770" s="99"/>
      <c r="BD770" s="187"/>
      <c r="CH770" s="53" t="str">
        <f>IFERROR(TOWER_DATA[[#This Row],[Top '[m']]]-TOWER_DATA[[#This Row],[Bottom '[m']]], "")</f>
        <v/>
      </c>
      <c r="CI770" s="217" t="str">
        <f>IFERROR(-(TOWER_DATA[[#This Row],[D, bottom '[m']]]-TOWER_DATA[[#This Row],[D, top '[m']]])/(TOWER_DATA[[#This Row],[Bottom '[m']]]-TOWER_DATA[[#This Row],[Top '[m']]]),"")</f>
        <v/>
      </c>
      <c r="CJ770" s="145" t="str">
        <f t="shared" si="25"/>
        <v/>
      </c>
      <c r="CK770" s="220" t="str">
        <f>IFERROR((TOWER_DATA[[#This Row],[D, bottom '[m']]]+TOWER_DATA[[#This Row],[D, top '[m']]])/(2*TOWER_DATA[[#This Row],[t '[mm']]]/1000),"")</f>
        <v/>
      </c>
      <c r="DP770" s="209"/>
      <c r="DQ770" s="187"/>
      <c r="DT770" s="99"/>
      <c r="DU770" s="99"/>
    </row>
    <row r="771" spans="1:125" ht="18" customHeight="1">
      <c r="A771" s="271"/>
      <c r="D771" s="280"/>
      <c r="E771" s="52"/>
      <c r="N771" s="210"/>
      <c r="Q771" s="209"/>
      <c r="R771" s="209"/>
      <c r="S771" s="187"/>
      <c r="AV771" s="241"/>
      <c r="AW771" s="208"/>
      <c r="AX771" s="209"/>
      <c r="AY771" s="240"/>
      <c r="BB771" s="99"/>
      <c r="BC771" s="99"/>
      <c r="BD771" s="187"/>
      <c r="CH771" s="53" t="str">
        <f>IFERROR(TOWER_DATA[[#This Row],[Top '[m']]]-TOWER_DATA[[#This Row],[Bottom '[m']]], "")</f>
        <v/>
      </c>
      <c r="CI771" s="217" t="str">
        <f>IFERROR(-(TOWER_DATA[[#This Row],[D, bottom '[m']]]-TOWER_DATA[[#This Row],[D, top '[m']]])/(TOWER_DATA[[#This Row],[Bottom '[m']]]-TOWER_DATA[[#This Row],[Top '[m']]]),"")</f>
        <v/>
      </c>
      <c r="CJ771" s="145" t="str">
        <f t="shared" si="25"/>
        <v/>
      </c>
      <c r="CK771" s="220" t="str">
        <f>IFERROR((TOWER_DATA[[#This Row],[D, bottom '[m']]]+TOWER_DATA[[#This Row],[D, top '[m']]])/(2*TOWER_DATA[[#This Row],[t '[mm']]]/1000),"")</f>
        <v/>
      </c>
      <c r="DP771" s="209"/>
      <c r="DQ771" s="187"/>
      <c r="DT771" s="99"/>
      <c r="DU771" s="99"/>
    </row>
    <row r="772" spans="1:125" ht="18" customHeight="1">
      <c r="A772" s="271"/>
      <c r="D772" s="280"/>
      <c r="E772" s="52"/>
      <c r="N772" s="210"/>
      <c r="Q772" s="209"/>
      <c r="R772" s="209"/>
      <c r="S772" s="187"/>
      <c r="AV772" s="241"/>
      <c r="AW772" s="208"/>
      <c r="AX772" s="209"/>
      <c r="AY772" s="240"/>
      <c r="BB772" s="99"/>
      <c r="BC772" s="99"/>
      <c r="BD772" s="187"/>
      <c r="CH772" s="53" t="str">
        <f>IFERROR(TOWER_DATA[[#This Row],[Top '[m']]]-TOWER_DATA[[#This Row],[Bottom '[m']]], "")</f>
        <v/>
      </c>
      <c r="CI772" s="217" t="str">
        <f>IFERROR(-(TOWER_DATA[[#This Row],[D, bottom '[m']]]-TOWER_DATA[[#This Row],[D, top '[m']]])/(TOWER_DATA[[#This Row],[Bottom '[m']]]-TOWER_DATA[[#This Row],[Top '[m']]]),"")</f>
        <v/>
      </c>
      <c r="CJ772" s="145" t="str">
        <f t="shared" si="25"/>
        <v/>
      </c>
      <c r="CK772" s="220" t="str">
        <f>IFERROR((TOWER_DATA[[#This Row],[D, bottom '[m']]]+TOWER_DATA[[#This Row],[D, top '[m']]])/(2*TOWER_DATA[[#This Row],[t '[mm']]]/1000),"")</f>
        <v/>
      </c>
      <c r="DP772" s="209"/>
      <c r="DQ772" s="187"/>
      <c r="DT772" s="99"/>
      <c r="DU772" s="99"/>
    </row>
    <row r="773" spans="1:125" ht="18" customHeight="1">
      <c r="A773" s="271"/>
      <c r="D773" s="280"/>
      <c r="E773" s="52"/>
      <c r="N773" s="210"/>
      <c r="Q773" s="209"/>
      <c r="R773" s="209"/>
      <c r="S773" s="187"/>
      <c r="AV773" s="241"/>
      <c r="AW773" s="208"/>
      <c r="AX773" s="209"/>
      <c r="AY773" s="240"/>
      <c r="BB773" s="99"/>
      <c r="BC773" s="99"/>
      <c r="BD773" s="187"/>
      <c r="CH773" s="53" t="str">
        <f>IFERROR(TOWER_DATA[[#This Row],[Top '[m']]]-TOWER_DATA[[#This Row],[Bottom '[m']]], "")</f>
        <v/>
      </c>
      <c r="CI773" s="217" t="str">
        <f>IFERROR(-(TOWER_DATA[[#This Row],[D, bottom '[m']]]-TOWER_DATA[[#This Row],[D, top '[m']]])/(TOWER_DATA[[#This Row],[Bottom '[m']]]-TOWER_DATA[[#This Row],[Top '[m']]]),"")</f>
        <v/>
      </c>
      <c r="CJ773" s="145" t="str">
        <f t="shared" si="25"/>
        <v/>
      </c>
      <c r="CK773" s="220" t="str">
        <f>IFERROR((TOWER_DATA[[#This Row],[D, bottom '[m']]]+TOWER_DATA[[#This Row],[D, top '[m']]])/(2*TOWER_DATA[[#This Row],[t '[mm']]]/1000),"")</f>
        <v/>
      </c>
      <c r="DP773" s="209"/>
      <c r="DQ773" s="187"/>
      <c r="DT773" s="99"/>
      <c r="DU773" s="99"/>
    </row>
    <row r="774" spans="1:125" ht="18" customHeight="1">
      <c r="A774" s="271"/>
      <c r="D774" s="280"/>
      <c r="E774" s="52"/>
      <c r="N774" s="210"/>
      <c r="Q774" s="209"/>
      <c r="R774" s="209"/>
      <c r="S774" s="187"/>
      <c r="AV774" s="241"/>
      <c r="AW774" s="208"/>
      <c r="AX774" s="209"/>
      <c r="AY774" s="240"/>
      <c r="BB774" s="99"/>
      <c r="BC774" s="99"/>
      <c r="BD774" s="187"/>
      <c r="CH774" s="53" t="str">
        <f>IFERROR(TOWER_DATA[[#This Row],[Top '[m']]]-TOWER_DATA[[#This Row],[Bottom '[m']]], "")</f>
        <v/>
      </c>
      <c r="CI774" s="217" t="str">
        <f>IFERROR(-(TOWER_DATA[[#This Row],[D, bottom '[m']]]-TOWER_DATA[[#This Row],[D, top '[m']]])/(TOWER_DATA[[#This Row],[Bottom '[m']]]-TOWER_DATA[[#This Row],[Top '[m']]]),"")</f>
        <v/>
      </c>
      <c r="CJ774" s="145" t="str">
        <f t="shared" si="25"/>
        <v/>
      </c>
      <c r="CK774" s="220" t="str">
        <f>IFERROR((TOWER_DATA[[#This Row],[D, bottom '[m']]]+TOWER_DATA[[#This Row],[D, top '[m']]])/(2*TOWER_DATA[[#This Row],[t '[mm']]]/1000),"")</f>
        <v/>
      </c>
      <c r="DP774" s="209"/>
      <c r="DQ774" s="187"/>
      <c r="DT774" s="99"/>
      <c r="DU774" s="99"/>
    </row>
    <row r="775" spans="1:125" ht="18" customHeight="1">
      <c r="A775" s="271"/>
      <c r="D775" s="280"/>
      <c r="E775" s="52"/>
      <c r="N775" s="210"/>
      <c r="Q775" s="209"/>
      <c r="R775" s="209"/>
      <c r="S775" s="187"/>
      <c r="AV775" s="241"/>
      <c r="AW775" s="208"/>
      <c r="AX775" s="209"/>
      <c r="AY775" s="240"/>
      <c r="BB775" s="99"/>
      <c r="BC775" s="99"/>
      <c r="BD775" s="187"/>
      <c r="CH775" s="53" t="str">
        <f>IFERROR(TOWER_DATA[[#This Row],[Top '[m']]]-TOWER_DATA[[#This Row],[Bottom '[m']]], "")</f>
        <v/>
      </c>
      <c r="CI775" s="217" t="str">
        <f>IFERROR(-(TOWER_DATA[[#This Row],[D, bottom '[m']]]-TOWER_DATA[[#This Row],[D, top '[m']]])/(TOWER_DATA[[#This Row],[Bottom '[m']]]-TOWER_DATA[[#This Row],[Top '[m']]]),"")</f>
        <v/>
      </c>
      <c r="CJ775" s="145" t="str">
        <f t="shared" si="25"/>
        <v/>
      </c>
      <c r="CK775" s="220" t="str">
        <f>IFERROR((TOWER_DATA[[#This Row],[D, bottom '[m']]]+TOWER_DATA[[#This Row],[D, top '[m']]])/(2*TOWER_DATA[[#This Row],[t '[mm']]]/1000),"")</f>
        <v/>
      </c>
      <c r="DP775" s="209"/>
      <c r="DQ775" s="187"/>
      <c r="DT775" s="99"/>
      <c r="DU775" s="99"/>
    </row>
    <row r="776" spans="1:125" ht="18" customHeight="1">
      <c r="A776" s="271"/>
      <c r="D776" s="280"/>
      <c r="E776" s="52"/>
      <c r="N776" s="210"/>
      <c r="Q776" s="209"/>
      <c r="R776" s="209"/>
      <c r="S776" s="187"/>
      <c r="AV776" s="241"/>
      <c r="AW776" s="208"/>
      <c r="AX776" s="209"/>
      <c r="AY776" s="240"/>
      <c r="BB776" s="99"/>
      <c r="BC776" s="99"/>
      <c r="BD776" s="187"/>
      <c r="CH776" s="53" t="str">
        <f>IFERROR(TOWER_DATA[[#This Row],[Top '[m']]]-TOWER_DATA[[#This Row],[Bottom '[m']]], "")</f>
        <v/>
      </c>
      <c r="CI776" s="217" t="str">
        <f>IFERROR(-(TOWER_DATA[[#This Row],[D, bottom '[m']]]-TOWER_DATA[[#This Row],[D, top '[m']]])/(TOWER_DATA[[#This Row],[Bottom '[m']]]-TOWER_DATA[[#This Row],[Top '[m']]]),"")</f>
        <v/>
      </c>
      <c r="CJ776" s="145" t="str">
        <f t="shared" si="25"/>
        <v/>
      </c>
      <c r="CK776" s="220" t="str">
        <f>IFERROR((TOWER_DATA[[#This Row],[D, bottom '[m']]]+TOWER_DATA[[#This Row],[D, top '[m']]])/(2*TOWER_DATA[[#This Row],[t '[mm']]]/1000),"")</f>
        <v/>
      </c>
      <c r="DP776" s="209"/>
      <c r="DQ776" s="187"/>
      <c r="DT776" s="99"/>
      <c r="DU776" s="99"/>
    </row>
    <row r="777" spans="1:125" ht="18" customHeight="1">
      <c r="A777" s="271"/>
      <c r="D777" s="280"/>
      <c r="E777" s="52"/>
      <c r="N777" s="210"/>
      <c r="Q777" s="209"/>
      <c r="R777" s="209"/>
      <c r="S777" s="187"/>
      <c r="AV777" s="241"/>
      <c r="AW777" s="208"/>
      <c r="AX777" s="209"/>
      <c r="AY777" s="240"/>
      <c r="BB777" s="99"/>
      <c r="BC777" s="99"/>
      <c r="BD777" s="187"/>
      <c r="CH777" s="53" t="str">
        <f>IFERROR(TOWER_DATA[[#This Row],[Top '[m']]]-TOWER_DATA[[#This Row],[Bottom '[m']]], "")</f>
        <v/>
      </c>
      <c r="CI777" s="217" t="str">
        <f>IFERROR(-(TOWER_DATA[[#This Row],[D, bottom '[m']]]-TOWER_DATA[[#This Row],[D, top '[m']]])/(TOWER_DATA[[#This Row],[Bottom '[m']]]-TOWER_DATA[[#This Row],[Top '[m']]]),"")</f>
        <v/>
      </c>
      <c r="CJ777" s="145" t="str">
        <f t="shared" si="25"/>
        <v/>
      </c>
      <c r="CK777" s="220" t="str">
        <f>IFERROR((TOWER_DATA[[#This Row],[D, bottom '[m']]]+TOWER_DATA[[#This Row],[D, top '[m']]])/(2*TOWER_DATA[[#This Row],[t '[mm']]]/1000),"")</f>
        <v/>
      </c>
      <c r="DP777" s="209"/>
      <c r="DQ777" s="187"/>
      <c r="DT777" s="99"/>
      <c r="DU777" s="99"/>
    </row>
    <row r="778" spans="1:125" ht="18" customHeight="1">
      <c r="A778" s="271"/>
      <c r="D778" s="280"/>
      <c r="E778" s="52"/>
      <c r="N778" s="210"/>
      <c r="Q778" s="209"/>
      <c r="R778" s="209"/>
      <c r="S778" s="187"/>
      <c r="AV778" s="241"/>
      <c r="AW778" s="208"/>
      <c r="AX778" s="209"/>
      <c r="AY778" s="240"/>
      <c r="BB778" s="99"/>
      <c r="BC778" s="99"/>
      <c r="BD778" s="187"/>
      <c r="CH778" s="53" t="str">
        <f>IFERROR(TOWER_DATA[[#This Row],[Top '[m']]]-TOWER_DATA[[#This Row],[Bottom '[m']]], "")</f>
        <v/>
      </c>
      <c r="CI778" s="217" t="str">
        <f>IFERROR(-(TOWER_DATA[[#This Row],[D, bottom '[m']]]-TOWER_DATA[[#This Row],[D, top '[m']]])/(TOWER_DATA[[#This Row],[Bottom '[m']]]-TOWER_DATA[[#This Row],[Top '[m']]]),"")</f>
        <v/>
      </c>
      <c r="CJ778" s="145" t="str">
        <f t="shared" si="25"/>
        <v/>
      </c>
      <c r="CK778" s="220" t="str">
        <f>IFERROR((TOWER_DATA[[#This Row],[D, bottom '[m']]]+TOWER_DATA[[#This Row],[D, top '[m']]])/(2*TOWER_DATA[[#This Row],[t '[mm']]]/1000),"")</f>
        <v/>
      </c>
      <c r="DP778" s="209"/>
      <c r="DQ778" s="187"/>
      <c r="DT778" s="99"/>
      <c r="DU778" s="99"/>
    </row>
    <row r="779" spans="1:125" ht="18" customHeight="1">
      <c r="A779" s="271"/>
      <c r="D779" s="280"/>
      <c r="E779" s="52"/>
      <c r="N779" s="210"/>
      <c r="Q779" s="209"/>
      <c r="R779" s="209"/>
      <c r="S779" s="187"/>
      <c r="AV779" s="241"/>
      <c r="AW779" s="208"/>
      <c r="AX779" s="209"/>
      <c r="AY779" s="240"/>
      <c r="BB779" s="99"/>
      <c r="BC779" s="99"/>
      <c r="BD779" s="187"/>
      <c r="CH779" s="53" t="str">
        <f>IFERROR(TOWER_DATA[[#This Row],[Top '[m']]]-TOWER_DATA[[#This Row],[Bottom '[m']]], "")</f>
        <v/>
      </c>
      <c r="CI779" s="217" t="str">
        <f>IFERROR(-(TOWER_DATA[[#This Row],[D, bottom '[m']]]-TOWER_DATA[[#This Row],[D, top '[m']]])/(TOWER_DATA[[#This Row],[Bottom '[m']]]-TOWER_DATA[[#This Row],[Top '[m']]]),"")</f>
        <v/>
      </c>
      <c r="CJ779" s="145" t="str">
        <f t="shared" si="25"/>
        <v/>
      </c>
      <c r="CK779" s="220" t="str">
        <f>IFERROR((TOWER_DATA[[#This Row],[D, bottom '[m']]]+TOWER_DATA[[#This Row],[D, top '[m']]])/(2*TOWER_DATA[[#This Row],[t '[mm']]]/1000),"")</f>
        <v/>
      </c>
      <c r="DP779" s="209"/>
      <c r="DQ779" s="187"/>
      <c r="DT779" s="99"/>
      <c r="DU779" s="99"/>
    </row>
    <row r="780" spans="1:125" ht="18" customHeight="1">
      <c r="A780" s="271"/>
      <c r="D780" s="280"/>
      <c r="E780" s="52"/>
      <c r="N780" s="210"/>
      <c r="Q780" s="209"/>
      <c r="R780" s="209"/>
      <c r="S780" s="187"/>
      <c r="AV780" s="241"/>
      <c r="AW780" s="208"/>
      <c r="AX780" s="209"/>
      <c r="AY780" s="240"/>
      <c r="BB780" s="99"/>
      <c r="BC780" s="99"/>
      <c r="BD780" s="187"/>
      <c r="CH780" s="53" t="str">
        <f>IFERROR(TOWER_DATA[[#This Row],[Top '[m']]]-TOWER_DATA[[#This Row],[Bottom '[m']]], "")</f>
        <v/>
      </c>
      <c r="CI780" s="217" t="str">
        <f>IFERROR(-(TOWER_DATA[[#This Row],[D, bottom '[m']]]-TOWER_DATA[[#This Row],[D, top '[m']]])/(TOWER_DATA[[#This Row],[Bottom '[m']]]-TOWER_DATA[[#This Row],[Top '[m']]]),"")</f>
        <v/>
      </c>
      <c r="CJ780" s="145" t="str">
        <f t="shared" si="25"/>
        <v/>
      </c>
      <c r="CK780" s="220" t="str">
        <f>IFERROR((TOWER_DATA[[#This Row],[D, bottom '[m']]]+TOWER_DATA[[#This Row],[D, top '[m']]])/(2*TOWER_DATA[[#This Row],[t '[mm']]]/1000),"")</f>
        <v/>
      </c>
      <c r="DP780" s="209"/>
      <c r="DQ780" s="187"/>
      <c r="DT780" s="99"/>
      <c r="DU780" s="99"/>
    </row>
    <row r="781" spans="1:125" ht="18" customHeight="1">
      <c r="A781" s="271"/>
      <c r="D781" s="280"/>
      <c r="E781" s="52"/>
      <c r="N781" s="210"/>
      <c r="Q781" s="209"/>
      <c r="R781" s="209"/>
      <c r="S781" s="187"/>
      <c r="AV781" s="241"/>
      <c r="AW781" s="208"/>
      <c r="AX781" s="209"/>
      <c r="AY781" s="240"/>
      <c r="BB781" s="99"/>
      <c r="BC781" s="99"/>
      <c r="BD781" s="187"/>
      <c r="CH781" s="53" t="str">
        <f>IFERROR(TOWER_DATA[[#This Row],[Top '[m']]]-TOWER_DATA[[#This Row],[Bottom '[m']]], "")</f>
        <v/>
      </c>
      <c r="CI781" s="217" t="str">
        <f>IFERROR(-(TOWER_DATA[[#This Row],[D, bottom '[m']]]-TOWER_DATA[[#This Row],[D, top '[m']]])/(TOWER_DATA[[#This Row],[Bottom '[m']]]-TOWER_DATA[[#This Row],[Top '[m']]]),"")</f>
        <v/>
      </c>
      <c r="CJ781" s="145" t="str">
        <f t="shared" si="25"/>
        <v/>
      </c>
      <c r="CK781" s="220" t="str">
        <f>IFERROR((TOWER_DATA[[#This Row],[D, bottom '[m']]]+TOWER_DATA[[#This Row],[D, top '[m']]])/(2*TOWER_DATA[[#This Row],[t '[mm']]]/1000),"")</f>
        <v/>
      </c>
      <c r="DP781" s="209"/>
      <c r="DQ781" s="187"/>
      <c r="DT781" s="99"/>
      <c r="DU781" s="99"/>
    </row>
    <row r="782" spans="1:125" ht="18" customHeight="1">
      <c r="A782" s="271"/>
      <c r="D782" s="280"/>
      <c r="E782" s="52"/>
      <c r="N782" s="210"/>
      <c r="Q782" s="209"/>
      <c r="R782" s="209"/>
      <c r="S782" s="187"/>
      <c r="AV782" s="241"/>
      <c r="AW782" s="208"/>
      <c r="AX782" s="209"/>
      <c r="AY782" s="240"/>
      <c r="BB782" s="99"/>
      <c r="BC782" s="99"/>
      <c r="BD782" s="187"/>
      <c r="CH782" s="53" t="str">
        <f>IFERROR(TOWER_DATA[[#This Row],[Top '[m']]]-TOWER_DATA[[#This Row],[Bottom '[m']]], "")</f>
        <v/>
      </c>
      <c r="CI782" s="217" t="str">
        <f>IFERROR(-(TOWER_DATA[[#This Row],[D, bottom '[m']]]-TOWER_DATA[[#This Row],[D, top '[m']]])/(TOWER_DATA[[#This Row],[Bottom '[m']]]-TOWER_DATA[[#This Row],[Top '[m']]]),"")</f>
        <v/>
      </c>
      <c r="CJ782" s="145" t="str">
        <f t="shared" si="25"/>
        <v/>
      </c>
      <c r="CK782" s="220" t="str">
        <f>IFERROR((TOWER_DATA[[#This Row],[D, bottom '[m']]]+TOWER_DATA[[#This Row],[D, top '[m']]])/(2*TOWER_DATA[[#This Row],[t '[mm']]]/1000),"")</f>
        <v/>
      </c>
      <c r="DP782" s="209"/>
      <c r="DQ782" s="187"/>
      <c r="DT782" s="99"/>
      <c r="DU782" s="99"/>
    </row>
    <row r="783" spans="1:125" ht="18" customHeight="1">
      <c r="A783" s="271"/>
      <c r="D783" s="280"/>
      <c r="E783" s="52"/>
      <c r="N783" s="210"/>
      <c r="Q783" s="209"/>
      <c r="R783" s="209"/>
      <c r="S783" s="187"/>
      <c r="AV783" s="241"/>
      <c r="AW783" s="208"/>
      <c r="AX783" s="209"/>
      <c r="AY783" s="240"/>
      <c r="BB783" s="99"/>
      <c r="BC783" s="99"/>
      <c r="BD783" s="187"/>
      <c r="CH783" s="53" t="str">
        <f>IFERROR(TOWER_DATA[[#This Row],[Top '[m']]]-TOWER_DATA[[#This Row],[Bottom '[m']]], "")</f>
        <v/>
      </c>
      <c r="CI783" s="217" t="str">
        <f>IFERROR(-(TOWER_DATA[[#This Row],[D, bottom '[m']]]-TOWER_DATA[[#This Row],[D, top '[m']]])/(TOWER_DATA[[#This Row],[Bottom '[m']]]-TOWER_DATA[[#This Row],[Top '[m']]]),"")</f>
        <v/>
      </c>
      <c r="CJ783" s="145" t="str">
        <f t="shared" si="25"/>
        <v/>
      </c>
      <c r="CK783" s="220" t="str">
        <f>IFERROR((TOWER_DATA[[#This Row],[D, bottom '[m']]]+TOWER_DATA[[#This Row],[D, top '[m']]])/(2*TOWER_DATA[[#This Row],[t '[mm']]]/1000),"")</f>
        <v/>
      </c>
      <c r="DP783" s="209"/>
      <c r="DQ783" s="187"/>
      <c r="DT783" s="99"/>
      <c r="DU783" s="99"/>
    </row>
    <row r="784" spans="1:125" ht="18" customHeight="1">
      <c r="A784" s="271"/>
      <c r="D784" s="280"/>
      <c r="E784" s="52"/>
      <c r="N784" s="210"/>
      <c r="Q784" s="209"/>
      <c r="R784" s="209"/>
      <c r="S784" s="187"/>
      <c r="AV784" s="241"/>
      <c r="AW784" s="208"/>
      <c r="AX784" s="209"/>
      <c r="AY784" s="240"/>
      <c r="BB784" s="99"/>
      <c r="BC784" s="99"/>
      <c r="BD784" s="187"/>
      <c r="CH784" s="53" t="str">
        <f>IFERROR(TOWER_DATA[[#This Row],[Top '[m']]]-TOWER_DATA[[#This Row],[Bottom '[m']]], "")</f>
        <v/>
      </c>
      <c r="CI784" s="217" t="str">
        <f>IFERROR(-(TOWER_DATA[[#This Row],[D, bottom '[m']]]-TOWER_DATA[[#This Row],[D, top '[m']]])/(TOWER_DATA[[#This Row],[Bottom '[m']]]-TOWER_DATA[[#This Row],[Top '[m']]]),"")</f>
        <v/>
      </c>
      <c r="CJ784" s="145" t="str">
        <f t="shared" si="25"/>
        <v/>
      </c>
      <c r="CK784" s="220" t="str">
        <f>IFERROR((TOWER_DATA[[#This Row],[D, bottom '[m']]]+TOWER_DATA[[#This Row],[D, top '[m']]])/(2*TOWER_DATA[[#This Row],[t '[mm']]]/1000),"")</f>
        <v/>
      </c>
      <c r="DP784" s="209"/>
      <c r="DQ784" s="187"/>
      <c r="DT784" s="99"/>
      <c r="DU784" s="99"/>
    </row>
    <row r="785" spans="1:125" ht="18" customHeight="1">
      <c r="A785" s="271"/>
      <c r="D785" s="280"/>
      <c r="E785" s="52"/>
      <c r="N785" s="210"/>
      <c r="Q785" s="209"/>
      <c r="R785" s="209"/>
      <c r="S785" s="187"/>
      <c r="AV785" s="241"/>
      <c r="AW785" s="208"/>
      <c r="AX785" s="209"/>
      <c r="AY785" s="240"/>
      <c r="BB785" s="99"/>
      <c r="BC785" s="99"/>
      <c r="BD785" s="187"/>
      <c r="CH785" s="53" t="str">
        <f>IFERROR(TOWER_DATA[[#This Row],[Top '[m']]]-TOWER_DATA[[#This Row],[Bottom '[m']]], "")</f>
        <v/>
      </c>
      <c r="CI785" s="217" t="str">
        <f>IFERROR(-(TOWER_DATA[[#This Row],[D, bottom '[m']]]-TOWER_DATA[[#This Row],[D, top '[m']]])/(TOWER_DATA[[#This Row],[Bottom '[m']]]-TOWER_DATA[[#This Row],[Top '[m']]]),"")</f>
        <v/>
      </c>
      <c r="CJ785" s="145" t="str">
        <f t="shared" si="25"/>
        <v/>
      </c>
      <c r="CK785" s="220" t="str">
        <f>IFERROR((TOWER_DATA[[#This Row],[D, bottom '[m']]]+TOWER_DATA[[#This Row],[D, top '[m']]])/(2*TOWER_DATA[[#This Row],[t '[mm']]]/1000),"")</f>
        <v/>
      </c>
      <c r="DP785" s="209"/>
      <c r="DQ785" s="187"/>
      <c r="DT785" s="99"/>
      <c r="DU785" s="99"/>
    </row>
    <row r="786" spans="1:125" ht="18" customHeight="1">
      <c r="A786" s="271"/>
      <c r="D786" s="280"/>
      <c r="E786" s="52"/>
      <c r="N786" s="210"/>
      <c r="Q786" s="209"/>
      <c r="R786" s="209"/>
      <c r="S786" s="187"/>
      <c r="AV786" s="241"/>
      <c r="AW786" s="208"/>
      <c r="AX786" s="209"/>
      <c r="AY786" s="240"/>
      <c r="BB786" s="99"/>
      <c r="BC786" s="99"/>
      <c r="BD786" s="187"/>
      <c r="CH786" s="53" t="str">
        <f>IFERROR(TOWER_DATA[[#This Row],[Top '[m']]]-TOWER_DATA[[#This Row],[Bottom '[m']]], "")</f>
        <v/>
      </c>
      <c r="CI786" s="217" t="str">
        <f>IFERROR(-(TOWER_DATA[[#This Row],[D, bottom '[m']]]-TOWER_DATA[[#This Row],[D, top '[m']]])/(TOWER_DATA[[#This Row],[Bottom '[m']]]-TOWER_DATA[[#This Row],[Top '[m']]]),"")</f>
        <v/>
      </c>
      <c r="CJ786" s="145" t="str">
        <f t="shared" si="25"/>
        <v/>
      </c>
      <c r="CK786" s="220" t="str">
        <f>IFERROR((TOWER_DATA[[#This Row],[D, bottom '[m']]]+TOWER_DATA[[#This Row],[D, top '[m']]])/(2*TOWER_DATA[[#This Row],[t '[mm']]]/1000),"")</f>
        <v/>
      </c>
      <c r="DP786" s="209"/>
      <c r="DQ786" s="187"/>
      <c r="DT786" s="99"/>
      <c r="DU786" s="99"/>
    </row>
    <row r="787" spans="1:125" ht="18" customHeight="1">
      <c r="A787" s="271"/>
      <c r="D787" s="280"/>
      <c r="E787" s="52"/>
      <c r="N787" s="210"/>
      <c r="Q787" s="209"/>
      <c r="R787" s="209"/>
      <c r="S787" s="187"/>
      <c r="AV787" s="241"/>
      <c r="AW787" s="208"/>
      <c r="AX787" s="209"/>
      <c r="AY787" s="240"/>
      <c r="BB787" s="99"/>
      <c r="BC787" s="99"/>
      <c r="BD787" s="187"/>
      <c r="CH787" s="53" t="str">
        <f>IFERROR(TOWER_DATA[[#This Row],[Top '[m']]]-TOWER_DATA[[#This Row],[Bottom '[m']]], "")</f>
        <v/>
      </c>
      <c r="CI787" s="217" t="str">
        <f>IFERROR(-(TOWER_DATA[[#This Row],[D, bottom '[m']]]-TOWER_DATA[[#This Row],[D, top '[m']]])/(TOWER_DATA[[#This Row],[Bottom '[m']]]-TOWER_DATA[[#This Row],[Top '[m']]]),"")</f>
        <v/>
      </c>
      <c r="CJ787" s="145" t="str">
        <f t="shared" si="25"/>
        <v/>
      </c>
      <c r="CK787" s="220" t="str">
        <f>IFERROR((TOWER_DATA[[#This Row],[D, bottom '[m']]]+TOWER_DATA[[#This Row],[D, top '[m']]])/(2*TOWER_DATA[[#This Row],[t '[mm']]]/1000),"")</f>
        <v/>
      </c>
      <c r="DP787" s="209"/>
      <c r="DQ787" s="187"/>
      <c r="DT787" s="99"/>
      <c r="DU787" s="99"/>
    </row>
    <row r="788" spans="1:125" ht="18" customHeight="1">
      <c r="A788" s="271"/>
      <c r="D788" s="280"/>
      <c r="E788" s="52"/>
      <c r="N788" s="210"/>
      <c r="Q788" s="209"/>
      <c r="R788" s="209"/>
      <c r="S788" s="187"/>
      <c r="AV788" s="241"/>
      <c r="AW788" s="208"/>
      <c r="AX788" s="209"/>
      <c r="AY788" s="240"/>
      <c r="BB788" s="99"/>
      <c r="BC788" s="99"/>
      <c r="BD788" s="187"/>
      <c r="CH788" s="53" t="str">
        <f>IFERROR(TOWER_DATA[[#This Row],[Top '[m']]]-TOWER_DATA[[#This Row],[Bottom '[m']]], "")</f>
        <v/>
      </c>
      <c r="CI788" s="217" t="str">
        <f>IFERROR(-(TOWER_DATA[[#This Row],[D, bottom '[m']]]-TOWER_DATA[[#This Row],[D, top '[m']]])/(TOWER_DATA[[#This Row],[Bottom '[m']]]-TOWER_DATA[[#This Row],[Top '[m']]]),"")</f>
        <v/>
      </c>
      <c r="CJ788" s="145" t="str">
        <f t="shared" si="25"/>
        <v/>
      </c>
      <c r="CK788" s="220" t="str">
        <f>IFERROR((TOWER_DATA[[#This Row],[D, bottom '[m']]]+TOWER_DATA[[#This Row],[D, top '[m']]])/(2*TOWER_DATA[[#This Row],[t '[mm']]]/1000),"")</f>
        <v/>
      </c>
      <c r="DP788" s="209"/>
      <c r="DQ788" s="187"/>
      <c r="DT788" s="99"/>
      <c r="DU788" s="99"/>
    </row>
    <row r="789" spans="1:125" ht="18" customHeight="1">
      <c r="A789" s="271"/>
      <c r="D789" s="280"/>
      <c r="E789" s="52"/>
      <c r="N789" s="210"/>
      <c r="Q789" s="209"/>
      <c r="R789" s="209"/>
      <c r="S789" s="187"/>
      <c r="AV789" s="241"/>
      <c r="AW789" s="208"/>
      <c r="AX789" s="209"/>
      <c r="AY789" s="240"/>
      <c r="BB789" s="99"/>
      <c r="BC789" s="99"/>
      <c r="BD789" s="187"/>
      <c r="CH789" s="53" t="str">
        <f>IFERROR(TOWER_DATA[[#This Row],[Top '[m']]]-TOWER_DATA[[#This Row],[Bottom '[m']]], "")</f>
        <v/>
      </c>
      <c r="CI789" s="217" t="str">
        <f>IFERROR(-(TOWER_DATA[[#This Row],[D, bottom '[m']]]-TOWER_DATA[[#This Row],[D, top '[m']]])/(TOWER_DATA[[#This Row],[Bottom '[m']]]-TOWER_DATA[[#This Row],[Top '[m']]]),"")</f>
        <v/>
      </c>
      <c r="CJ789" s="145" t="str">
        <f t="shared" si="25"/>
        <v/>
      </c>
      <c r="CK789" s="220" t="str">
        <f>IFERROR((TOWER_DATA[[#This Row],[D, bottom '[m']]]+TOWER_DATA[[#This Row],[D, top '[m']]])/(2*TOWER_DATA[[#This Row],[t '[mm']]]/1000),"")</f>
        <v/>
      </c>
      <c r="DP789" s="209"/>
      <c r="DQ789" s="187"/>
      <c r="DT789" s="99"/>
      <c r="DU789" s="99"/>
    </row>
    <row r="790" spans="1:125" ht="18" customHeight="1">
      <c r="A790" s="271"/>
      <c r="D790" s="280"/>
      <c r="E790" s="52"/>
      <c r="N790" s="210"/>
      <c r="Q790" s="209"/>
      <c r="R790" s="209"/>
      <c r="S790" s="187"/>
      <c r="AV790" s="241"/>
      <c r="AW790" s="208"/>
      <c r="AX790" s="209"/>
      <c r="AY790" s="240"/>
      <c r="BB790" s="99"/>
      <c r="BC790" s="99"/>
      <c r="BD790" s="187"/>
      <c r="CH790" s="53" t="str">
        <f>IFERROR(TOWER_DATA[[#This Row],[Top '[m']]]-TOWER_DATA[[#This Row],[Bottom '[m']]], "")</f>
        <v/>
      </c>
      <c r="CI790" s="217" t="str">
        <f>IFERROR(-(TOWER_DATA[[#This Row],[D, bottom '[m']]]-TOWER_DATA[[#This Row],[D, top '[m']]])/(TOWER_DATA[[#This Row],[Bottom '[m']]]-TOWER_DATA[[#This Row],[Top '[m']]]),"")</f>
        <v/>
      </c>
      <c r="CJ790" s="145" t="str">
        <f t="shared" si="25"/>
        <v/>
      </c>
      <c r="CK790" s="220" t="str">
        <f>IFERROR((TOWER_DATA[[#This Row],[D, bottom '[m']]]+TOWER_DATA[[#This Row],[D, top '[m']]])/(2*TOWER_DATA[[#This Row],[t '[mm']]]/1000),"")</f>
        <v/>
      </c>
      <c r="DP790" s="209"/>
      <c r="DQ790" s="187"/>
      <c r="DT790" s="99"/>
      <c r="DU790" s="99"/>
    </row>
    <row r="791" spans="1:125" ht="18" customHeight="1">
      <c r="A791" s="271"/>
      <c r="D791" s="280"/>
      <c r="E791" s="52"/>
      <c r="N791" s="210"/>
      <c r="Q791" s="209"/>
      <c r="R791" s="209"/>
      <c r="S791" s="187"/>
      <c r="AV791" s="241"/>
      <c r="AW791" s="208"/>
      <c r="AX791" s="209"/>
      <c r="AY791" s="240"/>
      <c r="BB791" s="99"/>
      <c r="BC791" s="99"/>
      <c r="BD791" s="187"/>
      <c r="CH791" s="53" t="str">
        <f>IFERROR(TOWER_DATA[[#This Row],[Top '[m']]]-TOWER_DATA[[#This Row],[Bottom '[m']]], "")</f>
        <v/>
      </c>
      <c r="CI791" s="217" t="str">
        <f>IFERROR(-(TOWER_DATA[[#This Row],[D, bottom '[m']]]-TOWER_DATA[[#This Row],[D, top '[m']]])/(TOWER_DATA[[#This Row],[Bottom '[m']]]-TOWER_DATA[[#This Row],[Top '[m']]]),"")</f>
        <v/>
      </c>
      <c r="CJ791" s="145" t="str">
        <f t="shared" si="25"/>
        <v/>
      </c>
      <c r="CK791" s="220" t="str">
        <f>IFERROR((TOWER_DATA[[#This Row],[D, bottom '[m']]]+TOWER_DATA[[#This Row],[D, top '[m']]])/(2*TOWER_DATA[[#This Row],[t '[mm']]]/1000),"")</f>
        <v/>
      </c>
      <c r="DP791" s="209"/>
      <c r="DQ791" s="187"/>
      <c r="DT791" s="99"/>
      <c r="DU791" s="99"/>
    </row>
    <row r="792" spans="1:125" ht="18" customHeight="1">
      <c r="A792" s="271"/>
      <c r="D792" s="280"/>
      <c r="E792" s="52"/>
      <c r="N792" s="210"/>
      <c r="Q792" s="209"/>
      <c r="R792" s="209"/>
      <c r="S792" s="187"/>
      <c r="AV792" s="241"/>
      <c r="AW792" s="208"/>
      <c r="AX792" s="209"/>
      <c r="AY792" s="240"/>
      <c r="BB792" s="99"/>
      <c r="BC792" s="99"/>
      <c r="BD792" s="187"/>
      <c r="CH792" s="53" t="str">
        <f>IFERROR(TOWER_DATA[[#This Row],[Top '[m']]]-TOWER_DATA[[#This Row],[Bottom '[m']]], "")</f>
        <v/>
      </c>
      <c r="CI792" s="217" t="str">
        <f>IFERROR(-(TOWER_DATA[[#This Row],[D, bottom '[m']]]-TOWER_DATA[[#This Row],[D, top '[m']]])/(TOWER_DATA[[#This Row],[Bottom '[m']]]-TOWER_DATA[[#This Row],[Top '[m']]]),"")</f>
        <v/>
      </c>
      <c r="CJ792" s="145" t="str">
        <f t="shared" si="25"/>
        <v/>
      </c>
      <c r="CK792" s="220" t="str">
        <f>IFERROR((TOWER_DATA[[#This Row],[D, bottom '[m']]]+TOWER_DATA[[#This Row],[D, top '[m']]])/(2*TOWER_DATA[[#This Row],[t '[mm']]]/1000),"")</f>
        <v/>
      </c>
      <c r="DP792" s="209"/>
      <c r="DQ792" s="187"/>
      <c r="DT792" s="99"/>
      <c r="DU792" s="99"/>
    </row>
    <row r="793" spans="1:125" ht="18" customHeight="1">
      <c r="A793" s="271"/>
      <c r="D793" s="280"/>
      <c r="E793" s="52"/>
      <c r="N793" s="210"/>
      <c r="Q793" s="209"/>
      <c r="R793" s="209"/>
      <c r="S793" s="187"/>
      <c r="AV793" s="241"/>
      <c r="AW793" s="208"/>
      <c r="AX793" s="209"/>
      <c r="AY793" s="240"/>
      <c r="BB793" s="99"/>
      <c r="BC793" s="99"/>
      <c r="BD793" s="187"/>
      <c r="CH793" s="53" t="str">
        <f>IFERROR(TOWER_DATA[[#This Row],[Top '[m']]]-TOWER_DATA[[#This Row],[Bottom '[m']]], "")</f>
        <v/>
      </c>
      <c r="CI793" s="217" t="str">
        <f>IFERROR(-(TOWER_DATA[[#This Row],[D, bottom '[m']]]-TOWER_DATA[[#This Row],[D, top '[m']]])/(TOWER_DATA[[#This Row],[Bottom '[m']]]-TOWER_DATA[[#This Row],[Top '[m']]]),"")</f>
        <v/>
      </c>
      <c r="CJ793" s="145" t="str">
        <f t="shared" si="25"/>
        <v/>
      </c>
      <c r="CK793" s="220" t="str">
        <f>IFERROR((TOWER_DATA[[#This Row],[D, bottom '[m']]]+TOWER_DATA[[#This Row],[D, top '[m']]])/(2*TOWER_DATA[[#This Row],[t '[mm']]]/1000),"")</f>
        <v/>
      </c>
      <c r="DP793" s="209"/>
      <c r="DQ793" s="187"/>
      <c r="DT793" s="99"/>
      <c r="DU793" s="99"/>
    </row>
    <row r="794" spans="1:125" ht="18" customHeight="1">
      <c r="A794" s="271"/>
      <c r="D794" s="280"/>
      <c r="E794" s="52"/>
      <c r="N794" s="210"/>
      <c r="Q794" s="209"/>
      <c r="R794" s="209"/>
      <c r="S794" s="187"/>
      <c r="AV794" s="241"/>
      <c r="AW794" s="208"/>
      <c r="AX794" s="209"/>
      <c r="AY794" s="240"/>
      <c r="BB794" s="99"/>
      <c r="BC794" s="99"/>
      <c r="BD794" s="187"/>
      <c r="CH794" s="53" t="str">
        <f>IFERROR(TOWER_DATA[[#This Row],[Top '[m']]]-TOWER_DATA[[#This Row],[Bottom '[m']]], "")</f>
        <v/>
      </c>
      <c r="CI794" s="217" t="str">
        <f>IFERROR(-(TOWER_DATA[[#This Row],[D, bottom '[m']]]-TOWER_DATA[[#This Row],[D, top '[m']]])/(TOWER_DATA[[#This Row],[Bottom '[m']]]-TOWER_DATA[[#This Row],[Top '[m']]]),"")</f>
        <v/>
      </c>
      <c r="CJ794" s="145" t="str">
        <f t="shared" si="25"/>
        <v/>
      </c>
      <c r="CK794" s="220" t="str">
        <f>IFERROR((TOWER_DATA[[#This Row],[D, bottom '[m']]]+TOWER_DATA[[#This Row],[D, top '[m']]])/(2*TOWER_DATA[[#This Row],[t '[mm']]]/1000),"")</f>
        <v/>
      </c>
      <c r="DP794" s="209"/>
      <c r="DQ794" s="187"/>
      <c r="DT794" s="99"/>
      <c r="DU794" s="99"/>
    </row>
    <row r="795" spans="1:125" ht="18" customHeight="1">
      <c r="A795" s="271"/>
      <c r="D795" s="280"/>
      <c r="E795" s="52"/>
      <c r="N795" s="210"/>
      <c r="Q795" s="209"/>
      <c r="R795" s="209"/>
      <c r="S795" s="187"/>
      <c r="AV795" s="241"/>
      <c r="AW795" s="208"/>
      <c r="AX795" s="209"/>
      <c r="AY795" s="240"/>
      <c r="BB795" s="99"/>
      <c r="BC795" s="99"/>
      <c r="BD795" s="187"/>
      <c r="CH795" s="53" t="str">
        <f>IFERROR(TOWER_DATA[[#This Row],[Top '[m']]]-TOWER_DATA[[#This Row],[Bottom '[m']]], "")</f>
        <v/>
      </c>
      <c r="CI795" s="217" t="str">
        <f>IFERROR(-(TOWER_DATA[[#This Row],[D, bottom '[m']]]-TOWER_DATA[[#This Row],[D, top '[m']]])/(TOWER_DATA[[#This Row],[Bottom '[m']]]-TOWER_DATA[[#This Row],[Top '[m']]]),"")</f>
        <v/>
      </c>
      <c r="CJ795" s="145" t="str">
        <f t="shared" si="25"/>
        <v/>
      </c>
      <c r="CK795" s="220" t="str">
        <f>IFERROR((TOWER_DATA[[#This Row],[D, bottom '[m']]]+TOWER_DATA[[#This Row],[D, top '[m']]])/(2*TOWER_DATA[[#This Row],[t '[mm']]]/1000),"")</f>
        <v/>
      </c>
      <c r="DP795" s="209"/>
      <c r="DQ795" s="187"/>
      <c r="DT795" s="99"/>
      <c r="DU795" s="99"/>
    </row>
    <row r="796" spans="1:125" ht="18" customHeight="1">
      <c r="A796" s="271"/>
      <c r="D796" s="280"/>
      <c r="E796" s="52"/>
      <c r="N796" s="210"/>
      <c r="Q796" s="209"/>
      <c r="R796" s="209"/>
      <c r="S796" s="187"/>
      <c r="AV796" s="241"/>
      <c r="AW796" s="208"/>
      <c r="AX796" s="209"/>
      <c r="AY796" s="240"/>
      <c r="BB796" s="99"/>
      <c r="BC796" s="99"/>
      <c r="BD796" s="187"/>
      <c r="CH796" s="53" t="str">
        <f>IFERROR(TOWER_DATA[[#This Row],[Top '[m']]]-TOWER_DATA[[#This Row],[Bottom '[m']]], "")</f>
        <v/>
      </c>
      <c r="CI796" s="217" t="str">
        <f>IFERROR(-(TOWER_DATA[[#This Row],[D, bottom '[m']]]-TOWER_DATA[[#This Row],[D, top '[m']]])/(TOWER_DATA[[#This Row],[Bottom '[m']]]-TOWER_DATA[[#This Row],[Top '[m']]]),"")</f>
        <v/>
      </c>
      <c r="CJ796" s="145" t="str">
        <f t="shared" si="25"/>
        <v/>
      </c>
      <c r="CK796" s="220" t="str">
        <f>IFERROR((TOWER_DATA[[#This Row],[D, bottom '[m']]]+TOWER_DATA[[#This Row],[D, top '[m']]])/(2*TOWER_DATA[[#This Row],[t '[mm']]]/1000),"")</f>
        <v/>
      </c>
      <c r="DP796" s="209"/>
      <c r="DQ796" s="187"/>
      <c r="DT796" s="99"/>
      <c r="DU796" s="99"/>
    </row>
    <row r="797" spans="1:125" ht="18" customHeight="1">
      <c r="A797" s="271"/>
      <c r="D797" s="280"/>
      <c r="E797" s="52"/>
      <c r="N797" s="210"/>
      <c r="Q797" s="209"/>
      <c r="R797" s="209"/>
      <c r="S797" s="187"/>
      <c r="AV797" s="241"/>
      <c r="AW797" s="208"/>
      <c r="AX797" s="209"/>
      <c r="AY797" s="240"/>
      <c r="BB797" s="99"/>
      <c r="BC797" s="99"/>
      <c r="BD797" s="187"/>
      <c r="CH797" s="53" t="str">
        <f>IFERROR(TOWER_DATA[[#This Row],[Top '[m']]]-TOWER_DATA[[#This Row],[Bottom '[m']]], "")</f>
        <v/>
      </c>
      <c r="CI797" s="217" t="str">
        <f>IFERROR(-(TOWER_DATA[[#This Row],[D, bottom '[m']]]-TOWER_DATA[[#This Row],[D, top '[m']]])/(TOWER_DATA[[#This Row],[Bottom '[m']]]-TOWER_DATA[[#This Row],[Top '[m']]]),"")</f>
        <v/>
      </c>
      <c r="CJ797" s="145" t="str">
        <f t="shared" si="25"/>
        <v/>
      </c>
      <c r="CK797" s="220" t="str">
        <f>IFERROR((TOWER_DATA[[#This Row],[D, bottom '[m']]]+TOWER_DATA[[#This Row],[D, top '[m']]])/(2*TOWER_DATA[[#This Row],[t '[mm']]]/1000),"")</f>
        <v/>
      </c>
      <c r="DP797" s="209"/>
      <c r="DQ797" s="187"/>
      <c r="DT797" s="99"/>
      <c r="DU797" s="99"/>
    </row>
    <row r="798" spans="1:125" ht="18" customHeight="1">
      <c r="A798" s="271"/>
      <c r="D798" s="280"/>
      <c r="E798" s="52"/>
      <c r="N798" s="210"/>
      <c r="Q798" s="209"/>
      <c r="R798" s="209"/>
      <c r="S798" s="187"/>
      <c r="AV798" s="241"/>
      <c r="AW798" s="208"/>
      <c r="AX798" s="209"/>
      <c r="AY798" s="240"/>
      <c r="BB798" s="99"/>
      <c r="BC798" s="99"/>
      <c r="BD798" s="187"/>
      <c r="CH798" s="53" t="str">
        <f>IFERROR(TOWER_DATA[[#This Row],[Top '[m']]]-TOWER_DATA[[#This Row],[Bottom '[m']]], "")</f>
        <v/>
      </c>
      <c r="CI798" s="217" t="str">
        <f>IFERROR(-(TOWER_DATA[[#This Row],[D, bottom '[m']]]-TOWER_DATA[[#This Row],[D, top '[m']]])/(TOWER_DATA[[#This Row],[Bottom '[m']]]-TOWER_DATA[[#This Row],[Top '[m']]]),"")</f>
        <v/>
      </c>
      <c r="CJ798" s="145" t="str">
        <f t="shared" si="25"/>
        <v/>
      </c>
      <c r="CK798" s="220" t="str">
        <f>IFERROR((TOWER_DATA[[#This Row],[D, bottom '[m']]]+TOWER_DATA[[#This Row],[D, top '[m']]])/(2*TOWER_DATA[[#This Row],[t '[mm']]]/1000),"")</f>
        <v/>
      </c>
      <c r="DP798" s="209"/>
      <c r="DQ798" s="187"/>
      <c r="DT798" s="99"/>
      <c r="DU798" s="99"/>
    </row>
    <row r="799" spans="1:125" ht="18" customHeight="1">
      <c r="A799" s="271"/>
      <c r="D799" s="280"/>
      <c r="E799" s="52"/>
      <c r="N799" s="210"/>
      <c r="Q799" s="209"/>
      <c r="R799" s="209"/>
      <c r="S799" s="187"/>
      <c r="AV799" s="241"/>
      <c r="AW799" s="208"/>
      <c r="AX799" s="209"/>
      <c r="AY799" s="240"/>
      <c r="BB799" s="99"/>
      <c r="BC799" s="99"/>
      <c r="BD799" s="187"/>
      <c r="CH799" s="53" t="str">
        <f>IFERROR(TOWER_DATA[[#This Row],[Top '[m']]]-TOWER_DATA[[#This Row],[Bottom '[m']]], "")</f>
        <v/>
      </c>
      <c r="CI799" s="217" t="str">
        <f>IFERROR(-(TOWER_DATA[[#This Row],[D, bottom '[m']]]-TOWER_DATA[[#This Row],[D, top '[m']]])/(TOWER_DATA[[#This Row],[Bottom '[m']]]-TOWER_DATA[[#This Row],[Top '[m']]]),"")</f>
        <v/>
      </c>
      <c r="CJ799" s="145" t="str">
        <f t="shared" si="25"/>
        <v/>
      </c>
      <c r="CK799" s="220" t="str">
        <f>IFERROR((TOWER_DATA[[#This Row],[D, bottom '[m']]]+TOWER_DATA[[#This Row],[D, top '[m']]])/(2*TOWER_DATA[[#This Row],[t '[mm']]]/1000),"")</f>
        <v/>
      </c>
      <c r="DP799" s="209"/>
      <c r="DQ799" s="187"/>
      <c r="DT799" s="99"/>
      <c r="DU799" s="99"/>
    </row>
    <row r="800" spans="1:125" ht="18" customHeight="1">
      <c r="A800" s="271"/>
      <c r="D800" s="280"/>
      <c r="E800" s="52"/>
      <c r="N800" s="210"/>
      <c r="Q800" s="209"/>
      <c r="R800" s="209"/>
      <c r="S800" s="187"/>
      <c r="AV800" s="241"/>
      <c r="AW800" s="208"/>
      <c r="AX800" s="209"/>
      <c r="AY800" s="240"/>
      <c r="BB800" s="99"/>
      <c r="BC800" s="99"/>
      <c r="BD800" s="187"/>
      <c r="CH800" s="53" t="str">
        <f>IFERROR(TOWER_DATA[[#This Row],[Top '[m']]]-TOWER_DATA[[#This Row],[Bottom '[m']]], "")</f>
        <v/>
      </c>
      <c r="CI800" s="217" t="str">
        <f>IFERROR(-(TOWER_DATA[[#This Row],[D, bottom '[m']]]-TOWER_DATA[[#This Row],[D, top '[m']]])/(TOWER_DATA[[#This Row],[Bottom '[m']]]-TOWER_DATA[[#This Row],[Top '[m']]]),"")</f>
        <v/>
      </c>
      <c r="CJ800" s="145" t="str">
        <f t="shared" si="25"/>
        <v/>
      </c>
      <c r="CK800" s="220" t="str">
        <f>IFERROR((TOWER_DATA[[#This Row],[D, bottom '[m']]]+TOWER_DATA[[#This Row],[D, top '[m']]])/(2*TOWER_DATA[[#This Row],[t '[mm']]]/1000),"")</f>
        <v/>
      </c>
      <c r="DP800" s="209"/>
      <c r="DQ800" s="187"/>
      <c r="DT800" s="99"/>
      <c r="DU800" s="99"/>
    </row>
    <row r="801" spans="1:125" ht="18" customHeight="1">
      <c r="A801" s="271"/>
      <c r="D801" s="280"/>
      <c r="E801" s="52"/>
      <c r="N801" s="210"/>
      <c r="Q801" s="209"/>
      <c r="R801" s="209"/>
      <c r="S801" s="187"/>
      <c r="AV801" s="241"/>
      <c r="AW801" s="208"/>
      <c r="AX801" s="209"/>
      <c r="AY801" s="240"/>
      <c r="BB801" s="99"/>
      <c r="BC801" s="99"/>
      <c r="BD801" s="187"/>
      <c r="CH801" s="53" t="str">
        <f>IFERROR(TOWER_DATA[[#This Row],[Top '[m']]]-TOWER_DATA[[#This Row],[Bottom '[m']]], "")</f>
        <v/>
      </c>
      <c r="CI801" s="217" t="str">
        <f>IFERROR(-(TOWER_DATA[[#This Row],[D, bottom '[m']]]-TOWER_DATA[[#This Row],[D, top '[m']]])/(TOWER_DATA[[#This Row],[Bottom '[m']]]-TOWER_DATA[[#This Row],[Top '[m']]]),"")</f>
        <v/>
      </c>
      <c r="CJ801" s="145" t="str">
        <f t="shared" si="25"/>
        <v/>
      </c>
      <c r="CK801" s="220" t="str">
        <f>IFERROR((TOWER_DATA[[#This Row],[D, bottom '[m']]]+TOWER_DATA[[#This Row],[D, top '[m']]])/(2*TOWER_DATA[[#This Row],[t '[mm']]]/1000),"")</f>
        <v/>
      </c>
      <c r="DP801" s="209"/>
      <c r="DQ801" s="187"/>
      <c r="DT801" s="99"/>
      <c r="DU801" s="99"/>
    </row>
    <row r="802" spans="1:125" ht="18" customHeight="1">
      <c r="A802" s="271"/>
      <c r="D802" s="280"/>
      <c r="E802" s="52"/>
      <c r="N802" s="210"/>
      <c r="Q802" s="209"/>
      <c r="R802" s="209"/>
      <c r="S802" s="187"/>
      <c r="AV802" s="241"/>
      <c r="AW802" s="208"/>
      <c r="AX802" s="209"/>
      <c r="AY802" s="240"/>
      <c r="BB802" s="99"/>
      <c r="BC802" s="99"/>
      <c r="BD802" s="187"/>
      <c r="CH802" s="53" t="str">
        <f>IFERROR(TOWER_DATA[[#This Row],[Top '[m']]]-TOWER_DATA[[#This Row],[Bottom '[m']]], "")</f>
        <v/>
      </c>
      <c r="CI802" s="217" t="str">
        <f>IFERROR(-(TOWER_DATA[[#This Row],[D, bottom '[m']]]-TOWER_DATA[[#This Row],[D, top '[m']]])/(TOWER_DATA[[#This Row],[Bottom '[m']]]-TOWER_DATA[[#This Row],[Top '[m']]]),"")</f>
        <v/>
      </c>
      <c r="CJ802" s="145" t="str">
        <f t="shared" si="25"/>
        <v/>
      </c>
      <c r="CK802" s="220" t="str">
        <f>IFERROR((TOWER_DATA[[#This Row],[D, bottom '[m']]]+TOWER_DATA[[#This Row],[D, top '[m']]])/(2*TOWER_DATA[[#This Row],[t '[mm']]]/1000),"")</f>
        <v/>
      </c>
      <c r="DP802" s="209"/>
      <c r="DQ802" s="187"/>
      <c r="DT802" s="99"/>
      <c r="DU802" s="99"/>
    </row>
    <row r="803" spans="1:125" ht="18" customHeight="1">
      <c r="A803" s="271"/>
      <c r="D803" s="280"/>
      <c r="E803" s="52"/>
      <c r="N803" s="210"/>
      <c r="Q803" s="209"/>
      <c r="R803" s="209"/>
      <c r="S803" s="187"/>
      <c r="AV803" s="241"/>
      <c r="AW803" s="208"/>
      <c r="AX803" s="209"/>
      <c r="AY803" s="240"/>
      <c r="BB803" s="99"/>
      <c r="BC803" s="99"/>
      <c r="BD803" s="187"/>
      <c r="CH803" s="53" t="str">
        <f>IFERROR(TOWER_DATA[[#This Row],[Top '[m']]]-TOWER_DATA[[#This Row],[Bottom '[m']]], "")</f>
        <v/>
      </c>
      <c r="CI803" s="217" t="str">
        <f>IFERROR(-(TOWER_DATA[[#This Row],[D, bottom '[m']]]-TOWER_DATA[[#This Row],[D, top '[m']]])/(TOWER_DATA[[#This Row],[Bottom '[m']]]-TOWER_DATA[[#This Row],[Top '[m']]]),"")</f>
        <v/>
      </c>
      <c r="CJ803" s="145" t="str">
        <f t="shared" si="25"/>
        <v/>
      </c>
      <c r="CK803" s="220" t="str">
        <f>IFERROR((TOWER_DATA[[#This Row],[D, bottom '[m']]]+TOWER_DATA[[#This Row],[D, top '[m']]])/(2*TOWER_DATA[[#This Row],[t '[mm']]]/1000),"")</f>
        <v/>
      </c>
      <c r="DP803" s="209"/>
      <c r="DQ803" s="187"/>
      <c r="DT803" s="99"/>
      <c r="DU803" s="99"/>
    </row>
    <row r="804" spans="1:125" ht="18" customHeight="1">
      <c r="A804" s="271"/>
      <c r="D804" s="280"/>
      <c r="E804" s="52"/>
      <c r="N804" s="210"/>
      <c r="Q804" s="209"/>
      <c r="R804" s="209"/>
      <c r="S804" s="187"/>
      <c r="AV804" s="241"/>
      <c r="AW804" s="208"/>
      <c r="AX804" s="209"/>
      <c r="AY804" s="240"/>
      <c r="BB804" s="99"/>
      <c r="BC804" s="99"/>
      <c r="BD804" s="187"/>
      <c r="CH804" s="53" t="str">
        <f>IFERROR(TOWER_DATA[[#This Row],[Top '[m']]]-TOWER_DATA[[#This Row],[Bottom '[m']]], "")</f>
        <v/>
      </c>
      <c r="CI804" s="217" t="str">
        <f>IFERROR(-(TOWER_DATA[[#This Row],[D, bottom '[m']]]-TOWER_DATA[[#This Row],[D, top '[m']]])/(TOWER_DATA[[#This Row],[Bottom '[m']]]-TOWER_DATA[[#This Row],[Top '[m']]]),"")</f>
        <v/>
      </c>
      <c r="CJ804" s="145" t="str">
        <f t="shared" si="25"/>
        <v/>
      </c>
      <c r="CK804" s="220" t="str">
        <f>IFERROR((TOWER_DATA[[#This Row],[D, bottom '[m']]]+TOWER_DATA[[#This Row],[D, top '[m']]])/(2*TOWER_DATA[[#This Row],[t '[mm']]]/1000),"")</f>
        <v/>
      </c>
      <c r="DP804" s="209"/>
      <c r="DQ804" s="187"/>
      <c r="DT804" s="99"/>
      <c r="DU804" s="99"/>
    </row>
    <row r="805" spans="1:125" ht="18" customHeight="1">
      <c r="A805" s="271"/>
      <c r="D805" s="280"/>
      <c r="E805" s="52"/>
      <c r="N805" s="210"/>
      <c r="Q805" s="209"/>
      <c r="R805" s="209"/>
      <c r="S805" s="187"/>
      <c r="AV805" s="241"/>
      <c r="AW805" s="208"/>
      <c r="AX805" s="209"/>
      <c r="AY805" s="240"/>
      <c r="BB805" s="99"/>
      <c r="BC805" s="99"/>
      <c r="BD805" s="187"/>
      <c r="CH805" s="53" t="str">
        <f>IFERROR(TOWER_DATA[[#This Row],[Top '[m']]]-TOWER_DATA[[#This Row],[Bottom '[m']]], "")</f>
        <v/>
      </c>
      <c r="CI805" s="217" t="str">
        <f>IFERROR(-(TOWER_DATA[[#This Row],[D, bottom '[m']]]-TOWER_DATA[[#This Row],[D, top '[m']]])/(TOWER_DATA[[#This Row],[Bottom '[m']]]-TOWER_DATA[[#This Row],[Top '[m']]]),"")</f>
        <v/>
      </c>
      <c r="CJ805" s="145" t="str">
        <f t="shared" si="25"/>
        <v/>
      </c>
      <c r="CK805" s="220" t="str">
        <f>IFERROR((TOWER_DATA[[#This Row],[D, bottom '[m']]]+TOWER_DATA[[#This Row],[D, top '[m']]])/(2*TOWER_DATA[[#This Row],[t '[mm']]]/1000),"")</f>
        <v/>
      </c>
      <c r="DP805" s="209"/>
      <c r="DQ805" s="187"/>
      <c r="DT805" s="99"/>
      <c r="DU805" s="99"/>
    </row>
    <row r="806" spans="1:125" ht="18" customHeight="1">
      <c r="A806" s="271"/>
      <c r="D806" s="280"/>
      <c r="E806" s="52"/>
      <c r="N806" s="210"/>
      <c r="Q806" s="209"/>
      <c r="R806" s="209"/>
      <c r="S806" s="187"/>
      <c r="AV806" s="241"/>
      <c r="AW806" s="208"/>
      <c r="AX806" s="209"/>
      <c r="AY806" s="240"/>
      <c r="BB806" s="99"/>
      <c r="BC806" s="99"/>
      <c r="BD806" s="187"/>
      <c r="CH806" s="53" t="str">
        <f>IFERROR(TOWER_DATA[[#This Row],[Top '[m']]]-TOWER_DATA[[#This Row],[Bottom '[m']]], "")</f>
        <v/>
      </c>
      <c r="CI806" s="217" t="str">
        <f>IFERROR(-(TOWER_DATA[[#This Row],[D, bottom '[m']]]-TOWER_DATA[[#This Row],[D, top '[m']]])/(TOWER_DATA[[#This Row],[Bottom '[m']]]-TOWER_DATA[[#This Row],[Top '[m']]]),"")</f>
        <v/>
      </c>
      <c r="CJ806" s="145" t="str">
        <f t="shared" si="25"/>
        <v/>
      </c>
      <c r="CK806" s="220" t="str">
        <f>IFERROR((TOWER_DATA[[#This Row],[D, bottom '[m']]]+TOWER_DATA[[#This Row],[D, top '[m']]])/(2*TOWER_DATA[[#This Row],[t '[mm']]]/1000),"")</f>
        <v/>
      </c>
      <c r="DP806" s="209"/>
      <c r="DQ806" s="187"/>
      <c r="DT806" s="99"/>
      <c r="DU806" s="99"/>
    </row>
    <row r="807" spans="1:125" ht="18" customHeight="1">
      <c r="A807" s="271"/>
      <c r="D807" s="280"/>
      <c r="E807" s="52"/>
      <c r="N807" s="210"/>
      <c r="Q807" s="209"/>
      <c r="R807" s="209"/>
      <c r="S807" s="187"/>
      <c r="AV807" s="241"/>
      <c r="AW807" s="208"/>
      <c r="AX807" s="209"/>
      <c r="AY807" s="240"/>
      <c r="BB807" s="99"/>
      <c r="BC807" s="99"/>
      <c r="BD807" s="187"/>
      <c r="CH807" s="53" t="str">
        <f>IFERROR(TOWER_DATA[[#This Row],[Top '[m']]]-TOWER_DATA[[#This Row],[Bottom '[m']]], "")</f>
        <v/>
      </c>
      <c r="CI807" s="217" t="str">
        <f>IFERROR(-(TOWER_DATA[[#This Row],[D, bottom '[m']]]-TOWER_DATA[[#This Row],[D, top '[m']]])/(TOWER_DATA[[#This Row],[Bottom '[m']]]-TOWER_DATA[[#This Row],[Top '[m']]]),"")</f>
        <v/>
      </c>
      <c r="CJ807" s="145" t="str">
        <f t="shared" si="25"/>
        <v/>
      </c>
      <c r="CK807" s="220" t="str">
        <f>IFERROR((TOWER_DATA[[#This Row],[D, bottom '[m']]]+TOWER_DATA[[#This Row],[D, top '[m']]])/(2*TOWER_DATA[[#This Row],[t '[mm']]]/1000),"")</f>
        <v/>
      </c>
      <c r="DP807" s="209"/>
      <c r="DQ807" s="187"/>
      <c r="DT807" s="99"/>
      <c r="DU807" s="99"/>
    </row>
    <row r="808" spans="1:125" ht="18" customHeight="1">
      <c r="A808" s="271"/>
      <c r="D808" s="280"/>
      <c r="E808" s="52"/>
      <c r="N808" s="210"/>
      <c r="Q808" s="209"/>
      <c r="R808" s="209"/>
      <c r="S808" s="187"/>
      <c r="AV808" s="241"/>
      <c r="AW808" s="208"/>
      <c r="AX808" s="209"/>
      <c r="AY808" s="240"/>
      <c r="BB808" s="99"/>
      <c r="BC808" s="99"/>
      <c r="BD808" s="187"/>
      <c r="CH808" s="53" t="str">
        <f>IFERROR(TOWER_DATA[[#This Row],[Top '[m']]]-TOWER_DATA[[#This Row],[Bottom '[m']]], "")</f>
        <v/>
      </c>
      <c r="CI808" s="217" t="str">
        <f>IFERROR(-(TOWER_DATA[[#This Row],[D, bottom '[m']]]-TOWER_DATA[[#This Row],[D, top '[m']]])/(TOWER_DATA[[#This Row],[Bottom '[m']]]-TOWER_DATA[[#This Row],[Top '[m']]]),"")</f>
        <v/>
      </c>
      <c r="CJ808" s="145" t="str">
        <f t="shared" si="25"/>
        <v/>
      </c>
      <c r="CK808" s="220" t="str">
        <f>IFERROR((TOWER_DATA[[#This Row],[D, bottom '[m']]]+TOWER_DATA[[#This Row],[D, top '[m']]])/(2*TOWER_DATA[[#This Row],[t '[mm']]]/1000),"")</f>
        <v/>
      </c>
      <c r="DP808" s="209"/>
      <c r="DQ808" s="187"/>
      <c r="DT808" s="99"/>
      <c r="DU808" s="99"/>
    </row>
    <row r="809" spans="1:125" ht="18" customHeight="1">
      <c r="A809" s="271"/>
      <c r="D809" s="280"/>
      <c r="E809" s="52"/>
      <c r="N809" s="210"/>
      <c r="Q809" s="209"/>
      <c r="R809" s="209"/>
      <c r="S809" s="187"/>
      <c r="AV809" s="241"/>
      <c r="AW809" s="208"/>
      <c r="AX809" s="209"/>
      <c r="AY809" s="240"/>
      <c r="BB809" s="99"/>
      <c r="BC809" s="99"/>
      <c r="BD809" s="187"/>
      <c r="CH809" s="53" t="str">
        <f>IFERROR(TOWER_DATA[[#This Row],[Top '[m']]]-TOWER_DATA[[#This Row],[Bottom '[m']]], "")</f>
        <v/>
      </c>
      <c r="CI809" s="217" t="str">
        <f>IFERROR(-(TOWER_DATA[[#This Row],[D, bottom '[m']]]-TOWER_DATA[[#This Row],[D, top '[m']]])/(TOWER_DATA[[#This Row],[Bottom '[m']]]-TOWER_DATA[[#This Row],[Top '[m']]]),"")</f>
        <v/>
      </c>
      <c r="CJ809" s="145" t="str">
        <f t="shared" si="25"/>
        <v/>
      </c>
      <c r="CK809" s="220" t="str">
        <f>IFERROR((TOWER_DATA[[#This Row],[D, bottom '[m']]]+TOWER_DATA[[#This Row],[D, top '[m']]])/(2*TOWER_DATA[[#This Row],[t '[mm']]]/1000),"")</f>
        <v/>
      </c>
      <c r="DP809" s="209"/>
      <c r="DQ809" s="187"/>
      <c r="DT809" s="99"/>
      <c r="DU809" s="99"/>
    </row>
    <row r="810" spans="1:125" ht="18" customHeight="1">
      <c r="A810" s="271"/>
      <c r="D810" s="280"/>
      <c r="E810" s="52"/>
      <c r="N810" s="210"/>
      <c r="Q810" s="209"/>
      <c r="R810" s="209"/>
      <c r="S810" s="187"/>
      <c r="AV810" s="241"/>
      <c r="AW810" s="208"/>
      <c r="AX810" s="209"/>
      <c r="AY810" s="240"/>
      <c r="BB810" s="99"/>
      <c r="BC810" s="99"/>
      <c r="BD810" s="187"/>
      <c r="CH810" s="53" t="str">
        <f>IFERROR(TOWER_DATA[[#This Row],[Top '[m']]]-TOWER_DATA[[#This Row],[Bottom '[m']]], "")</f>
        <v/>
      </c>
      <c r="CI810" s="217" t="str">
        <f>IFERROR(-(TOWER_DATA[[#This Row],[D, bottom '[m']]]-TOWER_DATA[[#This Row],[D, top '[m']]])/(TOWER_DATA[[#This Row],[Bottom '[m']]]-TOWER_DATA[[#This Row],[Top '[m']]]),"")</f>
        <v/>
      </c>
      <c r="CJ810" s="145" t="str">
        <f t="shared" si="25"/>
        <v/>
      </c>
      <c r="CK810" s="220" t="str">
        <f>IFERROR((TOWER_DATA[[#This Row],[D, bottom '[m']]]+TOWER_DATA[[#This Row],[D, top '[m']]])/(2*TOWER_DATA[[#This Row],[t '[mm']]]/1000),"")</f>
        <v/>
      </c>
      <c r="DP810" s="209"/>
      <c r="DQ810" s="187"/>
      <c r="DT810" s="99"/>
      <c r="DU810" s="99"/>
    </row>
    <row r="811" spans="1:125" ht="18" customHeight="1">
      <c r="A811" s="271"/>
      <c r="D811" s="280"/>
      <c r="E811" s="52"/>
      <c r="N811" s="210"/>
      <c r="Q811" s="209"/>
      <c r="R811" s="209"/>
      <c r="S811" s="187"/>
      <c r="AV811" s="241"/>
      <c r="AW811" s="208"/>
      <c r="AX811" s="209"/>
      <c r="AY811" s="240"/>
      <c r="BB811" s="99"/>
      <c r="BC811" s="99"/>
      <c r="BD811" s="187"/>
      <c r="CH811" s="53" t="str">
        <f>IFERROR(TOWER_DATA[[#This Row],[Top '[m']]]-TOWER_DATA[[#This Row],[Bottom '[m']]], "")</f>
        <v/>
      </c>
      <c r="CI811" s="217" t="str">
        <f>IFERROR(-(TOWER_DATA[[#This Row],[D, bottom '[m']]]-TOWER_DATA[[#This Row],[D, top '[m']]])/(TOWER_DATA[[#This Row],[Bottom '[m']]]-TOWER_DATA[[#This Row],[Top '[m']]]),"")</f>
        <v/>
      </c>
      <c r="CJ811" s="145" t="str">
        <f t="shared" si="25"/>
        <v/>
      </c>
      <c r="CK811" s="220" t="str">
        <f>IFERROR((TOWER_DATA[[#This Row],[D, bottom '[m']]]+TOWER_DATA[[#This Row],[D, top '[m']]])/(2*TOWER_DATA[[#This Row],[t '[mm']]]/1000),"")</f>
        <v/>
      </c>
      <c r="DP811" s="209"/>
      <c r="DQ811" s="187"/>
      <c r="DT811" s="99"/>
      <c r="DU811" s="99"/>
    </row>
    <row r="812" spans="1:125" ht="18" customHeight="1">
      <c r="A812" s="271"/>
      <c r="D812" s="280"/>
      <c r="E812" s="52"/>
      <c r="N812" s="210"/>
      <c r="Q812" s="209"/>
      <c r="R812" s="209"/>
      <c r="S812" s="187"/>
      <c r="AV812" s="241"/>
      <c r="AW812" s="208"/>
      <c r="AX812" s="209"/>
      <c r="AY812" s="240"/>
      <c r="BB812" s="99"/>
      <c r="BC812" s="99"/>
      <c r="BD812" s="187"/>
      <c r="CH812" s="53" t="str">
        <f>IFERROR(TOWER_DATA[[#This Row],[Top '[m']]]-TOWER_DATA[[#This Row],[Bottom '[m']]], "")</f>
        <v/>
      </c>
      <c r="CI812" s="217" t="str">
        <f>IFERROR(-(TOWER_DATA[[#This Row],[D, bottom '[m']]]-TOWER_DATA[[#This Row],[D, top '[m']]])/(TOWER_DATA[[#This Row],[Bottom '[m']]]-TOWER_DATA[[#This Row],[Top '[m']]]),"")</f>
        <v/>
      </c>
      <c r="CJ812" s="145" t="str">
        <f t="shared" si="25"/>
        <v/>
      </c>
      <c r="CK812" s="220" t="str">
        <f>IFERROR((TOWER_DATA[[#This Row],[D, bottom '[m']]]+TOWER_DATA[[#This Row],[D, top '[m']]])/(2*TOWER_DATA[[#This Row],[t '[mm']]]/1000),"")</f>
        <v/>
      </c>
      <c r="DQ812" s="187"/>
      <c r="DT812" s="99"/>
      <c r="DU812" s="99"/>
    </row>
    <row r="813" spans="1:125" ht="18" customHeight="1">
      <c r="A813" s="271"/>
      <c r="D813" s="280"/>
      <c r="E813" s="52"/>
      <c r="N813" s="210"/>
      <c r="Q813" s="209"/>
      <c r="R813" s="209"/>
      <c r="S813" s="187"/>
      <c r="AV813" s="241"/>
      <c r="AW813" s="208"/>
      <c r="AX813" s="209"/>
      <c r="AY813" s="240"/>
      <c r="BB813" s="99"/>
      <c r="BC813" s="99"/>
      <c r="BD813" s="187"/>
      <c r="CH813" s="53" t="str">
        <f>IFERROR(TOWER_DATA[[#This Row],[Top '[m']]]-TOWER_DATA[[#This Row],[Bottom '[m']]], "")</f>
        <v/>
      </c>
      <c r="CI813" s="217" t="str">
        <f>IFERROR(-(TOWER_DATA[[#This Row],[D, bottom '[m']]]-TOWER_DATA[[#This Row],[D, top '[m']]])/(TOWER_DATA[[#This Row],[Bottom '[m']]]-TOWER_DATA[[#This Row],[Top '[m']]]),"")</f>
        <v/>
      </c>
      <c r="CJ813" s="145" t="str">
        <f t="shared" si="25"/>
        <v/>
      </c>
      <c r="CK813" s="220" t="str">
        <f>IFERROR((TOWER_DATA[[#This Row],[D, bottom '[m']]]+TOWER_DATA[[#This Row],[D, top '[m']]])/(2*TOWER_DATA[[#This Row],[t '[mm']]]/1000),"")</f>
        <v/>
      </c>
      <c r="DQ813" s="187"/>
      <c r="DT813" s="99"/>
      <c r="DU813" s="99"/>
    </row>
    <row r="814" spans="1:125" ht="18" customHeight="1">
      <c r="A814" s="271"/>
      <c r="D814" s="280"/>
      <c r="E814" s="52"/>
      <c r="N814" s="210"/>
      <c r="Q814" s="209"/>
      <c r="R814" s="209"/>
      <c r="S814" s="187"/>
      <c r="AV814" s="241"/>
      <c r="AW814" s="208"/>
      <c r="AX814" s="209"/>
      <c r="AY814" s="240"/>
      <c r="BB814" s="99"/>
      <c r="BC814" s="99"/>
      <c r="BD814" s="187"/>
      <c r="CH814" s="53" t="str">
        <f>IFERROR(TOWER_DATA[[#This Row],[Top '[m']]]-TOWER_DATA[[#This Row],[Bottom '[m']]], "")</f>
        <v/>
      </c>
      <c r="CI814" s="217" t="str">
        <f>IFERROR(-(TOWER_DATA[[#This Row],[D, bottom '[m']]]-TOWER_DATA[[#This Row],[D, top '[m']]])/(TOWER_DATA[[#This Row],[Bottom '[m']]]-TOWER_DATA[[#This Row],[Top '[m']]]),"")</f>
        <v/>
      </c>
      <c r="CJ814" s="145" t="str">
        <f t="shared" si="25"/>
        <v/>
      </c>
      <c r="CK814" s="220" t="str">
        <f>IFERROR((TOWER_DATA[[#This Row],[D, bottom '[m']]]+TOWER_DATA[[#This Row],[D, top '[m']]])/(2*TOWER_DATA[[#This Row],[t '[mm']]]/1000),"")</f>
        <v/>
      </c>
      <c r="DQ814" s="187"/>
      <c r="DT814" s="99"/>
      <c r="DU814" s="99"/>
    </row>
    <row r="815" spans="1:125" ht="18" customHeight="1">
      <c r="A815" s="271"/>
      <c r="D815" s="280"/>
      <c r="E815" s="52"/>
      <c r="N815" s="210"/>
      <c r="Q815" s="209"/>
      <c r="R815" s="209"/>
      <c r="S815" s="187"/>
      <c r="AV815" s="241"/>
      <c r="AW815" s="208"/>
      <c r="AX815" s="209"/>
      <c r="AY815" s="240"/>
      <c r="BB815" s="99"/>
      <c r="BC815" s="99"/>
      <c r="BD815" s="187"/>
      <c r="CH815" s="53" t="str">
        <f>IFERROR(TOWER_DATA[[#This Row],[Top '[m']]]-TOWER_DATA[[#This Row],[Bottom '[m']]], "")</f>
        <v/>
      </c>
      <c r="CI815" s="217" t="str">
        <f>IFERROR(-(TOWER_DATA[[#This Row],[D, bottom '[m']]]-TOWER_DATA[[#This Row],[D, top '[m']]])/(TOWER_DATA[[#This Row],[Bottom '[m']]]-TOWER_DATA[[#This Row],[Top '[m']]]),"")</f>
        <v/>
      </c>
      <c r="CJ815" s="145" t="str">
        <f t="shared" si="25"/>
        <v/>
      </c>
      <c r="CK815" s="220" t="str">
        <f>IFERROR((TOWER_DATA[[#This Row],[D, bottom '[m']]]+TOWER_DATA[[#This Row],[D, top '[m']]])/(2*TOWER_DATA[[#This Row],[t '[mm']]]/1000),"")</f>
        <v/>
      </c>
      <c r="DQ815" s="187"/>
      <c r="DT815" s="99"/>
      <c r="DU815" s="99"/>
    </row>
    <row r="816" spans="1:125" ht="18" customHeight="1">
      <c r="A816" s="271"/>
      <c r="D816" s="280"/>
      <c r="E816" s="52"/>
      <c r="N816" s="210"/>
      <c r="Q816" s="209"/>
      <c r="R816" s="209"/>
      <c r="S816" s="187"/>
      <c r="AV816" s="241"/>
      <c r="AW816" s="208"/>
      <c r="AX816" s="209"/>
      <c r="AY816" s="240"/>
      <c r="BB816" s="99"/>
      <c r="BC816" s="99"/>
      <c r="BD816" s="187"/>
      <c r="CH816" s="53" t="str">
        <f>IFERROR(TOWER_DATA[[#This Row],[Top '[m']]]-TOWER_DATA[[#This Row],[Bottom '[m']]], "")</f>
        <v/>
      </c>
      <c r="CI816" s="217" t="str">
        <f>IFERROR(-(TOWER_DATA[[#This Row],[D, bottom '[m']]]-TOWER_DATA[[#This Row],[D, top '[m']]])/(TOWER_DATA[[#This Row],[Bottom '[m']]]-TOWER_DATA[[#This Row],[Top '[m']]]),"")</f>
        <v/>
      </c>
      <c r="CJ816" s="145" t="str">
        <f t="shared" si="25"/>
        <v/>
      </c>
      <c r="CK816" s="220" t="str">
        <f>IFERROR((TOWER_DATA[[#This Row],[D, bottom '[m']]]+TOWER_DATA[[#This Row],[D, top '[m']]])/(2*TOWER_DATA[[#This Row],[t '[mm']]]/1000),"")</f>
        <v/>
      </c>
      <c r="DQ816" s="187"/>
      <c r="DT816" s="99"/>
      <c r="DU816" s="99"/>
    </row>
    <row r="817" spans="1:125" ht="18" customHeight="1">
      <c r="A817" s="271"/>
      <c r="D817" s="280"/>
      <c r="E817" s="52"/>
      <c r="N817" s="210"/>
      <c r="Q817" s="209"/>
      <c r="R817" s="209"/>
      <c r="S817" s="187"/>
      <c r="AV817" s="241"/>
      <c r="AW817" s="208"/>
      <c r="AX817" s="209"/>
      <c r="AY817" s="240"/>
      <c r="BB817" s="99"/>
      <c r="BC817" s="99"/>
      <c r="BD817" s="187"/>
      <c r="CH817" s="53" t="str">
        <f>IFERROR(TOWER_DATA[[#This Row],[Top '[m']]]-TOWER_DATA[[#This Row],[Bottom '[m']]], "")</f>
        <v/>
      </c>
      <c r="CI817" s="217" t="str">
        <f>IFERROR(-(TOWER_DATA[[#This Row],[D, bottom '[m']]]-TOWER_DATA[[#This Row],[D, top '[m']]])/(TOWER_DATA[[#This Row],[Bottom '[m']]]-TOWER_DATA[[#This Row],[Top '[m']]]),"")</f>
        <v/>
      </c>
      <c r="CJ817" s="145" t="str">
        <f t="shared" ref="CJ817:CJ880" si="26">IF(7850/1000*(1/3)*PI()*ABS(CC817-CD817)*((CE817/2)^2+(CE817/2)*(CF817/2)+(CF817/2)^2-(CE817/2-CG817/1000)^2-(CE817/2-CG817/1000)*(CF817/2-CG817/1000)-(CF817/2-CG817/1000)^2)=0,"",7850/1000*(1/3)*PI()*ABS(CC817-CD817)*((CE817/2)^2+(CE817/2)*(CF817/2)+(CF817/2)^2-(CE817/2-CG817/1000)^2-(CE817/2-CG817/1000)*(CF817/2-CG817/1000)-(CF817/2-CG817/1000)^2))</f>
        <v/>
      </c>
      <c r="CK817" s="220" t="str">
        <f>IFERROR((TOWER_DATA[[#This Row],[D, bottom '[m']]]+TOWER_DATA[[#This Row],[D, top '[m']]])/(2*TOWER_DATA[[#This Row],[t '[mm']]]/1000),"")</f>
        <v/>
      </c>
      <c r="DQ817" s="187"/>
      <c r="DT817" s="99"/>
      <c r="DU817" s="99"/>
    </row>
    <row r="818" spans="1:125" ht="18" customHeight="1">
      <c r="A818" s="271"/>
      <c r="D818" s="280"/>
      <c r="E818" s="52"/>
      <c r="N818" s="210"/>
      <c r="Q818" s="209"/>
      <c r="R818" s="209"/>
      <c r="S818" s="187"/>
      <c r="AV818" s="241"/>
      <c r="AW818" s="208"/>
      <c r="AX818" s="209"/>
      <c r="AY818" s="240"/>
      <c r="BB818" s="99"/>
      <c r="BC818" s="99"/>
      <c r="BD818" s="187"/>
      <c r="CH818" s="53" t="str">
        <f>IFERROR(TOWER_DATA[[#This Row],[Top '[m']]]-TOWER_DATA[[#This Row],[Bottom '[m']]], "")</f>
        <v/>
      </c>
      <c r="CI818" s="217" t="str">
        <f>IFERROR(-(TOWER_DATA[[#This Row],[D, bottom '[m']]]-TOWER_DATA[[#This Row],[D, top '[m']]])/(TOWER_DATA[[#This Row],[Bottom '[m']]]-TOWER_DATA[[#This Row],[Top '[m']]]),"")</f>
        <v/>
      </c>
      <c r="CJ818" s="145" t="str">
        <f t="shared" si="26"/>
        <v/>
      </c>
      <c r="CK818" s="220" t="str">
        <f>IFERROR((TOWER_DATA[[#This Row],[D, bottom '[m']]]+TOWER_DATA[[#This Row],[D, top '[m']]])/(2*TOWER_DATA[[#This Row],[t '[mm']]]/1000),"")</f>
        <v/>
      </c>
      <c r="DQ818" s="187"/>
      <c r="DT818" s="99"/>
      <c r="DU818" s="99"/>
    </row>
    <row r="819" spans="1:125" ht="18" customHeight="1">
      <c r="A819" s="271"/>
      <c r="D819" s="280"/>
      <c r="E819" s="52"/>
      <c r="N819" s="210"/>
      <c r="Q819" s="209"/>
      <c r="R819" s="209"/>
      <c r="S819" s="187"/>
      <c r="AV819" s="241"/>
      <c r="AW819" s="208"/>
      <c r="AX819" s="209"/>
      <c r="AY819" s="240"/>
      <c r="BB819" s="99"/>
      <c r="BC819" s="99"/>
      <c r="BD819" s="187"/>
      <c r="CH819" s="53" t="str">
        <f>IFERROR(TOWER_DATA[[#This Row],[Top '[m']]]-TOWER_DATA[[#This Row],[Bottom '[m']]], "")</f>
        <v/>
      </c>
      <c r="CI819" s="217" t="str">
        <f>IFERROR(-(TOWER_DATA[[#This Row],[D, bottom '[m']]]-TOWER_DATA[[#This Row],[D, top '[m']]])/(TOWER_DATA[[#This Row],[Bottom '[m']]]-TOWER_DATA[[#This Row],[Top '[m']]]),"")</f>
        <v/>
      </c>
      <c r="CJ819" s="145" t="str">
        <f t="shared" si="26"/>
        <v/>
      </c>
      <c r="CK819" s="220" t="str">
        <f>IFERROR((TOWER_DATA[[#This Row],[D, bottom '[m']]]+TOWER_DATA[[#This Row],[D, top '[m']]])/(2*TOWER_DATA[[#This Row],[t '[mm']]]/1000),"")</f>
        <v/>
      </c>
      <c r="DQ819" s="187"/>
      <c r="DT819" s="99"/>
      <c r="DU819" s="99"/>
    </row>
    <row r="820" spans="1:125" ht="18" customHeight="1">
      <c r="A820" s="271"/>
      <c r="D820" s="280"/>
      <c r="E820" s="52"/>
      <c r="N820" s="210"/>
      <c r="Q820" s="209"/>
      <c r="R820" s="209"/>
      <c r="S820" s="187"/>
      <c r="AV820" s="241"/>
      <c r="AW820" s="208"/>
      <c r="AX820" s="209"/>
      <c r="AY820" s="240"/>
      <c r="BB820" s="99"/>
      <c r="BC820" s="99"/>
      <c r="BD820" s="187"/>
      <c r="CH820" s="53" t="str">
        <f>IFERROR(TOWER_DATA[[#This Row],[Top '[m']]]-TOWER_DATA[[#This Row],[Bottom '[m']]], "")</f>
        <v/>
      </c>
      <c r="CI820" s="217" t="str">
        <f>IFERROR(-(TOWER_DATA[[#This Row],[D, bottom '[m']]]-TOWER_DATA[[#This Row],[D, top '[m']]])/(TOWER_DATA[[#This Row],[Bottom '[m']]]-TOWER_DATA[[#This Row],[Top '[m']]]),"")</f>
        <v/>
      </c>
      <c r="CJ820" s="145" t="str">
        <f t="shared" si="26"/>
        <v/>
      </c>
      <c r="CK820" s="220" t="str">
        <f>IFERROR((TOWER_DATA[[#This Row],[D, bottom '[m']]]+TOWER_DATA[[#This Row],[D, top '[m']]])/(2*TOWER_DATA[[#This Row],[t '[mm']]]/1000),"")</f>
        <v/>
      </c>
      <c r="DQ820" s="187"/>
      <c r="DT820" s="99"/>
      <c r="DU820" s="99"/>
    </row>
    <row r="821" spans="1:125" ht="18" customHeight="1">
      <c r="A821" s="271"/>
      <c r="D821" s="280"/>
      <c r="E821" s="52"/>
      <c r="N821" s="210"/>
      <c r="Q821" s="209"/>
      <c r="R821" s="209"/>
      <c r="S821" s="187"/>
      <c r="AV821" s="241"/>
      <c r="AW821" s="208"/>
      <c r="AX821" s="209"/>
      <c r="AY821" s="240"/>
      <c r="BB821" s="99"/>
      <c r="BC821" s="99"/>
      <c r="BD821" s="187"/>
      <c r="CH821" s="53" t="str">
        <f>IFERROR(TOWER_DATA[[#This Row],[Top '[m']]]-TOWER_DATA[[#This Row],[Bottom '[m']]], "")</f>
        <v/>
      </c>
      <c r="CI821" s="217" t="str">
        <f>IFERROR(-(TOWER_DATA[[#This Row],[D, bottom '[m']]]-TOWER_DATA[[#This Row],[D, top '[m']]])/(TOWER_DATA[[#This Row],[Bottom '[m']]]-TOWER_DATA[[#This Row],[Top '[m']]]),"")</f>
        <v/>
      </c>
      <c r="CJ821" s="145" t="str">
        <f t="shared" si="26"/>
        <v/>
      </c>
      <c r="CK821" s="220" t="str">
        <f>IFERROR((TOWER_DATA[[#This Row],[D, bottom '[m']]]+TOWER_DATA[[#This Row],[D, top '[m']]])/(2*TOWER_DATA[[#This Row],[t '[mm']]]/1000),"")</f>
        <v/>
      </c>
      <c r="DQ821" s="187"/>
      <c r="DT821" s="99"/>
      <c r="DU821" s="99"/>
    </row>
    <row r="822" spans="1:125" ht="18" customHeight="1">
      <c r="A822" s="271"/>
      <c r="D822" s="280"/>
      <c r="E822" s="52"/>
      <c r="N822" s="210"/>
      <c r="Q822" s="209"/>
      <c r="R822" s="209"/>
      <c r="S822" s="187"/>
      <c r="AV822" s="241"/>
      <c r="AW822" s="208"/>
      <c r="AX822" s="209"/>
      <c r="AY822" s="240"/>
      <c r="BB822" s="99"/>
      <c r="BC822" s="99"/>
      <c r="BD822" s="187"/>
      <c r="CH822" s="53" t="str">
        <f>IFERROR(TOWER_DATA[[#This Row],[Top '[m']]]-TOWER_DATA[[#This Row],[Bottom '[m']]], "")</f>
        <v/>
      </c>
      <c r="CI822" s="217" t="str">
        <f>IFERROR(-(TOWER_DATA[[#This Row],[D, bottom '[m']]]-TOWER_DATA[[#This Row],[D, top '[m']]])/(TOWER_DATA[[#This Row],[Bottom '[m']]]-TOWER_DATA[[#This Row],[Top '[m']]]),"")</f>
        <v/>
      </c>
      <c r="CJ822" s="145" t="str">
        <f t="shared" si="26"/>
        <v/>
      </c>
      <c r="CK822" s="220" t="str">
        <f>IFERROR((TOWER_DATA[[#This Row],[D, bottom '[m']]]+TOWER_DATA[[#This Row],[D, top '[m']]])/(2*TOWER_DATA[[#This Row],[t '[mm']]]/1000),"")</f>
        <v/>
      </c>
      <c r="DQ822" s="187"/>
      <c r="DT822" s="99"/>
      <c r="DU822" s="99"/>
    </row>
    <row r="823" spans="1:125" ht="18" customHeight="1">
      <c r="A823" s="271"/>
      <c r="D823" s="280"/>
      <c r="E823" s="52"/>
      <c r="N823" s="210"/>
      <c r="Q823" s="209"/>
      <c r="R823" s="209"/>
      <c r="S823" s="187"/>
      <c r="AV823" s="241"/>
      <c r="AW823" s="208"/>
      <c r="AX823" s="209"/>
      <c r="AY823" s="240"/>
      <c r="BB823" s="99"/>
      <c r="BC823" s="99"/>
      <c r="BD823" s="187"/>
      <c r="CH823" s="53" t="str">
        <f>IFERROR(TOWER_DATA[[#This Row],[Top '[m']]]-TOWER_DATA[[#This Row],[Bottom '[m']]], "")</f>
        <v/>
      </c>
      <c r="CI823" s="217" t="str">
        <f>IFERROR(-(TOWER_DATA[[#This Row],[D, bottom '[m']]]-TOWER_DATA[[#This Row],[D, top '[m']]])/(TOWER_DATA[[#This Row],[Bottom '[m']]]-TOWER_DATA[[#This Row],[Top '[m']]]),"")</f>
        <v/>
      </c>
      <c r="CJ823" s="145" t="str">
        <f t="shared" si="26"/>
        <v/>
      </c>
      <c r="CK823" s="220" t="str">
        <f>IFERROR((TOWER_DATA[[#This Row],[D, bottom '[m']]]+TOWER_DATA[[#This Row],[D, top '[m']]])/(2*TOWER_DATA[[#This Row],[t '[mm']]]/1000),"")</f>
        <v/>
      </c>
      <c r="DQ823" s="187"/>
      <c r="DT823" s="99"/>
      <c r="DU823" s="99"/>
    </row>
    <row r="824" spans="1:125" ht="18" customHeight="1">
      <c r="A824" s="271"/>
      <c r="D824" s="280"/>
      <c r="E824" s="52"/>
      <c r="N824" s="210"/>
      <c r="Q824" s="209"/>
      <c r="R824" s="209"/>
      <c r="S824" s="187"/>
      <c r="AV824" s="241"/>
      <c r="AW824" s="208"/>
      <c r="AX824" s="209"/>
      <c r="AY824" s="240"/>
      <c r="BB824" s="99"/>
      <c r="BC824" s="99"/>
      <c r="BD824" s="187"/>
      <c r="CH824" s="53" t="str">
        <f>IFERROR(TOWER_DATA[[#This Row],[Top '[m']]]-TOWER_DATA[[#This Row],[Bottom '[m']]], "")</f>
        <v/>
      </c>
      <c r="CI824" s="217" t="str">
        <f>IFERROR(-(TOWER_DATA[[#This Row],[D, bottom '[m']]]-TOWER_DATA[[#This Row],[D, top '[m']]])/(TOWER_DATA[[#This Row],[Bottom '[m']]]-TOWER_DATA[[#This Row],[Top '[m']]]),"")</f>
        <v/>
      </c>
      <c r="CJ824" s="145" t="str">
        <f t="shared" si="26"/>
        <v/>
      </c>
      <c r="CK824" s="220" t="str">
        <f>IFERROR((TOWER_DATA[[#This Row],[D, bottom '[m']]]+TOWER_DATA[[#This Row],[D, top '[m']]])/(2*TOWER_DATA[[#This Row],[t '[mm']]]/1000),"")</f>
        <v/>
      </c>
      <c r="DQ824" s="187"/>
      <c r="DT824" s="99"/>
      <c r="DU824" s="99"/>
    </row>
    <row r="825" spans="1:125" ht="18" customHeight="1">
      <c r="A825" s="271"/>
      <c r="D825" s="280"/>
      <c r="E825" s="52"/>
      <c r="N825" s="210"/>
      <c r="Q825" s="209"/>
      <c r="R825" s="209"/>
      <c r="S825" s="187"/>
      <c r="AV825" s="241"/>
      <c r="AW825" s="208"/>
      <c r="AX825" s="209"/>
      <c r="AY825" s="240"/>
      <c r="BB825" s="99"/>
      <c r="BC825" s="99"/>
      <c r="BD825" s="187"/>
      <c r="CH825" s="53" t="str">
        <f>IFERROR(TOWER_DATA[[#This Row],[Top '[m']]]-TOWER_DATA[[#This Row],[Bottom '[m']]], "")</f>
        <v/>
      </c>
      <c r="CI825" s="217" t="str">
        <f>IFERROR(-(TOWER_DATA[[#This Row],[D, bottom '[m']]]-TOWER_DATA[[#This Row],[D, top '[m']]])/(TOWER_DATA[[#This Row],[Bottom '[m']]]-TOWER_DATA[[#This Row],[Top '[m']]]),"")</f>
        <v/>
      </c>
      <c r="CJ825" s="145" t="str">
        <f t="shared" si="26"/>
        <v/>
      </c>
      <c r="CK825" s="220" t="str">
        <f>IFERROR((TOWER_DATA[[#This Row],[D, bottom '[m']]]+TOWER_DATA[[#This Row],[D, top '[m']]])/(2*TOWER_DATA[[#This Row],[t '[mm']]]/1000),"")</f>
        <v/>
      </c>
      <c r="DQ825" s="187"/>
      <c r="DT825" s="99"/>
      <c r="DU825" s="99"/>
    </row>
    <row r="826" spans="1:125" ht="18" customHeight="1">
      <c r="A826" s="271"/>
      <c r="D826" s="280"/>
      <c r="E826" s="52"/>
      <c r="N826" s="210"/>
      <c r="Q826" s="209"/>
      <c r="R826" s="209"/>
      <c r="S826" s="187"/>
      <c r="AV826" s="241"/>
      <c r="AW826" s="208"/>
      <c r="AX826" s="209"/>
      <c r="AY826" s="240"/>
      <c r="BB826" s="99"/>
      <c r="BC826" s="99"/>
      <c r="BD826" s="187"/>
      <c r="CH826" s="53" t="str">
        <f>IFERROR(TOWER_DATA[[#This Row],[Top '[m']]]-TOWER_DATA[[#This Row],[Bottom '[m']]], "")</f>
        <v/>
      </c>
      <c r="CI826" s="217" t="str">
        <f>IFERROR(-(TOWER_DATA[[#This Row],[D, bottom '[m']]]-TOWER_DATA[[#This Row],[D, top '[m']]])/(TOWER_DATA[[#This Row],[Bottom '[m']]]-TOWER_DATA[[#This Row],[Top '[m']]]),"")</f>
        <v/>
      </c>
      <c r="CJ826" s="145" t="str">
        <f t="shared" si="26"/>
        <v/>
      </c>
      <c r="CK826" s="220" t="str">
        <f>IFERROR((TOWER_DATA[[#This Row],[D, bottom '[m']]]+TOWER_DATA[[#This Row],[D, top '[m']]])/(2*TOWER_DATA[[#This Row],[t '[mm']]]/1000),"")</f>
        <v/>
      </c>
      <c r="DQ826" s="187"/>
      <c r="DT826" s="99"/>
      <c r="DU826" s="99"/>
    </row>
    <row r="827" spans="1:125" ht="18" customHeight="1">
      <c r="A827" s="271"/>
      <c r="D827" s="280"/>
      <c r="E827" s="52"/>
      <c r="N827" s="210"/>
      <c r="Q827" s="209"/>
      <c r="R827" s="209"/>
      <c r="S827" s="187"/>
      <c r="AV827" s="241"/>
      <c r="AW827" s="208"/>
      <c r="AX827" s="209"/>
      <c r="AY827" s="240"/>
      <c r="BB827" s="99"/>
      <c r="BC827" s="99"/>
      <c r="BD827" s="187"/>
      <c r="CH827" s="53" t="str">
        <f>IFERROR(TOWER_DATA[[#This Row],[Top '[m']]]-TOWER_DATA[[#This Row],[Bottom '[m']]], "")</f>
        <v/>
      </c>
      <c r="CI827" s="217" t="str">
        <f>IFERROR(-(TOWER_DATA[[#This Row],[D, bottom '[m']]]-TOWER_DATA[[#This Row],[D, top '[m']]])/(TOWER_DATA[[#This Row],[Bottom '[m']]]-TOWER_DATA[[#This Row],[Top '[m']]]),"")</f>
        <v/>
      </c>
      <c r="CJ827" s="145" t="str">
        <f t="shared" si="26"/>
        <v/>
      </c>
      <c r="CK827" s="220" t="str">
        <f>IFERROR((TOWER_DATA[[#This Row],[D, bottom '[m']]]+TOWER_DATA[[#This Row],[D, top '[m']]])/(2*TOWER_DATA[[#This Row],[t '[mm']]]/1000),"")</f>
        <v/>
      </c>
      <c r="DQ827" s="187"/>
      <c r="DT827" s="99"/>
      <c r="DU827" s="99"/>
    </row>
    <row r="828" spans="1:125" ht="18" customHeight="1">
      <c r="A828" s="271"/>
      <c r="D828" s="280"/>
      <c r="E828" s="52"/>
      <c r="N828" s="210"/>
      <c r="Q828" s="209"/>
      <c r="R828" s="209"/>
      <c r="S828" s="187"/>
      <c r="AV828" s="241"/>
      <c r="AW828" s="208"/>
      <c r="AX828" s="209"/>
      <c r="AY828" s="240"/>
      <c r="BB828" s="99"/>
      <c r="BC828" s="99"/>
      <c r="BD828" s="187"/>
      <c r="CH828" s="53" t="str">
        <f>IFERROR(TOWER_DATA[[#This Row],[Top '[m']]]-TOWER_DATA[[#This Row],[Bottom '[m']]], "")</f>
        <v/>
      </c>
      <c r="CI828" s="217" t="str">
        <f>IFERROR(-(TOWER_DATA[[#This Row],[D, bottom '[m']]]-TOWER_DATA[[#This Row],[D, top '[m']]])/(TOWER_DATA[[#This Row],[Bottom '[m']]]-TOWER_DATA[[#This Row],[Top '[m']]]),"")</f>
        <v/>
      </c>
      <c r="CJ828" s="145" t="str">
        <f t="shared" si="26"/>
        <v/>
      </c>
      <c r="CK828" s="220" t="str">
        <f>IFERROR((TOWER_DATA[[#This Row],[D, bottom '[m']]]+TOWER_DATA[[#This Row],[D, top '[m']]])/(2*TOWER_DATA[[#This Row],[t '[mm']]]/1000),"")</f>
        <v/>
      </c>
      <c r="DQ828" s="187"/>
      <c r="DT828" s="99"/>
      <c r="DU828" s="99"/>
    </row>
    <row r="829" spans="1:125" ht="18" customHeight="1">
      <c r="A829" s="271"/>
      <c r="D829" s="280"/>
      <c r="E829" s="52"/>
      <c r="N829" s="210"/>
      <c r="Q829" s="209"/>
      <c r="R829" s="209"/>
      <c r="S829" s="187"/>
      <c r="AV829" s="241"/>
      <c r="AW829" s="208"/>
      <c r="AX829" s="209"/>
      <c r="AY829" s="240"/>
      <c r="BB829" s="99"/>
      <c r="BC829" s="99"/>
      <c r="BD829" s="187"/>
      <c r="CH829" s="53" t="str">
        <f>IFERROR(TOWER_DATA[[#This Row],[Top '[m']]]-TOWER_DATA[[#This Row],[Bottom '[m']]], "")</f>
        <v/>
      </c>
      <c r="CI829" s="217" t="str">
        <f>IFERROR(-(TOWER_DATA[[#This Row],[D, bottom '[m']]]-TOWER_DATA[[#This Row],[D, top '[m']]])/(TOWER_DATA[[#This Row],[Bottom '[m']]]-TOWER_DATA[[#This Row],[Top '[m']]]),"")</f>
        <v/>
      </c>
      <c r="CJ829" s="145" t="str">
        <f t="shared" si="26"/>
        <v/>
      </c>
      <c r="CK829" s="220" t="str">
        <f>IFERROR((TOWER_DATA[[#This Row],[D, bottom '[m']]]+TOWER_DATA[[#This Row],[D, top '[m']]])/(2*TOWER_DATA[[#This Row],[t '[mm']]]/1000),"")</f>
        <v/>
      </c>
      <c r="DQ829" s="187"/>
      <c r="DT829" s="99"/>
      <c r="DU829" s="99"/>
    </row>
    <row r="830" spans="1:125" ht="18" customHeight="1">
      <c r="A830" s="271"/>
      <c r="D830" s="280"/>
      <c r="E830" s="52"/>
      <c r="N830" s="210"/>
      <c r="Q830" s="209"/>
      <c r="R830" s="209"/>
      <c r="S830" s="187"/>
      <c r="AV830" s="241"/>
      <c r="AW830" s="208"/>
      <c r="AX830" s="209"/>
      <c r="AY830" s="240"/>
      <c r="BB830" s="99"/>
      <c r="BC830" s="99"/>
      <c r="BD830" s="187"/>
      <c r="CH830" s="53" t="str">
        <f>IFERROR(TOWER_DATA[[#This Row],[Top '[m']]]-TOWER_DATA[[#This Row],[Bottom '[m']]], "")</f>
        <v/>
      </c>
      <c r="CI830" s="217" t="str">
        <f>IFERROR(-(TOWER_DATA[[#This Row],[D, bottom '[m']]]-TOWER_DATA[[#This Row],[D, top '[m']]])/(TOWER_DATA[[#This Row],[Bottom '[m']]]-TOWER_DATA[[#This Row],[Top '[m']]]),"")</f>
        <v/>
      </c>
      <c r="CJ830" s="145" t="str">
        <f t="shared" si="26"/>
        <v/>
      </c>
      <c r="CK830" s="220" t="str">
        <f>IFERROR((TOWER_DATA[[#This Row],[D, bottom '[m']]]+TOWER_DATA[[#This Row],[D, top '[m']]])/(2*TOWER_DATA[[#This Row],[t '[mm']]]/1000),"")</f>
        <v/>
      </c>
      <c r="DQ830" s="187"/>
      <c r="DT830" s="99"/>
      <c r="DU830" s="99"/>
    </row>
    <row r="831" spans="1:125" ht="18" customHeight="1">
      <c r="A831" s="271"/>
      <c r="D831" s="280"/>
      <c r="E831" s="52"/>
      <c r="Q831" s="209"/>
      <c r="R831" s="209"/>
      <c r="S831" s="187"/>
      <c r="AV831" s="241"/>
      <c r="AW831" s="208"/>
      <c r="AX831" s="209"/>
      <c r="AY831" s="240"/>
      <c r="BB831" s="99"/>
      <c r="BC831" s="99"/>
      <c r="BD831" s="187"/>
      <c r="CH831" s="53" t="str">
        <f>IFERROR(TOWER_DATA[[#This Row],[Top '[m']]]-TOWER_DATA[[#This Row],[Bottom '[m']]], "")</f>
        <v/>
      </c>
      <c r="CI831" s="217" t="str">
        <f>IFERROR(-(TOWER_DATA[[#This Row],[D, bottom '[m']]]-TOWER_DATA[[#This Row],[D, top '[m']]])/(TOWER_DATA[[#This Row],[Bottom '[m']]]-TOWER_DATA[[#This Row],[Top '[m']]]),"")</f>
        <v/>
      </c>
      <c r="CJ831" s="145" t="str">
        <f t="shared" si="26"/>
        <v/>
      </c>
      <c r="CK831" s="220" t="str">
        <f>IFERROR((TOWER_DATA[[#This Row],[D, bottom '[m']]]+TOWER_DATA[[#This Row],[D, top '[m']]])/(2*TOWER_DATA[[#This Row],[t '[mm']]]/1000),"")</f>
        <v/>
      </c>
      <c r="DQ831" s="187"/>
      <c r="DT831" s="99"/>
      <c r="DU831" s="99"/>
    </row>
    <row r="832" spans="1:125" ht="18" customHeight="1">
      <c r="A832" s="271"/>
      <c r="D832" s="280"/>
      <c r="E832" s="52"/>
      <c r="S832" s="187"/>
      <c r="AV832" s="241"/>
      <c r="AW832" s="208"/>
      <c r="AX832" s="209"/>
      <c r="AY832" s="240"/>
      <c r="BB832" s="99"/>
      <c r="BC832" s="99"/>
      <c r="BD832" s="187"/>
      <c r="CH832" s="53" t="str">
        <f>IFERROR(TOWER_DATA[[#This Row],[Top '[m']]]-TOWER_DATA[[#This Row],[Bottom '[m']]], "")</f>
        <v/>
      </c>
      <c r="CI832" s="217" t="str">
        <f>IFERROR(-(TOWER_DATA[[#This Row],[D, bottom '[m']]]-TOWER_DATA[[#This Row],[D, top '[m']]])/(TOWER_DATA[[#This Row],[Bottom '[m']]]-TOWER_DATA[[#This Row],[Top '[m']]]),"")</f>
        <v/>
      </c>
      <c r="CJ832" s="145" t="str">
        <f t="shared" si="26"/>
        <v/>
      </c>
      <c r="CK832" s="220" t="str">
        <f>IFERROR((TOWER_DATA[[#This Row],[D, bottom '[m']]]+TOWER_DATA[[#This Row],[D, top '[m']]])/(2*TOWER_DATA[[#This Row],[t '[mm']]]/1000),"")</f>
        <v/>
      </c>
      <c r="DQ832" s="187"/>
      <c r="DT832" s="99"/>
      <c r="DU832" s="99"/>
    </row>
    <row r="833" spans="1:125" ht="18" customHeight="1">
      <c r="A833" s="271"/>
      <c r="D833" s="280"/>
      <c r="E833" s="52"/>
      <c r="S833" s="187"/>
      <c r="AV833" s="241"/>
      <c r="AW833" s="208"/>
      <c r="AX833" s="209"/>
      <c r="AY833" s="240"/>
      <c r="BB833" s="99"/>
      <c r="BC833" s="99"/>
      <c r="BD833" s="187"/>
      <c r="CH833" s="53" t="str">
        <f>IFERROR(TOWER_DATA[[#This Row],[Top '[m']]]-TOWER_DATA[[#This Row],[Bottom '[m']]], "")</f>
        <v/>
      </c>
      <c r="CI833" s="217" t="str">
        <f>IFERROR(-(TOWER_DATA[[#This Row],[D, bottom '[m']]]-TOWER_DATA[[#This Row],[D, top '[m']]])/(TOWER_DATA[[#This Row],[Bottom '[m']]]-TOWER_DATA[[#This Row],[Top '[m']]]),"")</f>
        <v/>
      </c>
      <c r="CJ833" s="145" t="str">
        <f t="shared" si="26"/>
        <v/>
      </c>
      <c r="CK833" s="220" t="str">
        <f>IFERROR((TOWER_DATA[[#This Row],[D, bottom '[m']]]+TOWER_DATA[[#This Row],[D, top '[m']]])/(2*TOWER_DATA[[#This Row],[t '[mm']]]/1000),"")</f>
        <v/>
      </c>
      <c r="DQ833" s="187"/>
      <c r="DT833" s="99"/>
      <c r="DU833" s="99"/>
    </row>
    <row r="834" spans="1:125" ht="18" customHeight="1">
      <c r="A834" s="271"/>
      <c r="D834" s="280"/>
      <c r="E834" s="52"/>
      <c r="S834" s="187"/>
      <c r="AV834" s="241"/>
      <c r="AW834" s="208"/>
      <c r="AX834" s="209"/>
      <c r="AY834" s="240"/>
      <c r="BB834" s="99"/>
      <c r="BC834" s="99"/>
      <c r="BD834" s="187"/>
      <c r="CH834" s="53" t="str">
        <f>IFERROR(TOWER_DATA[[#This Row],[Top '[m']]]-TOWER_DATA[[#This Row],[Bottom '[m']]], "")</f>
        <v/>
      </c>
      <c r="CI834" s="217" t="str">
        <f>IFERROR(-(TOWER_DATA[[#This Row],[D, bottom '[m']]]-TOWER_DATA[[#This Row],[D, top '[m']]])/(TOWER_DATA[[#This Row],[Bottom '[m']]]-TOWER_DATA[[#This Row],[Top '[m']]]),"")</f>
        <v/>
      </c>
      <c r="CJ834" s="145" t="str">
        <f t="shared" si="26"/>
        <v/>
      </c>
      <c r="CK834" s="220" t="str">
        <f>IFERROR((TOWER_DATA[[#This Row],[D, bottom '[m']]]+TOWER_DATA[[#This Row],[D, top '[m']]])/(2*TOWER_DATA[[#This Row],[t '[mm']]]/1000),"")</f>
        <v/>
      </c>
      <c r="DQ834" s="187"/>
      <c r="DT834" s="99"/>
      <c r="DU834" s="99"/>
    </row>
    <row r="835" spans="1:125" ht="18" customHeight="1">
      <c r="A835" s="271"/>
      <c r="D835" s="280"/>
      <c r="E835" s="52"/>
      <c r="S835" s="187"/>
      <c r="AV835" s="241"/>
      <c r="AW835" s="208"/>
      <c r="AX835" s="209"/>
      <c r="AY835" s="240"/>
      <c r="BB835" s="99"/>
      <c r="BC835" s="99"/>
      <c r="BD835" s="187"/>
      <c r="CH835" s="53" t="str">
        <f>IFERROR(TOWER_DATA[[#This Row],[Top '[m']]]-TOWER_DATA[[#This Row],[Bottom '[m']]], "")</f>
        <v/>
      </c>
      <c r="CI835" s="217" t="str">
        <f>IFERROR(-(TOWER_DATA[[#This Row],[D, bottom '[m']]]-TOWER_DATA[[#This Row],[D, top '[m']]])/(TOWER_DATA[[#This Row],[Bottom '[m']]]-TOWER_DATA[[#This Row],[Top '[m']]]),"")</f>
        <v/>
      </c>
      <c r="CJ835" s="145" t="str">
        <f t="shared" si="26"/>
        <v/>
      </c>
      <c r="CK835" s="220" t="str">
        <f>IFERROR((TOWER_DATA[[#This Row],[D, bottom '[m']]]+TOWER_DATA[[#This Row],[D, top '[m']]])/(2*TOWER_DATA[[#This Row],[t '[mm']]]/1000),"")</f>
        <v/>
      </c>
      <c r="DQ835" s="187"/>
      <c r="DT835" s="99"/>
      <c r="DU835" s="99"/>
    </row>
    <row r="836" spans="1:125" ht="18" customHeight="1">
      <c r="A836" s="271"/>
      <c r="D836" s="280"/>
      <c r="E836" s="52"/>
      <c r="S836" s="187"/>
      <c r="AV836" s="241"/>
      <c r="AW836" s="208"/>
      <c r="AX836" s="209"/>
      <c r="AY836" s="240"/>
      <c r="BB836" s="99"/>
      <c r="BC836" s="99"/>
      <c r="BD836" s="187"/>
      <c r="CH836" s="53" t="str">
        <f>IFERROR(TOWER_DATA[[#This Row],[Top '[m']]]-TOWER_DATA[[#This Row],[Bottom '[m']]], "")</f>
        <v/>
      </c>
      <c r="CI836" s="217" t="str">
        <f>IFERROR(-(TOWER_DATA[[#This Row],[D, bottom '[m']]]-TOWER_DATA[[#This Row],[D, top '[m']]])/(TOWER_DATA[[#This Row],[Bottom '[m']]]-TOWER_DATA[[#This Row],[Top '[m']]]),"")</f>
        <v/>
      </c>
      <c r="CJ836" s="145" t="str">
        <f t="shared" si="26"/>
        <v/>
      </c>
      <c r="CK836" s="220" t="str">
        <f>IFERROR((TOWER_DATA[[#This Row],[D, bottom '[m']]]+TOWER_DATA[[#This Row],[D, top '[m']]])/(2*TOWER_DATA[[#This Row],[t '[mm']]]/1000),"")</f>
        <v/>
      </c>
      <c r="DQ836" s="187"/>
      <c r="DT836" s="99"/>
      <c r="DU836" s="99"/>
    </row>
    <row r="837" spans="1:125" ht="18" customHeight="1">
      <c r="A837" s="271"/>
      <c r="D837" s="280"/>
      <c r="E837" s="52"/>
      <c r="S837" s="187"/>
      <c r="AV837" s="241"/>
      <c r="AW837" s="208"/>
      <c r="AX837" s="209"/>
      <c r="AY837" s="240"/>
      <c r="BB837" s="99"/>
      <c r="BC837" s="99"/>
      <c r="BD837" s="187"/>
      <c r="CH837" s="53" t="str">
        <f>IFERROR(TOWER_DATA[[#This Row],[Top '[m']]]-TOWER_DATA[[#This Row],[Bottom '[m']]], "")</f>
        <v/>
      </c>
      <c r="CI837" s="217" t="str">
        <f>IFERROR(-(TOWER_DATA[[#This Row],[D, bottom '[m']]]-TOWER_DATA[[#This Row],[D, top '[m']]])/(TOWER_DATA[[#This Row],[Bottom '[m']]]-TOWER_DATA[[#This Row],[Top '[m']]]),"")</f>
        <v/>
      </c>
      <c r="CJ837" s="145" t="str">
        <f t="shared" si="26"/>
        <v/>
      </c>
      <c r="CK837" s="220" t="str">
        <f>IFERROR((TOWER_DATA[[#This Row],[D, bottom '[m']]]+TOWER_DATA[[#This Row],[D, top '[m']]])/(2*TOWER_DATA[[#This Row],[t '[mm']]]/1000),"")</f>
        <v/>
      </c>
      <c r="DQ837" s="187"/>
      <c r="DT837" s="99"/>
      <c r="DU837" s="99"/>
    </row>
    <row r="838" spans="1:125" ht="18" customHeight="1">
      <c r="A838" s="271"/>
      <c r="D838" s="280"/>
      <c r="E838" s="52"/>
      <c r="S838" s="187"/>
      <c r="AV838" s="241"/>
      <c r="AW838" s="208"/>
      <c r="AX838" s="209"/>
      <c r="AY838" s="240"/>
      <c r="BB838" s="99"/>
      <c r="BC838" s="99"/>
      <c r="BD838" s="187"/>
      <c r="CH838" s="53" t="str">
        <f>IFERROR(TOWER_DATA[[#This Row],[Top '[m']]]-TOWER_DATA[[#This Row],[Bottom '[m']]], "")</f>
        <v/>
      </c>
      <c r="CI838" s="217" t="str">
        <f>IFERROR(-(TOWER_DATA[[#This Row],[D, bottom '[m']]]-TOWER_DATA[[#This Row],[D, top '[m']]])/(TOWER_DATA[[#This Row],[Bottom '[m']]]-TOWER_DATA[[#This Row],[Top '[m']]]),"")</f>
        <v/>
      </c>
      <c r="CJ838" s="145" t="str">
        <f t="shared" si="26"/>
        <v/>
      </c>
      <c r="CK838" s="220" t="str">
        <f>IFERROR((TOWER_DATA[[#This Row],[D, bottom '[m']]]+TOWER_DATA[[#This Row],[D, top '[m']]])/(2*TOWER_DATA[[#This Row],[t '[mm']]]/1000),"")</f>
        <v/>
      </c>
      <c r="DQ838" s="187"/>
      <c r="DT838" s="99"/>
      <c r="DU838" s="99"/>
    </row>
    <row r="839" spans="1:125" ht="18" customHeight="1">
      <c r="A839" s="271"/>
      <c r="D839" s="280"/>
      <c r="E839" s="52"/>
      <c r="S839" s="187"/>
      <c r="AV839" s="241"/>
      <c r="AW839" s="208"/>
      <c r="AX839" s="209"/>
      <c r="AY839" s="240"/>
      <c r="BB839" s="99"/>
      <c r="BC839" s="99"/>
      <c r="BD839" s="187"/>
      <c r="CH839" s="53" t="str">
        <f>IFERROR(TOWER_DATA[[#This Row],[Top '[m']]]-TOWER_DATA[[#This Row],[Bottom '[m']]], "")</f>
        <v/>
      </c>
      <c r="CI839" s="217" t="str">
        <f>IFERROR(-(TOWER_DATA[[#This Row],[D, bottom '[m']]]-TOWER_DATA[[#This Row],[D, top '[m']]])/(TOWER_DATA[[#This Row],[Bottom '[m']]]-TOWER_DATA[[#This Row],[Top '[m']]]),"")</f>
        <v/>
      </c>
      <c r="CJ839" s="145" t="str">
        <f t="shared" si="26"/>
        <v/>
      </c>
      <c r="CK839" s="220" t="str">
        <f>IFERROR((TOWER_DATA[[#This Row],[D, bottom '[m']]]+TOWER_DATA[[#This Row],[D, top '[m']]])/(2*TOWER_DATA[[#This Row],[t '[mm']]]/1000),"")</f>
        <v/>
      </c>
      <c r="DQ839" s="187"/>
      <c r="DT839" s="99"/>
      <c r="DU839" s="99"/>
    </row>
    <row r="840" spans="1:125" ht="18" customHeight="1">
      <c r="A840" s="271"/>
      <c r="D840" s="280"/>
      <c r="E840" s="52"/>
      <c r="S840" s="187"/>
      <c r="AV840" s="241"/>
      <c r="AW840" s="208"/>
      <c r="AX840" s="209"/>
      <c r="AY840" s="240"/>
      <c r="BB840" s="99"/>
      <c r="BC840" s="99"/>
      <c r="BD840" s="187"/>
      <c r="CH840" s="53" t="str">
        <f>IFERROR(TOWER_DATA[[#This Row],[Top '[m']]]-TOWER_DATA[[#This Row],[Bottom '[m']]], "")</f>
        <v/>
      </c>
      <c r="CI840" s="217" t="str">
        <f>IFERROR(-(TOWER_DATA[[#This Row],[D, bottom '[m']]]-TOWER_DATA[[#This Row],[D, top '[m']]])/(TOWER_DATA[[#This Row],[Bottom '[m']]]-TOWER_DATA[[#This Row],[Top '[m']]]),"")</f>
        <v/>
      </c>
      <c r="CJ840" s="145" t="str">
        <f t="shared" si="26"/>
        <v/>
      </c>
      <c r="CK840" s="220" t="str">
        <f>IFERROR((TOWER_DATA[[#This Row],[D, bottom '[m']]]+TOWER_DATA[[#This Row],[D, top '[m']]])/(2*TOWER_DATA[[#This Row],[t '[mm']]]/1000),"")</f>
        <v/>
      </c>
      <c r="DQ840" s="187"/>
      <c r="DT840" s="99"/>
      <c r="DU840" s="99"/>
    </row>
    <row r="841" spans="1:125" ht="18" customHeight="1">
      <c r="A841" s="271"/>
      <c r="D841" s="280"/>
      <c r="E841" s="52"/>
      <c r="S841" s="187"/>
      <c r="AV841" s="241"/>
      <c r="AW841" s="208"/>
      <c r="AX841" s="209"/>
      <c r="AY841" s="240"/>
      <c r="BB841" s="99"/>
      <c r="BC841" s="99"/>
      <c r="BD841" s="187"/>
      <c r="CH841" s="53" t="str">
        <f>IFERROR(TOWER_DATA[[#This Row],[Top '[m']]]-TOWER_DATA[[#This Row],[Bottom '[m']]], "")</f>
        <v/>
      </c>
      <c r="CI841" s="217" t="str">
        <f>IFERROR(-(TOWER_DATA[[#This Row],[D, bottom '[m']]]-TOWER_DATA[[#This Row],[D, top '[m']]])/(TOWER_DATA[[#This Row],[Bottom '[m']]]-TOWER_DATA[[#This Row],[Top '[m']]]),"")</f>
        <v/>
      </c>
      <c r="CJ841" s="145" t="str">
        <f t="shared" si="26"/>
        <v/>
      </c>
      <c r="CK841" s="220" t="str">
        <f>IFERROR((TOWER_DATA[[#This Row],[D, bottom '[m']]]+TOWER_DATA[[#This Row],[D, top '[m']]])/(2*TOWER_DATA[[#This Row],[t '[mm']]]/1000),"")</f>
        <v/>
      </c>
      <c r="DQ841" s="187"/>
      <c r="DT841" s="99"/>
      <c r="DU841" s="99"/>
    </row>
    <row r="842" spans="1:125" ht="18" customHeight="1">
      <c r="A842" s="271"/>
      <c r="D842" s="280"/>
      <c r="E842" s="52"/>
      <c r="S842" s="187"/>
      <c r="AV842" s="241"/>
      <c r="AW842" s="208"/>
      <c r="AX842" s="209"/>
      <c r="AY842" s="240"/>
      <c r="BB842" s="99"/>
      <c r="BC842" s="99"/>
      <c r="BD842" s="187"/>
      <c r="CH842" s="53" t="str">
        <f>IFERROR(TOWER_DATA[[#This Row],[Top '[m']]]-TOWER_DATA[[#This Row],[Bottom '[m']]], "")</f>
        <v/>
      </c>
      <c r="CI842" s="217" t="str">
        <f>IFERROR(-(TOWER_DATA[[#This Row],[D, bottom '[m']]]-TOWER_DATA[[#This Row],[D, top '[m']]])/(TOWER_DATA[[#This Row],[Bottom '[m']]]-TOWER_DATA[[#This Row],[Top '[m']]]),"")</f>
        <v/>
      </c>
      <c r="CJ842" s="145" t="str">
        <f t="shared" si="26"/>
        <v/>
      </c>
      <c r="CK842" s="220" t="str">
        <f>IFERROR((TOWER_DATA[[#This Row],[D, bottom '[m']]]+TOWER_DATA[[#This Row],[D, top '[m']]])/(2*TOWER_DATA[[#This Row],[t '[mm']]]/1000),"")</f>
        <v/>
      </c>
      <c r="DQ842" s="187"/>
      <c r="DT842" s="99"/>
      <c r="DU842" s="99"/>
    </row>
    <row r="843" spans="1:125" ht="18" customHeight="1">
      <c r="A843" s="271"/>
      <c r="D843" s="280"/>
      <c r="E843" s="52"/>
      <c r="S843" s="187"/>
      <c r="AV843" s="241"/>
      <c r="AW843" s="208"/>
      <c r="AX843" s="209"/>
      <c r="AY843" s="240"/>
      <c r="BB843" s="99"/>
      <c r="BC843" s="99"/>
      <c r="BD843" s="187"/>
      <c r="CH843" s="53" t="str">
        <f>IFERROR(TOWER_DATA[[#This Row],[Top '[m']]]-TOWER_DATA[[#This Row],[Bottom '[m']]], "")</f>
        <v/>
      </c>
      <c r="CI843" s="217" t="str">
        <f>IFERROR(-(TOWER_DATA[[#This Row],[D, bottom '[m']]]-TOWER_DATA[[#This Row],[D, top '[m']]])/(TOWER_DATA[[#This Row],[Bottom '[m']]]-TOWER_DATA[[#This Row],[Top '[m']]]),"")</f>
        <v/>
      </c>
      <c r="CJ843" s="145" t="str">
        <f t="shared" si="26"/>
        <v/>
      </c>
      <c r="CK843" s="220" t="str">
        <f>IFERROR((TOWER_DATA[[#This Row],[D, bottom '[m']]]+TOWER_DATA[[#This Row],[D, top '[m']]])/(2*TOWER_DATA[[#This Row],[t '[mm']]]/1000),"")</f>
        <v/>
      </c>
      <c r="DQ843" s="187"/>
      <c r="DT843" s="99"/>
      <c r="DU843" s="99"/>
    </row>
    <row r="844" spans="1:125" ht="18" customHeight="1">
      <c r="A844" s="271"/>
      <c r="D844" s="280"/>
      <c r="E844" s="52"/>
      <c r="S844" s="187"/>
      <c r="AV844" s="241"/>
      <c r="AW844" s="208"/>
      <c r="AX844" s="209"/>
      <c r="AY844" s="240"/>
      <c r="BB844" s="99"/>
      <c r="BC844" s="99"/>
      <c r="BD844" s="187"/>
      <c r="CH844" s="53" t="str">
        <f>IFERROR(TOWER_DATA[[#This Row],[Top '[m']]]-TOWER_DATA[[#This Row],[Bottom '[m']]], "")</f>
        <v/>
      </c>
      <c r="CI844" s="217" t="str">
        <f>IFERROR(-(TOWER_DATA[[#This Row],[D, bottom '[m']]]-TOWER_DATA[[#This Row],[D, top '[m']]])/(TOWER_DATA[[#This Row],[Bottom '[m']]]-TOWER_DATA[[#This Row],[Top '[m']]]),"")</f>
        <v/>
      </c>
      <c r="CJ844" s="145" t="str">
        <f t="shared" si="26"/>
        <v/>
      </c>
      <c r="CK844" s="220" t="str">
        <f>IFERROR((TOWER_DATA[[#This Row],[D, bottom '[m']]]+TOWER_DATA[[#This Row],[D, top '[m']]])/(2*TOWER_DATA[[#This Row],[t '[mm']]]/1000),"")</f>
        <v/>
      </c>
      <c r="DQ844" s="187"/>
      <c r="DT844" s="99"/>
      <c r="DU844" s="99"/>
    </row>
    <row r="845" spans="1:125" ht="18" customHeight="1">
      <c r="A845" s="271"/>
      <c r="D845" s="280"/>
      <c r="E845" s="52"/>
      <c r="S845" s="187"/>
      <c r="AV845" s="241"/>
      <c r="AW845" s="208"/>
      <c r="AX845" s="209"/>
      <c r="AY845" s="240"/>
      <c r="BB845" s="99"/>
      <c r="BC845" s="99"/>
      <c r="BD845" s="187"/>
      <c r="CH845" s="53" t="str">
        <f>IFERROR(TOWER_DATA[[#This Row],[Top '[m']]]-TOWER_DATA[[#This Row],[Bottom '[m']]], "")</f>
        <v/>
      </c>
      <c r="CI845" s="217" t="str">
        <f>IFERROR(-(TOWER_DATA[[#This Row],[D, bottom '[m']]]-TOWER_DATA[[#This Row],[D, top '[m']]])/(TOWER_DATA[[#This Row],[Bottom '[m']]]-TOWER_DATA[[#This Row],[Top '[m']]]),"")</f>
        <v/>
      </c>
      <c r="CJ845" s="145" t="str">
        <f t="shared" si="26"/>
        <v/>
      </c>
      <c r="CK845" s="220" t="str">
        <f>IFERROR((TOWER_DATA[[#This Row],[D, bottom '[m']]]+TOWER_DATA[[#This Row],[D, top '[m']]])/(2*TOWER_DATA[[#This Row],[t '[mm']]]/1000),"")</f>
        <v/>
      </c>
      <c r="DQ845" s="187"/>
      <c r="DT845" s="99"/>
      <c r="DU845" s="99"/>
    </row>
    <row r="846" spans="1:125" ht="18" customHeight="1">
      <c r="A846" s="271"/>
      <c r="D846" s="280"/>
      <c r="E846" s="52"/>
      <c r="S846" s="187"/>
      <c r="AV846" s="241"/>
      <c r="AW846" s="208"/>
      <c r="AX846" s="209"/>
      <c r="AY846" s="240"/>
      <c r="BB846" s="99"/>
      <c r="BC846" s="99"/>
      <c r="BD846" s="187"/>
      <c r="CH846" s="53" t="str">
        <f>IFERROR(TOWER_DATA[[#This Row],[Top '[m']]]-TOWER_DATA[[#This Row],[Bottom '[m']]], "")</f>
        <v/>
      </c>
      <c r="CI846" s="217" t="str">
        <f>IFERROR(-(TOWER_DATA[[#This Row],[D, bottom '[m']]]-TOWER_DATA[[#This Row],[D, top '[m']]])/(TOWER_DATA[[#This Row],[Bottom '[m']]]-TOWER_DATA[[#This Row],[Top '[m']]]),"")</f>
        <v/>
      </c>
      <c r="CJ846" s="145" t="str">
        <f t="shared" si="26"/>
        <v/>
      </c>
      <c r="CK846" s="220" t="str">
        <f>IFERROR((TOWER_DATA[[#This Row],[D, bottom '[m']]]+TOWER_DATA[[#This Row],[D, top '[m']]])/(2*TOWER_DATA[[#This Row],[t '[mm']]]/1000),"")</f>
        <v/>
      </c>
      <c r="DQ846" s="187"/>
      <c r="DT846" s="99"/>
      <c r="DU846" s="99"/>
    </row>
    <row r="847" spans="1:125" ht="18" customHeight="1">
      <c r="A847" s="271"/>
      <c r="D847" s="280"/>
      <c r="E847" s="52"/>
      <c r="S847" s="187"/>
      <c r="AV847" s="241"/>
      <c r="AW847" s="208"/>
      <c r="AX847" s="209"/>
      <c r="AY847" s="240"/>
      <c r="BB847" s="99"/>
      <c r="BC847" s="99"/>
      <c r="BD847" s="187"/>
      <c r="CH847" s="53" t="str">
        <f>IFERROR(TOWER_DATA[[#This Row],[Top '[m']]]-TOWER_DATA[[#This Row],[Bottom '[m']]], "")</f>
        <v/>
      </c>
      <c r="CI847" s="217" t="str">
        <f>IFERROR(-(TOWER_DATA[[#This Row],[D, bottom '[m']]]-TOWER_DATA[[#This Row],[D, top '[m']]])/(TOWER_DATA[[#This Row],[Bottom '[m']]]-TOWER_DATA[[#This Row],[Top '[m']]]),"")</f>
        <v/>
      </c>
      <c r="CJ847" s="145" t="str">
        <f t="shared" si="26"/>
        <v/>
      </c>
      <c r="CK847" s="220" t="str">
        <f>IFERROR((TOWER_DATA[[#This Row],[D, bottom '[m']]]+TOWER_DATA[[#This Row],[D, top '[m']]])/(2*TOWER_DATA[[#This Row],[t '[mm']]]/1000),"")</f>
        <v/>
      </c>
      <c r="DQ847" s="187"/>
      <c r="DT847" s="99"/>
      <c r="DU847" s="99"/>
    </row>
    <row r="848" spans="1:125" ht="18" customHeight="1">
      <c r="A848" s="271"/>
      <c r="D848" s="280"/>
      <c r="E848" s="52"/>
      <c r="S848" s="187"/>
      <c r="AV848" s="241"/>
      <c r="AW848" s="208"/>
      <c r="AX848" s="209"/>
      <c r="AY848" s="240"/>
      <c r="BB848" s="99"/>
      <c r="BC848" s="99"/>
      <c r="BD848" s="187"/>
      <c r="CH848" s="53" t="str">
        <f>IFERROR(TOWER_DATA[[#This Row],[Top '[m']]]-TOWER_DATA[[#This Row],[Bottom '[m']]], "")</f>
        <v/>
      </c>
      <c r="CI848" s="217" t="str">
        <f>IFERROR(-(TOWER_DATA[[#This Row],[D, bottom '[m']]]-TOWER_DATA[[#This Row],[D, top '[m']]])/(TOWER_DATA[[#This Row],[Bottom '[m']]]-TOWER_DATA[[#This Row],[Top '[m']]]),"")</f>
        <v/>
      </c>
      <c r="CJ848" s="145" t="str">
        <f t="shared" si="26"/>
        <v/>
      </c>
      <c r="CK848" s="220" t="str">
        <f>IFERROR((TOWER_DATA[[#This Row],[D, bottom '[m']]]+TOWER_DATA[[#This Row],[D, top '[m']]])/(2*TOWER_DATA[[#This Row],[t '[mm']]]/1000),"")</f>
        <v/>
      </c>
      <c r="DQ848" s="187"/>
      <c r="DT848" s="99"/>
      <c r="DU848" s="99"/>
    </row>
    <row r="849" spans="1:125" ht="18" customHeight="1">
      <c r="A849" s="271"/>
      <c r="D849" s="280"/>
      <c r="E849" s="52"/>
      <c r="S849" s="187"/>
      <c r="AV849" s="241"/>
      <c r="AW849" s="208"/>
      <c r="AX849" s="209"/>
      <c r="AY849" s="240"/>
      <c r="BB849" s="99"/>
      <c r="BC849" s="99"/>
      <c r="BD849" s="187"/>
      <c r="CH849" s="53" t="str">
        <f>IFERROR(TOWER_DATA[[#This Row],[Top '[m']]]-TOWER_DATA[[#This Row],[Bottom '[m']]], "")</f>
        <v/>
      </c>
      <c r="CI849" s="217" t="str">
        <f>IFERROR(-(TOWER_DATA[[#This Row],[D, bottom '[m']]]-TOWER_DATA[[#This Row],[D, top '[m']]])/(TOWER_DATA[[#This Row],[Bottom '[m']]]-TOWER_DATA[[#This Row],[Top '[m']]]),"")</f>
        <v/>
      </c>
      <c r="CJ849" s="145" t="str">
        <f t="shared" si="26"/>
        <v/>
      </c>
      <c r="CK849" s="220" t="str">
        <f>IFERROR((TOWER_DATA[[#This Row],[D, bottom '[m']]]+TOWER_DATA[[#This Row],[D, top '[m']]])/(2*TOWER_DATA[[#This Row],[t '[mm']]]/1000),"")</f>
        <v/>
      </c>
      <c r="DQ849" s="187"/>
      <c r="DT849" s="99"/>
      <c r="DU849" s="99"/>
    </row>
    <row r="850" spans="1:125" ht="18" customHeight="1">
      <c r="A850" s="271"/>
      <c r="D850" s="280"/>
      <c r="E850" s="52"/>
      <c r="S850" s="187"/>
      <c r="AV850" s="241"/>
      <c r="AW850" s="208"/>
      <c r="AX850" s="209"/>
      <c r="AY850" s="240"/>
      <c r="BB850" s="99"/>
      <c r="BC850" s="99"/>
      <c r="BD850" s="187"/>
      <c r="CH850" s="53" t="str">
        <f>IFERROR(TOWER_DATA[[#This Row],[Top '[m']]]-TOWER_DATA[[#This Row],[Bottom '[m']]], "")</f>
        <v/>
      </c>
      <c r="CI850" s="217" t="str">
        <f>IFERROR(-(TOWER_DATA[[#This Row],[D, bottom '[m']]]-TOWER_DATA[[#This Row],[D, top '[m']]])/(TOWER_DATA[[#This Row],[Bottom '[m']]]-TOWER_DATA[[#This Row],[Top '[m']]]),"")</f>
        <v/>
      </c>
      <c r="CJ850" s="145" t="str">
        <f t="shared" si="26"/>
        <v/>
      </c>
      <c r="CK850" s="220" t="str">
        <f>IFERROR((TOWER_DATA[[#This Row],[D, bottom '[m']]]+TOWER_DATA[[#This Row],[D, top '[m']]])/(2*TOWER_DATA[[#This Row],[t '[mm']]]/1000),"")</f>
        <v/>
      </c>
      <c r="DQ850" s="187"/>
      <c r="DT850" s="99"/>
      <c r="DU850" s="99"/>
    </row>
    <row r="851" spans="1:125" ht="18" customHeight="1">
      <c r="A851" s="271"/>
      <c r="D851" s="280"/>
      <c r="E851" s="52"/>
      <c r="S851" s="187"/>
      <c r="AV851" s="241"/>
      <c r="AW851" s="208"/>
      <c r="AX851" s="209"/>
      <c r="AY851" s="240"/>
      <c r="BB851" s="99"/>
      <c r="BC851" s="99"/>
      <c r="BD851" s="187"/>
      <c r="CH851" s="53" t="str">
        <f>IFERROR(TOWER_DATA[[#This Row],[Top '[m']]]-TOWER_DATA[[#This Row],[Bottom '[m']]], "")</f>
        <v/>
      </c>
      <c r="CI851" s="217" t="str">
        <f>IFERROR(-(TOWER_DATA[[#This Row],[D, bottom '[m']]]-TOWER_DATA[[#This Row],[D, top '[m']]])/(TOWER_DATA[[#This Row],[Bottom '[m']]]-TOWER_DATA[[#This Row],[Top '[m']]]),"")</f>
        <v/>
      </c>
      <c r="CJ851" s="145" t="str">
        <f t="shared" si="26"/>
        <v/>
      </c>
      <c r="CK851" s="220" t="str">
        <f>IFERROR((TOWER_DATA[[#This Row],[D, bottom '[m']]]+TOWER_DATA[[#This Row],[D, top '[m']]])/(2*TOWER_DATA[[#This Row],[t '[mm']]]/1000),"")</f>
        <v/>
      </c>
      <c r="DQ851" s="187"/>
      <c r="DT851" s="99"/>
      <c r="DU851" s="99"/>
    </row>
    <row r="852" spans="1:125" ht="18" customHeight="1">
      <c r="A852" s="271"/>
      <c r="D852" s="280"/>
      <c r="E852" s="52"/>
      <c r="S852" s="187"/>
      <c r="AV852" s="241"/>
      <c r="AW852" s="208"/>
      <c r="AX852" s="209"/>
      <c r="AY852" s="240"/>
      <c r="BB852" s="99"/>
      <c r="BC852" s="99"/>
      <c r="BD852" s="187"/>
      <c r="CH852" s="53" t="str">
        <f>IFERROR(TOWER_DATA[[#This Row],[Top '[m']]]-TOWER_DATA[[#This Row],[Bottom '[m']]], "")</f>
        <v/>
      </c>
      <c r="CI852" s="217" t="str">
        <f>IFERROR(-(TOWER_DATA[[#This Row],[D, bottom '[m']]]-TOWER_DATA[[#This Row],[D, top '[m']]])/(TOWER_DATA[[#This Row],[Bottom '[m']]]-TOWER_DATA[[#This Row],[Top '[m']]]),"")</f>
        <v/>
      </c>
      <c r="CJ852" s="145" t="str">
        <f t="shared" si="26"/>
        <v/>
      </c>
      <c r="CK852" s="220" t="str">
        <f>IFERROR((TOWER_DATA[[#This Row],[D, bottom '[m']]]+TOWER_DATA[[#This Row],[D, top '[m']]])/(2*TOWER_DATA[[#This Row],[t '[mm']]]/1000),"")</f>
        <v/>
      </c>
      <c r="DQ852" s="187"/>
      <c r="DT852" s="99"/>
      <c r="DU852" s="99"/>
    </row>
    <row r="853" spans="1:125" ht="18" customHeight="1">
      <c r="A853" s="271"/>
      <c r="D853" s="280"/>
      <c r="E853" s="52"/>
      <c r="S853" s="187"/>
      <c r="AV853" s="242"/>
      <c r="AW853" s="239"/>
      <c r="AX853" s="243"/>
      <c r="AY853" s="244"/>
      <c r="BB853" s="99"/>
      <c r="BC853" s="99"/>
      <c r="BD853" s="187"/>
      <c r="CH853" s="53" t="str">
        <f>IFERROR(TOWER_DATA[[#This Row],[Top '[m']]]-TOWER_DATA[[#This Row],[Bottom '[m']]], "")</f>
        <v/>
      </c>
      <c r="CI853" s="217" t="str">
        <f>IFERROR(-(TOWER_DATA[[#This Row],[D, bottom '[m']]]-TOWER_DATA[[#This Row],[D, top '[m']]])/(TOWER_DATA[[#This Row],[Bottom '[m']]]-TOWER_DATA[[#This Row],[Top '[m']]]),"")</f>
        <v/>
      </c>
      <c r="CJ853" s="145" t="str">
        <f t="shared" si="26"/>
        <v/>
      </c>
      <c r="CK853" s="220" t="str">
        <f>IFERROR((TOWER_DATA[[#This Row],[D, bottom '[m']]]+TOWER_DATA[[#This Row],[D, top '[m']]])/(2*TOWER_DATA[[#This Row],[t '[mm']]]/1000),"")</f>
        <v/>
      </c>
      <c r="DQ853" s="187"/>
      <c r="DT853" s="99"/>
      <c r="DU853" s="99"/>
    </row>
    <row r="854" spans="1:125" ht="18" customHeight="1">
      <c r="A854" s="271"/>
      <c r="D854" s="280"/>
      <c r="E854" s="52"/>
      <c r="S854" s="187"/>
      <c r="AW854" s="208"/>
      <c r="AX854" s="209"/>
      <c r="AY854" s="210"/>
      <c r="BB854" s="99"/>
      <c r="BC854" s="99"/>
      <c r="BD854" s="187"/>
      <c r="CH854" s="53" t="str">
        <f>IFERROR(TOWER_DATA[[#This Row],[Top '[m']]]-TOWER_DATA[[#This Row],[Bottom '[m']]], "")</f>
        <v/>
      </c>
      <c r="CI854" s="217" t="str">
        <f>IFERROR(-(TOWER_DATA[[#This Row],[D, bottom '[m']]]-TOWER_DATA[[#This Row],[D, top '[m']]])/(TOWER_DATA[[#This Row],[Bottom '[m']]]-TOWER_DATA[[#This Row],[Top '[m']]]),"")</f>
        <v/>
      </c>
      <c r="CJ854" s="145" t="str">
        <f t="shared" si="26"/>
        <v/>
      </c>
      <c r="CK854" s="220" t="str">
        <f>IFERROR((TOWER_DATA[[#This Row],[D, bottom '[m']]]+TOWER_DATA[[#This Row],[D, top '[m']]])/(2*TOWER_DATA[[#This Row],[t '[mm']]]/1000),"")</f>
        <v/>
      </c>
      <c r="DQ854" s="187"/>
      <c r="DT854" s="99"/>
      <c r="DU854" s="99"/>
    </row>
    <row r="855" spans="1:125" ht="18" customHeight="1">
      <c r="A855" s="271"/>
      <c r="D855" s="280"/>
      <c r="E855" s="52"/>
      <c r="S855" s="187"/>
      <c r="AW855" s="208"/>
      <c r="AX855" s="209"/>
      <c r="AY855" s="210"/>
      <c r="BB855" s="99"/>
      <c r="BC855" s="99"/>
      <c r="BD855" s="187"/>
      <c r="CH855" s="53" t="str">
        <f>IFERROR(TOWER_DATA[[#This Row],[Top '[m']]]-TOWER_DATA[[#This Row],[Bottom '[m']]], "")</f>
        <v/>
      </c>
      <c r="CI855" s="217" t="str">
        <f>IFERROR(-(TOWER_DATA[[#This Row],[D, bottom '[m']]]-TOWER_DATA[[#This Row],[D, top '[m']]])/(TOWER_DATA[[#This Row],[Bottom '[m']]]-TOWER_DATA[[#This Row],[Top '[m']]]),"")</f>
        <v/>
      </c>
      <c r="CJ855" s="145" t="str">
        <f t="shared" si="26"/>
        <v/>
      </c>
      <c r="CK855" s="220" t="str">
        <f>IFERROR((TOWER_DATA[[#This Row],[D, bottom '[m']]]+TOWER_DATA[[#This Row],[D, top '[m']]])/(2*TOWER_DATA[[#This Row],[t '[mm']]]/1000),"")</f>
        <v/>
      </c>
      <c r="DQ855" s="187"/>
      <c r="DT855" s="99"/>
      <c r="DU855" s="99"/>
    </row>
    <row r="856" spans="1:125" ht="18" customHeight="1">
      <c r="A856" s="271"/>
      <c r="D856" s="280"/>
      <c r="E856" s="52"/>
      <c r="S856" s="187"/>
      <c r="AW856" s="208"/>
      <c r="AX856" s="209"/>
      <c r="AY856" s="210"/>
      <c r="BB856" s="99"/>
      <c r="BC856" s="99"/>
      <c r="BD856" s="187"/>
      <c r="CH856" s="53" t="str">
        <f>IFERROR(TOWER_DATA[[#This Row],[Top '[m']]]-TOWER_DATA[[#This Row],[Bottom '[m']]], "")</f>
        <v/>
      </c>
      <c r="CI856" s="217" t="str">
        <f>IFERROR(-(TOWER_DATA[[#This Row],[D, bottom '[m']]]-TOWER_DATA[[#This Row],[D, top '[m']]])/(TOWER_DATA[[#This Row],[Bottom '[m']]]-TOWER_DATA[[#This Row],[Top '[m']]]),"")</f>
        <v/>
      </c>
      <c r="CJ856" s="145" t="str">
        <f t="shared" si="26"/>
        <v/>
      </c>
      <c r="CK856" s="220" t="str">
        <f>IFERROR((TOWER_DATA[[#This Row],[D, bottom '[m']]]+TOWER_DATA[[#This Row],[D, top '[m']]])/(2*TOWER_DATA[[#This Row],[t '[mm']]]/1000),"")</f>
        <v/>
      </c>
      <c r="DQ856" s="187"/>
      <c r="DT856" s="99"/>
      <c r="DU856" s="99"/>
    </row>
    <row r="857" spans="1:125" ht="18" customHeight="1">
      <c r="A857" s="271"/>
      <c r="D857" s="280"/>
      <c r="E857" s="52"/>
      <c r="S857" s="187"/>
      <c r="AW857" s="208"/>
      <c r="AX857" s="209"/>
      <c r="AY857" s="210"/>
      <c r="BB857" s="99"/>
      <c r="BC857" s="99"/>
      <c r="BD857" s="187"/>
      <c r="CH857" s="53" t="str">
        <f>IFERROR(TOWER_DATA[[#This Row],[Top '[m']]]-TOWER_DATA[[#This Row],[Bottom '[m']]], "")</f>
        <v/>
      </c>
      <c r="CI857" s="217" t="str">
        <f>IFERROR(-(TOWER_DATA[[#This Row],[D, bottom '[m']]]-TOWER_DATA[[#This Row],[D, top '[m']]])/(TOWER_DATA[[#This Row],[Bottom '[m']]]-TOWER_DATA[[#This Row],[Top '[m']]]),"")</f>
        <v/>
      </c>
      <c r="CJ857" s="145" t="str">
        <f t="shared" si="26"/>
        <v/>
      </c>
      <c r="CK857" s="220" t="str">
        <f>IFERROR((TOWER_DATA[[#This Row],[D, bottom '[m']]]+TOWER_DATA[[#This Row],[D, top '[m']]])/(2*TOWER_DATA[[#This Row],[t '[mm']]]/1000),"")</f>
        <v/>
      </c>
      <c r="DQ857" s="187"/>
      <c r="DT857" s="99"/>
      <c r="DU857" s="99"/>
    </row>
    <row r="858" spans="1:125" ht="18" customHeight="1">
      <c r="A858" s="271"/>
      <c r="D858" s="280"/>
      <c r="E858" s="52"/>
      <c r="S858" s="187"/>
      <c r="AW858" s="208"/>
      <c r="AX858" s="209"/>
      <c r="AY858" s="210"/>
      <c r="BB858" s="99"/>
      <c r="BC858" s="99"/>
      <c r="BD858" s="187"/>
      <c r="CH858" s="53" t="str">
        <f>IFERROR(TOWER_DATA[[#This Row],[Top '[m']]]-TOWER_DATA[[#This Row],[Bottom '[m']]], "")</f>
        <v/>
      </c>
      <c r="CI858" s="217" t="str">
        <f>IFERROR(-(TOWER_DATA[[#This Row],[D, bottom '[m']]]-TOWER_DATA[[#This Row],[D, top '[m']]])/(TOWER_DATA[[#This Row],[Bottom '[m']]]-TOWER_DATA[[#This Row],[Top '[m']]]),"")</f>
        <v/>
      </c>
      <c r="CJ858" s="145" t="str">
        <f t="shared" si="26"/>
        <v/>
      </c>
      <c r="CK858" s="220" t="str">
        <f>IFERROR((TOWER_DATA[[#This Row],[D, bottom '[m']]]+TOWER_DATA[[#This Row],[D, top '[m']]])/(2*TOWER_DATA[[#This Row],[t '[mm']]]/1000),"")</f>
        <v/>
      </c>
      <c r="DQ858" s="187"/>
      <c r="DT858" s="99"/>
      <c r="DU858" s="99"/>
    </row>
    <row r="859" spans="1:125" ht="18" customHeight="1">
      <c r="A859" s="271"/>
      <c r="D859" s="280"/>
      <c r="E859" s="52"/>
      <c r="S859" s="187"/>
      <c r="AW859" s="208"/>
      <c r="AX859" s="209"/>
      <c r="AY859" s="210"/>
      <c r="BB859" s="99"/>
      <c r="BC859" s="99"/>
      <c r="BD859" s="187"/>
      <c r="CH859" s="53" t="str">
        <f>IFERROR(TOWER_DATA[[#This Row],[Top '[m']]]-TOWER_DATA[[#This Row],[Bottom '[m']]], "")</f>
        <v/>
      </c>
      <c r="CI859" s="217" t="str">
        <f>IFERROR(-(TOWER_DATA[[#This Row],[D, bottom '[m']]]-TOWER_DATA[[#This Row],[D, top '[m']]])/(TOWER_DATA[[#This Row],[Bottom '[m']]]-TOWER_DATA[[#This Row],[Top '[m']]]),"")</f>
        <v/>
      </c>
      <c r="CJ859" s="145" t="str">
        <f t="shared" si="26"/>
        <v/>
      </c>
      <c r="CK859" s="220" t="str">
        <f>IFERROR((TOWER_DATA[[#This Row],[D, bottom '[m']]]+TOWER_DATA[[#This Row],[D, top '[m']]])/(2*TOWER_DATA[[#This Row],[t '[mm']]]/1000),"")</f>
        <v/>
      </c>
      <c r="DQ859" s="187"/>
      <c r="DT859" s="99"/>
      <c r="DU859" s="99"/>
    </row>
    <row r="860" spans="1:125" ht="18" customHeight="1">
      <c r="A860" s="271"/>
      <c r="D860" s="280"/>
      <c r="E860" s="52"/>
      <c r="S860" s="187"/>
      <c r="AW860" s="208"/>
      <c r="AX860" s="209"/>
      <c r="AY860" s="210"/>
      <c r="BB860" s="99"/>
      <c r="BC860" s="99"/>
      <c r="BD860" s="187"/>
      <c r="CH860" s="53" t="str">
        <f>IFERROR(TOWER_DATA[[#This Row],[Top '[m']]]-TOWER_DATA[[#This Row],[Bottom '[m']]], "")</f>
        <v/>
      </c>
      <c r="CI860" s="217" t="str">
        <f>IFERROR(-(TOWER_DATA[[#This Row],[D, bottom '[m']]]-TOWER_DATA[[#This Row],[D, top '[m']]])/(TOWER_DATA[[#This Row],[Bottom '[m']]]-TOWER_DATA[[#This Row],[Top '[m']]]),"")</f>
        <v/>
      </c>
      <c r="CJ860" s="145" t="str">
        <f t="shared" si="26"/>
        <v/>
      </c>
      <c r="CK860" s="220" t="str">
        <f>IFERROR((TOWER_DATA[[#This Row],[D, bottom '[m']]]+TOWER_DATA[[#This Row],[D, top '[m']]])/(2*TOWER_DATA[[#This Row],[t '[mm']]]/1000),"")</f>
        <v/>
      </c>
      <c r="DQ860" s="187"/>
      <c r="DT860" s="99"/>
      <c r="DU860" s="99"/>
    </row>
    <row r="861" spans="1:125" ht="18" customHeight="1">
      <c r="A861" s="271"/>
      <c r="D861" s="280"/>
      <c r="E861" s="52"/>
      <c r="S861" s="187"/>
      <c r="AW861" s="208"/>
      <c r="AX861" s="209"/>
      <c r="AY861" s="210"/>
      <c r="BB861" s="99"/>
      <c r="BC861" s="99"/>
      <c r="BD861" s="187"/>
      <c r="CH861" s="53" t="str">
        <f>IFERROR(TOWER_DATA[[#This Row],[Top '[m']]]-TOWER_DATA[[#This Row],[Bottom '[m']]], "")</f>
        <v/>
      </c>
      <c r="CI861" s="217" t="str">
        <f>IFERROR(-(TOWER_DATA[[#This Row],[D, bottom '[m']]]-TOWER_DATA[[#This Row],[D, top '[m']]])/(TOWER_DATA[[#This Row],[Bottom '[m']]]-TOWER_DATA[[#This Row],[Top '[m']]]),"")</f>
        <v/>
      </c>
      <c r="CJ861" s="145" t="str">
        <f t="shared" si="26"/>
        <v/>
      </c>
      <c r="CK861" s="220" t="str">
        <f>IFERROR((TOWER_DATA[[#This Row],[D, bottom '[m']]]+TOWER_DATA[[#This Row],[D, top '[m']]])/(2*TOWER_DATA[[#This Row],[t '[mm']]]/1000),"")</f>
        <v/>
      </c>
      <c r="DQ861" s="187"/>
      <c r="DT861" s="99"/>
      <c r="DU861" s="99"/>
    </row>
    <row r="862" spans="1:125" ht="18" customHeight="1">
      <c r="A862" s="271"/>
      <c r="D862" s="280"/>
      <c r="E862" s="52"/>
      <c r="S862" s="187"/>
      <c r="AW862" s="208"/>
      <c r="AX862" s="209"/>
      <c r="AY862" s="210"/>
      <c r="BB862" s="99"/>
      <c r="BC862" s="99"/>
      <c r="BD862" s="187"/>
      <c r="CH862" s="53" t="str">
        <f>IFERROR(TOWER_DATA[[#This Row],[Top '[m']]]-TOWER_DATA[[#This Row],[Bottom '[m']]], "")</f>
        <v/>
      </c>
      <c r="CI862" s="217" t="str">
        <f>IFERROR(-(TOWER_DATA[[#This Row],[D, bottom '[m']]]-TOWER_DATA[[#This Row],[D, top '[m']]])/(TOWER_DATA[[#This Row],[Bottom '[m']]]-TOWER_DATA[[#This Row],[Top '[m']]]),"")</f>
        <v/>
      </c>
      <c r="CJ862" s="145" t="str">
        <f t="shared" si="26"/>
        <v/>
      </c>
      <c r="CK862" s="220" t="str">
        <f>IFERROR((TOWER_DATA[[#This Row],[D, bottom '[m']]]+TOWER_DATA[[#This Row],[D, top '[m']]])/(2*TOWER_DATA[[#This Row],[t '[mm']]]/1000),"")</f>
        <v/>
      </c>
      <c r="DQ862" s="187"/>
      <c r="DT862" s="99"/>
      <c r="DU862" s="99"/>
    </row>
    <row r="863" spans="1:125" ht="18" customHeight="1">
      <c r="A863" s="271"/>
      <c r="D863" s="280"/>
      <c r="E863" s="52"/>
      <c r="S863" s="187"/>
      <c r="AW863" s="208"/>
      <c r="AX863" s="209"/>
      <c r="AY863" s="210"/>
      <c r="BB863" s="99"/>
      <c r="BC863" s="99"/>
      <c r="BD863" s="187"/>
      <c r="CH863" s="53" t="str">
        <f>IFERROR(TOWER_DATA[[#This Row],[Top '[m']]]-TOWER_DATA[[#This Row],[Bottom '[m']]], "")</f>
        <v/>
      </c>
      <c r="CI863" s="217" t="str">
        <f>IFERROR(-(TOWER_DATA[[#This Row],[D, bottom '[m']]]-TOWER_DATA[[#This Row],[D, top '[m']]])/(TOWER_DATA[[#This Row],[Bottom '[m']]]-TOWER_DATA[[#This Row],[Top '[m']]]),"")</f>
        <v/>
      </c>
      <c r="CJ863" s="145" t="str">
        <f t="shared" si="26"/>
        <v/>
      </c>
      <c r="CK863" s="220" t="str">
        <f>IFERROR((TOWER_DATA[[#This Row],[D, bottom '[m']]]+TOWER_DATA[[#This Row],[D, top '[m']]])/(2*TOWER_DATA[[#This Row],[t '[mm']]]/1000),"")</f>
        <v/>
      </c>
      <c r="DQ863" s="187"/>
      <c r="DT863" s="99"/>
      <c r="DU863" s="99"/>
    </row>
    <row r="864" spans="1:125" ht="18" customHeight="1">
      <c r="A864" s="271"/>
      <c r="D864" s="280"/>
      <c r="E864" s="52"/>
      <c r="S864" s="187"/>
      <c r="AW864" s="208"/>
      <c r="AX864" s="209"/>
      <c r="AY864" s="210"/>
      <c r="BB864" s="99"/>
      <c r="BC864" s="99"/>
      <c r="BD864" s="187"/>
      <c r="CH864" s="53" t="str">
        <f>IFERROR(TOWER_DATA[[#This Row],[Top '[m']]]-TOWER_DATA[[#This Row],[Bottom '[m']]], "")</f>
        <v/>
      </c>
      <c r="CI864" s="217" t="str">
        <f>IFERROR(-(TOWER_DATA[[#This Row],[D, bottom '[m']]]-TOWER_DATA[[#This Row],[D, top '[m']]])/(TOWER_DATA[[#This Row],[Bottom '[m']]]-TOWER_DATA[[#This Row],[Top '[m']]]),"")</f>
        <v/>
      </c>
      <c r="CJ864" s="145" t="str">
        <f t="shared" si="26"/>
        <v/>
      </c>
      <c r="CK864" s="220" t="str">
        <f>IFERROR((TOWER_DATA[[#This Row],[D, bottom '[m']]]+TOWER_DATA[[#This Row],[D, top '[m']]])/(2*TOWER_DATA[[#This Row],[t '[mm']]]/1000),"")</f>
        <v/>
      </c>
      <c r="DQ864" s="187"/>
      <c r="DT864" s="99"/>
      <c r="DU864" s="99"/>
    </row>
    <row r="865" spans="1:125" ht="18" customHeight="1">
      <c r="A865" s="271"/>
      <c r="D865" s="280"/>
      <c r="E865" s="52"/>
      <c r="S865" s="187"/>
      <c r="AW865" s="208"/>
      <c r="AX865" s="209"/>
      <c r="AY865" s="210"/>
      <c r="BB865" s="99"/>
      <c r="BC865" s="99"/>
      <c r="BD865" s="187"/>
      <c r="CH865" s="53" t="str">
        <f>IFERROR(TOWER_DATA[[#This Row],[Top '[m']]]-TOWER_DATA[[#This Row],[Bottom '[m']]], "")</f>
        <v/>
      </c>
      <c r="CI865" s="217" t="str">
        <f>IFERROR(-(TOWER_DATA[[#This Row],[D, bottom '[m']]]-TOWER_DATA[[#This Row],[D, top '[m']]])/(TOWER_DATA[[#This Row],[Bottom '[m']]]-TOWER_DATA[[#This Row],[Top '[m']]]),"")</f>
        <v/>
      </c>
      <c r="CJ865" s="145" t="str">
        <f t="shared" si="26"/>
        <v/>
      </c>
      <c r="CK865" s="220" t="str">
        <f>IFERROR((TOWER_DATA[[#This Row],[D, bottom '[m']]]+TOWER_DATA[[#This Row],[D, top '[m']]])/(2*TOWER_DATA[[#This Row],[t '[mm']]]/1000),"")</f>
        <v/>
      </c>
      <c r="DQ865" s="187"/>
      <c r="DT865" s="99"/>
      <c r="DU865" s="99"/>
    </row>
    <row r="866" spans="1:125" ht="18" customHeight="1">
      <c r="A866" s="271"/>
      <c r="D866" s="280"/>
      <c r="E866" s="52"/>
      <c r="S866" s="187"/>
      <c r="AW866" s="208"/>
      <c r="AX866" s="209"/>
      <c r="AY866" s="210"/>
      <c r="BB866" s="99"/>
      <c r="BC866" s="99"/>
      <c r="BD866" s="187"/>
      <c r="CH866" s="53" t="str">
        <f>IFERROR(TOWER_DATA[[#This Row],[Top '[m']]]-TOWER_DATA[[#This Row],[Bottom '[m']]], "")</f>
        <v/>
      </c>
      <c r="CI866" s="217" t="str">
        <f>IFERROR(-(TOWER_DATA[[#This Row],[D, bottom '[m']]]-TOWER_DATA[[#This Row],[D, top '[m']]])/(TOWER_DATA[[#This Row],[Bottom '[m']]]-TOWER_DATA[[#This Row],[Top '[m']]]),"")</f>
        <v/>
      </c>
      <c r="CJ866" s="145" t="str">
        <f t="shared" si="26"/>
        <v/>
      </c>
      <c r="CK866" s="220" t="str">
        <f>IFERROR((TOWER_DATA[[#This Row],[D, bottom '[m']]]+TOWER_DATA[[#This Row],[D, top '[m']]])/(2*TOWER_DATA[[#This Row],[t '[mm']]]/1000),"")</f>
        <v/>
      </c>
      <c r="DQ866" s="187"/>
      <c r="DT866" s="99"/>
      <c r="DU866" s="99"/>
    </row>
    <row r="867" spans="1:125" ht="18" customHeight="1">
      <c r="A867" s="271"/>
      <c r="D867" s="280"/>
      <c r="E867" s="52"/>
      <c r="S867" s="187"/>
      <c r="AW867" s="208"/>
      <c r="AX867" s="209"/>
      <c r="AY867" s="210"/>
      <c r="BB867" s="99"/>
      <c r="BC867" s="99"/>
      <c r="BD867" s="187"/>
      <c r="CH867" s="53" t="str">
        <f>IFERROR(TOWER_DATA[[#This Row],[Top '[m']]]-TOWER_DATA[[#This Row],[Bottom '[m']]], "")</f>
        <v/>
      </c>
      <c r="CI867" s="217" t="str">
        <f>IFERROR(-(TOWER_DATA[[#This Row],[D, bottom '[m']]]-TOWER_DATA[[#This Row],[D, top '[m']]])/(TOWER_DATA[[#This Row],[Bottom '[m']]]-TOWER_DATA[[#This Row],[Top '[m']]]),"")</f>
        <v/>
      </c>
      <c r="CJ867" s="145" t="str">
        <f t="shared" si="26"/>
        <v/>
      </c>
      <c r="CK867" s="220" t="str">
        <f>IFERROR((TOWER_DATA[[#This Row],[D, bottom '[m']]]+TOWER_DATA[[#This Row],[D, top '[m']]])/(2*TOWER_DATA[[#This Row],[t '[mm']]]/1000),"")</f>
        <v/>
      </c>
      <c r="DQ867" s="187"/>
      <c r="DT867" s="99"/>
      <c r="DU867" s="99"/>
    </row>
    <row r="868" spans="1:125" ht="18" customHeight="1">
      <c r="A868" s="271"/>
      <c r="D868" s="280"/>
      <c r="E868" s="52"/>
      <c r="S868" s="187"/>
      <c r="AW868" s="208"/>
      <c r="AX868" s="209"/>
      <c r="AY868" s="210"/>
      <c r="BB868" s="99"/>
      <c r="BC868" s="99"/>
      <c r="BD868" s="187"/>
      <c r="CH868" s="53" t="str">
        <f>IFERROR(TOWER_DATA[[#This Row],[Top '[m']]]-TOWER_DATA[[#This Row],[Bottom '[m']]], "")</f>
        <v/>
      </c>
      <c r="CI868" s="217" t="str">
        <f>IFERROR(-(TOWER_DATA[[#This Row],[D, bottom '[m']]]-TOWER_DATA[[#This Row],[D, top '[m']]])/(TOWER_DATA[[#This Row],[Bottom '[m']]]-TOWER_DATA[[#This Row],[Top '[m']]]),"")</f>
        <v/>
      </c>
      <c r="CJ868" s="145" t="str">
        <f t="shared" si="26"/>
        <v/>
      </c>
      <c r="CK868" s="220" t="str">
        <f>IFERROR((TOWER_DATA[[#This Row],[D, bottom '[m']]]+TOWER_DATA[[#This Row],[D, top '[m']]])/(2*TOWER_DATA[[#This Row],[t '[mm']]]/1000),"")</f>
        <v/>
      </c>
      <c r="DQ868" s="187"/>
      <c r="DT868" s="99"/>
      <c r="DU868" s="99"/>
    </row>
    <row r="869" spans="1:125" ht="18" customHeight="1">
      <c r="A869" s="271"/>
      <c r="D869" s="280"/>
      <c r="E869" s="52"/>
      <c r="S869" s="187"/>
      <c r="AW869" s="208"/>
      <c r="AX869" s="209"/>
      <c r="AY869" s="210"/>
      <c r="BB869" s="99"/>
      <c r="BC869" s="99"/>
      <c r="BD869" s="187"/>
      <c r="CH869" s="53" t="str">
        <f>IFERROR(TOWER_DATA[[#This Row],[Top '[m']]]-TOWER_DATA[[#This Row],[Bottom '[m']]], "")</f>
        <v/>
      </c>
      <c r="CI869" s="217" t="str">
        <f>IFERROR(-(TOWER_DATA[[#This Row],[D, bottom '[m']]]-TOWER_DATA[[#This Row],[D, top '[m']]])/(TOWER_DATA[[#This Row],[Bottom '[m']]]-TOWER_DATA[[#This Row],[Top '[m']]]),"")</f>
        <v/>
      </c>
      <c r="CJ869" s="145" t="str">
        <f t="shared" si="26"/>
        <v/>
      </c>
      <c r="CK869" s="220" t="str">
        <f>IFERROR((TOWER_DATA[[#This Row],[D, bottom '[m']]]+TOWER_DATA[[#This Row],[D, top '[m']]])/(2*TOWER_DATA[[#This Row],[t '[mm']]]/1000),"")</f>
        <v/>
      </c>
      <c r="DQ869" s="187"/>
      <c r="DT869" s="99"/>
      <c r="DU869" s="99"/>
    </row>
    <row r="870" spans="1:125" ht="18" customHeight="1">
      <c r="A870" s="271"/>
      <c r="D870" s="280"/>
      <c r="E870" s="52"/>
      <c r="S870" s="187"/>
      <c r="AW870" s="208"/>
      <c r="AX870" s="209"/>
      <c r="AY870" s="210"/>
      <c r="BB870" s="99"/>
      <c r="BC870" s="99"/>
      <c r="BD870" s="187"/>
      <c r="CH870" s="53" t="str">
        <f>IFERROR(TOWER_DATA[[#This Row],[Top '[m']]]-TOWER_DATA[[#This Row],[Bottom '[m']]], "")</f>
        <v/>
      </c>
      <c r="CI870" s="217" t="str">
        <f>IFERROR(-(TOWER_DATA[[#This Row],[D, bottom '[m']]]-TOWER_DATA[[#This Row],[D, top '[m']]])/(TOWER_DATA[[#This Row],[Bottom '[m']]]-TOWER_DATA[[#This Row],[Top '[m']]]),"")</f>
        <v/>
      </c>
      <c r="CJ870" s="145" t="str">
        <f t="shared" si="26"/>
        <v/>
      </c>
      <c r="CK870" s="220" t="str">
        <f>IFERROR((TOWER_DATA[[#This Row],[D, bottom '[m']]]+TOWER_DATA[[#This Row],[D, top '[m']]])/(2*TOWER_DATA[[#This Row],[t '[mm']]]/1000),"")</f>
        <v/>
      </c>
      <c r="DQ870" s="187"/>
      <c r="DT870" s="99"/>
      <c r="DU870" s="99"/>
    </row>
    <row r="871" spans="1:125" ht="18" customHeight="1">
      <c r="A871" s="271"/>
      <c r="D871" s="280"/>
      <c r="E871" s="52"/>
      <c r="S871" s="187"/>
      <c r="AW871" s="208"/>
      <c r="AX871" s="209"/>
      <c r="AY871" s="210"/>
      <c r="BB871" s="99"/>
      <c r="BC871" s="99"/>
      <c r="BD871" s="187"/>
      <c r="CH871" s="53" t="str">
        <f>IFERROR(TOWER_DATA[[#This Row],[Top '[m']]]-TOWER_DATA[[#This Row],[Bottom '[m']]], "")</f>
        <v/>
      </c>
      <c r="CI871" s="217" t="str">
        <f>IFERROR(-(TOWER_DATA[[#This Row],[D, bottom '[m']]]-TOWER_DATA[[#This Row],[D, top '[m']]])/(TOWER_DATA[[#This Row],[Bottom '[m']]]-TOWER_DATA[[#This Row],[Top '[m']]]),"")</f>
        <v/>
      </c>
      <c r="CJ871" s="145" t="str">
        <f t="shared" si="26"/>
        <v/>
      </c>
      <c r="CK871" s="220" t="str">
        <f>IFERROR((TOWER_DATA[[#This Row],[D, bottom '[m']]]+TOWER_DATA[[#This Row],[D, top '[m']]])/(2*TOWER_DATA[[#This Row],[t '[mm']]]/1000),"")</f>
        <v/>
      </c>
      <c r="DQ871" s="187"/>
      <c r="DT871" s="99"/>
      <c r="DU871" s="99"/>
    </row>
    <row r="872" spans="1:125" ht="18" customHeight="1">
      <c r="A872" s="271"/>
      <c r="D872" s="280"/>
      <c r="E872" s="52"/>
      <c r="S872" s="187"/>
      <c r="AW872" s="208"/>
      <c r="AX872" s="209"/>
      <c r="AY872" s="210"/>
      <c r="BB872" s="99"/>
      <c r="BC872" s="99"/>
      <c r="BD872" s="187"/>
      <c r="CH872" s="53" t="str">
        <f>IFERROR(TOWER_DATA[[#This Row],[Top '[m']]]-TOWER_DATA[[#This Row],[Bottom '[m']]], "")</f>
        <v/>
      </c>
      <c r="CI872" s="217" t="str">
        <f>IFERROR(-(TOWER_DATA[[#This Row],[D, bottom '[m']]]-TOWER_DATA[[#This Row],[D, top '[m']]])/(TOWER_DATA[[#This Row],[Bottom '[m']]]-TOWER_DATA[[#This Row],[Top '[m']]]),"")</f>
        <v/>
      </c>
      <c r="CJ872" s="145" t="str">
        <f t="shared" si="26"/>
        <v/>
      </c>
      <c r="CK872" s="220" t="str">
        <f>IFERROR((TOWER_DATA[[#This Row],[D, bottom '[m']]]+TOWER_DATA[[#This Row],[D, top '[m']]])/(2*TOWER_DATA[[#This Row],[t '[mm']]]/1000),"")</f>
        <v/>
      </c>
      <c r="DQ872" s="187"/>
      <c r="DT872" s="99"/>
      <c r="DU872" s="99"/>
    </row>
    <row r="873" spans="1:125" ht="18" customHeight="1">
      <c r="A873" s="271"/>
      <c r="D873" s="280"/>
      <c r="E873" s="52"/>
      <c r="S873" s="187"/>
      <c r="AW873" s="208"/>
      <c r="AX873" s="209"/>
      <c r="AY873" s="210"/>
      <c r="BB873" s="99"/>
      <c r="BC873" s="99"/>
      <c r="BD873" s="187"/>
      <c r="CH873" s="53" t="str">
        <f>IFERROR(TOWER_DATA[[#This Row],[Top '[m']]]-TOWER_DATA[[#This Row],[Bottom '[m']]], "")</f>
        <v/>
      </c>
      <c r="CI873" s="217" t="str">
        <f>IFERROR(-(TOWER_DATA[[#This Row],[D, bottom '[m']]]-TOWER_DATA[[#This Row],[D, top '[m']]])/(TOWER_DATA[[#This Row],[Bottom '[m']]]-TOWER_DATA[[#This Row],[Top '[m']]]),"")</f>
        <v/>
      </c>
      <c r="CJ873" s="145" t="str">
        <f t="shared" si="26"/>
        <v/>
      </c>
      <c r="CK873" s="220" t="str">
        <f>IFERROR((TOWER_DATA[[#This Row],[D, bottom '[m']]]+TOWER_DATA[[#This Row],[D, top '[m']]])/(2*TOWER_DATA[[#This Row],[t '[mm']]]/1000),"")</f>
        <v/>
      </c>
      <c r="DQ873" s="187"/>
      <c r="DT873" s="99"/>
      <c r="DU873" s="99"/>
    </row>
    <row r="874" spans="1:125" ht="18" customHeight="1">
      <c r="A874" s="271"/>
      <c r="D874" s="280"/>
      <c r="E874" s="52"/>
      <c r="S874" s="187"/>
      <c r="AW874" s="208"/>
      <c r="AX874" s="209"/>
      <c r="AY874" s="210"/>
      <c r="BB874" s="99"/>
      <c r="BC874" s="99"/>
      <c r="BD874" s="187"/>
      <c r="CH874" s="53" t="str">
        <f>IFERROR(TOWER_DATA[[#This Row],[Top '[m']]]-TOWER_DATA[[#This Row],[Bottom '[m']]], "")</f>
        <v/>
      </c>
      <c r="CI874" s="217" t="str">
        <f>IFERROR(-(TOWER_DATA[[#This Row],[D, bottom '[m']]]-TOWER_DATA[[#This Row],[D, top '[m']]])/(TOWER_DATA[[#This Row],[Bottom '[m']]]-TOWER_DATA[[#This Row],[Top '[m']]]),"")</f>
        <v/>
      </c>
      <c r="CJ874" s="145" t="str">
        <f t="shared" si="26"/>
        <v/>
      </c>
      <c r="CK874" s="220" t="str">
        <f>IFERROR((TOWER_DATA[[#This Row],[D, bottom '[m']]]+TOWER_DATA[[#This Row],[D, top '[m']]])/(2*TOWER_DATA[[#This Row],[t '[mm']]]/1000),"")</f>
        <v/>
      </c>
      <c r="DQ874" s="187"/>
      <c r="DT874" s="99"/>
      <c r="DU874" s="99"/>
    </row>
    <row r="875" spans="1:125" ht="18" customHeight="1">
      <c r="A875" s="271"/>
      <c r="D875" s="280"/>
      <c r="E875" s="52"/>
      <c r="S875" s="187"/>
      <c r="AW875" s="208"/>
      <c r="AX875" s="209"/>
      <c r="AY875" s="210"/>
      <c r="BB875" s="99"/>
      <c r="BC875" s="99"/>
      <c r="BD875" s="187"/>
      <c r="CH875" s="53" t="str">
        <f>IFERROR(TOWER_DATA[[#This Row],[Top '[m']]]-TOWER_DATA[[#This Row],[Bottom '[m']]], "")</f>
        <v/>
      </c>
      <c r="CI875" s="217" t="str">
        <f>IFERROR(-(TOWER_DATA[[#This Row],[D, bottom '[m']]]-TOWER_DATA[[#This Row],[D, top '[m']]])/(TOWER_DATA[[#This Row],[Bottom '[m']]]-TOWER_DATA[[#This Row],[Top '[m']]]),"")</f>
        <v/>
      </c>
      <c r="CJ875" s="145" t="str">
        <f t="shared" si="26"/>
        <v/>
      </c>
      <c r="CK875" s="220" t="str">
        <f>IFERROR((TOWER_DATA[[#This Row],[D, bottom '[m']]]+TOWER_DATA[[#This Row],[D, top '[m']]])/(2*TOWER_DATA[[#This Row],[t '[mm']]]/1000),"")</f>
        <v/>
      </c>
      <c r="DQ875" s="187"/>
      <c r="DT875" s="99"/>
      <c r="DU875" s="99"/>
    </row>
    <row r="876" spans="1:125" ht="18" customHeight="1">
      <c r="A876" s="271"/>
      <c r="D876" s="280"/>
      <c r="E876" s="52"/>
      <c r="S876" s="187"/>
      <c r="AW876" s="208"/>
      <c r="AX876" s="209"/>
      <c r="AY876" s="210"/>
      <c r="BB876" s="99"/>
      <c r="BC876" s="99"/>
      <c r="BD876" s="187"/>
      <c r="CH876" s="53" t="str">
        <f>IFERROR(TOWER_DATA[[#This Row],[Top '[m']]]-TOWER_DATA[[#This Row],[Bottom '[m']]], "")</f>
        <v/>
      </c>
      <c r="CI876" s="217" t="str">
        <f>IFERROR(-(TOWER_DATA[[#This Row],[D, bottom '[m']]]-TOWER_DATA[[#This Row],[D, top '[m']]])/(TOWER_DATA[[#This Row],[Bottom '[m']]]-TOWER_DATA[[#This Row],[Top '[m']]]),"")</f>
        <v/>
      </c>
      <c r="CJ876" s="145" t="str">
        <f t="shared" si="26"/>
        <v/>
      </c>
      <c r="CK876" s="220" t="str">
        <f>IFERROR((TOWER_DATA[[#This Row],[D, bottom '[m']]]+TOWER_DATA[[#This Row],[D, top '[m']]])/(2*TOWER_DATA[[#This Row],[t '[mm']]]/1000),"")</f>
        <v/>
      </c>
      <c r="DQ876" s="187"/>
      <c r="DT876" s="99"/>
      <c r="DU876" s="99"/>
    </row>
    <row r="877" spans="1:125" ht="18" customHeight="1">
      <c r="A877" s="271"/>
      <c r="D877" s="280"/>
      <c r="E877" s="52"/>
      <c r="S877" s="187"/>
      <c r="AW877" s="208"/>
      <c r="AX877" s="209"/>
      <c r="AY877" s="210"/>
      <c r="BB877" s="99"/>
      <c r="BC877" s="99"/>
      <c r="BD877" s="187"/>
      <c r="CH877" s="53" t="str">
        <f>IFERROR(TOWER_DATA[[#This Row],[Top '[m']]]-TOWER_DATA[[#This Row],[Bottom '[m']]], "")</f>
        <v/>
      </c>
      <c r="CI877" s="217" t="str">
        <f>IFERROR(-(TOWER_DATA[[#This Row],[D, bottom '[m']]]-TOWER_DATA[[#This Row],[D, top '[m']]])/(TOWER_DATA[[#This Row],[Bottom '[m']]]-TOWER_DATA[[#This Row],[Top '[m']]]),"")</f>
        <v/>
      </c>
      <c r="CJ877" s="145" t="str">
        <f t="shared" si="26"/>
        <v/>
      </c>
      <c r="CK877" s="220" t="str">
        <f>IFERROR((TOWER_DATA[[#This Row],[D, bottom '[m']]]+TOWER_DATA[[#This Row],[D, top '[m']]])/(2*TOWER_DATA[[#This Row],[t '[mm']]]/1000),"")</f>
        <v/>
      </c>
      <c r="DQ877" s="187"/>
      <c r="DT877" s="99"/>
      <c r="DU877" s="99"/>
    </row>
    <row r="878" spans="1:125" ht="18" customHeight="1">
      <c r="A878" s="271"/>
      <c r="D878" s="280"/>
      <c r="E878" s="52"/>
      <c r="S878" s="187"/>
      <c r="AW878" s="208"/>
      <c r="AX878" s="209"/>
      <c r="AY878" s="210"/>
      <c r="BB878" s="99"/>
      <c r="BC878" s="99"/>
      <c r="BD878" s="187"/>
      <c r="CH878" s="53" t="str">
        <f>IFERROR(TOWER_DATA[[#This Row],[Top '[m']]]-TOWER_DATA[[#This Row],[Bottom '[m']]], "")</f>
        <v/>
      </c>
      <c r="CI878" s="217" t="str">
        <f>IFERROR(-(TOWER_DATA[[#This Row],[D, bottom '[m']]]-TOWER_DATA[[#This Row],[D, top '[m']]])/(TOWER_DATA[[#This Row],[Bottom '[m']]]-TOWER_DATA[[#This Row],[Top '[m']]]),"")</f>
        <v/>
      </c>
      <c r="CJ878" s="145" t="str">
        <f t="shared" si="26"/>
        <v/>
      </c>
      <c r="CK878" s="220" t="str">
        <f>IFERROR((TOWER_DATA[[#This Row],[D, bottom '[m']]]+TOWER_DATA[[#This Row],[D, top '[m']]])/(2*TOWER_DATA[[#This Row],[t '[mm']]]/1000),"")</f>
        <v/>
      </c>
      <c r="DQ878" s="187"/>
      <c r="DT878" s="99"/>
      <c r="DU878" s="99"/>
    </row>
    <row r="879" spans="1:125" ht="18" customHeight="1">
      <c r="A879" s="271"/>
      <c r="D879" s="280"/>
      <c r="E879" s="52"/>
      <c r="S879" s="187"/>
      <c r="AW879" s="208"/>
      <c r="AX879" s="209"/>
      <c r="AY879" s="210"/>
      <c r="BB879" s="99"/>
      <c r="BC879" s="99"/>
      <c r="BD879" s="187"/>
      <c r="CH879" s="53" t="str">
        <f>IFERROR(TOWER_DATA[[#This Row],[Top '[m']]]-TOWER_DATA[[#This Row],[Bottom '[m']]], "")</f>
        <v/>
      </c>
      <c r="CI879" s="217" t="str">
        <f>IFERROR(-(TOWER_DATA[[#This Row],[D, bottom '[m']]]-TOWER_DATA[[#This Row],[D, top '[m']]])/(TOWER_DATA[[#This Row],[Bottom '[m']]]-TOWER_DATA[[#This Row],[Top '[m']]]),"")</f>
        <v/>
      </c>
      <c r="CJ879" s="145" t="str">
        <f t="shared" si="26"/>
        <v/>
      </c>
      <c r="CK879" s="220" t="str">
        <f>IFERROR((TOWER_DATA[[#This Row],[D, bottom '[m']]]+TOWER_DATA[[#This Row],[D, top '[m']]])/(2*TOWER_DATA[[#This Row],[t '[mm']]]/1000),"")</f>
        <v/>
      </c>
      <c r="DQ879" s="187"/>
      <c r="DT879" s="99"/>
      <c r="DU879" s="99"/>
    </row>
    <row r="880" spans="1:125" ht="18" customHeight="1">
      <c r="A880" s="271"/>
      <c r="D880" s="280"/>
      <c r="E880" s="52"/>
      <c r="S880" s="187"/>
      <c r="AW880" s="208"/>
      <c r="AX880" s="209"/>
      <c r="AY880" s="210"/>
      <c r="BB880" s="99"/>
      <c r="BC880" s="99"/>
      <c r="BD880" s="187"/>
      <c r="CH880" s="53" t="str">
        <f>IFERROR(TOWER_DATA[[#This Row],[Top '[m']]]-TOWER_DATA[[#This Row],[Bottom '[m']]], "")</f>
        <v/>
      </c>
      <c r="CI880" s="217" t="str">
        <f>IFERROR(-(TOWER_DATA[[#This Row],[D, bottom '[m']]]-TOWER_DATA[[#This Row],[D, top '[m']]])/(TOWER_DATA[[#This Row],[Bottom '[m']]]-TOWER_DATA[[#This Row],[Top '[m']]]),"")</f>
        <v/>
      </c>
      <c r="CJ880" s="145" t="str">
        <f t="shared" si="26"/>
        <v/>
      </c>
      <c r="CK880" s="220" t="str">
        <f>IFERROR((TOWER_DATA[[#This Row],[D, bottom '[m']]]+TOWER_DATA[[#This Row],[D, top '[m']]])/(2*TOWER_DATA[[#This Row],[t '[mm']]]/1000),"")</f>
        <v/>
      </c>
      <c r="DQ880" s="187"/>
      <c r="DT880" s="99"/>
      <c r="DU880" s="99"/>
    </row>
    <row r="881" spans="1:128" ht="18" customHeight="1">
      <c r="A881" s="271"/>
      <c r="D881" s="280"/>
      <c r="E881" s="52"/>
      <c r="S881" s="187"/>
      <c r="AW881" s="208"/>
      <c r="AX881" s="209"/>
      <c r="AY881" s="210"/>
      <c r="BB881" s="99"/>
      <c r="BC881" s="99"/>
      <c r="BD881" s="187"/>
      <c r="CH881" s="53" t="str">
        <f>IFERROR(TOWER_DATA[[#This Row],[Top '[m']]]-TOWER_DATA[[#This Row],[Bottom '[m']]], "")</f>
        <v/>
      </c>
      <c r="CI881" s="217" t="str">
        <f>IFERROR(-(TOWER_DATA[[#This Row],[D, bottom '[m']]]-TOWER_DATA[[#This Row],[D, top '[m']]])/(TOWER_DATA[[#This Row],[Bottom '[m']]]-TOWER_DATA[[#This Row],[Top '[m']]]),"")</f>
        <v/>
      </c>
      <c r="CJ881" s="145" t="str">
        <f t="shared" ref="CJ881:CJ882" si="27">IF(7850/1000*(1/3)*PI()*ABS(CC881-CD881)*((CE881/2)^2+(CE881/2)*(CF881/2)+(CF881/2)^2-(CE881/2-CG881/1000)^2-(CE881/2-CG881/1000)*(CF881/2-CG881/1000)-(CF881/2-CG881/1000)^2)=0,"",7850/1000*(1/3)*PI()*ABS(CC881-CD881)*((CE881/2)^2+(CE881/2)*(CF881/2)+(CF881/2)^2-(CE881/2-CG881/1000)^2-(CE881/2-CG881/1000)*(CF881/2-CG881/1000)-(CF881/2-CG881/1000)^2))</f>
        <v/>
      </c>
      <c r="CK881" s="220" t="str">
        <f>IFERROR((TOWER_DATA[[#This Row],[D, bottom '[m']]]+TOWER_DATA[[#This Row],[D, top '[m']]])/(2*TOWER_DATA[[#This Row],[t '[mm']]]/1000),"")</f>
        <v/>
      </c>
      <c r="DQ881" s="187"/>
      <c r="DT881" s="99"/>
      <c r="DU881" s="99"/>
    </row>
    <row r="882" spans="1:128" ht="18" customHeight="1">
      <c r="A882" s="271"/>
      <c r="D882" s="280"/>
      <c r="E882" s="52"/>
      <c r="S882" s="187"/>
      <c r="AW882" s="208"/>
      <c r="AX882" s="209"/>
      <c r="AY882" s="210"/>
      <c r="BB882" s="99"/>
      <c r="BC882" s="99"/>
      <c r="BD882" s="187"/>
      <c r="CH882" s="53" t="str">
        <f>IFERROR(TOWER_DATA[[#This Row],[Top '[m']]]-TOWER_DATA[[#This Row],[Bottom '[m']]], "")</f>
        <v/>
      </c>
      <c r="CI882" s="217" t="str">
        <f>IFERROR(-(TOWER_DATA[[#This Row],[D, bottom '[m']]]-TOWER_DATA[[#This Row],[D, top '[m']]])/(TOWER_DATA[[#This Row],[Bottom '[m']]]-TOWER_DATA[[#This Row],[Top '[m']]]),"")</f>
        <v/>
      </c>
      <c r="CJ882" s="145" t="str">
        <f t="shared" si="27"/>
        <v/>
      </c>
      <c r="CK882" s="220" t="str">
        <f>IFERROR((TOWER_DATA[[#This Row],[D, bottom '[m']]]+TOWER_DATA[[#This Row],[D, top '[m']]])/(2*TOWER_DATA[[#This Row],[t '[mm']]]/1000),"")</f>
        <v/>
      </c>
      <c r="DQ882" s="187"/>
      <c r="DT882" s="99"/>
      <c r="DU882" s="99"/>
    </row>
    <row r="883" spans="1:128" ht="18" customHeight="1">
      <c r="A883" s="271"/>
      <c r="D883" s="280"/>
      <c r="E883" s="52"/>
      <c r="S883" s="187"/>
      <c r="AW883" s="208"/>
      <c r="AX883" s="209"/>
      <c r="AY883" s="210"/>
      <c r="BB883" s="99"/>
      <c r="BC883" s="99"/>
      <c r="BD883" s="187"/>
      <c r="CH883" s="53" t="str">
        <f>IFERROR(TOWER_DATA[[#This Row],[Top '[m']]]-TOWER_DATA[[#This Row],[Bottom '[m']]], "")</f>
        <v/>
      </c>
      <c r="CI883" s="217" t="str">
        <f>IFERROR(-(TOWER_DATA[[#This Row],[D, bottom '[m']]]-TOWER_DATA[[#This Row],[D, top '[m']]])/(TOWER_DATA[[#This Row],[Bottom '[m']]]-TOWER_DATA[[#This Row],[Top '[m']]]),"")</f>
        <v/>
      </c>
      <c r="CJ883" s="145"/>
      <c r="CK883" s="220" t="str">
        <f>IFERROR((TOWER_DATA[[#This Row],[D, bottom '[m']]]+TOWER_DATA[[#This Row],[D, top '[m']]])/(2*TOWER_DATA[[#This Row],[t '[mm']]]/1000),"")</f>
        <v/>
      </c>
      <c r="DQ883" s="187"/>
      <c r="DT883" s="99"/>
      <c r="DU883" s="99"/>
    </row>
    <row r="884" spans="1:128" ht="18" customHeight="1">
      <c r="A884" s="271"/>
      <c r="D884" s="280"/>
      <c r="E884" s="52"/>
      <c r="S884" s="187"/>
      <c r="AW884" s="208"/>
      <c r="AX884" s="209"/>
      <c r="AY884" s="210"/>
      <c r="BB884" s="99"/>
      <c r="BC884" s="99"/>
      <c r="BD884" s="187"/>
      <c r="CH884" s="53" t="str">
        <f>IFERROR(TOWER_DATA[[#This Row],[Top '[m']]]-TOWER_DATA[[#This Row],[Bottom '[m']]], "")</f>
        <v/>
      </c>
      <c r="CI884" s="217" t="str">
        <f>IFERROR(-(TOWER_DATA[[#This Row],[D, bottom '[m']]]-TOWER_DATA[[#This Row],[D, top '[m']]])/(TOWER_DATA[[#This Row],[Bottom '[m']]]-TOWER_DATA[[#This Row],[Top '[m']]]),"")</f>
        <v/>
      </c>
      <c r="CJ884" s="145"/>
      <c r="CK884" s="220" t="str">
        <f>IFERROR((TOWER_DATA[[#This Row],[D, bottom '[m']]]+TOWER_DATA[[#This Row],[D, top '[m']]])/(2*TOWER_DATA[[#This Row],[t '[mm']]]/1000),"")</f>
        <v/>
      </c>
      <c r="DQ884" s="187"/>
      <c r="DT884" s="99"/>
      <c r="DU884" s="99"/>
    </row>
    <row r="885" spans="1:128" ht="18" customHeight="1">
      <c r="A885" s="271"/>
      <c r="D885" s="280"/>
      <c r="E885" s="52"/>
      <c r="S885" s="187"/>
      <c r="AW885" s="208"/>
      <c r="AX885" s="209"/>
      <c r="AY885" s="210"/>
      <c r="BB885" s="99"/>
      <c r="BC885" s="99"/>
      <c r="BD885" s="187"/>
      <c r="CH885" s="53" t="str">
        <f>IFERROR(TOWER_DATA[[#This Row],[Top '[m']]]-TOWER_DATA[[#This Row],[Bottom '[m']]], "")</f>
        <v/>
      </c>
      <c r="CI885" s="217" t="str">
        <f>IFERROR(-(TOWER_DATA[[#This Row],[D, bottom '[m']]]-TOWER_DATA[[#This Row],[D, top '[m']]])/(TOWER_DATA[[#This Row],[Bottom '[m']]]-TOWER_DATA[[#This Row],[Top '[m']]]),"")</f>
        <v/>
      </c>
      <c r="CJ885" s="145"/>
      <c r="CK885" s="220"/>
      <c r="DQ885" s="187"/>
      <c r="DT885" s="99"/>
      <c r="DU885" s="99"/>
    </row>
    <row r="886" spans="1:128" ht="18" customHeight="1">
      <c r="A886" s="271"/>
      <c r="D886" s="280"/>
      <c r="E886" s="52"/>
      <c r="S886" s="187"/>
      <c r="AW886" s="208"/>
      <c r="AX886" s="209"/>
      <c r="AY886" s="210"/>
      <c r="BB886" s="99"/>
      <c r="BC886" s="99"/>
      <c r="BD886" s="187"/>
      <c r="CH886" s="53" t="str">
        <f>IFERROR(TOWER_DATA[[#This Row],[Top '[m']]]-TOWER_DATA[[#This Row],[Bottom '[m']]], "")</f>
        <v/>
      </c>
      <c r="CI886" s="217" t="str">
        <f>IFERROR(-(TOWER_DATA[[#This Row],[D, bottom '[m']]]-TOWER_DATA[[#This Row],[D, top '[m']]])/(TOWER_DATA[[#This Row],[Bottom '[m']]]-TOWER_DATA[[#This Row],[Top '[m']]]),"")</f>
        <v/>
      </c>
      <c r="CJ886" s="145"/>
      <c r="CK886" s="220"/>
      <c r="DQ886" s="187"/>
      <c r="DT886" s="99"/>
      <c r="DU886" s="99"/>
    </row>
    <row r="887" spans="1:128" ht="18" customHeight="1">
      <c r="A887" s="271"/>
      <c r="D887" s="280"/>
      <c r="E887" s="52"/>
      <c r="AW887" s="208"/>
      <c r="AX887" s="209"/>
      <c r="AY887" s="210"/>
      <c r="BB887" s="99"/>
      <c r="BC887" s="99"/>
      <c r="BD887" s="187"/>
      <c r="CH887" s="53" t="str">
        <f>IFERROR(TOWER_DATA[[#This Row],[Top '[m']]]-TOWER_DATA[[#This Row],[Bottom '[m']]], "")</f>
        <v/>
      </c>
      <c r="CI887" s="217" t="str">
        <f>IFERROR(-(TOWER_DATA[[#This Row],[D, bottom '[m']]]-TOWER_DATA[[#This Row],[D, top '[m']]])/(TOWER_DATA[[#This Row],[Bottom '[m']]]-TOWER_DATA[[#This Row],[Top '[m']]]),"")</f>
        <v/>
      </c>
      <c r="CK887" s="220"/>
      <c r="DQ887" s="187"/>
      <c r="DT887" s="99"/>
      <c r="DU887" s="99"/>
    </row>
    <row r="888" spans="1:128" ht="18" customHeight="1">
      <c r="A888" s="271"/>
      <c r="D888" s="280"/>
      <c r="E888" s="52"/>
      <c r="AW888" s="208"/>
      <c r="AX888" s="209"/>
      <c r="AY888" s="210"/>
      <c r="BB888" s="99"/>
      <c r="BC888" s="99"/>
      <c r="BD888" s="187"/>
      <c r="CH888" s="53" t="str">
        <f>IFERROR(TOWER_DATA[[#This Row],[Top '[m']]]-TOWER_DATA[[#This Row],[Bottom '[m']]], "")</f>
        <v/>
      </c>
      <c r="CI888" s="217" t="str">
        <f>IFERROR(-(TOWER_DATA[[#This Row],[D, bottom '[m']]]-TOWER_DATA[[#This Row],[D, top '[m']]])/(TOWER_DATA[[#This Row],[Bottom '[m']]]-TOWER_DATA[[#This Row],[Top '[m']]]),"")</f>
        <v/>
      </c>
      <c r="CK888" s="220"/>
      <c r="DQ888" s="187"/>
      <c r="DT888" s="99"/>
      <c r="DU888" s="99"/>
    </row>
    <row r="889" spans="1:128" ht="18" customHeight="1" thickBot="1">
      <c r="A889" s="272"/>
      <c r="B889" s="283"/>
      <c r="C889" s="283"/>
      <c r="D889" s="284"/>
      <c r="E889" s="52"/>
      <c r="AW889" s="208"/>
      <c r="AX889" s="209"/>
      <c r="AY889" s="210"/>
      <c r="BB889" s="99"/>
      <c r="BC889" s="99"/>
      <c r="BD889" s="187"/>
      <c r="CH889" s="53" t="str">
        <f>IFERROR(TOWER_DATA[[#This Row],[Top '[m']]]-TOWER_DATA[[#This Row],[Bottom '[m']]], "")</f>
        <v/>
      </c>
      <c r="CI889" s="217" t="str">
        <f>IFERROR(-(TOWER_DATA[[#This Row],[D, bottom '[m']]]-TOWER_DATA[[#This Row],[D, top '[m']]])/(TOWER_DATA[[#This Row],[Bottom '[m']]]-TOWER_DATA[[#This Row],[Top '[m']]]),"")</f>
        <v/>
      </c>
      <c r="CK889" s="220"/>
      <c r="DQ889" s="187"/>
      <c r="DT889" s="99"/>
      <c r="DU889" s="99"/>
    </row>
    <row r="890" spans="1:128" ht="18" customHeight="1" thickBot="1">
      <c r="AW890" s="208"/>
      <c r="AX890" s="209"/>
      <c r="AY890" s="210"/>
      <c r="BB890" s="99"/>
      <c r="BC890" s="99"/>
      <c r="BD890" s="187"/>
      <c r="CH890" s="53" t="str">
        <f>IFERROR(TOWER_DATA[[#This Row],[Top '[m']]]-TOWER_DATA[[#This Row],[Bottom '[m']]], "")</f>
        <v/>
      </c>
      <c r="CI890" s="217" t="str">
        <f>IFERROR(-(TOWER_DATA[[#This Row],[D, bottom '[m']]]-TOWER_DATA[[#This Row],[D, top '[m']]])/(TOWER_DATA[[#This Row],[Bottom '[m']]]-TOWER_DATA[[#This Row],[Top '[m']]]),"")</f>
        <v/>
      </c>
      <c r="CK890" s="220"/>
      <c r="DN890" s="66"/>
      <c r="DO890" s="67"/>
      <c r="DP890" s="67"/>
      <c r="DQ890" s="193"/>
      <c r="DR890" s="193"/>
      <c r="DS890" s="193"/>
      <c r="DT890" s="67"/>
      <c r="DU890" s="67"/>
      <c r="DV890" s="67"/>
      <c r="DW890" s="67"/>
      <c r="DX890" s="68"/>
    </row>
    <row r="891" spans="1:128" ht="18" customHeight="1">
      <c r="AW891" s="208"/>
      <c r="AY891" s="210"/>
      <c r="BB891" s="99"/>
      <c r="BC891" s="99"/>
      <c r="BD891" s="187"/>
      <c r="CK891" s="220"/>
      <c r="DQ891" s="187"/>
    </row>
    <row r="892" spans="1:128" ht="18" customHeight="1">
      <c r="AW892" s="208"/>
      <c r="AY892" s="210"/>
      <c r="BB892" s="99"/>
      <c r="BC892" s="99"/>
      <c r="BD892" s="187"/>
      <c r="CK892" s="220"/>
      <c r="DQ892" s="187"/>
    </row>
    <row r="893" spans="1:128" ht="18" customHeight="1">
      <c r="AW893" s="208"/>
      <c r="AY893" s="210"/>
      <c r="BB893" s="99"/>
      <c r="BC893" s="99"/>
      <c r="BD893" s="187"/>
      <c r="CK893" s="220"/>
      <c r="DQ893" s="187"/>
    </row>
    <row r="894" spans="1:128" ht="18" customHeight="1">
      <c r="AW894" s="208"/>
      <c r="BD894" s="187"/>
      <c r="CK894" s="220"/>
    </row>
  </sheetData>
  <protectedRanges>
    <protectedRange sqref="DY13:DZ13 EC13:EE13 DS112:DU112 DN112:DP112 EU113:EW113 EQ113:ER113" name="Bereich1_1"/>
    <protectedRange sqref="F82:G84 AQ82:AR84 CC113:CD134 CC82:CD84 F113:G134 AQ113:AR137" name="Eingaben2"/>
    <protectedRange sqref="H82:J84 AS82:AU84 CE82:CG84" name="Eingaben2_2"/>
    <protectedRange sqref="CE113:CG134 H113:J134 AS113:AU137" name="Eingaben2_4"/>
  </protectedRanges>
  <dataConsolidate/>
  <mergeCells count="3">
    <mergeCell ref="AP8:AP9"/>
    <mergeCell ref="E8:E9"/>
    <mergeCell ref="CB8:CB9"/>
  </mergeCells>
  <phoneticPr fontId="10" type="noConversion"/>
  <conditionalFormatting sqref="E2011">
    <cfRule type="expression" dxfId="406" priority="42">
      <formula>E2010&lt;&gt;_xludf.INDIRECT("B" &amp; _xludf.ROW() + 200)</formula>
    </cfRule>
  </conditionalFormatting>
  <conditionalFormatting sqref="O115:O162 E136:J221 DN112:DU175 DN111:DT111">
    <cfRule type="expression" dxfId="405" priority="44">
      <formula>#REF!&lt;&gt;_xludf.INDIRECT(_xludf.ADDRESS(_xludf.ROW()-200,_xludf.COLUMN()))</formula>
    </cfRule>
  </conditionalFormatting>
  <conditionalFormatting sqref="G223">
    <cfRule type="expression" dxfId="404" priority="49">
      <formula>#REF!&lt;&gt;_xludf.INDIRECT(_xludf.ADDRESS(_xludf.ROW()-200,_xludf.COLUMN()))</formula>
    </cfRule>
  </conditionalFormatting>
  <conditionalFormatting sqref="E222:E226">
    <cfRule type="expression" dxfId="403" priority="67">
      <formula>#REF!&lt;&gt;_xludf.INDIRECT(_xludf.ADDRESS(_xludf.ROW()-200,_xludf.COLUMN()))</formula>
    </cfRule>
  </conditionalFormatting>
  <conditionalFormatting sqref="DV135:DW138">
    <cfRule type="expression" dxfId="402" priority="30">
      <formula>#REF!&lt;&gt;_xludf.INDIRECT(_xludf.ADDRESS(_xludf.ROW()-200,_xludf.COLUMN()))</formula>
    </cfRule>
  </conditionalFormatting>
  <conditionalFormatting sqref="O168:O182">
    <cfRule type="expression" dxfId="401" priority="73">
      <formula>O23&lt;&gt;_xludf.INDIRECT(_xludf.ADDRESS(_xludf.ROW()-200,_xludf.COLUMN()))</formula>
    </cfRule>
  </conditionalFormatting>
  <conditionalFormatting sqref="O183:O185">
    <cfRule type="expression" dxfId="400" priority="124">
      <formula>#REF!&lt;&gt;_xludf.INDIRECT(_xludf.ADDRESS(_xludf.ROW()-200,_xludf.COLUMN()))</formula>
    </cfRule>
  </conditionalFormatting>
  <conditionalFormatting sqref="J237">
    <cfRule type="expression" dxfId="399" priority="173">
      <formula>K126&lt;&gt;_xludf.INDIRECT(_xludf.ADDRESS(_xludf.ROW()-200,_xludf.COLUMN()))</formula>
    </cfRule>
  </conditionalFormatting>
  <conditionalFormatting sqref="O163:O167">
    <cfRule type="expression" dxfId="398" priority="174">
      <formula>N112&lt;&gt;_xludf.INDIRECT(_xludf.ADDRESS(_xludf.ROW()-200,_xludf.COLUMN()))</formula>
    </cfRule>
  </conditionalFormatting>
  <conditionalFormatting sqref="H223">
    <cfRule type="expression" dxfId="397" priority="175">
      <formula>F113&lt;&gt;_xludf.INDIRECT(_xludf.ADDRESS(_xludf.ROW()-200,_xludf.COLUMN()))</formula>
    </cfRule>
  </conditionalFormatting>
  <conditionalFormatting sqref="J227:J236 E227:I244 J238:J244">
    <cfRule type="expression" dxfId="396" priority="176">
      <formula>E117&lt;&gt;_xludf.INDIRECT(_xludf.ADDRESS(_xludf.ROW()-200,_xludf.COLUMN()))</formula>
    </cfRule>
  </conditionalFormatting>
  <conditionalFormatting sqref="F223:F226 G224:H226 F222:J222 I223:J226">
    <cfRule type="expression" dxfId="395" priority="179">
      <formula>E112&lt;&gt;_xludf.INDIRECT(_xludf.ADDRESS(_xludf.ROW()-200,_xludf.COLUMN()))</formula>
    </cfRule>
  </conditionalFormatting>
  <conditionalFormatting sqref="AP2014">
    <cfRule type="expression" dxfId="394" priority="16">
      <formula>AP2013&lt;&gt;_xludf.INDIRECT("B" &amp; _xludf.ROW() + 200)</formula>
    </cfRule>
  </conditionalFormatting>
  <conditionalFormatting sqref="AW138 AZ115:AZ138 AW139:AZ162 AP139:AU224">
    <cfRule type="expression" dxfId="393" priority="17">
      <formula>#REF!&lt;&gt;_xludf.INDIRECT(_xludf.ADDRESS(_xludf.ROW()-200,_xludf.COLUMN()))</formula>
    </cfRule>
  </conditionalFormatting>
  <conditionalFormatting sqref="AR226">
    <cfRule type="expression" dxfId="392" priority="19">
      <formula>#REF!&lt;&gt;_xludf.INDIRECT(_xludf.ADDRESS(_xludf.ROW()-200,_xludf.COLUMN()))</formula>
    </cfRule>
  </conditionalFormatting>
  <conditionalFormatting sqref="AP225:AP229">
    <cfRule type="expression" dxfId="391" priority="20">
      <formula>#REF!&lt;&gt;_xludf.INDIRECT(_xludf.ADDRESS(_xludf.ROW()-200,_xludf.COLUMN()))</formula>
    </cfRule>
  </conditionalFormatting>
  <conditionalFormatting sqref="AZ168:AZ182">
    <cfRule type="expression" dxfId="390" priority="21">
      <formula>AZ23&lt;&gt;_xludf.INDIRECT(_xludf.ADDRESS(_xludf.ROW()-200,_xludf.COLUMN()))</formula>
    </cfRule>
  </conditionalFormatting>
  <conditionalFormatting sqref="AY185 AZ183:AZ185">
    <cfRule type="expression" dxfId="389" priority="22">
      <formula>#REF!&lt;&gt;_xludf.INDIRECT(_xludf.ADDRESS(_xludf.ROW()-200,_xludf.COLUMN()))</formula>
    </cfRule>
  </conditionalFormatting>
  <conditionalFormatting sqref="AY168:AY184">
    <cfRule type="expression" dxfId="388" priority="23">
      <formula>AY118&lt;&gt;_xludf.INDIRECT(_xludf.ADDRESS(_xludf.ROW()-200,_xludf.COLUMN()))</formula>
    </cfRule>
  </conditionalFormatting>
  <conditionalFormatting sqref="AW168:AX185">
    <cfRule type="expression" dxfId="387" priority="24">
      <formula>AW117&lt;&gt;_xludf.INDIRECT(_xludf.ADDRESS(_xludf.ROW()-200,_xludf.COLUMN()))</formula>
    </cfRule>
  </conditionalFormatting>
  <conditionalFormatting sqref="AU240">
    <cfRule type="expression" dxfId="386" priority="25">
      <formula>AV126&lt;&gt;_xludf.INDIRECT(_xludf.ADDRESS(_xludf.ROW()-200,_xludf.COLUMN()))</formula>
    </cfRule>
  </conditionalFormatting>
  <conditionalFormatting sqref="AW163:AZ167">
    <cfRule type="expression" dxfId="385" priority="26">
      <formula>AV112&lt;&gt;_xludf.INDIRECT(_xludf.ADDRESS(_xludf.ROW()-200,_xludf.COLUMN()))</formula>
    </cfRule>
  </conditionalFormatting>
  <conditionalFormatting sqref="AS226">
    <cfRule type="expression" dxfId="384" priority="27">
      <formula>AQ113&lt;&gt;_xludf.INDIRECT(_xludf.ADDRESS(_xludf.ROW()-200,_xludf.COLUMN()))</formula>
    </cfRule>
  </conditionalFormatting>
  <conditionalFormatting sqref="AU230:AU239 AP230:AT247 AU241:AU247">
    <cfRule type="expression" dxfId="383" priority="28">
      <formula>AP120&lt;&gt;_xludf.INDIRECT(_xludf.ADDRESS(_xludf.ROW()-200,_xludf.COLUMN()))</formula>
    </cfRule>
  </conditionalFormatting>
  <conditionalFormatting sqref="AR227:AS229">
    <cfRule type="expression" dxfId="382" priority="29">
      <formula>AQ117&lt;&gt;_xludf.INDIRECT(_xludf.ADDRESS(_xludf.ROW()-200,_xludf.COLUMN()))</formula>
    </cfRule>
  </conditionalFormatting>
  <conditionalFormatting sqref="CB2011">
    <cfRule type="expression" dxfId="381" priority="2">
      <formula>CB2010&lt;&gt;_xludf.INDIRECT("B" &amp; _xludf.ROW() + 200)</formula>
    </cfRule>
  </conditionalFormatting>
  <conditionalFormatting sqref="CL115:CL162 CB136:CG221">
    <cfRule type="expression" dxfId="380" priority="3">
      <formula>#REF!&lt;&gt;_xludf.INDIRECT(_xludf.ADDRESS(_xludf.ROW()-200,_xludf.COLUMN()))</formula>
    </cfRule>
  </conditionalFormatting>
  <conditionalFormatting sqref="CD223">
    <cfRule type="expression" dxfId="379" priority="5">
      <formula>#REF!&lt;&gt;_xludf.INDIRECT(_xludf.ADDRESS(_xludf.ROW()-200,_xludf.COLUMN()))</formula>
    </cfRule>
  </conditionalFormatting>
  <conditionalFormatting sqref="CB222:CB226">
    <cfRule type="expression" dxfId="378" priority="6">
      <formula>#REF!&lt;&gt;_xludf.INDIRECT(_xludf.ADDRESS(_xludf.ROW()-200,_xludf.COLUMN()))</formula>
    </cfRule>
  </conditionalFormatting>
  <conditionalFormatting sqref="CL168:CL182">
    <cfRule type="expression" dxfId="377" priority="7">
      <formula>CL23&lt;&gt;_xludf.INDIRECT(_xludf.ADDRESS(_xludf.ROW()-200,_xludf.COLUMN()))</formula>
    </cfRule>
  </conditionalFormatting>
  <conditionalFormatting sqref="CL183:CL185">
    <cfRule type="expression" dxfId="376" priority="8">
      <formula>#REF!&lt;&gt;_xludf.INDIRECT(_xludf.ADDRESS(_xludf.ROW()-200,_xludf.COLUMN()))</formula>
    </cfRule>
  </conditionalFormatting>
  <conditionalFormatting sqref="CG237">
    <cfRule type="expression" dxfId="375" priority="11">
      <formula>CH126&lt;&gt;_xludf.INDIRECT(_xludf.ADDRESS(_xludf.ROW()-200,_xludf.COLUMN()))</formula>
    </cfRule>
  </conditionalFormatting>
  <conditionalFormatting sqref="CL163:CL167">
    <cfRule type="expression" dxfId="374" priority="12">
      <formula>CK112&lt;&gt;_xludf.INDIRECT(_xludf.ADDRESS(_xludf.ROW()-200,_xludf.COLUMN()))</formula>
    </cfRule>
  </conditionalFormatting>
  <conditionalFormatting sqref="CE223">
    <cfRule type="expression" dxfId="373" priority="13">
      <formula>CC113&lt;&gt;_xludf.INDIRECT(_xludf.ADDRESS(_xludf.ROW()-200,_xludf.COLUMN()))</formula>
    </cfRule>
  </conditionalFormatting>
  <conditionalFormatting sqref="CG227:CG236 CB227:CF244 CG238:CG244">
    <cfRule type="expression" dxfId="372" priority="14">
      <formula>CB117&lt;&gt;_xludf.INDIRECT(_xludf.ADDRESS(_xludf.ROW()-200,_xludf.COLUMN()))</formula>
    </cfRule>
  </conditionalFormatting>
  <conditionalFormatting sqref="CC223:CC226 CD224:CE226 CC222:CG222 CF223:CG226">
    <cfRule type="expression" dxfId="371" priority="15">
      <formula>CB112&lt;&gt;_xludf.INDIRECT(_xludf.ADDRESS(_xludf.ROW()-200,_xludf.COLUMN()))</formula>
    </cfRule>
  </conditionalFormatting>
  <conditionalFormatting sqref="AQ226:AQ229 AT226:AU229 AQ225:AU225">
    <cfRule type="expression" dxfId="370" priority="180">
      <formula>AP112&lt;&gt;_xludf.INDIRECT(_xludf.ADDRESS(_xludf.ROW()-200,_xludf.COLUMN()))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114300</xdr:colOff>
                    <xdr:row>1</xdr:row>
                    <xdr:rowOff>133350</xdr:rowOff>
                  </from>
                  <to>
                    <xdr:col>3</xdr:col>
                    <xdr:colOff>1685925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ialog">
                <anchor moveWithCells="1" sizeWithCells="1">
                  <from>
                    <xdr:col>4</xdr:col>
                    <xdr:colOff>57150</xdr:colOff>
                    <xdr:row>5</xdr:row>
                    <xdr:rowOff>47625</xdr:rowOff>
                  </from>
                  <to>
                    <xdr:col>4</xdr:col>
                    <xdr:colOff>3295650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66675</xdr:colOff>
                    <xdr:row>21</xdr:row>
                    <xdr:rowOff>171450</xdr:rowOff>
                  </from>
                  <to>
                    <xdr:col>8</xdr:col>
                    <xdr:colOff>1228725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delete_MP_Data">
                <anchor moveWithCells="1" sizeWithCells="1">
                  <from>
                    <xdr:col>8</xdr:col>
                    <xdr:colOff>1352550</xdr:colOff>
                    <xdr:row>21</xdr:row>
                    <xdr:rowOff>171450</xdr:rowOff>
                  </from>
                  <to>
                    <xdr:col>10</xdr:col>
                    <xdr:colOff>1228725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114300</xdr:colOff>
                    <xdr:row>18</xdr:row>
                    <xdr:rowOff>95250</xdr:rowOff>
                  </from>
                  <to>
                    <xdr:col>1</xdr:col>
                    <xdr:colOff>1428750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9" name="Button 27">
              <controlPr defaultSize="0" print="0" autoFill="0" autoPict="0" macro="[0]!load_TOWER_DB">
                <anchor moveWithCells="1" sizeWithCells="1">
                  <from>
                    <xdr:col>63</xdr:col>
                    <xdr:colOff>38100</xdr:colOff>
                    <xdr:row>6</xdr:row>
                    <xdr:rowOff>38100</xdr:rowOff>
                  </from>
                  <to>
                    <xdr:col>63</xdr:col>
                    <xdr:colOff>790575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0" name="Button 33">
              <controlPr defaultSize="0" print="0" autoFill="0" autoPict="0" macro="[0]!reload_TOWER_DB">
                <anchor moveWithCells="1" sizeWithCells="1">
                  <from>
                    <xdr:col>63</xdr:col>
                    <xdr:colOff>819150</xdr:colOff>
                    <xdr:row>6</xdr:row>
                    <xdr:rowOff>19050</xdr:rowOff>
                  </from>
                  <to>
                    <xdr:col>64</xdr:col>
                    <xdr:colOff>9525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1" name="Import_MP_use_TP">
              <controlPr defaultSize="0" autoFill="0" autoLine="0" autoPict="0">
                <anchor moveWithCells="1">
                  <from>
                    <xdr:col>0</xdr:col>
                    <xdr:colOff>1609725</xdr:colOff>
                    <xdr:row>20</xdr:row>
                    <xdr:rowOff>95250</xdr:rowOff>
                  </from>
                  <to>
                    <xdr:col>1</xdr:col>
                    <xdr:colOff>971550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2" name="Import_MP_use_MP">
              <controlPr defaultSize="0" autoFill="0" autoLine="0" autoPict="0">
                <anchor moveWithCells="1">
                  <from>
                    <xdr:col>0</xdr:col>
                    <xdr:colOff>95250</xdr:colOff>
                    <xdr:row>20</xdr:row>
                    <xdr:rowOff>114300</xdr:rowOff>
                  </from>
                  <to>
                    <xdr:col>0</xdr:col>
                    <xdr:colOff>990600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3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76200</xdr:colOff>
                    <xdr:row>22</xdr:row>
                    <xdr:rowOff>57150</xdr:rowOff>
                  </from>
                  <to>
                    <xdr:col>4</xdr:col>
                    <xdr:colOff>3314700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4" name="Button 41">
              <controlPr defaultSize="0" print="0" autoFill="0" autoPict="0" macro="[0]!save_RNA_Data">
                <anchor moveWithCells="1" sizeWithCells="1">
                  <from>
                    <xdr:col>117</xdr:col>
                    <xdr:colOff>57150</xdr:colOff>
                    <xdr:row>24</xdr:row>
                    <xdr:rowOff>104775</xdr:rowOff>
                  </from>
                  <to>
                    <xdr:col>120</xdr:col>
                    <xdr:colOff>762000</xdr:colOff>
                    <xdr:row>109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5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76200</xdr:colOff>
                    <xdr:row>18</xdr:row>
                    <xdr:rowOff>104775</xdr:rowOff>
                  </from>
                  <to>
                    <xdr:col>3</xdr:col>
                    <xdr:colOff>1695450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6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104775</xdr:colOff>
                    <xdr:row>4</xdr:row>
                    <xdr:rowOff>95250</xdr:rowOff>
                  </from>
                  <to>
                    <xdr:col>3</xdr:col>
                    <xdr:colOff>1695450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17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104775</xdr:colOff>
                    <xdr:row>7</xdr:row>
                    <xdr:rowOff>171450</xdr:rowOff>
                  </from>
                  <to>
                    <xdr:col>3</xdr:col>
                    <xdr:colOff>1695450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18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104775</xdr:colOff>
                    <xdr:row>11</xdr:row>
                    <xdr:rowOff>38100</xdr:rowOff>
                  </from>
                  <to>
                    <xdr:col>3</xdr:col>
                    <xdr:colOff>1695450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19" name="Import_GeomConv_useMP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104775</xdr:rowOff>
                  </from>
                  <to>
                    <xdr:col>2</xdr:col>
                    <xdr:colOff>914400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0" name="Import_GeomConv_useTP">
              <controlPr defaultSize="0" autoFill="0" autoLine="0" autoPict="0">
                <anchor moveWithCells="1">
                  <from>
                    <xdr:col>2</xdr:col>
                    <xdr:colOff>1114425</xdr:colOff>
                    <xdr:row>20</xdr:row>
                    <xdr:rowOff>85725</xdr:rowOff>
                  </from>
                  <to>
                    <xdr:col>3</xdr:col>
                    <xdr:colOff>142875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1" name="Import_GeomConv_useTOWER">
              <controlPr defaultSize="0" autoFill="0" autoLine="0" autoPict="0">
                <anchor moveWithCells="1">
                  <from>
                    <xdr:col>3</xdr:col>
                    <xdr:colOff>676275</xdr:colOff>
                    <xdr:row>20</xdr:row>
                    <xdr:rowOff>76200</xdr:rowOff>
                  </from>
                  <to>
                    <xdr:col>3</xdr:col>
                    <xdr:colOff>1504950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2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104775</xdr:colOff>
                    <xdr:row>14</xdr:row>
                    <xdr:rowOff>133350</xdr:rowOff>
                  </from>
                  <to>
                    <xdr:col>3</xdr:col>
                    <xdr:colOff>1695450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3" name="Button 61">
              <controlPr defaultSize="0" print="0" autoFill="0" autoPict="0" macro="[0]!plot_MP">
                <anchor moveWithCells="1" sizeWithCells="1">
                  <from>
                    <xdr:col>11</xdr:col>
                    <xdr:colOff>114300</xdr:colOff>
                    <xdr:row>1</xdr:row>
                    <xdr:rowOff>133350</xdr:rowOff>
                  </from>
                  <to>
                    <xdr:col>11</xdr:col>
                    <xdr:colOff>1009650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4" name="Button 64">
              <controlPr defaultSize="0" print="0" autoFill="0" autoPict="0" macro="[0]!save_TP_Data">
                <anchor moveWithCells="1" sizeWithCells="1">
                  <from>
                    <xdr:col>44</xdr:col>
                    <xdr:colOff>19050</xdr:colOff>
                    <xdr:row>21</xdr:row>
                    <xdr:rowOff>171450</xdr:rowOff>
                  </from>
                  <to>
                    <xdr:col>45</xdr:col>
                    <xdr:colOff>1181100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5" name="Button 65">
              <controlPr defaultSize="0" print="0" autoFill="0" autoPict="0" macro="[0]!delete_TP_Data">
                <anchor moveWithCells="1" sizeWithCells="1">
                  <from>
                    <xdr:col>45</xdr:col>
                    <xdr:colOff>1323975</xdr:colOff>
                    <xdr:row>21</xdr:row>
                    <xdr:rowOff>171450</xdr:rowOff>
                  </from>
                  <to>
                    <xdr:col>47</xdr:col>
                    <xdr:colOff>1200150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6" name="Button 67">
              <controlPr defaultSize="0" print="0" autoFill="0" autoPict="0" macro="[0]!move_structure_TP">
                <anchor moveWithCells="1" sizeWithCells="1">
                  <from>
                    <xdr:col>41</xdr:col>
                    <xdr:colOff>28575</xdr:colOff>
                    <xdr:row>22</xdr:row>
                    <xdr:rowOff>19050</xdr:rowOff>
                  </from>
                  <to>
                    <xdr:col>41</xdr:col>
                    <xdr:colOff>3409950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27" name="Button 68">
              <controlPr defaultSize="0" print="0" autoFill="0" autoPict="0" macro="[0]!plot_TP">
                <anchor moveWithCells="1" sizeWithCells="1">
                  <from>
                    <xdr:col>48</xdr:col>
                    <xdr:colOff>85725</xdr:colOff>
                    <xdr:row>1</xdr:row>
                    <xdr:rowOff>133350</xdr:rowOff>
                  </from>
                  <to>
                    <xdr:col>48</xdr:col>
                    <xdr:colOff>981075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28" name="Button 70">
              <controlPr defaultSize="0" print="0" autoFill="0" autoPict="0" macro="[0]!load_TOWER_DB">
                <anchor moveWithCells="1" sizeWithCells="1">
                  <from>
                    <xdr:col>101</xdr:col>
                    <xdr:colOff>38100</xdr:colOff>
                    <xdr:row>6</xdr:row>
                    <xdr:rowOff>38100</xdr:rowOff>
                  </from>
                  <to>
                    <xdr:col>101</xdr:col>
                    <xdr:colOff>790575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29" name="Button 71">
              <controlPr defaultSize="0" print="0" autoFill="0" autoPict="0" macro="[0]!reload_TOWER_DB">
                <anchor moveWithCells="1" sizeWithCells="1">
                  <from>
                    <xdr:col>101</xdr:col>
                    <xdr:colOff>819150</xdr:colOff>
                    <xdr:row>6</xdr:row>
                    <xdr:rowOff>19050</xdr:rowOff>
                  </from>
                  <to>
                    <xdr:col>102</xdr:col>
                    <xdr:colOff>9525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30" name="Button 76">
              <controlPr defaultSize="0" print="0" autoFill="0" autoPict="0" macro="[0]!save_TP_Data">
                <anchor moveWithCells="1" sizeWithCells="1">
                  <from>
                    <xdr:col>82</xdr:col>
                    <xdr:colOff>28575</xdr:colOff>
                    <xdr:row>21</xdr:row>
                    <xdr:rowOff>161925</xdr:rowOff>
                  </from>
                  <to>
                    <xdr:col>83</xdr:col>
                    <xdr:colOff>1181100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31" name="Button 77">
              <controlPr defaultSize="0" print="0" autoFill="0" autoPict="0" macro="[0]!delete_TP_Data">
                <anchor moveWithCells="1" sizeWithCells="1">
                  <from>
                    <xdr:col>83</xdr:col>
                    <xdr:colOff>1323975</xdr:colOff>
                    <xdr:row>21</xdr:row>
                    <xdr:rowOff>171450</xdr:rowOff>
                  </from>
                  <to>
                    <xdr:col>85</xdr:col>
                    <xdr:colOff>1200150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32" name="Button 79">
              <controlPr defaultSize="0" print="0" autoFill="0" autoPict="0" macro="[0]!move_structure_TOWER">
                <anchor moveWithCells="1" sizeWithCells="1">
                  <from>
                    <xdr:col>79</xdr:col>
                    <xdr:colOff>28575</xdr:colOff>
                    <xdr:row>22</xdr:row>
                    <xdr:rowOff>19050</xdr:rowOff>
                  </from>
                  <to>
                    <xdr:col>79</xdr:col>
                    <xdr:colOff>3409950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33" name="Button 80">
              <controlPr defaultSize="0" print="0" autoFill="0" autoPict="0" macro="[0]!plot_TOWER">
                <anchor moveWithCells="1" sizeWithCells="1">
                  <from>
                    <xdr:col>86</xdr:col>
                    <xdr:colOff>85725</xdr:colOff>
                    <xdr:row>1</xdr:row>
                    <xdr:rowOff>104775</xdr:rowOff>
                  </from>
                  <to>
                    <xdr:col>86</xdr:col>
                    <xdr:colOff>981075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34" name="Dropdown_TOWER_Structures2">
              <controlPr defaultSize="0" autoLine="0" autoPict="0" macro="[0]!load_TOWER_Data">
                <anchor moveWithCells="1">
                  <from>
                    <xdr:col>80</xdr:col>
                    <xdr:colOff>19050</xdr:colOff>
                    <xdr:row>7</xdr:row>
                    <xdr:rowOff>47625</xdr:rowOff>
                  </from>
                  <to>
                    <xdr:col>147</xdr:col>
                    <xdr:colOff>695325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35" name="Button 75">
              <controlPr defaultSize="0" print="0" autoFill="0" autoPict="0" macro="[0]!load_TOWER_dialog">
                <anchor moveWithCells="1" sizeWithCells="1">
                  <from>
                    <xdr:col>79</xdr:col>
                    <xdr:colOff>57150</xdr:colOff>
                    <xdr:row>5</xdr:row>
                    <xdr:rowOff>57150</xdr:rowOff>
                  </from>
                  <to>
                    <xdr:col>79</xdr:col>
                    <xdr:colOff>3295650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36" name="Dropdown_RNA_Structures">
              <controlPr defaultSize="0" autoLine="0" autoPict="0">
                <anchor moveWithCells="1">
                  <from>
                    <xdr:col>118</xdr:col>
                    <xdr:colOff>38100</xdr:colOff>
                    <xdr:row>21</xdr:row>
                    <xdr:rowOff>161925</xdr:rowOff>
                  </from>
                  <to>
                    <xdr:col>146</xdr:col>
                    <xdr:colOff>714375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37" name="Button 85">
              <controlPr defaultSize="0" print="0" autoFill="0" autoPict="0" macro="[0]!load_RNA_dialog">
                <anchor moveWithCells="1" sizeWithCells="1">
                  <from>
                    <xdr:col>117</xdr:col>
                    <xdr:colOff>57150</xdr:colOff>
                    <xdr:row>5</xdr:row>
                    <xdr:rowOff>66675</xdr:rowOff>
                  </from>
                  <to>
                    <xdr:col>117</xdr:col>
                    <xdr:colOff>3305175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38" name="Button 87">
              <controlPr defaultSize="0" print="0" autoFill="0" autoPict="0" macro="[0]!plot_Assambly">
                <anchor moveWithCells="1" sizeWithCells="1">
                  <from>
                    <xdr:col>0</xdr:col>
                    <xdr:colOff>76200</xdr:colOff>
                    <xdr:row>109</xdr:row>
                    <xdr:rowOff>114300</xdr:rowOff>
                  </from>
                  <to>
                    <xdr:col>3</xdr:col>
                    <xdr:colOff>1657350</xdr:colOff>
                    <xdr:row>113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39" name="Dropdown_TP_Structures2">
              <controlPr defaultSize="0" autoLine="0" autoPict="0" macro="[0]!load_TP_Data">
                <anchor moveWithCells="1">
                  <from>
                    <xdr:col>42</xdr:col>
                    <xdr:colOff>9525</xdr:colOff>
                    <xdr:row>7</xdr:row>
                    <xdr:rowOff>28575</xdr:rowOff>
                  </from>
                  <to>
                    <xdr:col>147</xdr:col>
                    <xdr:colOff>1047750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40" name="Button 63">
              <controlPr defaultSize="0" print="0" autoFill="0" autoPict="0" macro="[0]!load_TP_dialog">
                <anchor moveWithCells="1" sizeWithCells="1">
                  <from>
                    <xdr:col>41</xdr:col>
                    <xdr:colOff>95250</xdr:colOff>
                    <xdr:row>5</xdr:row>
                    <xdr:rowOff>47625</xdr:rowOff>
                  </from>
                  <to>
                    <xdr:col>41</xdr:col>
                    <xdr:colOff>3333750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1" name="Dropdown_MP_Structures2">
              <controlPr defaultSize="0" autoLine="0" autoPict="0" macro="[0]!load_MP_Data">
                <anchor moveWithCells="1">
                  <from>
                    <xdr:col>5</xdr:col>
                    <xdr:colOff>19050</xdr:colOff>
                    <xdr:row>7</xdr:row>
                    <xdr:rowOff>57150</xdr:rowOff>
                  </from>
                  <to>
                    <xdr:col>7</xdr:col>
                    <xdr:colOff>2095500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42" name="Dropdown_TP_Structures">
              <controlPr defaultSize="0" autoLine="0" autoPict="0" macro="[0]!load_TP_Data">
                <anchor moveWithCells="1">
                  <from>
                    <xdr:col>62</xdr:col>
                    <xdr:colOff>0</xdr:colOff>
                    <xdr:row>8</xdr:row>
                    <xdr:rowOff>19050</xdr:rowOff>
                  </from>
                  <to>
                    <xdr:col>145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43" name="Dropdown_TOWER_Structures">
              <controlPr defaultSize="0" autoLine="0" autoPict="0" macro="[0]!load_TOWER_Data">
                <anchor moveWithCells="1">
                  <from>
                    <xdr:col>63</xdr:col>
                    <xdr:colOff>19050</xdr:colOff>
                    <xdr:row>8</xdr:row>
                    <xdr:rowOff>19050</xdr:rowOff>
                  </from>
                  <to>
                    <xdr:col>144</xdr:col>
                    <xdr:colOff>1543050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44" name="Dropdown_TP_Structures">
              <controlPr defaultSize="0" autoLine="0" autoPict="0" macro="[0]!load_TP_Data">
                <anchor moveWithCells="1">
                  <from>
                    <xdr:col>100</xdr:col>
                    <xdr:colOff>0</xdr:colOff>
                    <xdr:row>8</xdr:row>
                    <xdr:rowOff>19050</xdr:rowOff>
                  </from>
                  <to>
                    <xdr:col>145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45" name="Dropdown_TOWER_Structures">
              <controlPr defaultSize="0" autoLine="0" autoPict="0" macro="[0]!load_TOWER_Data">
                <anchor moveWithCells="1">
                  <from>
                    <xdr:col>101</xdr:col>
                    <xdr:colOff>19050</xdr:colOff>
                    <xdr:row>8</xdr:row>
                    <xdr:rowOff>19050</xdr:rowOff>
                  </from>
                  <to>
                    <xdr:col>144</xdr:col>
                    <xdr:colOff>1543050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26"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A1:CF3082"/>
  <sheetViews>
    <sheetView showGridLines="0" zoomScale="55" zoomScaleNormal="55" workbookViewId="0">
      <selection activeCell="C53" sqref="C53"/>
    </sheetView>
  </sheetViews>
  <sheetFormatPr baseColWidth="10" defaultColWidth="14.42578125" defaultRowHeight="15"/>
  <cols>
    <col min="1" max="1" width="26.140625" style="103" customWidth="1"/>
    <col min="2" max="2" width="27.7109375" style="141" customWidth="1"/>
    <col min="3" max="3" width="43.7109375" style="104" customWidth="1"/>
    <col min="4" max="4" width="16.7109375" style="51" hidden="1" customWidth="1"/>
    <col min="5" max="5" width="22.140625" style="51" hidden="1" customWidth="1"/>
    <col min="6" max="6" width="25.140625" style="51" hidden="1" customWidth="1"/>
    <col min="7" max="7" width="19.28515625" style="51" hidden="1" customWidth="1"/>
    <col min="8" max="8" width="23.28515625" style="51" hidden="1" customWidth="1"/>
    <col min="9" max="9" width="22.140625" style="51" hidden="1" customWidth="1"/>
    <col min="10" max="10" width="26.28515625" style="51" hidden="1" customWidth="1"/>
    <col min="11" max="11" width="17.42578125" style="51" hidden="1" customWidth="1"/>
    <col min="12" max="12" width="14" style="51" hidden="1" customWidth="1"/>
    <col min="13" max="13" width="14.28515625" style="51" hidden="1" customWidth="1"/>
    <col min="14" max="14" width="12.42578125" style="51" hidden="1" customWidth="1"/>
    <col min="15" max="15" width="14.42578125" style="51" hidden="1" customWidth="1"/>
    <col min="16" max="16" width="14.7109375" style="51" hidden="1" customWidth="1"/>
    <col min="17" max="17" width="18.7109375" style="55" customWidth="1"/>
    <col min="18" max="18" width="23.85546875" style="55" customWidth="1"/>
    <col min="19" max="19" width="14.85546875" style="55" customWidth="1"/>
    <col min="20" max="20" width="20.42578125" style="55" customWidth="1"/>
    <col min="21" max="21" width="16.7109375" style="55" customWidth="1"/>
    <col min="22" max="22" width="23" style="55" customWidth="1"/>
    <col min="23" max="23" width="21.85546875" style="55" customWidth="1"/>
    <col min="24" max="24" width="34" style="55" customWidth="1"/>
    <col min="25" max="25" width="34.42578125" style="55" customWidth="1"/>
    <col min="26" max="26" width="32.42578125" style="55" customWidth="1"/>
    <col min="27" max="27" width="15.28515625" style="55" hidden="1" customWidth="1"/>
    <col min="28" max="28" width="28.7109375" style="51" hidden="1" customWidth="1"/>
    <col min="29" max="29" width="21.140625" style="51" hidden="1" customWidth="1"/>
    <col min="30" max="30" width="27.140625" style="51" hidden="1" customWidth="1"/>
    <col min="31" max="31" width="31.28515625" style="51" hidden="1" customWidth="1"/>
    <col min="32" max="32" width="57.28515625" style="51" hidden="1" customWidth="1"/>
    <col min="33" max="33" width="58.7109375" style="51" hidden="1" customWidth="1"/>
    <col min="34" max="34" width="43.5703125" style="51" hidden="1" customWidth="1"/>
    <col min="35" max="35" width="43.28515625" hidden="1" customWidth="1"/>
    <col min="36" max="36" width="18.42578125" hidden="1" customWidth="1"/>
    <col min="37" max="37" width="14.42578125" hidden="1" customWidth="1"/>
    <col min="38" max="38" width="22.7109375" hidden="1" customWidth="1"/>
    <col min="39" max="39" width="14.42578125" hidden="1" customWidth="1"/>
    <col min="40" max="40" width="20.42578125" hidden="1" customWidth="1"/>
    <col min="41" max="43" width="14.42578125" hidden="1" customWidth="1"/>
    <col min="44" max="45" width="14.42578125" style="51" hidden="1" customWidth="1"/>
    <col min="46" max="46" width="20.42578125" style="51" hidden="1" customWidth="1"/>
    <col min="47" max="47" width="26.7109375" style="51" hidden="1" customWidth="1"/>
    <col min="48" max="48" width="17.42578125" style="51" hidden="1" customWidth="1"/>
    <col min="49" max="57" width="14.42578125" style="51" hidden="1" customWidth="1"/>
    <col min="58" max="58" width="14.42578125" style="80" customWidth="1"/>
    <col min="59" max="75" width="14.42578125" style="51" customWidth="1"/>
    <col min="76" max="82" width="14.42578125" style="51"/>
    <col min="83" max="83" width="14.42578125" style="90"/>
    <col min="84" max="16384" width="14.42578125" style="51"/>
  </cols>
  <sheetData>
    <row r="1" spans="1:84" s="133" customFormat="1" ht="196.9" customHeight="1" thickBot="1">
      <c r="A1" s="124"/>
      <c r="B1" s="125"/>
      <c r="C1" s="126"/>
      <c r="D1" s="157" t="s">
        <v>342</v>
      </c>
      <c r="E1" s="132"/>
      <c r="F1" s="132"/>
      <c r="G1" s="132"/>
      <c r="H1" s="132"/>
      <c r="I1" s="131"/>
      <c r="Q1" s="139" t="s">
        <v>343</v>
      </c>
      <c r="AB1" s="139" t="s">
        <v>344</v>
      </c>
      <c r="AO1" s="131"/>
      <c r="AP1" s="132"/>
      <c r="AQ1" s="132"/>
      <c r="AR1" s="132"/>
      <c r="AS1" s="132"/>
      <c r="AT1" s="131"/>
      <c r="BF1" s="135"/>
      <c r="CA1" s="140"/>
      <c r="CB1" s="132"/>
      <c r="CC1" s="132"/>
      <c r="CD1" s="132"/>
      <c r="CE1" s="161"/>
      <c r="CF1" s="131"/>
    </row>
    <row r="2" spans="1:84" ht="33" customHeight="1">
      <c r="D2" s="159"/>
      <c r="E2" s="159"/>
      <c r="F2" s="159"/>
      <c r="G2" s="164"/>
      <c r="H2" s="164"/>
      <c r="I2" s="164"/>
      <c r="J2" s="164"/>
      <c r="K2" s="159"/>
      <c r="L2" s="159"/>
      <c r="M2" s="159"/>
      <c r="N2" s="159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B2" s="159"/>
      <c r="AC2" s="159"/>
      <c r="AD2" s="159"/>
      <c r="AE2" s="159"/>
      <c r="AF2" s="159"/>
      <c r="AG2" s="159"/>
      <c r="AH2" s="159"/>
      <c r="AI2" s="159"/>
      <c r="AJ2" s="159"/>
      <c r="AK2" s="51"/>
      <c r="AL2" s="51"/>
      <c r="AM2" s="51"/>
      <c r="AN2" s="51"/>
      <c r="AO2" s="51"/>
      <c r="AP2" s="51"/>
      <c r="AQ2" s="51"/>
    </row>
    <row r="3" spans="1:84" ht="34.5">
      <c r="D3" s="163" t="s">
        <v>91</v>
      </c>
      <c r="E3" s="159"/>
      <c r="F3" s="159"/>
      <c r="G3" s="164"/>
      <c r="H3" s="159"/>
      <c r="I3" s="159"/>
      <c r="J3" s="159"/>
      <c r="K3" s="159"/>
      <c r="L3" s="159"/>
      <c r="M3" s="159"/>
      <c r="N3" s="159"/>
      <c r="O3" s="164"/>
      <c r="P3" s="164"/>
      <c r="Q3" s="165" t="s">
        <v>92</v>
      </c>
      <c r="R3" s="159"/>
      <c r="S3" s="164"/>
      <c r="T3" s="164"/>
      <c r="U3" s="164"/>
      <c r="V3" s="164"/>
      <c r="W3" s="164"/>
      <c r="X3" s="164"/>
      <c r="Y3" s="164"/>
      <c r="Z3" s="164"/>
      <c r="AB3" s="165" t="s">
        <v>266</v>
      </c>
      <c r="AC3" s="159"/>
      <c r="AD3" s="159"/>
      <c r="AE3" s="159"/>
      <c r="AF3" s="159"/>
      <c r="AG3" s="159"/>
      <c r="AH3" s="159"/>
      <c r="AI3" s="159"/>
      <c r="AJ3" s="159"/>
      <c r="AK3" s="51"/>
      <c r="AL3" s="51"/>
      <c r="AM3" s="51"/>
      <c r="AN3" s="51"/>
      <c r="AO3" s="51"/>
      <c r="AP3" s="51"/>
      <c r="AQ3" s="51"/>
    </row>
    <row r="4" spans="1:84" ht="15" customHeight="1">
      <c r="A4" s="146" t="s">
        <v>336</v>
      </c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64"/>
      <c r="O4" s="164"/>
      <c r="P4" s="164"/>
      <c r="Q4" s="164"/>
      <c r="R4" s="159"/>
      <c r="S4" s="164"/>
      <c r="T4" s="164"/>
      <c r="U4" s="164"/>
      <c r="V4" s="164"/>
      <c r="W4" s="164"/>
      <c r="X4" s="164"/>
      <c r="Y4" s="164"/>
      <c r="Z4" s="164"/>
      <c r="AB4" s="159"/>
      <c r="AC4" s="159"/>
      <c r="AD4" s="159"/>
      <c r="AE4" s="159"/>
      <c r="AF4" s="159"/>
      <c r="AG4" s="159"/>
      <c r="AH4" s="159"/>
      <c r="AI4" s="159"/>
      <c r="AJ4" s="159"/>
      <c r="AK4" s="51"/>
      <c r="AL4" s="51"/>
      <c r="AM4" s="51"/>
      <c r="AN4" s="51"/>
      <c r="AO4" s="51"/>
      <c r="AP4" s="51"/>
      <c r="AQ4" s="51"/>
    </row>
    <row r="5" spans="1:84" ht="15" customHeight="1">
      <c r="A5" s="80" t="s">
        <v>27</v>
      </c>
      <c r="B5" s="51" t="s">
        <v>98</v>
      </c>
      <c r="C5" s="90" t="s">
        <v>99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64"/>
      <c r="P5" s="164"/>
      <c r="Q5" s="164"/>
      <c r="R5" s="159"/>
      <c r="S5" s="164"/>
      <c r="T5" s="164"/>
      <c r="U5" s="164"/>
      <c r="V5" s="164"/>
      <c r="W5" s="164"/>
      <c r="X5" s="164"/>
      <c r="Y5" s="164"/>
      <c r="Z5" s="164"/>
      <c r="AK5" s="51"/>
      <c r="AL5" s="51"/>
      <c r="AM5" s="51"/>
      <c r="AN5" s="51"/>
      <c r="AO5" s="51"/>
      <c r="AP5" s="51"/>
      <c r="AQ5" s="51"/>
    </row>
    <row r="6" spans="1:84">
      <c r="A6" s="80" t="s">
        <v>113</v>
      </c>
      <c r="B6" s="51"/>
      <c r="C6" s="90" t="s">
        <v>77</v>
      </c>
      <c r="D6" s="51" t="s">
        <v>1</v>
      </c>
      <c r="E6" s="51" t="s">
        <v>85</v>
      </c>
      <c r="F6" s="51" t="s">
        <v>82</v>
      </c>
      <c r="G6" s="51" t="s">
        <v>89</v>
      </c>
      <c r="H6" s="51" t="s">
        <v>88</v>
      </c>
      <c r="I6" s="51" t="s">
        <v>78</v>
      </c>
      <c r="J6" s="51" t="s">
        <v>79</v>
      </c>
      <c r="K6" s="51" t="s">
        <v>80</v>
      </c>
      <c r="L6" s="112" t="s">
        <v>84</v>
      </c>
      <c r="M6" s="112" t="s">
        <v>265</v>
      </c>
      <c r="N6" s="112" t="s">
        <v>243</v>
      </c>
      <c r="O6" s="112" t="s">
        <v>244</v>
      </c>
      <c r="P6" s="55"/>
      <c r="Q6" s="51" t="s">
        <v>85</v>
      </c>
      <c r="R6" s="51" t="s">
        <v>230</v>
      </c>
      <c r="S6" s="51" t="s">
        <v>89</v>
      </c>
      <c r="T6" s="51" t="s">
        <v>88</v>
      </c>
      <c r="U6" s="51" t="s">
        <v>86</v>
      </c>
      <c r="V6" s="51" t="s">
        <v>215</v>
      </c>
      <c r="W6" s="51" t="s">
        <v>216</v>
      </c>
      <c r="X6" s="51" t="s">
        <v>386</v>
      </c>
      <c r="Y6" s="51" t="s">
        <v>387</v>
      </c>
      <c r="Z6" s="51" t="s">
        <v>218</v>
      </c>
      <c r="AK6" s="51"/>
      <c r="AL6" s="51"/>
      <c r="AM6" s="51"/>
      <c r="AN6" s="51"/>
      <c r="AO6" s="51"/>
      <c r="AP6" s="51"/>
      <c r="AQ6" s="51"/>
    </row>
    <row r="7" spans="1:84" ht="15" customHeight="1">
      <c r="A7" s="80" t="s">
        <v>112</v>
      </c>
      <c r="B7" s="51" t="s">
        <v>49</v>
      </c>
      <c r="C7" s="90" t="s">
        <v>77</v>
      </c>
      <c r="D7" s="51">
        <v>1</v>
      </c>
      <c r="E7" s="51" t="s">
        <v>71</v>
      </c>
      <c r="F7" s="51">
        <v>1</v>
      </c>
      <c r="G7" s="53">
        <v>134.50000000000003</v>
      </c>
      <c r="H7" s="53">
        <v>134.42000000000002</v>
      </c>
      <c r="I7" s="53">
        <v>5.7039999999999997</v>
      </c>
      <c r="J7" s="53">
        <v>5.7039999999999997</v>
      </c>
      <c r="K7" s="52">
        <v>30</v>
      </c>
      <c r="L7" s="145">
        <f t="shared" ref="L7:L38" si="0">IF(7850/1000*(1/3)*PI()*ABS(G7-H7)*((I7/2)^2+(I7/2)*(J7/2)+(J7/2)^2-(I7/2-K7/1000)^2-(I7/2-K7/1000)*(J7/2-K7/1000)-(J7/2-K7/1000)^2)=0,"",7850/1000*(1/3)*PI()*ABS(G7-H7)*((I7/2)^2+(I7/2)*(J7/2)+(J7/2)^2-(I7/2-K7/1000)^2-(I7/2-K7/1000)*(J7/2-K7/1000)-(J7/2-K7/1000)^2))</f>
        <v>0.33583047413831496</v>
      </c>
      <c r="M7" s="53">
        <f>IFERROR(IF(OR(ISBLANK(WHOLE_STRUCTURE[[#This Row],[Top '[m']]]), ISBLANK(WHOLE_STRUCTURE[[#This Row],[Bottom '[m']]])), "", WHOLE_STRUCTURE[[#This Row],[Top '[m']]] - WHOLE_STRUCTURE[[#This Row],[Bottom '[m']]]),"")</f>
        <v>8.0000000000012506E-2</v>
      </c>
      <c r="N7" s="54">
        <f>IFERROR(-(WHOLE_STRUCTURE[[#This Row],[D, bottom '[m']]]-WHOLE_STRUCTURE[[#This Row],[D, top '[m']]])/(WHOLE_STRUCTURE[[#This Row],[Bottom '[m']]]-WHOLE_STRUCTURE[[#This Row],[Top '[m']]]),"")</f>
        <v>0</v>
      </c>
      <c r="O7" s="52">
        <f>IFERROR((WHOLE_STRUCTURE[[#This Row],[D, bottom '[m']]]+WHOLE_STRUCTURE[[#This Row],[D, top '[m']]])/(2*WHOLE_STRUCTURE[[#This Row],[t '[mm']]]/1000),"")</f>
        <v>190.13333333333333</v>
      </c>
      <c r="P7" s="55"/>
      <c r="Q7" s="51" t="s">
        <v>71</v>
      </c>
      <c r="R7" s="55" t="s">
        <v>364</v>
      </c>
      <c r="S7" s="53">
        <v>134.00000000000003</v>
      </c>
      <c r="T7" s="53">
        <v>134.00000000000003</v>
      </c>
      <c r="U7" s="51">
        <v>2543</v>
      </c>
      <c r="V7" s="217"/>
      <c r="W7" s="145"/>
      <c r="X7" s="53"/>
      <c r="Y7" s="53"/>
      <c r="Z7" s="51"/>
      <c r="AB7" s="100" t="s">
        <v>108</v>
      </c>
      <c r="AI7" s="51"/>
      <c r="AJ7" s="51"/>
      <c r="AK7" s="51"/>
      <c r="AL7" s="51"/>
      <c r="AM7" s="51"/>
      <c r="AN7" s="51"/>
      <c r="AO7" s="51"/>
      <c r="AP7" s="51"/>
      <c r="AQ7" s="51"/>
      <c r="AU7" s="51" t="s">
        <v>222</v>
      </c>
      <c r="BG7" s="162"/>
    </row>
    <row r="8" spans="1:84" ht="15" customHeight="1">
      <c r="A8" s="80" t="s">
        <v>192</v>
      </c>
      <c r="B8" s="51"/>
      <c r="C8" s="90" t="s">
        <v>114</v>
      </c>
      <c r="D8" s="51">
        <v>2</v>
      </c>
      <c r="E8" s="51" t="s">
        <v>71</v>
      </c>
      <c r="F8" s="51">
        <v>2</v>
      </c>
      <c r="G8" s="53">
        <v>134.42000000000002</v>
      </c>
      <c r="H8" s="53">
        <v>134.37</v>
      </c>
      <c r="I8" s="53">
        <v>5.7039999999999997</v>
      </c>
      <c r="J8" s="53">
        <v>5.7</v>
      </c>
      <c r="K8" s="52">
        <v>26</v>
      </c>
      <c r="L8" s="145">
        <f t="shared" si="0"/>
        <v>0.1819722933976623</v>
      </c>
      <c r="M8" s="53">
        <f>IFERROR(IF(OR(ISBLANK(WHOLE_STRUCTURE[[#This Row],[Top '[m']]]), ISBLANK(WHOLE_STRUCTURE[[#This Row],[Bottom '[m']]])), "", WHOLE_STRUCTURE[[#This Row],[Top '[m']]] - WHOLE_STRUCTURE[[#This Row],[Bottom '[m']]]),"")</f>
        <v>5.0000000000011369E-2</v>
      </c>
      <c r="N8" s="54">
        <f>IFERROR(-(WHOLE_STRUCTURE[[#This Row],[D, bottom '[m']]]-WHOLE_STRUCTURE[[#This Row],[D, top '[m']]])/(WHOLE_STRUCTURE[[#This Row],[Bottom '[m']]]-WHOLE_STRUCTURE[[#This Row],[Top '[m']]]),"")</f>
        <v>-7.9999999999972995E-2</v>
      </c>
      <c r="O8" s="52">
        <f>IFERROR((WHOLE_STRUCTURE[[#This Row],[D, bottom '[m']]]+WHOLE_STRUCTURE[[#This Row],[D, top '[m']]])/(2*WHOLE_STRUCTURE[[#This Row],[t '[mm']]]/1000),"")</f>
        <v>219.30769230769232</v>
      </c>
      <c r="P8" s="55"/>
      <c r="Q8" s="51" t="s">
        <v>71</v>
      </c>
      <c r="R8" s="55" t="s">
        <v>364</v>
      </c>
      <c r="S8" s="53">
        <v>132.90200000000002</v>
      </c>
      <c r="T8" s="53">
        <v>132.90200000000002</v>
      </c>
      <c r="U8" s="51">
        <v>1500</v>
      </c>
      <c r="V8" s="217"/>
      <c r="W8" s="145"/>
      <c r="X8" s="53"/>
      <c r="Y8" s="53"/>
      <c r="Z8" s="51"/>
      <c r="AB8" s="51" t="s">
        <v>73</v>
      </c>
      <c r="AC8" s="51" t="s">
        <v>120</v>
      </c>
      <c r="AD8" s="51" t="s">
        <v>121</v>
      </c>
      <c r="AE8" s="51" t="s">
        <v>194</v>
      </c>
      <c r="AF8" s="51" t="s">
        <v>203</v>
      </c>
      <c r="AG8" s="51" t="s">
        <v>204</v>
      </c>
      <c r="AH8" s="51" t="s">
        <v>213</v>
      </c>
      <c r="AI8" s="51" t="s">
        <v>212</v>
      </c>
      <c r="AJ8" s="51" t="s">
        <v>19</v>
      </c>
      <c r="AK8" s="51"/>
      <c r="AL8" s="51"/>
      <c r="AM8" s="51"/>
      <c r="AN8" s="51"/>
      <c r="AO8" s="51"/>
      <c r="AP8" s="51"/>
      <c r="AQ8" s="51"/>
    </row>
    <row r="9" spans="1:84" ht="15" customHeight="1">
      <c r="A9" s="80" t="s">
        <v>115</v>
      </c>
      <c r="B9" s="51">
        <v>-38.9</v>
      </c>
      <c r="C9" s="90" t="s">
        <v>114</v>
      </c>
      <c r="D9" s="51">
        <v>3</v>
      </c>
      <c r="E9" s="51" t="s">
        <v>71</v>
      </c>
      <c r="F9" s="51">
        <v>3</v>
      </c>
      <c r="G9" s="53">
        <v>134.37</v>
      </c>
      <c r="H9" s="53">
        <v>133.52000000000001</v>
      </c>
      <c r="I9" s="53">
        <v>5.7</v>
      </c>
      <c r="J9" s="53">
        <v>5.7023000000000001</v>
      </c>
      <c r="K9" s="52">
        <v>22.3</v>
      </c>
      <c r="L9" s="145">
        <f t="shared" si="0"/>
        <v>2.6546282739380436</v>
      </c>
      <c r="M9" s="53">
        <f>IFERROR(IF(OR(ISBLANK(WHOLE_STRUCTURE[[#This Row],[Top '[m']]]), ISBLANK(WHOLE_STRUCTURE[[#This Row],[Bottom '[m']]])), "", WHOLE_STRUCTURE[[#This Row],[Top '[m']]] - WHOLE_STRUCTURE[[#This Row],[Bottom '[m']]]),"")</f>
        <v>0.84999999999999432</v>
      </c>
      <c r="N9" s="54">
        <f>IFERROR(-(WHOLE_STRUCTURE[[#This Row],[D, bottom '[m']]]-WHOLE_STRUCTURE[[#This Row],[D, top '[m']]])/(WHOLE_STRUCTURE[[#This Row],[Bottom '[m']]]-WHOLE_STRUCTURE[[#This Row],[Top '[m']]]),"")</f>
        <v>2.7058823529411578E-3</v>
      </c>
      <c r="O9" s="52">
        <f>IFERROR((WHOLE_STRUCTURE[[#This Row],[D, bottom '[m']]]+WHOLE_STRUCTURE[[#This Row],[D, top '[m']]])/(2*WHOLE_STRUCTURE[[#This Row],[t '[mm']]]/1000),"")</f>
        <v>255.65695067264573</v>
      </c>
      <c r="P9" s="55"/>
      <c r="Q9" s="51" t="s">
        <v>71</v>
      </c>
      <c r="R9" s="55" t="s">
        <v>364</v>
      </c>
      <c r="S9" s="53">
        <v>130.00800000000001</v>
      </c>
      <c r="T9" s="53">
        <v>130.00800000000001</v>
      </c>
      <c r="U9" s="51">
        <v>25000</v>
      </c>
      <c r="V9" s="217"/>
      <c r="W9" s="145"/>
      <c r="X9" s="53"/>
      <c r="Y9" s="53"/>
      <c r="Z9" s="51"/>
      <c r="AB9" s="51" t="s">
        <v>125</v>
      </c>
      <c r="AC9" s="51">
        <v>5</v>
      </c>
      <c r="AD9" s="51">
        <v>122</v>
      </c>
      <c r="AE9" s="51">
        <v>427397</v>
      </c>
      <c r="AF9" s="51">
        <v>37230240</v>
      </c>
      <c r="AG9" s="51">
        <v>37230240</v>
      </c>
      <c r="AH9" s="51">
        <v>3.2</v>
      </c>
      <c r="AI9" s="51">
        <v>3.2</v>
      </c>
      <c r="AJ9" s="51" t="s">
        <v>135</v>
      </c>
      <c r="AK9" s="51"/>
      <c r="AL9" s="51"/>
      <c r="AM9" s="51"/>
      <c r="AN9" s="51"/>
      <c r="AO9" s="51"/>
      <c r="AP9" s="51"/>
      <c r="AQ9" s="51"/>
    </row>
    <row r="10" spans="1:84" ht="15" customHeight="1" thickBot="1">
      <c r="A10" s="142"/>
      <c r="B10" s="143"/>
      <c r="C10" s="144"/>
      <c r="D10" s="51">
        <v>4</v>
      </c>
      <c r="E10" s="51" t="s">
        <v>71</v>
      </c>
      <c r="F10" s="51">
        <v>4</v>
      </c>
      <c r="G10" s="53">
        <v>133.52000000000001</v>
      </c>
      <c r="H10" s="53">
        <v>133.40200000000002</v>
      </c>
      <c r="I10" s="53">
        <v>5.7023000000000001</v>
      </c>
      <c r="J10" s="53">
        <v>5.7051999999999996</v>
      </c>
      <c r="K10" s="52">
        <v>22.3</v>
      </c>
      <c r="L10" s="145">
        <f t="shared" si="0"/>
        <v>0.36869359138513769</v>
      </c>
      <c r="M10" s="53">
        <f>IFERROR(IF(OR(ISBLANK(WHOLE_STRUCTURE[[#This Row],[Top '[m']]]), ISBLANK(WHOLE_STRUCTURE[[#This Row],[Bottom '[m']]])), "", WHOLE_STRUCTURE[[#This Row],[Top '[m']]] - WHOLE_STRUCTURE[[#This Row],[Bottom '[m']]]),"")</f>
        <v>0.117999999999995</v>
      </c>
      <c r="N10" s="54">
        <f>IFERROR(-(WHOLE_STRUCTURE[[#This Row],[D, bottom '[m']]]-WHOLE_STRUCTURE[[#This Row],[D, top '[m']]])/(WHOLE_STRUCTURE[[#This Row],[Bottom '[m']]]-WHOLE_STRUCTURE[[#This Row],[Top '[m']]]),"")</f>
        <v>2.457627118643713E-2</v>
      </c>
      <c r="O10" s="52">
        <f>IFERROR((WHOLE_STRUCTURE[[#This Row],[D, bottom '[m']]]+WHOLE_STRUCTURE[[#This Row],[D, top '[m']]])/(2*WHOLE_STRUCTURE[[#This Row],[t '[mm']]]/1000),"")</f>
        <v>255.77354260089683</v>
      </c>
      <c r="P10"/>
      <c r="Q10" s="51" t="s">
        <v>71</v>
      </c>
      <c r="R10" s="55" t="s">
        <v>364</v>
      </c>
      <c r="S10" s="53">
        <v>128.01100000000002</v>
      </c>
      <c r="T10" s="53">
        <v>128.01100000000002</v>
      </c>
      <c r="U10" s="51">
        <v>1000</v>
      </c>
      <c r="V10" s="217"/>
      <c r="W10" s="145"/>
      <c r="X10" s="53"/>
      <c r="Y10" s="53"/>
      <c r="Z10" s="51"/>
      <c r="AI10" s="51"/>
      <c r="AJ10" s="51"/>
      <c r="AK10" s="51"/>
      <c r="AL10" s="51"/>
      <c r="AM10" s="51"/>
      <c r="AN10" s="51"/>
      <c r="AO10" s="51"/>
      <c r="AP10" s="51"/>
      <c r="AQ10" s="51"/>
    </row>
    <row r="11" spans="1:84" ht="16.899999999999999" customHeight="1" thickBot="1">
      <c r="A11" s="109" t="s">
        <v>183</v>
      </c>
      <c r="B11" s="110">
        <f xml:space="preserve"> INDEX(WHOLE_STRUCTURE[Top '[m']], 1) + INDEX(RNA[Vertical Offset TT to HH '[m']],1)</f>
        <v>137.70000000000002</v>
      </c>
      <c r="C11" s="111" t="s">
        <v>114</v>
      </c>
      <c r="D11" s="51">
        <v>5</v>
      </c>
      <c r="E11" s="51" t="s">
        <v>71</v>
      </c>
      <c r="F11" s="51">
        <v>5</v>
      </c>
      <c r="G11" s="53">
        <v>133.40200000000002</v>
      </c>
      <c r="H11" s="53">
        <v>131.32400000000001</v>
      </c>
      <c r="I11" s="53">
        <v>5.7051999999999996</v>
      </c>
      <c r="J11" s="53">
        <v>5.7557999999999998</v>
      </c>
      <c r="K11" s="52">
        <v>21.8</v>
      </c>
      <c r="L11" s="145">
        <f t="shared" si="0"/>
        <v>6.3776221755356737</v>
      </c>
      <c r="M11" s="53">
        <f>IFERROR(IF(OR(ISBLANK(WHOLE_STRUCTURE[[#This Row],[Top '[m']]]), ISBLANK(WHOLE_STRUCTURE[[#This Row],[Bottom '[m']]])), "", WHOLE_STRUCTURE[[#This Row],[Top '[m']]] - WHOLE_STRUCTURE[[#This Row],[Bottom '[m']]]),"")</f>
        <v>2.078000000000003</v>
      </c>
      <c r="N11" s="54">
        <f>IFERROR(-(WHOLE_STRUCTURE[[#This Row],[D, bottom '[m']]]-WHOLE_STRUCTURE[[#This Row],[D, top '[m']]])/(WHOLE_STRUCTURE[[#This Row],[Bottom '[m']]]-WHOLE_STRUCTURE[[#This Row],[Top '[m']]]),"")</f>
        <v>2.4350336862367723E-2</v>
      </c>
      <c r="O11" s="52">
        <f>IFERROR((WHOLE_STRUCTURE[[#This Row],[D, bottom '[m']]]+WHOLE_STRUCTURE[[#This Row],[D, top '[m']]])/(2*WHOLE_STRUCTURE[[#This Row],[t '[mm']]]/1000),"")</f>
        <v>262.86697247706417</v>
      </c>
      <c r="Q11" s="51" t="s">
        <v>71</v>
      </c>
      <c r="R11" s="55" t="s">
        <v>364</v>
      </c>
      <c r="S11" s="53">
        <v>108.541</v>
      </c>
      <c r="T11" s="53">
        <v>108.541</v>
      </c>
      <c r="U11" s="51">
        <v>4156</v>
      </c>
      <c r="V11" s="217"/>
      <c r="W11" s="145"/>
      <c r="X11" s="53"/>
      <c r="Y11" s="53"/>
      <c r="Z11" s="51"/>
      <c r="AI11" s="51"/>
      <c r="AJ11" s="51"/>
      <c r="AK11" s="51"/>
      <c r="AL11" s="51"/>
      <c r="AM11" s="51"/>
      <c r="AN11" s="51"/>
      <c r="AO11" s="51"/>
      <c r="AP11" s="51"/>
      <c r="AQ11" s="51"/>
    </row>
    <row r="12" spans="1:84" ht="15.75">
      <c r="D12" s="51">
        <v>6</v>
      </c>
      <c r="E12" s="51" t="s">
        <v>71</v>
      </c>
      <c r="F12" s="51">
        <v>6</v>
      </c>
      <c r="G12" s="53">
        <v>131.32400000000001</v>
      </c>
      <c r="H12" s="53">
        <v>130.50800000000001</v>
      </c>
      <c r="I12" s="53">
        <v>5.7557999999999998</v>
      </c>
      <c r="J12" s="53">
        <v>5.7717999999999998</v>
      </c>
      <c r="K12" s="52">
        <v>21.8</v>
      </c>
      <c r="L12" s="145">
        <f t="shared" si="0"/>
        <v>2.5190069745336889</v>
      </c>
      <c r="M12" s="53">
        <f>IFERROR(IF(OR(ISBLANK(WHOLE_STRUCTURE[[#This Row],[Top '[m']]]), ISBLANK(WHOLE_STRUCTURE[[#This Row],[Bottom '[m']]])), "", WHOLE_STRUCTURE[[#This Row],[Top '[m']]] - WHOLE_STRUCTURE[[#This Row],[Bottom '[m']]]),"")</f>
        <v>0.8160000000000025</v>
      </c>
      <c r="N12" s="54">
        <f>IFERROR(-(WHOLE_STRUCTURE[[#This Row],[D, bottom '[m']]]-WHOLE_STRUCTURE[[#This Row],[D, top '[m']]])/(WHOLE_STRUCTURE[[#This Row],[Bottom '[m']]]-WHOLE_STRUCTURE[[#This Row],[Top '[m']]]),"")</f>
        <v>1.960784313725486E-2</v>
      </c>
      <c r="O12" s="52">
        <f>IFERROR((WHOLE_STRUCTURE[[#This Row],[D, bottom '[m']]]+WHOLE_STRUCTURE[[#This Row],[D, top '[m']]])/(2*WHOLE_STRUCTURE[[#This Row],[t '[mm']]]/1000),"")</f>
        <v>264.39449541284404</v>
      </c>
      <c r="Q12" s="51" t="s">
        <v>71</v>
      </c>
      <c r="R12" s="55" t="s">
        <v>364</v>
      </c>
      <c r="S12" s="53">
        <v>108.42099999999999</v>
      </c>
      <c r="T12" s="53">
        <v>108.42099999999999</v>
      </c>
      <c r="U12" s="51">
        <v>4156</v>
      </c>
      <c r="V12" s="217"/>
      <c r="W12" s="145"/>
      <c r="X12" s="53"/>
      <c r="Y12" s="53"/>
      <c r="Z12" s="51"/>
      <c r="AB12" s="102" t="s">
        <v>87</v>
      </c>
      <c r="AI12" s="51"/>
      <c r="AJ12" s="51"/>
      <c r="AK12" s="51"/>
      <c r="AL12" s="51"/>
      <c r="AM12" s="51"/>
      <c r="AN12" s="51"/>
      <c r="AO12" s="51"/>
      <c r="AP12" s="51"/>
      <c r="AQ12" s="51"/>
    </row>
    <row r="13" spans="1:84">
      <c r="A13" s="147"/>
      <c r="B13" s="148"/>
      <c r="C13" s="149"/>
      <c r="D13" s="51">
        <v>7</v>
      </c>
      <c r="E13" s="51" t="s">
        <v>71</v>
      </c>
      <c r="F13" s="51">
        <v>7</v>
      </c>
      <c r="G13" s="53">
        <v>130.50800000000001</v>
      </c>
      <c r="H13" s="53">
        <v>128.53700000000001</v>
      </c>
      <c r="I13" s="53">
        <v>5.7717999999999998</v>
      </c>
      <c r="J13" s="53">
        <v>5.8105000000000002</v>
      </c>
      <c r="K13" s="52">
        <v>21.5</v>
      </c>
      <c r="L13" s="145">
        <f t="shared" si="0"/>
        <v>6.0296774719339465</v>
      </c>
      <c r="M13" s="53">
        <f>IFERROR(IF(OR(ISBLANK(WHOLE_STRUCTURE[[#This Row],[Top '[m']]]), ISBLANK(WHOLE_STRUCTURE[[#This Row],[Bottom '[m']]])), "", WHOLE_STRUCTURE[[#This Row],[Top '[m']]] - WHOLE_STRUCTURE[[#This Row],[Bottom '[m']]]),"")</f>
        <v>1.9710000000000036</v>
      </c>
      <c r="N13" s="54">
        <f>IFERROR(-(WHOLE_STRUCTURE[[#This Row],[D, bottom '[m']]]-WHOLE_STRUCTURE[[#This Row],[D, top '[m']]])/(WHOLE_STRUCTURE[[#This Row],[Bottom '[m']]]-WHOLE_STRUCTURE[[#This Row],[Top '[m']]]),"")</f>
        <v>1.9634703196347199E-2</v>
      </c>
      <c r="O13" s="52">
        <f>IFERROR((WHOLE_STRUCTURE[[#This Row],[D, bottom '[m']]]+WHOLE_STRUCTURE[[#This Row],[D, top '[m']]])/(2*WHOLE_STRUCTURE[[#This Row],[t '[mm']]]/1000),"")</f>
        <v>269.35581395348839</v>
      </c>
      <c r="Q13" s="51" t="s">
        <v>71</v>
      </c>
      <c r="R13" s="55" t="s">
        <v>364</v>
      </c>
      <c r="S13" s="53">
        <v>107.12299999999999</v>
      </c>
      <c r="T13" s="53">
        <v>107.12299999999999</v>
      </c>
      <c r="U13" s="51">
        <v>1500</v>
      </c>
      <c r="V13" s="217"/>
      <c r="W13" s="145"/>
      <c r="X13" s="53"/>
      <c r="Y13" s="53"/>
      <c r="Z13" s="51"/>
      <c r="AB13" s="51" t="s">
        <v>85</v>
      </c>
      <c r="AC13" s="51" t="s">
        <v>90</v>
      </c>
      <c r="AD13" s="51" t="s">
        <v>110</v>
      </c>
      <c r="AE13" s="51" t="s">
        <v>19</v>
      </c>
      <c r="AI13" s="51"/>
      <c r="AJ13" s="51"/>
      <c r="AK13" s="51"/>
      <c r="AL13" s="51"/>
      <c r="AM13" s="51"/>
      <c r="AN13" s="51"/>
      <c r="AO13" s="51"/>
      <c r="AP13" s="51"/>
      <c r="AQ13" s="51"/>
    </row>
    <row r="14" spans="1:84">
      <c r="A14" s="147"/>
      <c r="B14" s="148"/>
      <c r="C14" s="149"/>
      <c r="D14" s="51">
        <v>8</v>
      </c>
      <c r="E14" s="51" t="s">
        <v>71</v>
      </c>
      <c r="F14" s="51">
        <v>8</v>
      </c>
      <c r="G14" s="53">
        <v>128.53700000000001</v>
      </c>
      <c r="H14" s="53">
        <v>128.51100000000002</v>
      </c>
      <c r="I14" s="53">
        <v>5.8105000000000002</v>
      </c>
      <c r="J14" s="53">
        <v>5.8109999999999999</v>
      </c>
      <c r="K14" s="52">
        <v>21.5</v>
      </c>
      <c r="L14" s="145">
        <f t="shared" si="0"/>
        <v>7.9809325723593616E-2</v>
      </c>
      <c r="M14" s="53">
        <f>IFERROR(IF(OR(ISBLANK(WHOLE_STRUCTURE[[#This Row],[Top '[m']]]), ISBLANK(WHOLE_STRUCTURE[[#This Row],[Bottom '[m']]])), "", WHOLE_STRUCTURE[[#This Row],[Top '[m']]] - WHOLE_STRUCTURE[[#This Row],[Bottom '[m']]]),"")</f>
        <v>2.5999999999982037E-2</v>
      </c>
      <c r="N14" s="54">
        <f>IFERROR(-(WHOLE_STRUCTURE[[#This Row],[D, bottom '[m']]]-WHOLE_STRUCTURE[[#This Row],[D, top '[m']]])/(WHOLE_STRUCTURE[[#This Row],[Bottom '[m']]]-WHOLE_STRUCTURE[[#This Row],[Top '[m']]]),"")</f>
        <v>1.9230769230771858E-2</v>
      </c>
      <c r="O14" s="52">
        <f>IFERROR((WHOLE_STRUCTURE[[#This Row],[D, bottom '[m']]]+WHOLE_STRUCTURE[[#This Row],[D, top '[m']]])/(2*WHOLE_STRUCTURE[[#This Row],[t '[mm']]]/1000),"")</f>
        <v>270.26744186046517</v>
      </c>
      <c r="Q14" s="51" t="s">
        <v>71</v>
      </c>
      <c r="R14" s="55" t="s">
        <v>364</v>
      </c>
      <c r="S14" s="53">
        <v>72.22</v>
      </c>
      <c r="T14" s="53">
        <v>72.22</v>
      </c>
      <c r="U14" s="51">
        <v>5785</v>
      </c>
      <c r="V14" s="217"/>
      <c r="W14" s="145"/>
      <c r="X14" s="53"/>
      <c r="Y14" s="53"/>
      <c r="Z14" s="51"/>
      <c r="AB14" s="51" t="s">
        <v>375</v>
      </c>
      <c r="AC14" s="51">
        <v>2.9827030033370394</v>
      </c>
      <c r="AD14" s="51">
        <v>110.99466756618513</v>
      </c>
      <c r="AE14" s="51" t="s">
        <v>87</v>
      </c>
      <c r="AI14" s="51"/>
      <c r="AJ14" s="51"/>
      <c r="AK14" s="51"/>
      <c r="AL14" s="51"/>
      <c r="AM14" s="51"/>
      <c r="AN14" s="51"/>
      <c r="AO14" s="51"/>
      <c r="AP14" s="51"/>
      <c r="AQ14" s="51"/>
    </row>
    <row r="15" spans="1:84">
      <c r="A15" s="147"/>
      <c r="B15" s="148"/>
      <c r="C15" s="149"/>
      <c r="D15" s="51">
        <v>9</v>
      </c>
      <c r="E15" s="51" t="s">
        <v>71</v>
      </c>
      <c r="F15" s="51">
        <v>9</v>
      </c>
      <c r="G15" s="53">
        <v>128.51100000000002</v>
      </c>
      <c r="H15" s="53">
        <v>125.753</v>
      </c>
      <c r="I15" s="53">
        <v>5.8109999999999999</v>
      </c>
      <c r="J15" s="53">
        <v>5.8646000000000003</v>
      </c>
      <c r="K15" s="52">
        <v>21.6</v>
      </c>
      <c r="L15" s="145">
        <f t="shared" si="0"/>
        <v>8.5448978339475961</v>
      </c>
      <c r="M15" s="53">
        <f>IFERROR(IF(OR(ISBLANK(WHOLE_STRUCTURE[[#This Row],[Top '[m']]]), ISBLANK(WHOLE_STRUCTURE[[#This Row],[Bottom '[m']]])), "", WHOLE_STRUCTURE[[#This Row],[Top '[m']]] - WHOLE_STRUCTURE[[#This Row],[Bottom '[m']]]),"")</f>
        <v>2.758000000000024</v>
      </c>
      <c r="N15" s="54">
        <f>IFERROR(-(WHOLE_STRUCTURE[[#This Row],[D, bottom '[m']]]-WHOLE_STRUCTURE[[#This Row],[D, top '[m']]])/(WHOLE_STRUCTURE[[#This Row],[Bottom '[m']]]-WHOLE_STRUCTURE[[#This Row],[Top '[m']]]),"")</f>
        <v>1.9434372733865064E-2</v>
      </c>
      <c r="O15" s="52">
        <f>IFERROR((WHOLE_STRUCTURE[[#This Row],[D, bottom '[m']]]+WHOLE_STRUCTURE[[#This Row],[D, top '[m']]])/(2*WHOLE_STRUCTURE[[#This Row],[t '[mm']]]/1000),"")</f>
        <v>270.26851851851848</v>
      </c>
      <c r="Q15" s="51" t="s">
        <v>71</v>
      </c>
      <c r="R15" s="55" t="s">
        <v>364</v>
      </c>
      <c r="S15" s="53">
        <v>72.089999999999989</v>
      </c>
      <c r="T15" s="53">
        <v>72.089999999999989</v>
      </c>
      <c r="U15" s="51">
        <v>5785</v>
      </c>
      <c r="V15" s="217"/>
      <c r="W15" s="145"/>
      <c r="X15" s="53"/>
      <c r="Y15" s="53"/>
      <c r="Z15" s="51"/>
      <c r="AI15" s="51"/>
      <c r="AJ15" s="51"/>
      <c r="AK15" s="51"/>
      <c r="AL15" s="51"/>
      <c r="AM15" s="51"/>
      <c r="AN15" s="51"/>
      <c r="AO15" s="51"/>
      <c r="AP15" s="51"/>
      <c r="AQ15" s="51"/>
    </row>
    <row r="16" spans="1:84">
      <c r="A16" s="147"/>
      <c r="B16" s="148"/>
      <c r="C16" s="149"/>
      <c r="D16" s="51">
        <v>10</v>
      </c>
      <c r="E16" s="51" t="s">
        <v>71</v>
      </c>
      <c r="F16" s="51">
        <v>10</v>
      </c>
      <c r="G16" s="53">
        <v>125.753</v>
      </c>
      <c r="H16" s="53">
        <v>122.96899999999998</v>
      </c>
      <c r="I16" s="53">
        <v>5.8646000000000003</v>
      </c>
      <c r="J16" s="53">
        <v>5.9176000000000002</v>
      </c>
      <c r="K16" s="52">
        <v>19.599999999999998</v>
      </c>
      <c r="L16" s="145">
        <f t="shared" si="0"/>
        <v>7.9012153166611743</v>
      </c>
      <c r="M16" s="53">
        <f>IFERROR(IF(OR(ISBLANK(WHOLE_STRUCTURE[[#This Row],[Top '[m']]]), ISBLANK(WHOLE_STRUCTURE[[#This Row],[Bottom '[m']]])), "", WHOLE_STRUCTURE[[#This Row],[Top '[m']]] - WHOLE_STRUCTURE[[#This Row],[Bottom '[m']]]),"")</f>
        <v>2.7840000000000202</v>
      </c>
      <c r="N16" s="54">
        <f>IFERROR(-(WHOLE_STRUCTURE[[#This Row],[D, bottom '[m']]]-WHOLE_STRUCTURE[[#This Row],[D, top '[m']]])/(WHOLE_STRUCTURE[[#This Row],[Bottom '[m']]]-WHOLE_STRUCTURE[[#This Row],[Top '[m']]]),"")</f>
        <v>1.9037356321838918E-2</v>
      </c>
      <c r="O16" s="52">
        <f>IFERROR((WHOLE_STRUCTURE[[#This Row],[D, bottom '[m']]]+WHOLE_STRUCTURE[[#This Row],[D, top '[m']]])/(2*WHOLE_STRUCTURE[[#This Row],[t '[mm']]]/1000),"")</f>
        <v>300.56632653061223</v>
      </c>
      <c r="Q16" s="51" t="s">
        <v>71</v>
      </c>
      <c r="R16" s="55" t="s">
        <v>364</v>
      </c>
      <c r="S16" s="53">
        <v>70.792999999999992</v>
      </c>
      <c r="T16" s="53">
        <v>70.792999999999992</v>
      </c>
      <c r="U16" s="51">
        <v>1500</v>
      </c>
      <c r="V16" s="217"/>
      <c r="W16" s="145"/>
      <c r="X16" s="53"/>
      <c r="Y16" s="53"/>
      <c r="Z16" s="51"/>
      <c r="AI16" s="51"/>
      <c r="AJ16" s="51"/>
      <c r="AK16" s="51"/>
      <c r="AL16" s="51"/>
      <c r="AM16" s="51"/>
      <c r="AN16" s="51"/>
      <c r="AO16" s="51"/>
      <c r="AP16" s="51"/>
      <c r="AQ16" s="51"/>
    </row>
    <row r="17" spans="1:58">
      <c r="A17" s="147"/>
      <c r="B17" s="148"/>
      <c r="C17" s="149"/>
      <c r="D17" s="51">
        <v>11</v>
      </c>
      <c r="E17" s="51" t="s">
        <v>71</v>
      </c>
      <c r="F17" s="51">
        <v>11</v>
      </c>
      <c r="G17" s="53">
        <v>122.96899999999998</v>
      </c>
      <c r="H17" s="53">
        <v>120.18599999999999</v>
      </c>
      <c r="I17" s="53">
        <v>5.9176000000000002</v>
      </c>
      <c r="J17" s="53">
        <v>5.9721000000000002</v>
      </c>
      <c r="K17" s="52">
        <v>20.100000000000001</v>
      </c>
      <c r="L17" s="145">
        <f t="shared" si="0"/>
        <v>8.1733260256296827</v>
      </c>
      <c r="M17" s="53">
        <f>IFERROR(IF(OR(ISBLANK(WHOLE_STRUCTURE[[#This Row],[Top '[m']]]), ISBLANK(WHOLE_STRUCTURE[[#This Row],[Bottom '[m']]])), "", WHOLE_STRUCTURE[[#This Row],[Top '[m']]] - WHOLE_STRUCTURE[[#This Row],[Bottom '[m']]]),"")</f>
        <v>2.782999999999987</v>
      </c>
      <c r="N17" s="54">
        <f>IFERROR(-(WHOLE_STRUCTURE[[#This Row],[D, bottom '[m']]]-WHOLE_STRUCTURE[[#This Row],[D, top '[m']]])/(WHOLE_STRUCTURE[[#This Row],[Bottom '[m']]]-WHOLE_STRUCTURE[[#This Row],[Top '[m']]]),"")</f>
        <v>1.9583183614804257E-2</v>
      </c>
      <c r="O17" s="52">
        <f>IFERROR((WHOLE_STRUCTURE[[#This Row],[D, bottom '[m']]]+WHOLE_STRUCTURE[[#This Row],[D, top '[m']]])/(2*WHOLE_STRUCTURE[[#This Row],[t '[mm']]]/1000),"")</f>
        <v>295.76368159203986</v>
      </c>
      <c r="Q17" s="51" t="s">
        <v>71</v>
      </c>
      <c r="R17" s="55" t="s">
        <v>364</v>
      </c>
      <c r="S17" s="53">
        <v>39.253</v>
      </c>
      <c r="T17" s="53">
        <v>39.253</v>
      </c>
      <c r="U17" s="51">
        <v>7233</v>
      </c>
      <c r="V17" s="217"/>
      <c r="W17" s="145"/>
      <c r="X17" s="53"/>
      <c r="Y17" s="53"/>
      <c r="Z17" s="51"/>
      <c r="AB17" s="51" t="s">
        <v>85</v>
      </c>
      <c r="AC17" s="51" t="s">
        <v>89</v>
      </c>
      <c r="AD17" s="51" t="s">
        <v>88</v>
      </c>
      <c r="AE17" s="51" t="s">
        <v>78</v>
      </c>
      <c r="AF17" s="51" t="s">
        <v>79</v>
      </c>
      <c r="AG17" s="51" t="s">
        <v>80</v>
      </c>
      <c r="AI17" s="51"/>
      <c r="AJ17" s="51"/>
      <c r="AK17" s="51"/>
      <c r="AL17" s="51"/>
      <c r="AM17" s="51"/>
      <c r="AN17" s="51"/>
      <c r="AO17" s="51"/>
      <c r="AP17" s="51"/>
      <c r="AQ17" s="51"/>
      <c r="AY17" s="51" t="str">
        <f>IF(ISBLANK(AZ17),"",AC33)</f>
        <v/>
      </c>
    </row>
    <row r="18" spans="1:58">
      <c r="A18" s="147"/>
      <c r="B18" s="148"/>
      <c r="C18" s="149"/>
      <c r="D18" s="51">
        <v>12</v>
      </c>
      <c r="E18" s="51" t="s">
        <v>71</v>
      </c>
      <c r="F18" s="51">
        <v>12</v>
      </c>
      <c r="G18" s="53">
        <v>120.18599999999999</v>
      </c>
      <c r="H18" s="53">
        <v>117.40599999999999</v>
      </c>
      <c r="I18" s="53">
        <v>5.9721000000000002</v>
      </c>
      <c r="J18" s="53">
        <v>6.0275999999999996</v>
      </c>
      <c r="K18" s="52">
        <v>20.6</v>
      </c>
      <c r="L18" s="145">
        <f t="shared" si="0"/>
        <v>8.4445839583441931</v>
      </c>
      <c r="M18" s="53">
        <f>IFERROR(IF(OR(ISBLANK(WHOLE_STRUCTURE[[#This Row],[Top '[m']]]), ISBLANK(WHOLE_STRUCTURE[[#This Row],[Bottom '[m']]])), "", WHOLE_STRUCTURE[[#This Row],[Top '[m']]] - WHOLE_STRUCTURE[[#This Row],[Bottom '[m']]]),"")</f>
        <v>2.7800000000000011</v>
      </c>
      <c r="N18" s="54">
        <f>IFERROR(-(WHOLE_STRUCTURE[[#This Row],[D, bottom '[m']]]-WHOLE_STRUCTURE[[#This Row],[D, top '[m']]])/(WHOLE_STRUCTURE[[#This Row],[Bottom '[m']]]-WHOLE_STRUCTURE[[#This Row],[Top '[m']]]),"")</f>
        <v>1.9964028776978206E-2</v>
      </c>
      <c r="O18" s="52">
        <f>IFERROR((WHOLE_STRUCTURE[[#This Row],[D, bottom '[m']]]+WHOLE_STRUCTURE[[#This Row],[D, top '[m']]])/(2*WHOLE_STRUCTURE[[#This Row],[t '[mm']]]/1000),"")</f>
        <v>291.25485436893206</v>
      </c>
      <c r="Q18" s="51" t="s">
        <v>71</v>
      </c>
      <c r="R18" s="55" t="s">
        <v>364</v>
      </c>
      <c r="S18" s="53">
        <v>39.113</v>
      </c>
      <c r="T18" s="53">
        <v>39.113</v>
      </c>
      <c r="U18" s="51">
        <v>7233</v>
      </c>
      <c r="V18" s="217"/>
      <c r="W18" s="145"/>
      <c r="X18" s="53"/>
      <c r="Y18" s="53"/>
      <c r="Z18" s="51"/>
      <c r="AB18" s="51" t="s">
        <v>375</v>
      </c>
      <c r="AC18" s="51">
        <v>5.5</v>
      </c>
      <c r="AD18" s="51">
        <v>4.5</v>
      </c>
      <c r="AE18" s="51">
        <v>8</v>
      </c>
      <c r="AF18" s="51">
        <v>8</v>
      </c>
      <c r="AG18" s="51">
        <v>110</v>
      </c>
      <c r="AI18" s="51"/>
      <c r="AJ18" s="51"/>
      <c r="AK18" s="51"/>
      <c r="AL18" s="51"/>
      <c r="AM18" s="51"/>
      <c r="AN18" s="51"/>
      <c r="AO18" s="51"/>
      <c r="AP18" s="51"/>
      <c r="AQ18" s="51"/>
    </row>
    <row r="19" spans="1:58">
      <c r="A19" s="147"/>
      <c r="B19" s="148"/>
      <c r="C19" s="149"/>
      <c r="D19" s="51">
        <v>13</v>
      </c>
      <c r="E19" s="51" t="s">
        <v>71</v>
      </c>
      <c r="F19" s="51">
        <v>13</v>
      </c>
      <c r="G19" s="53">
        <v>117.40599999999999</v>
      </c>
      <c r="H19" s="53">
        <v>114.62599999999999</v>
      </c>
      <c r="I19" s="53">
        <v>6.0275999999999996</v>
      </c>
      <c r="J19" s="53">
        <v>6.0824999999999996</v>
      </c>
      <c r="K19" s="52">
        <v>21.5</v>
      </c>
      <c r="L19" s="145">
        <f t="shared" si="0"/>
        <v>8.8935612695373987</v>
      </c>
      <c r="M19" s="53">
        <f>IFERROR(IF(OR(ISBLANK(WHOLE_STRUCTURE[[#This Row],[Top '[m']]]), ISBLANK(WHOLE_STRUCTURE[[#This Row],[Bottom '[m']]])), "", WHOLE_STRUCTURE[[#This Row],[Top '[m']]] - WHOLE_STRUCTURE[[#This Row],[Bottom '[m']]]),"")</f>
        <v>2.7800000000000011</v>
      </c>
      <c r="N19" s="54">
        <f>IFERROR(-(WHOLE_STRUCTURE[[#This Row],[D, bottom '[m']]]-WHOLE_STRUCTURE[[#This Row],[D, top '[m']]])/(WHOLE_STRUCTURE[[#This Row],[Bottom '[m']]]-WHOLE_STRUCTURE[[#This Row],[Top '[m']]]),"")</f>
        <v>1.9748201438848895E-2</v>
      </c>
      <c r="O19" s="52">
        <f>IFERROR((WHOLE_STRUCTURE[[#This Row],[D, bottom '[m']]]+WHOLE_STRUCTURE[[#This Row],[D, top '[m']]])/(2*WHOLE_STRUCTURE[[#This Row],[t '[mm']]]/1000),"")</f>
        <v>281.63023255813954</v>
      </c>
      <c r="Q19" s="51" t="s">
        <v>71</v>
      </c>
      <c r="R19" s="55" t="s">
        <v>364</v>
      </c>
      <c r="S19" s="53">
        <v>37.815999999999988</v>
      </c>
      <c r="T19" s="53">
        <v>37.815999999999988</v>
      </c>
      <c r="U19" s="51">
        <v>1500</v>
      </c>
      <c r="V19" s="217"/>
      <c r="W19" s="145"/>
      <c r="X19" s="53"/>
      <c r="Y19" s="53"/>
      <c r="Z19" s="51"/>
      <c r="AB19" s="261" t="s">
        <v>375</v>
      </c>
      <c r="AC19" s="261">
        <v>4.5</v>
      </c>
      <c r="AD19" s="261">
        <v>0.5</v>
      </c>
      <c r="AE19" s="261">
        <v>8</v>
      </c>
      <c r="AF19" s="262">
        <v>8</v>
      </c>
      <c r="AG19" s="261">
        <v>115</v>
      </c>
      <c r="AI19" s="51"/>
      <c r="AJ19" s="51"/>
      <c r="AK19" s="51"/>
      <c r="AL19" s="51"/>
      <c r="AM19" s="51"/>
      <c r="AN19" s="51"/>
      <c r="AO19" s="51"/>
      <c r="AP19" s="51"/>
      <c r="AQ19" s="51"/>
    </row>
    <row r="20" spans="1:58">
      <c r="A20" s="147"/>
      <c r="B20" s="148"/>
      <c r="C20" s="149"/>
      <c r="D20" s="51">
        <v>14</v>
      </c>
      <c r="E20" s="51" t="s">
        <v>71</v>
      </c>
      <c r="F20" s="51">
        <v>14</v>
      </c>
      <c r="G20" s="53">
        <v>114.62599999999999</v>
      </c>
      <c r="H20" s="53">
        <v>111.84699999999999</v>
      </c>
      <c r="I20" s="53">
        <v>6.0824999999999996</v>
      </c>
      <c r="J20" s="53">
        <v>6.1383999999999999</v>
      </c>
      <c r="K20" s="52">
        <v>22.4</v>
      </c>
      <c r="L20" s="145">
        <f t="shared" si="0"/>
        <v>9.3461835330187331</v>
      </c>
      <c r="M20" s="53">
        <f>IFERROR(IF(OR(ISBLANK(WHOLE_STRUCTURE[[#This Row],[Top '[m']]]), ISBLANK(WHOLE_STRUCTURE[[#This Row],[Bottom '[m']]])), "", WHOLE_STRUCTURE[[#This Row],[Top '[m']]] - WHOLE_STRUCTURE[[#This Row],[Bottom '[m']]]),"")</f>
        <v>2.7789999999999964</v>
      </c>
      <c r="N20" s="54">
        <f>IFERROR(-(WHOLE_STRUCTURE[[#This Row],[D, bottom '[m']]]-WHOLE_STRUCTURE[[#This Row],[D, top '[m']]])/(WHOLE_STRUCTURE[[#This Row],[Bottom '[m']]]-WHOLE_STRUCTURE[[#This Row],[Top '[m']]]),"")</f>
        <v>2.011514933429304E-2</v>
      </c>
      <c r="O20" s="52">
        <f>IFERROR((WHOLE_STRUCTURE[[#This Row],[D, bottom '[m']]]+WHOLE_STRUCTURE[[#This Row],[D, top '[m']]])/(2*WHOLE_STRUCTURE[[#This Row],[t '[mm']]]/1000),"")</f>
        <v>272.78794642857144</v>
      </c>
      <c r="Q20" s="51" t="s">
        <v>83</v>
      </c>
      <c r="R20" s="55" t="s">
        <v>371</v>
      </c>
      <c r="S20" s="53">
        <v>17.5</v>
      </c>
      <c r="T20" s="53">
        <v>5.6999999999999993</v>
      </c>
      <c r="U20" s="51">
        <v>3000</v>
      </c>
      <c r="V20" s="217">
        <v>0.19400000000000001</v>
      </c>
      <c r="W20" s="145">
        <v>130.80000000000001</v>
      </c>
      <c r="X20" s="53">
        <v>4.8</v>
      </c>
      <c r="Y20" s="53"/>
      <c r="Z20" s="51">
        <v>0</v>
      </c>
      <c r="AI20" s="51"/>
      <c r="AJ20" s="51"/>
      <c r="AK20" s="51"/>
      <c r="AL20" s="51"/>
      <c r="AM20" s="51"/>
      <c r="AN20" s="51"/>
      <c r="AO20" s="51"/>
      <c r="AP20" s="51"/>
      <c r="AQ20" s="51"/>
    </row>
    <row r="21" spans="1:58">
      <c r="A21" s="147"/>
      <c r="B21" s="148"/>
      <c r="C21" s="149"/>
      <c r="D21" s="51">
        <v>15</v>
      </c>
      <c r="E21" s="51" t="s">
        <v>71</v>
      </c>
      <c r="F21" s="51">
        <v>15</v>
      </c>
      <c r="G21" s="53">
        <v>111.84699999999999</v>
      </c>
      <c r="H21" s="53">
        <v>109.071</v>
      </c>
      <c r="I21" s="53">
        <v>6.1383999999999999</v>
      </c>
      <c r="J21" s="53">
        <v>6.1931000000000003</v>
      </c>
      <c r="K21" s="52">
        <v>23.099999999999998</v>
      </c>
      <c r="L21" s="145">
        <f t="shared" si="0"/>
        <v>9.7141933110070458</v>
      </c>
      <c r="M21" s="53">
        <f>IFERROR(IF(OR(ISBLANK(WHOLE_STRUCTURE[[#This Row],[Top '[m']]]), ISBLANK(WHOLE_STRUCTURE[[#This Row],[Bottom '[m']]])), "", WHOLE_STRUCTURE[[#This Row],[Top '[m']]] - WHOLE_STRUCTURE[[#This Row],[Bottom '[m']]]),"")</f>
        <v>2.7759999999999962</v>
      </c>
      <c r="N21" s="54">
        <f>IFERROR(-(WHOLE_STRUCTURE[[#This Row],[D, bottom '[m']]]-WHOLE_STRUCTURE[[#This Row],[D, top '[m']]])/(WHOLE_STRUCTURE[[#This Row],[Bottom '[m']]]-WHOLE_STRUCTURE[[#This Row],[Top '[m']]]),"")</f>
        <v>1.9704610951008821E-2</v>
      </c>
      <c r="O21" s="52">
        <f>IFERROR((WHOLE_STRUCTURE[[#This Row],[D, bottom '[m']]]+WHOLE_STRUCTURE[[#This Row],[D, top '[m']]])/(2*WHOLE_STRUCTURE[[#This Row],[t '[mm']]]/1000),"")</f>
        <v>266.91558441558442</v>
      </c>
      <c r="Q21" s="51" t="s">
        <v>83</v>
      </c>
      <c r="R21" s="55" t="s">
        <v>371</v>
      </c>
      <c r="S21" s="53">
        <v>17.5</v>
      </c>
      <c r="T21" s="53">
        <v>5.6999999999999993</v>
      </c>
      <c r="U21" s="51">
        <v>3000</v>
      </c>
      <c r="V21" s="217">
        <v>0.19400000000000001</v>
      </c>
      <c r="W21" s="145">
        <v>139.19999999999999</v>
      </c>
      <c r="X21" s="53">
        <v>4.8</v>
      </c>
      <c r="Y21" s="53"/>
      <c r="Z21" s="51">
        <v>0</v>
      </c>
      <c r="AI21" s="51"/>
      <c r="AJ21" s="51"/>
      <c r="AK21" s="51"/>
      <c r="AL21" s="51"/>
      <c r="AM21" s="51"/>
      <c r="AN21" s="51"/>
      <c r="AO21" s="51"/>
      <c r="AP21" s="51"/>
      <c r="AQ21" s="51"/>
      <c r="BF21" s="80" t="s">
        <v>341</v>
      </c>
    </row>
    <row r="22" spans="1:58" ht="15.75">
      <c r="A22" s="147"/>
      <c r="B22" s="148"/>
      <c r="C22" s="149"/>
      <c r="D22" s="51">
        <v>16</v>
      </c>
      <c r="E22" s="51" t="s">
        <v>71</v>
      </c>
      <c r="F22" s="51">
        <v>16</v>
      </c>
      <c r="G22" s="53">
        <v>109.071</v>
      </c>
      <c r="H22" s="53">
        <v>109.041</v>
      </c>
      <c r="I22" s="53">
        <v>6.1931000000000003</v>
      </c>
      <c r="J22" s="53">
        <v>6.1931000000000003</v>
      </c>
      <c r="K22" s="52">
        <v>23.099999999999998</v>
      </c>
      <c r="L22" s="145">
        <f t="shared" si="0"/>
        <v>0.10544789828054829</v>
      </c>
      <c r="M22" s="53">
        <f>IFERROR(IF(OR(ISBLANK(WHOLE_STRUCTURE[[#This Row],[Top '[m']]]), ISBLANK(WHOLE_STRUCTURE[[#This Row],[Bottom '[m']]])), "", WHOLE_STRUCTURE[[#This Row],[Top '[m']]] - WHOLE_STRUCTURE[[#This Row],[Bottom '[m']]]),"")</f>
        <v>3.0000000000001137E-2</v>
      </c>
      <c r="N22" s="54">
        <f>IFERROR(-(WHOLE_STRUCTURE[[#This Row],[D, bottom '[m']]]-WHOLE_STRUCTURE[[#This Row],[D, top '[m']]])/(WHOLE_STRUCTURE[[#This Row],[Bottom '[m']]]-WHOLE_STRUCTURE[[#This Row],[Top '[m']]]),"")</f>
        <v>0</v>
      </c>
      <c r="O22" s="52">
        <f>IFERROR((WHOLE_STRUCTURE[[#This Row],[D, bottom '[m']]]+WHOLE_STRUCTURE[[#This Row],[D, top '[m']]])/(2*WHOLE_STRUCTURE[[#This Row],[t '[mm']]]/1000),"")</f>
        <v>268.09956709956714</v>
      </c>
      <c r="Q22" s="51" t="s">
        <v>71</v>
      </c>
      <c r="R22" s="55" t="s">
        <v>364</v>
      </c>
      <c r="S22" s="53">
        <v>16.795999999999999</v>
      </c>
      <c r="T22" s="53">
        <v>16.795999999999999</v>
      </c>
      <c r="U22" s="51">
        <v>10500</v>
      </c>
      <c r="V22" s="217"/>
      <c r="W22" s="145"/>
      <c r="X22" s="53"/>
      <c r="Y22" s="53"/>
      <c r="Z22" s="51"/>
      <c r="AB22" s="100" t="s">
        <v>20</v>
      </c>
      <c r="AI22" s="51"/>
      <c r="AJ22" s="51"/>
      <c r="AK22" s="51"/>
      <c r="AL22" s="51"/>
      <c r="AM22" s="51"/>
      <c r="AN22" s="51"/>
      <c r="AO22" s="51"/>
      <c r="AP22" s="51"/>
      <c r="AQ22" s="51"/>
    </row>
    <row r="23" spans="1:58" ht="16.5" customHeight="1">
      <c r="A23" s="147"/>
      <c r="B23" s="148"/>
      <c r="C23" s="149"/>
      <c r="D23" s="51">
        <v>17</v>
      </c>
      <c r="E23" s="51" t="s">
        <v>71</v>
      </c>
      <c r="F23" s="51">
        <v>17</v>
      </c>
      <c r="G23" s="53">
        <v>109.041</v>
      </c>
      <c r="H23" s="53">
        <v>108.92099999999999</v>
      </c>
      <c r="I23" s="53">
        <v>6.1931000000000003</v>
      </c>
      <c r="J23" s="53">
        <v>6.1931000000000003</v>
      </c>
      <c r="K23" s="52">
        <v>23.099999999999998</v>
      </c>
      <c r="L23" s="145">
        <f t="shared" si="0"/>
        <v>0.42179159312219316</v>
      </c>
      <c r="M23" s="53">
        <f>IFERROR(IF(OR(ISBLANK(WHOLE_STRUCTURE[[#This Row],[Top '[m']]]), ISBLANK(WHOLE_STRUCTURE[[#This Row],[Bottom '[m']]])), "", WHOLE_STRUCTURE[[#This Row],[Top '[m']]] - WHOLE_STRUCTURE[[#This Row],[Bottom '[m']]]),"")</f>
        <v>0.12000000000000455</v>
      </c>
      <c r="N23" s="54">
        <f>IFERROR(-(WHOLE_STRUCTURE[[#This Row],[D, bottom '[m']]]-WHOLE_STRUCTURE[[#This Row],[D, top '[m']]])/(WHOLE_STRUCTURE[[#This Row],[Bottom '[m']]]-WHOLE_STRUCTURE[[#This Row],[Top '[m']]]),"")</f>
        <v>0</v>
      </c>
      <c r="O23" s="52">
        <f>IFERROR((WHOLE_STRUCTURE[[#This Row],[D, bottom '[m']]]+WHOLE_STRUCTURE[[#This Row],[D, top '[m']]])/(2*WHOLE_STRUCTURE[[#This Row],[t '[mm']]]/1000),"")</f>
        <v>268.09956709956714</v>
      </c>
      <c r="Q23" s="51" t="s">
        <v>83</v>
      </c>
      <c r="R23" s="55" t="s">
        <v>366</v>
      </c>
      <c r="S23" s="53">
        <v>15.2</v>
      </c>
      <c r="T23" s="53">
        <v>15.2</v>
      </c>
      <c r="U23" s="51">
        <v>30000</v>
      </c>
      <c r="V23" s="217"/>
      <c r="W23" s="145"/>
      <c r="X23" s="53"/>
      <c r="Y23" s="53"/>
      <c r="Z23" s="51"/>
      <c r="AB23" s="51" t="s">
        <v>88</v>
      </c>
      <c r="AC23" s="51" t="s">
        <v>89</v>
      </c>
      <c r="AD23" s="51" t="s">
        <v>94</v>
      </c>
      <c r="AE23" s="51" t="s">
        <v>221</v>
      </c>
      <c r="AF23" s="51" t="s">
        <v>220</v>
      </c>
      <c r="AI23" s="51"/>
      <c r="AJ23" s="51"/>
      <c r="AK23" s="51"/>
      <c r="AL23" s="51"/>
      <c r="AM23" s="51"/>
      <c r="AN23" s="51"/>
      <c r="AO23" s="51"/>
      <c r="AP23" s="51"/>
      <c r="AQ23" s="51"/>
    </row>
    <row r="24" spans="1:58">
      <c r="A24" s="147"/>
      <c r="B24" s="148"/>
      <c r="C24" s="149"/>
      <c r="D24" s="51">
        <v>18</v>
      </c>
      <c r="E24" s="51" t="s">
        <v>71</v>
      </c>
      <c r="F24" s="51">
        <v>18</v>
      </c>
      <c r="G24" s="53">
        <v>108.92099999999999</v>
      </c>
      <c r="H24" s="53">
        <v>108.801</v>
      </c>
      <c r="I24" s="53">
        <v>6.1931000000000003</v>
      </c>
      <c r="J24" s="53">
        <v>6.1931000000000003</v>
      </c>
      <c r="K24" s="52">
        <v>23.099999999999998</v>
      </c>
      <c r="L24" s="145">
        <f t="shared" si="0"/>
        <v>0.42179159312214326</v>
      </c>
      <c r="M24" s="53">
        <f>IFERROR(IF(OR(ISBLANK(WHOLE_STRUCTURE[[#This Row],[Top '[m']]]), ISBLANK(WHOLE_STRUCTURE[[#This Row],[Bottom '[m']]])), "", WHOLE_STRUCTURE[[#This Row],[Top '[m']]] - WHOLE_STRUCTURE[[#This Row],[Bottom '[m']]]),"")</f>
        <v>0.11999999999999034</v>
      </c>
      <c r="N24" s="54">
        <f>IFERROR(-(WHOLE_STRUCTURE[[#This Row],[D, bottom '[m']]]-WHOLE_STRUCTURE[[#This Row],[D, top '[m']]])/(WHOLE_STRUCTURE[[#This Row],[Bottom '[m']]]-WHOLE_STRUCTURE[[#This Row],[Top '[m']]]),"")</f>
        <v>0</v>
      </c>
      <c r="O24" s="52">
        <f>IFERROR((WHOLE_STRUCTURE[[#This Row],[D, bottom '[m']]]+WHOLE_STRUCTURE[[#This Row],[D, top '[m']]])/(2*WHOLE_STRUCTURE[[#This Row],[t '[mm']]]/1000),"")</f>
        <v>268.09956709956714</v>
      </c>
      <c r="Q24" s="51" t="s">
        <v>83</v>
      </c>
      <c r="R24" s="55" t="s">
        <v>367</v>
      </c>
      <c r="S24" s="53">
        <v>14.7</v>
      </c>
      <c r="T24" s="53">
        <v>14.7</v>
      </c>
      <c r="U24" s="51">
        <v>26000</v>
      </c>
      <c r="V24" s="217"/>
      <c r="W24" s="145"/>
      <c r="X24" s="53"/>
      <c r="Y24" s="53"/>
      <c r="Z24" s="51"/>
      <c r="AB24" s="51">
        <v>3.1</v>
      </c>
      <c r="AC24" s="51">
        <v>140.49999999999997</v>
      </c>
      <c r="AD24" s="51">
        <v>0</v>
      </c>
      <c r="AE24" s="51">
        <v>1325</v>
      </c>
      <c r="AF24" s="51">
        <v>0.5</v>
      </c>
      <c r="AI24" s="51"/>
      <c r="AJ24" s="51"/>
      <c r="AK24" s="51"/>
      <c r="AL24" s="51"/>
      <c r="AM24" s="51"/>
      <c r="AN24" s="51"/>
      <c r="AO24" s="51"/>
      <c r="AP24" s="51"/>
      <c r="AQ24" s="51"/>
    </row>
    <row r="25" spans="1:58">
      <c r="A25" s="147"/>
      <c r="B25" s="148"/>
      <c r="C25" s="149"/>
      <c r="D25" s="51">
        <v>19</v>
      </c>
      <c r="E25" s="51" t="s">
        <v>71</v>
      </c>
      <c r="F25" s="51">
        <v>19</v>
      </c>
      <c r="G25" s="53">
        <v>108.801</v>
      </c>
      <c r="H25" s="53">
        <v>108.771</v>
      </c>
      <c r="I25" s="53">
        <v>6.1931000000000003</v>
      </c>
      <c r="J25" s="53">
        <v>6.1931000000000003</v>
      </c>
      <c r="K25" s="52">
        <v>23.099999999999998</v>
      </c>
      <c r="L25" s="145">
        <f t="shared" si="0"/>
        <v>0.10544789828054829</v>
      </c>
      <c r="M25" s="53">
        <f>IFERROR(IF(OR(ISBLANK(WHOLE_STRUCTURE[[#This Row],[Top '[m']]]), ISBLANK(WHOLE_STRUCTURE[[#This Row],[Bottom '[m']]])), "", WHOLE_STRUCTURE[[#This Row],[Top '[m']]] - WHOLE_STRUCTURE[[#This Row],[Bottom '[m']]]),"")</f>
        <v>3.0000000000001137E-2</v>
      </c>
      <c r="N25" s="54">
        <f>IFERROR(-(WHOLE_STRUCTURE[[#This Row],[D, bottom '[m']]]-WHOLE_STRUCTURE[[#This Row],[D, top '[m']]])/(WHOLE_STRUCTURE[[#This Row],[Bottom '[m']]]-WHOLE_STRUCTURE[[#This Row],[Top '[m']]]),"")</f>
        <v>0</v>
      </c>
      <c r="O25" s="52">
        <f>IFERROR((WHOLE_STRUCTURE[[#This Row],[D, bottom '[m']]]+WHOLE_STRUCTURE[[#This Row],[D, top '[m']]])/(2*WHOLE_STRUCTURE[[#This Row],[t '[mm']]]/1000),"")</f>
        <v>268.09956709956714</v>
      </c>
      <c r="Q25" s="51" t="s">
        <v>83</v>
      </c>
      <c r="R25" s="55" t="s">
        <v>368</v>
      </c>
      <c r="S25" s="53">
        <v>13.899999999999999</v>
      </c>
      <c r="T25" s="53">
        <v>13.899999999999999</v>
      </c>
      <c r="U25" s="51">
        <v>5000</v>
      </c>
      <c r="V25" s="217"/>
      <c r="W25" s="145"/>
      <c r="X25" s="53"/>
      <c r="Y25" s="53"/>
      <c r="Z25" s="51"/>
      <c r="AB25" s="51">
        <v>-8.9</v>
      </c>
      <c r="AC25" s="51">
        <v>3.1</v>
      </c>
      <c r="AD25" s="51">
        <v>150</v>
      </c>
      <c r="AE25" s="51">
        <v>1325</v>
      </c>
      <c r="AF25" s="51">
        <v>0.5</v>
      </c>
      <c r="AI25" s="51"/>
      <c r="AJ25" s="51"/>
      <c r="AK25" s="51"/>
      <c r="AL25" s="51"/>
      <c r="AM25" s="51"/>
      <c r="AN25" s="51"/>
      <c r="AO25" s="51"/>
      <c r="AP25" s="51"/>
      <c r="AQ25" s="51"/>
    </row>
    <row r="26" spans="1:58">
      <c r="A26" s="158"/>
      <c r="B26" s="159"/>
      <c r="C26" s="160"/>
      <c r="D26" s="51">
        <v>20</v>
      </c>
      <c r="E26" s="51" t="s">
        <v>71</v>
      </c>
      <c r="F26" s="51">
        <v>20</v>
      </c>
      <c r="G26" s="53">
        <v>108.771</v>
      </c>
      <c r="H26" s="53">
        <v>107.62299999999999</v>
      </c>
      <c r="I26" s="53">
        <v>6.1931000000000003</v>
      </c>
      <c r="J26" s="53">
        <v>6.2171000000000003</v>
      </c>
      <c r="K26" s="52">
        <v>23.099999999999998</v>
      </c>
      <c r="L26" s="145">
        <f t="shared" si="0"/>
        <v>4.042987495578295</v>
      </c>
      <c r="M26" s="53">
        <f>IFERROR(IF(OR(ISBLANK(WHOLE_STRUCTURE[[#This Row],[Top '[m']]]), ISBLANK(WHOLE_STRUCTURE[[#This Row],[Bottom '[m']]])), "", WHOLE_STRUCTURE[[#This Row],[Top '[m']]] - WHOLE_STRUCTURE[[#This Row],[Bottom '[m']]]),"")</f>
        <v>1.1480000000000103</v>
      </c>
      <c r="N26" s="54">
        <f>IFERROR(-(WHOLE_STRUCTURE[[#This Row],[D, bottom '[m']]]-WHOLE_STRUCTURE[[#This Row],[D, top '[m']]])/(WHOLE_STRUCTURE[[#This Row],[Bottom '[m']]]-WHOLE_STRUCTURE[[#This Row],[Top '[m']]]),"")</f>
        <v>2.0905923344947567E-2</v>
      </c>
      <c r="O26" s="52">
        <f>IFERROR((WHOLE_STRUCTURE[[#This Row],[D, bottom '[m']]]+WHOLE_STRUCTURE[[#This Row],[D, top '[m']]])/(2*WHOLE_STRUCTURE[[#This Row],[t '[mm']]]/1000),"")</f>
        <v>268.61904761904765</v>
      </c>
      <c r="Q26" s="51" t="s">
        <v>83</v>
      </c>
      <c r="R26" s="55" t="s">
        <v>369</v>
      </c>
      <c r="S26" s="53">
        <v>9</v>
      </c>
      <c r="T26" s="53">
        <v>9</v>
      </c>
      <c r="U26" s="51">
        <v>31000</v>
      </c>
      <c r="V26" s="217"/>
      <c r="W26" s="145"/>
      <c r="X26" s="53"/>
      <c r="Y26" s="53"/>
      <c r="Z26" s="51"/>
      <c r="AB26" s="51">
        <v>-38.9</v>
      </c>
      <c r="AC26" s="51">
        <v>-8.9</v>
      </c>
      <c r="AD26" s="51">
        <v>100</v>
      </c>
      <c r="AE26" s="51">
        <v>1325</v>
      </c>
      <c r="AF26" s="51">
        <v>0.5</v>
      </c>
      <c r="AI26" s="51"/>
      <c r="AJ26" s="51"/>
      <c r="AK26" s="51"/>
      <c r="AL26" s="51"/>
      <c r="AM26" s="51"/>
      <c r="AN26" s="51"/>
      <c r="AO26" s="51"/>
      <c r="AP26" s="51"/>
      <c r="AQ26" s="51"/>
    </row>
    <row r="27" spans="1:58" ht="21">
      <c r="A27" s="105" t="s">
        <v>267</v>
      </c>
      <c r="D27" s="51">
        <v>21</v>
      </c>
      <c r="E27" s="51" t="s">
        <v>71</v>
      </c>
      <c r="F27" s="51">
        <v>21</v>
      </c>
      <c r="G27" s="53">
        <v>107.62299999999999</v>
      </c>
      <c r="H27" s="53">
        <v>107.414</v>
      </c>
      <c r="I27" s="53">
        <v>6.2171000000000003</v>
      </c>
      <c r="J27" s="53">
        <v>6.2214999999999998</v>
      </c>
      <c r="K27" s="52">
        <v>23.5</v>
      </c>
      <c r="L27" s="145">
        <f t="shared" si="0"/>
        <v>0.75046608105365997</v>
      </c>
      <c r="M27" s="53">
        <f>IFERROR(IF(OR(ISBLANK(WHOLE_STRUCTURE[[#This Row],[Top '[m']]]), ISBLANK(WHOLE_STRUCTURE[[#This Row],[Bottom '[m']]])), "", WHOLE_STRUCTURE[[#This Row],[Top '[m']]] - WHOLE_STRUCTURE[[#This Row],[Bottom '[m']]]),"")</f>
        <v>0.20899999999998897</v>
      </c>
      <c r="N27" s="54">
        <f>IFERROR(-(WHOLE_STRUCTURE[[#This Row],[D, bottom '[m']]]-WHOLE_STRUCTURE[[#This Row],[D, top '[m']]])/(WHOLE_STRUCTURE[[#This Row],[Bottom '[m']]]-WHOLE_STRUCTURE[[#This Row],[Top '[m']]]),"")</f>
        <v>2.1052631578946161E-2</v>
      </c>
      <c r="O27" s="52">
        <f>IFERROR((WHOLE_STRUCTURE[[#This Row],[D, bottom '[m']]]+WHOLE_STRUCTURE[[#This Row],[D, top '[m']]])/(2*WHOLE_STRUCTURE[[#This Row],[t '[mm']]]/1000),"")</f>
        <v>264.65106382978723</v>
      </c>
      <c r="Q27" s="51" t="s">
        <v>83</v>
      </c>
      <c r="R27" s="55" t="s">
        <v>372</v>
      </c>
      <c r="S27" s="53">
        <v>8.1999999999999993</v>
      </c>
      <c r="T27" s="53">
        <v>-7.6</v>
      </c>
      <c r="U27" s="51">
        <v>3000</v>
      </c>
      <c r="V27" s="217">
        <v>0.19400000000000001</v>
      </c>
      <c r="W27" s="145">
        <v>124.4</v>
      </c>
      <c r="X27" s="53">
        <v>4.8</v>
      </c>
      <c r="Y27" s="53"/>
      <c r="Z27" s="51">
        <v>0</v>
      </c>
      <c r="AB27" s="51">
        <v>-43.5</v>
      </c>
      <c r="AC27" s="51">
        <v>-38.9</v>
      </c>
      <c r="AD27" s="51">
        <v>50</v>
      </c>
      <c r="AE27" s="51">
        <v>1325</v>
      </c>
      <c r="AF27" s="51">
        <v>0.5</v>
      </c>
      <c r="AI27" s="51"/>
      <c r="AJ27" s="51"/>
      <c r="AK27" s="51"/>
      <c r="AL27" s="51"/>
      <c r="AM27" s="51"/>
      <c r="AN27" s="51"/>
      <c r="AO27" s="51"/>
      <c r="AP27" s="51"/>
      <c r="AQ27" s="51"/>
    </row>
    <row r="28" spans="1:58" ht="15.6" customHeight="1">
      <c r="A28" s="101" t="s">
        <v>119</v>
      </c>
      <c r="B28" s="51" t="s">
        <v>110</v>
      </c>
      <c r="C28" s="90" t="s">
        <v>99</v>
      </c>
      <c r="D28" s="51">
        <v>22</v>
      </c>
      <c r="E28" s="51" t="s">
        <v>71</v>
      </c>
      <c r="F28" s="51">
        <v>22</v>
      </c>
      <c r="G28" s="53">
        <v>107.414</v>
      </c>
      <c r="H28" s="53">
        <v>105.991</v>
      </c>
      <c r="I28" s="53">
        <v>6.2214999999999998</v>
      </c>
      <c r="J28" s="53">
        <v>6.2492999999999999</v>
      </c>
      <c r="K28" s="52">
        <v>24.299999999999997</v>
      </c>
      <c r="L28" s="145">
        <f t="shared" si="0"/>
        <v>5.2966249828572636</v>
      </c>
      <c r="M28" s="53">
        <f>IFERROR(IF(OR(ISBLANK(WHOLE_STRUCTURE[[#This Row],[Top '[m']]]), ISBLANK(WHOLE_STRUCTURE[[#This Row],[Bottom '[m']]])), "", WHOLE_STRUCTURE[[#This Row],[Top '[m']]] - WHOLE_STRUCTURE[[#This Row],[Bottom '[m']]]),"")</f>
        <v>1.4230000000000018</v>
      </c>
      <c r="N28" s="54">
        <f>IFERROR(-(WHOLE_STRUCTURE[[#This Row],[D, bottom '[m']]]-WHOLE_STRUCTURE[[#This Row],[D, top '[m']]])/(WHOLE_STRUCTURE[[#This Row],[Bottom '[m']]]-WHOLE_STRUCTURE[[#This Row],[Top '[m']]]),"")</f>
        <v>1.9536191145467331E-2</v>
      </c>
      <c r="O28" s="52">
        <f>IFERROR((WHOLE_STRUCTURE[[#This Row],[D, bottom '[m']]]+WHOLE_STRUCTURE[[#This Row],[D, top '[m']]])/(2*WHOLE_STRUCTURE[[#This Row],[t '[mm']]]/1000),"")</f>
        <v>256.60082304526753</v>
      </c>
      <c r="Q28" s="51" t="s">
        <v>83</v>
      </c>
      <c r="R28" s="55" t="s">
        <v>372</v>
      </c>
      <c r="S28" s="53">
        <v>8.1999999999999993</v>
      </c>
      <c r="T28" s="53">
        <v>-7.6</v>
      </c>
      <c r="U28" s="51">
        <v>3000</v>
      </c>
      <c r="V28" s="217">
        <v>0.19400000000000001</v>
      </c>
      <c r="W28" s="145">
        <v>115.6</v>
      </c>
      <c r="X28" s="53">
        <v>4.8</v>
      </c>
      <c r="Y28" s="53"/>
      <c r="Z28" s="51">
        <v>0</v>
      </c>
      <c r="AI28" s="51"/>
      <c r="AJ28" s="51"/>
      <c r="AK28" s="51"/>
      <c r="AL28" s="51"/>
      <c r="AM28" s="51"/>
      <c r="AN28" s="51"/>
      <c r="AO28" s="51"/>
      <c r="AP28" s="51"/>
      <c r="AQ28" s="51"/>
    </row>
    <row r="29" spans="1:58">
      <c r="A29" s="56" t="s">
        <v>71</v>
      </c>
      <c r="B29" s="145">
        <f>SUMIF(WHOLE_STRUCTURE[Affiliation], "TOWER", L6:L2252)</f>
        <v>668.50591166776053</v>
      </c>
      <c r="C29" s="90" t="s">
        <v>6</v>
      </c>
      <c r="D29" s="51">
        <v>23</v>
      </c>
      <c r="E29" s="51" t="s">
        <v>71</v>
      </c>
      <c r="F29" s="51">
        <v>23</v>
      </c>
      <c r="G29" s="53">
        <v>105.991</v>
      </c>
      <c r="H29" s="53">
        <v>103.215</v>
      </c>
      <c r="I29" s="53">
        <v>6.2492999999999999</v>
      </c>
      <c r="J29" s="53">
        <v>6.3041999999999998</v>
      </c>
      <c r="K29" s="52">
        <v>25.2</v>
      </c>
      <c r="L29" s="145">
        <f t="shared" si="0"/>
        <v>10.785176109527962</v>
      </c>
      <c r="M29" s="53">
        <f>IFERROR(IF(OR(ISBLANK(WHOLE_STRUCTURE[[#This Row],[Top '[m']]]), ISBLANK(WHOLE_STRUCTURE[[#This Row],[Bottom '[m']]])), "", WHOLE_STRUCTURE[[#This Row],[Top '[m']]] - WHOLE_STRUCTURE[[#This Row],[Bottom '[m']]]),"")</f>
        <v>2.7759999999999962</v>
      </c>
      <c r="N29" s="54">
        <f>IFERROR(-(WHOLE_STRUCTURE[[#This Row],[D, bottom '[m']]]-WHOLE_STRUCTURE[[#This Row],[D, top '[m']]])/(WHOLE_STRUCTURE[[#This Row],[Bottom '[m']]]-WHOLE_STRUCTURE[[#This Row],[Top '[m']]]),"")</f>
        <v>1.9776657060518739E-2</v>
      </c>
      <c r="O29" s="52">
        <f>IFERROR((WHOLE_STRUCTURE[[#This Row],[D, bottom '[m']]]+WHOLE_STRUCTURE[[#This Row],[D, top '[m']]])/(2*WHOLE_STRUCTURE[[#This Row],[t '[mm']]]/1000),"")</f>
        <v>249.07738095238093</v>
      </c>
      <c r="Q29" s="51" t="s">
        <v>83</v>
      </c>
      <c r="R29" s="55" t="s">
        <v>374</v>
      </c>
      <c r="S29" s="53">
        <v>7</v>
      </c>
      <c r="T29" s="53">
        <v>5.6999999999999993</v>
      </c>
      <c r="U29" s="51">
        <v>3000</v>
      </c>
      <c r="V29" s="217">
        <v>1.3</v>
      </c>
      <c r="W29" s="145">
        <v>135</v>
      </c>
      <c r="X29" s="53">
        <v>5.2</v>
      </c>
      <c r="Y29" s="53"/>
      <c r="Z29" s="51">
        <v>0</v>
      </c>
      <c r="AI29" s="51"/>
      <c r="AJ29" s="51"/>
      <c r="AK29" s="51"/>
      <c r="AL29" s="51"/>
      <c r="AM29" s="51"/>
      <c r="AN29" s="51"/>
      <c r="AO29" s="51"/>
      <c r="AP29" s="51"/>
      <c r="AQ29" s="51"/>
    </row>
    <row r="30" spans="1:58" ht="15.75">
      <c r="A30" s="56" t="s">
        <v>83</v>
      </c>
      <c r="B30" s="145">
        <f>SUMIF(WHOLE_STRUCTURE[Affiliation], "TP", L6:L2252)</f>
        <v>149.2724091858008</v>
      </c>
      <c r="C30" s="90" t="s">
        <v>6</v>
      </c>
      <c r="D30" s="51">
        <v>24</v>
      </c>
      <c r="E30" s="51" t="s">
        <v>71</v>
      </c>
      <c r="F30" s="51">
        <v>24</v>
      </c>
      <c r="G30" s="53">
        <v>103.215</v>
      </c>
      <c r="H30" s="53">
        <v>100.44</v>
      </c>
      <c r="I30" s="53">
        <v>6.3041999999999998</v>
      </c>
      <c r="J30" s="53">
        <v>6.3586</v>
      </c>
      <c r="K30" s="52">
        <v>25.6</v>
      </c>
      <c r="L30" s="145">
        <f t="shared" si="0"/>
        <v>11.047466019228711</v>
      </c>
      <c r="M30" s="53">
        <f>IFERROR(IF(OR(ISBLANK(WHOLE_STRUCTURE[[#This Row],[Top '[m']]]), ISBLANK(WHOLE_STRUCTURE[[#This Row],[Bottom '[m']]])), "", WHOLE_STRUCTURE[[#This Row],[Top '[m']]] - WHOLE_STRUCTURE[[#This Row],[Bottom '[m']]]),"")</f>
        <v>2.7750000000000057</v>
      </c>
      <c r="N30" s="54">
        <f>IFERROR(-(WHOLE_STRUCTURE[[#This Row],[D, bottom '[m']]]-WHOLE_STRUCTURE[[#This Row],[D, top '[m']]])/(WHOLE_STRUCTURE[[#This Row],[Bottom '[m']]]-WHOLE_STRUCTURE[[#This Row],[Top '[m']]]),"")</f>
        <v>1.9603603603603643E-2</v>
      </c>
      <c r="O30" s="52">
        <f>IFERROR((WHOLE_STRUCTURE[[#This Row],[D, bottom '[m']]]+WHOLE_STRUCTURE[[#This Row],[D, top '[m']]])/(2*WHOLE_STRUCTURE[[#This Row],[t '[mm']]]/1000),"")</f>
        <v>247.3203125</v>
      </c>
      <c r="Q30" s="51" t="s">
        <v>83</v>
      </c>
      <c r="R30" s="55" t="s">
        <v>373</v>
      </c>
      <c r="S30" s="53">
        <v>5.6</v>
      </c>
      <c r="T30" s="53">
        <v>-7.6</v>
      </c>
      <c r="U30" s="51">
        <v>8000</v>
      </c>
      <c r="V30" s="217">
        <v>0.40600000000000003</v>
      </c>
      <c r="W30" s="145">
        <v>129.6</v>
      </c>
      <c r="X30" s="53">
        <v>5.2</v>
      </c>
      <c r="Y30" s="53"/>
      <c r="Z30" s="51">
        <v>0</v>
      </c>
      <c r="AB30" s="100" t="s">
        <v>93</v>
      </c>
      <c r="AI30" s="51"/>
      <c r="AJ30" s="51"/>
      <c r="AK30" s="51"/>
      <c r="AL30" s="51"/>
      <c r="AM30" s="51"/>
      <c r="AN30" s="51"/>
      <c r="AO30" s="51"/>
      <c r="AP30" s="51"/>
      <c r="AQ30" s="51"/>
    </row>
    <row r="31" spans="1:58">
      <c r="A31" s="56" t="s">
        <v>69</v>
      </c>
      <c r="B31" s="145">
        <f>SUMIF(WHOLE_STRUCTURE[Affiliation], "MP", L6:L2252)</f>
        <v>51.368922894712881</v>
      </c>
      <c r="C31" s="90" t="s">
        <v>6</v>
      </c>
      <c r="D31" s="51">
        <v>25</v>
      </c>
      <c r="E31" s="51" t="s">
        <v>71</v>
      </c>
      <c r="F31" s="51">
        <v>25</v>
      </c>
      <c r="G31" s="53">
        <v>100.44</v>
      </c>
      <c r="H31" s="53">
        <v>97.665999999999997</v>
      </c>
      <c r="I31" s="53">
        <v>6.3586</v>
      </c>
      <c r="J31" s="53">
        <v>6.4127999999999998</v>
      </c>
      <c r="K31" s="52">
        <v>25.8</v>
      </c>
      <c r="L31" s="145">
        <f t="shared" si="0"/>
        <v>11.225248892567858</v>
      </c>
      <c r="M31" s="53">
        <f>IFERROR(IF(OR(ISBLANK(WHOLE_STRUCTURE[[#This Row],[Top '[m']]]), ISBLANK(WHOLE_STRUCTURE[[#This Row],[Bottom '[m']]])), "", WHOLE_STRUCTURE[[#This Row],[Top '[m']]] - WHOLE_STRUCTURE[[#This Row],[Bottom '[m']]]),"")</f>
        <v>2.7740000000000009</v>
      </c>
      <c r="N31" s="54">
        <f>IFERROR(-(WHOLE_STRUCTURE[[#This Row],[D, bottom '[m']]]-WHOLE_STRUCTURE[[#This Row],[D, top '[m']]])/(WHOLE_STRUCTURE[[#This Row],[Bottom '[m']]]-WHOLE_STRUCTURE[[#This Row],[Top '[m']]]),"")</f>
        <v>1.9538572458543541E-2</v>
      </c>
      <c r="O31" s="52">
        <f>IFERROR((WHOLE_STRUCTURE[[#This Row],[D, bottom '[m']]]+WHOLE_STRUCTURE[[#This Row],[D, top '[m']]])/(2*WHOLE_STRUCTURE[[#This Row],[t '[mm']]]/1000),"")</f>
        <v>247.50775193798449</v>
      </c>
      <c r="Q31" s="51" t="s">
        <v>83</v>
      </c>
      <c r="R31" s="55" t="s">
        <v>373</v>
      </c>
      <c r="S31" s="53">
        <v>5.6</v>
      </c>
      <c r="T31" s="53">
        <v>-7.6</v>
      </c>
      <c r="U31" s="51">
        <v>8000</v>
      </c>
      <c r="V31" s="217">
        <v>0.40600000000000003</v>
      </c>
      <c r="W31" s="145">
        <v>110.4</v>
      </c>
      <c r="X31" s="53">
        <v>5.2</v>
      </c>
      <c r="Y31" s="53"/>
      <c r="Z31" s="51">
        <v>0</v>
      </c>
      <c r="AB31" s="51" t="s">
        <v>88</v>
      </c>
      <c r="AC31" s="51" t="s">
        <v>89</v>
      </c>
      <c r="AD31" s="51" t="s">
        <v>17</v>
      </c>
      <c r="AE31" s="51" t="s">
        <v>18</v>
      </c>
      <c r="AI31" s="51"/>
      <c r="AJ31" s="51"/>
      <c r="AK31" s="51"/>
      <c r="AL31" s="51"/>
      <c r="AM31" s="51"/>
      <c r="AN31" s="51"/>
      <c r="AO31" s="51"/>
      <c r="AP31" s="51"/>
      <c r="AQ31" s="51"/>
    </row>
    <row r="32" spans="1:58">
      <c r="A32" s="56" t="s">
        <v>108</v>
      </c>
      <c r="B32" s="145" cm="1">
        <f t="array" ref="B32">RNA[Power '[MW']]</f>
        <v>5</v>
      </c>
      <c r="C32" s="90" t="s">
        <v>6</v>
      </c>
      <c r="D32" s="51">
        <v>26</v>
      </c>
      <c r="E32" s="51" t="s">
        <v>71</v>
      </c>
      <c r="F32" s="51">
        <v>26</v>
      </c>
      <c r="G32" s="53">
        <v>97.665999999999997</v>
      </c>
      <c r="H32" s="53">
        <v>94.894999999999996</v>
      </c>
      <c r="I32" s="53">
        <v>6.4127999999999998</v>
      </c>
      <c r="J32" s="53">
        <v>6.4669999999999996</v>
      </c>
      <c r="K32" s="52">
        <v>26</v>
      </c>
      <c r="L32" s="145">
        <f t="shared" si="0"/>
        <v>11.395977620360522</v>
      </c>
      <c r="M32" s="53">
        <f>IFERROR(IF(OR(ISBLANK(WHOLE_STRUCTURE[[#This Row],[Top '[m']]]), ISBLANK(WHOLE_STRUCTURE[[#This Row],[Bottom '[m']]])), "", WHOLE_STRUCTURE[[#This Row],[Top '[m']]] - WHOLE_STRUCTURE[[#This Row],[Bottom '[m']]]),"")</f>
        <v>2.7710000000000008</v>
      </c>
      <c r="N32" s="54">
        <f>IFERROR(-(WHOLE_STRUCTURE[[#This Row],[D, bottom '[m']]]-WHOLE_STRUCTURE[[#This Row],[D, top '[m']]])/(WHOLE_STRUCTURE[[#This Row],[Bottom '[m']]]-WHOLE_STRUCTURE[[#This Row],[Top '[m']]]),"")</f>
        <v>1.9559725730783035E-2</v>
      </c>
      <c r="O32" s="52">
        <f>IFERROR((WHOLE_STRUCTURE[[#This Row],[D, bottom '[m']]]+WHOLE_STRUCTURE[[#This Row],[D, top '[m']]])/(2*WHOLE_STRUCTURE[[#This Row],[t '[mm']]]/1000),"")</f>
        <v>247.68846153846155</v>
      </c>
      <c r="Q32" s="51" t="s">
        <v>83</v>
      </c>
      <c r="R32" s="55" t="s">
        <v>370</v>
      </c>
      <c r="S32" s="53">
        <v>0.5</v>
      </c>
      <c r="T32" s="53">
        <v>0.5</v>
      </c>
      <c r="U32" s="51">
        <v>70000</v>
      </c>
      <c r="V32" s="217"/>
      <c r="W32" s="145"/>
      <c r="X32" s="53"/>
      <c r="Y32" s="53"/>
      <c r="Z32" s="51"/>
      <c r="AB32" s="51">
        <v>20</v>
      </c>
      <c r="AC32" s="51">
        <v>6.5</v>
      </c>
      <c r="AD32" s="51">
        <v>0.9</v>
      </c>
      <c r="AE32" s="51">
        <v>2</v>
      </c>
      <c r="AI32" s="51"/>
      <c r="AJ32" s="51"/>
      <c r="AK32" s="51"/>
      <c r="AL32" s="51"/>
      <c r="AM32" s="51"/>
      <c r="AN32" s="51"/>
      <c r="AO32" s="51"/>
      <c r="AP32" s="51"/>
      <c r="AQ32" s="51"/>
    </row>
    <row r="33" spans="1:43">
      <c r="A33" s="56" t="s">
        <v>111</v>
      </c>
      <c r="B33" s="145">
        <f>SUM(S6:S1048576)</f>
        <v>1319.9870000000003</v>
      </c>
      <c r="C33" s="90" t="s">
        <v>6</v>
      </c>
      <c r="D33" s="51">
        <v>27</v>
      </c>
      <c r="E33" s="51" t="s">
        <v>71</v>
      </c>
      <c r="F33" s="51">
        <v>27</v>
      </c>
      <c r="G33" s="53">
        <v>94.894999999999996</v>
      </c>
      <c r="H33" s="53">
        <v>92.123999999999995</v>
      </c>
      <c r="I33" s="53">
        <v>6.4669999999999996</v>
      </c>
      <c r="J33" s="53">
        <v>6.5206</v>
      </c>
      <c r="K33" s="52">
        <v>26.599999999999998</v>
      </c>
      <c r="L33" s="145">
        <f t="shared" si="0"/>
        <v>11.755848583701995</v>
      </c>
      <c r="M33" s="53">
        <f>IFERROR(IF(OR(ISBLANK(WHOLE_STRUCTURE[[#This Row],[Top '[m']]]), ISBLANK(WHOLE_STRUCTURE[[#This Row],[Bottom '[m']]])), "", WHOLE_STRUCTURE[[#This Row],[Top '[m']]] - WHOLE_STRUCTURE[[#This Row],[Bottom '[m']]]),"")</f>
        <v>2.7710000000000008</v>
      </c>
      <c r="N33" s="54">
        <f>IFERROR(-(WHOLE_STRUCTURE[[#This Row],[D, bottom '[m']]]-WHOLE_STRUCTURE[[#This Row],[D, top '[m']]])/(WHOLE_STRUCTURE[[#This Row],[Bottom '[m']]]-WHOLE_STRUCTURE[[#This Row],[Top '[m']]]),"")</f>
        <v>1.9343197401660159E-2</v>
      </c>
      <c r="O33" s="52">
        <f>IFERROR((WHOLE_STRUCTURE[[#This Row],[D, bottom '[m']]]+WHOLE_STRUCTURE[[#This Row],[D, top '[m']]])/(2*WHOLE_STRUCTURE[[#This Row],[t '[mm']]]/1000),"")</f>
        <v>244.1278195488722</v>
      </c>
      <c r="Q33" s="51"/>
      <c r="S33" s="53"/>
      <c r="T33" s="53"/>
      <c r="U33" s="51"/>
      <c r="V33" s="217"/>
      <c r="W33" s="145"/>
      <c r="X33" s="53"/>
      <c r="Y33" s="53"/>
      <c r="Z33" s="51"/>
      <c r="AB33" s="51">
        <f>IF(ISBLANK(AC33),"",AC32)</f>
        <v>6.5</v>
      </c>
      <c r="AC33" s="51">
        <v>-22</v>
      </c>
      <c r="AD33" s="51">
        <v>0.9</v>
      </c>
      <c r="AE33" s="51">
        <v>2</v>
      </c>
      <c r="AI33" s="51"/>
      <c r="AJ33" s="51"/>
      <c r="AK33" s="51"/>
      <c r="AL33" s="51"/>
      <c r="AM33" s="51"/>
      <c r="AN33" s="51"/>
      <c r="AO33" s="51"/>
      <c r="AP33" s="51"/>
      <c r="AQ33" s="51"/>
    </row>
    <row r="34" spans="1:43" ht="14.45" customHeight="1">
      <c r="A34" s="224" t="s">
        <v>379</v>
      </c>
      <c r="B34" s="225">
        <f>SUM(B29:B33)</f>
        <v>2194.1342437482745</v>
      </c>
      <c r="C34" s="226" t="s">
        <v>6</v>
      </c>
      <c r="D34" s="51">
        <v>28</v>
      </c>
      <c r="E34" s="51" t="s">
        <v>71</v>
      </c>
      <c r="F34" s="51">
        <v>28</v>
      </c>
      <c r="G34" s="53">
        <v>92.123999999999995</v>
      </c>
      <c r="H34" s="53">
        <v>89.353999999999999</v>
      </c>
      <c r="I34" s="53">
        <v>6.5206</v>
      </c>
      <c r="J34" s="53">
        <v>6.5753000000000004</v>
      </c>
      <c r="K34" s="52">
        <v>27.3</v>
      </c>
      <c r="L34" s="145">
        <f t="shared" si="0"/>
        <v>12.160539292573176</v>
      </c>
      <c r="M34" s="53">
        <f>IFERROR(IF(OR(ISBLANK(WHOLE_STRUCTURE[[#This Row],[Top '[m']]]), ISBLANK(WHOLE_STRUCTURE[[#This Row],[Bottom '[m']]])), "", WHOLE_STRUCTURE[[#This Row],[Top '[m']]] - WHOLE_STRUCTURE[[#This Row],[Bottom '[m']]]),"")</f>
        <v>2.769999999999996</v>
      </c>
      <c r="N34" s="54">
        <f>IFERROR(-(WHOLE_STRUCTURE[[#This Row],[D, bottom '[m']]]-WHOLE_STRUCTURE[[#This Row],[D, top '[m']]])/(WHOLE_STRUCTURE[[#This Row],[Bottom '[m']]]-WHOLE_STRUCTURE[[#This Row],[Top '[m']]]),"")</f>
        <v>1.9747292418772742E-2</v>
      </c>
      <c r="O34" s="52">
        <f>IFERROR((WHOLE_STRUCTURE[[#This Row],[D, bottom '[m']]]+WHOLE_STRUCTURE[[#This Row],[D, top '[m']]])/(2*WHOLE_STRUCTURE[[#This Row],[t '[mm']]]/1000),"")</f>
        <v>239.85164835164835</v>
      </c>
      <c r="Q34" s="51"/>
      <c r="S34" s="53"/>
      <c r="T34" s="53"/>
      <c r="U34" s="51"/>
      <c r="V34" s="217"/>
      <c r="W34" s="145"/>
      <c r="X34" s="53"/>
      <c r="Y34" s="53"/>
      <c r="Z34" s="51"/>
      <c r="AI34" s="51"/>
      <c r="AJ34" s="51"/>
      <c r="AK34" s="51"/>
      <c r="AL34" s="51"/>
      <c r="AM34" s="51"/>
      <c r="AN34" s="51"/>
      <c r="AO34" s="51"/>
      <c r="AP34" s="51"/>
      <c r="AQ34" s="51"/>
    </row>
    <row r="35" spans="1:43">
      <c r="D35" s="51">
        <v>29</v>
      </c>
      <c r="E35" s="51" t="s">
        <v>71</v>
      </c>
      <c r="F35" s="51">
        <v>29</v>
      </c>
      <c r="G35" s="53">
        <v>89.353999999999999</v>
      </c>
      <c r="H35" s="53">
        <v>86.587000000000003</v>
      </c>
      <c r="I35" s="53">
        <v>6.5753000000000004</v>
      </c>
      <c r="J35" s="53">
        <v>6.6299000000000001</v>
      </c>
      <c r="K35" s="52">
        <v>27.900000000000002</v>
      </c>
      <c r="L35" s="145">
        <f t="shared" si="0"/>
        <v>12.517247308250088</v>
      </c>
      <c r="M35" s="53">
        <f>IFERROR(IF(OR(ISBLANK(WHOLE_STRUCTURE[[#This Row],[Top '[m']]]), ISBLANK(WHOLE_STRUCTURE[[#This Row],[Bottom '[m']]])), "", WHOLE_STRUCTURE[[#This Row],[Top '[m']]] - WHOLE_STRUCTURE[[#This Row],[Bottom '[m']]]),"")</f>
        <v>2.7669999999999959</v>
      </c>
      <c r="N35" s="54">
        <f>IFERROR(-(WHOLE_STRUCTURE[[#This Row],[D, bottom '[m']]]-WHOLE_STRUCTURE[[#This Row],[D, top '[m']]])/(WHOLE_STRUCTURE[[#This Row],[Bottom '[m']]]-WHOLE_STRUCTURE[[#This Row],[Top '[m']]]),"")</f>
        <v>1.9732562341886462E-2</v>
      </c>
      <c r="O35" s="52">
        <f>IFERROR((WHOLE_STRUCTURE[[#This Row],[D, bottom '[m']]]+WHOLE_STRUCTURE[[#This Row],[D, top '[m']]])/(2*WHOLE_STRUCTURE[[#This Row],[t '[mm']]]/1000),"")</f>
        <v>236.65232974910396</v>
      </c>
      <c r="Q35" s="51"/>
      <c r="S35" s="53"/>
      <c r="T35" s="53"/>
      <c r="U35" s="51"/>
      <c r="V35" s="217"/>
      <c r="W35" s="145"/>
      <c r="X35" s="53"/>
      <c r="Y35" s="53"/>
      <c r="Z35" s="51"/>
      <c r="AI35" s="51"/>
      <c r="AJ35" s="51"/>
      <c r="AK35" s="51"/>
      <c r="AL35" s="51"/>
      <c r="AM35" s="51"/>
      <c r="AN35" s="51"/>
      <c r="AO35" s="51"/>
      <c r="AP35" s="51"/>
      <c r="AQ35" s="51"/>
    </row>
    <row r="36" spans="1:43">
      <c r="D36" s="51">
        <v>30</v>
      </c>
      <c r="E36" s="51" t="s">
        <v>71</v>
      </c>
      <c r="F36" s="51">
        <v>30</v>
      </c>
      <c r="G36" s="53">
        <v>86.587000000000003</v>
      </c>
      <c r="H36" s="53">
        <v>83.82</v>
      </c>
      <c r="I36" s="53">
        <v>6.6299000000000001</v>
      </c>
      <c r="J36" s="53">
        <v>6.6836000000000002</v>
      </c>
      <c r="K36" s="52">
        <v>28.6</v>
      </c>
      <c r="L36" s="145">
        <f t="shared" si="0"/>
        <v>12.935614067789432</v>
      </c>
      <c r="M36" s="53">
        <f>IFERROR(IF(OR(ISBLANK(WHOLE_STRUCTURE[[#This Row],[Top '[m']]]), ISBLANK(WHOLE_STRUCTURE[[#This Row],[Bottom '[m']]])), "", WHOLE_STRUCTURE[[#This Row],[Top '[m']]] - WHOLE_STRUCTURE[[#This Row],[Bottom '[m']]]),"")</f>
        <v>2.7670000000000101</v>
      </c>
      <c r="N36" s="54">
        <f>IFERROR(-(WHOLE_STRUCTURE[[#This Row],[D, bottom '[m']]]-WHOLE_STRUCTURE[[#This Row],[D, top '[m']]])/(WHOLE_STRUCTURE[[#This Row],[Bottom '[m']]]-WHOLE_STRUCTURE[[#This Row],[Top '[m']]]),"")</f>
        <v>1.9407300325261976E-2</v>
      </c>
      <c r="O36" s="52">
        <f>IFERROR((WHOLE_STRUCTURE[[#This Row],[D, bottom '[m']]]+WHOLE_STRUCTURE[[#This Row],[D, top '[m']]])/(2*WHOLE_STRUCTURE[[#This Row],[t '[mm']]]/1000),"")</f>
        <v>232.75349650349654</v>
      </c>
      <c r="Q36" s="51"/>
      <c r="S36" s="53"/>
      <c r="T36" s="53"/>
      <c r="U36" s="51"/>
      <c r="V36" s="217"/>
      <c r="W36" s="145"/>
      <c r="X36" s="53"/>
      <c r="Y36" s="53"/>
      <c r="Z36" s="51"/>
      <c r="AI36" s="51"/>
      <c r="AJ36" s="51"/>
      <c r="AK36" s="51"/>
      <c r="AL36" s="51"/>
      <c r="AM36" s="51"/>
      <c r="AN36" s="51"/>
      <c r="AO36" s="51"/>
      <c r="AP36" s="51"/>
      <c r="AQ36" s="51"/>
    </row>
    <row r="37" spans="1:43">
      <c r="D37" s="51">
        <v>31</v>
      </c>
      <c r="E37" s="51" t="s">
        <v>71</v>
      </c>
      <c r="F37" s="51">
        <v>31</v>
      </c>
      <c r="G37" s="53">
        <v>83.82</v>
      </c>
      <c r="H37" s="53">
        <v>81.054000000000002</v>
      </c>
      <c r="I37" s="53">
        <v>6.6836000000000002</v>
      </c>
      <c r="J37" s="53">
        <v>6.7382</v>
      </c>
      <c r="K37" s="52">
        <v>29.2</v>
      </c>
      <c r="L37" s="145">
        <f t="shared" si="0"/>
        <v>13.308880608998512</v>
      </c>
      <c r="M37" s="53">
        <f>IFERROR(IF(OR(ISBLANK(WHOLE_STRUCTURE[[#This Row],[Top '[m']]]), ISBLANK(WHOLE_STRUCTURE[[#This Row],[Bottom '[m']]])), "", WHOLE_STRUCTURE[[#This Row],[Top '[m']]] - WHOLE_STRUCTURE[[#This Row],[Bottom '[m']]]),"")</f>
        <v>2.7659999999999911</v>
      </c>
      <c r="N37" s="54">
        <f>IFERROR(-(WHOLE_STRUCTURE[[#This Row],[D, bottom '[m']]]-WHOLE_STRUCTURE[[#This Row],[D, top '[m']]])/(WHOLE_STRUCTURE[[#This Row],[Bottom '[m']]]-WHOLE_STRUCTURE[[#This Row],[Top '[m']]]),"")</f>
        <v>1.9739696312364403E-2</v>
      </c>
      <c r="O37" s="52">
        <f>IFERROR((WHOLE_STRUCTURE[[#This Row],[D, bottom '[m']]]+WHOLE_STRUCTURE[[#This Row],[D, top '[m']]])/(2*WHOLE_STRUCTURE[[#This Row],[t '[mm']]]/1000),"")</f>
        <v>229.82534246575344</v>
      </c>
      <c r="Q37" s="51"/>
      <c r="S37" s="53"/>
      <c r="T37" s="53"/>
      <c r="U37" s="51"/>
      <c r="V37" s="217"/>
      <c r="W37" s="145"/>
      <c r="X37" s="53"/>
      <c r="Y37" s="53"/>
      <c r="Z37" s="51"/>
    </row>
    <row r="38" spans="1:43">
      <c r="D38" s="51">
        <v>32</v>
      </c>
      <c r="E38" s="51" t="s">
        <v>71</v>
      </c>
      <c r="F38" s="51">
        <v>32</v>
      </c>
      <c r="G38" s="53">
        <v>81.054000000000002</v>
      </c>
      <c r="H38" s="53">
        <v>78.289999999999992</v>
      </c>
      <c r="I38" s="53">
        <v>6.7382</v>
      </c>
      <c r="J38" s="53">
        <v>6.7927999999999997</v>
      </c>
      <c r="K38" s="52">
        <v>29.8</v>
      </c>
      <c r="L38" s="145">
        <f t="shared" si="0"/>
        <v>13.682219965512832</v>
      </c>
      <c r="M38" s="53">
        <f>IFERROR(IF(OR(ISBLANK(WHOLE_STRUCTURE[[#This Row],[Top '[m']]]), ISBLANK(WHOLE_STRUCTURE[[#This Row],[Bottom '[m']]])), "", WHOLE_STRUCTURE[[#This Row],[Top '[m']]] - WHOLE_STRUCTURE[[#This Row],[Bottom '[m']]]),"")</f>
        <v>2.76400000000001</v>
      </c>
      <c r="N38" s="54">
        <f>IFERROR(-(WHOLE_STRUCTURE[[#This Row],[D, bottom '[m']]]-WHOLE_STRUCTURE[[#This Row],[D, top '[m']]])/(WHOLE_STRUCTURE[[#This Row],[Bottom '[m']]]-WHOLE_STRUCTURE[[#This Row],[Top '[m']]]),"")</f>
        <v>1.97539797395078E-2</v>
      </c>
      <c r="O38" s="52">
        <f>IFERROR((WHOLE_STRUCTURE[[#This Row],[D, bottom '[m']]]+WHOLE_STRUCTURE[[#This Row],[D, top '[m']]])/(2*WHOLE_STRUCTURE[[#This Row],[t '[mm']]]/1000),"")</f>
        <v>227.03020134228186</v>
      </c>
      <c r="Q38" s="51"/>
      <c r="S38" s="53"/>
      <c r="T38" s="53"/>
      <c r="U38" s="51"/>
      <c r="V38" s="217"/>
      <c r="W38" s="145"/>
      <c r="X38" s="53"/>
      <c r="Y38" s="53"/>
      <c r="Z38" s="51"/>
    </row>
    <row r="39" spans="1:43">
      <c r="D39" s="51">
        <v>33</v>
      </c>
      <c r="E39" s="51" t="s">
        <v>71</v>
      </c>
      <c r="F39" s="51">
        <v>33</v>
      </c>
      <c r="G39" s="53">
        <v>78.289999999999992</v>
      </c>
      <c r="H39" s="53">
        <v>75.526999999999987</v>
      </c>
      <c r="I39" s="53">
        <v>6.7927999999999997</v>
      </c>
      <c r="J39" s="53">
        <v>6.8464</v>
      </c>
      <c r="K39" s="52">
        <v>30.4</v>
      </c>
      <c r="L39" s="145">
        <f t="shared" ref="L39:L70" si="1">IF(7850/1000*(1/3)*PI()*ABS(G39-H39)*((I39/2)^2+(I39/2)*(J39/2)+(J39/2)^2-(I39/2-K39/1000)^2-(I39/2-K39/1000)*(J39/2-K39/1000)-(J39/2-K39/1000)^2)=0,"",7850/1000*(1/3)*PI()*ABS(G39-H39)*((I39/2)^2+(I39/2)*(J39/2)+(J39/2)^2-(I39/2-K39/1000)^2-(I39/2-K39/1000)*(J39/2-K39/1000)-(J39/2-K39/1000)^2))</f>
        <v>14.063473543386305</v>
      </c>
      <c r="M39" s="53">
        <f>IFERROR(IF(OR(ISBLANK(WHOLE_STRUCTURE[[#This Row],[Top '[m']]]), ISBLANK(WHOLE_STRUCTURE[[#This Row],[Bottom '[m']]])), "", WHOLE_STRUCTURE[[#This Row],[Top '[m']]] - WHOLE_STRUCTURE[[#This Row],[Bottom '[m']]]),"")</f>
        <v>2.7630000000000052</v>
      </c>
      <c r="N39" s="54">
        <f>IFERROR(-(WHOLE_STRUCTURE[[#This Row],[D, bottom '[m']]]-WHOLE_STRUCTURE[[#This Row],[D, top '[m']]])/(WHOLE_STRUCTURE[[#This Row],[Bottom '[m']]]-WHOLE_STRUCTURE[[#This Row],[Top '[m']]]),"")</f>
        <v>1.9399203764024688E-2</v>
      </c>
      <c r="O39" s="52">
        <f>IFERROR((WHOLE_STRUCTURE[[#This Row],[D, bottom '[m']]]+WHOLE_STRUCTURE[[#This Row],[D, top '[m']]])/(2*WHOLE_STRUCTURE[[#This Row],[t '[mm']]]/1000),"")</f>
        <v>224.32894736842104</v>
      </c>
      <c r="Q39" s="51"/>
      <c r="S39" s="53"/>
      <c r="T39" s="53"/>
      <c r="U39" s="51"/>
      <c r="V39" s="217"/>
      <c r="W39" s="145"/>
      <c r="X39" s="53"/>
      <c r="Y39" s="53"/>
      <c r="Z39" s="51"/>
    </row>
    <row r="40" spans="1:43">
      <c r="D40" s="51">
        <v>34</v>
      </c>
      <c r="E40" s="51" t="s">
        <v>71</v>
      </c>
      <c r="F40" s="51">
        <v>34</v>
      </c>
      <c r="G40" s="53">
        <v>75.526999999999987</v>
      </c>
      <c r="H40" s="53">
        <v>72.765000000000001</v>
      </c>
      <c r="I40" s="53">
        <v>6.8464</v>
      </c>
      <c r="J40" s="53">
        <v>6.9020000000000001</v>
      </c>
      <c r="K40" s="52">
        <v>32</v>
      </c>
      <c r="L40" s="145">
        <f t="shared" si="1"/>
        <v>14.913821699332818</v>
      </c>
      <c r="M40" s="53">
        <f>IFERROR(IF(OR(ISBLANK(WHOLE_STRUCTURE[[#This Row],[Top '[m']]]), ISBLANK(WHOLE_STRUCTURE[[#This Row],[Bottom '[m']]])), "", WHOLE_STRUCTURE[[#This Row],[Top '[m']]] - WHOLE_STRUCTURE[[#This Row],[Bottom '[m']]]),"")</f>
        <v>2.7619999999999862</v>
      </c>
      <c r="N40" s="54">
        <f>IFERROR(-(WHOLE_STRUCTURE[[#This Row],[D, bottom '[m']]]-WHOLE_STRUCTURE[[#This Row],[D, top '[m']]])/(WHOLE_STRUCTURE[[#This Row],[Bottom '[m']]]-WHOLE_STRUCTURE[[#This Row],[Top '[m']]]),"")</f>
        <v>2.0130340333092096E-2</v>
      </c>
      <c r="O40" s="52">
        <f>IFERROR((WHOLE_STRUCTURE[[#This Row],[D, bottom '[m']]]+WHOLE_STRUCTURE[[#This Row],[D, top '[m']]])/(2*WHOLE_STRUCTURE[[#This Row],[t '[mm']]]/1000),"")</f>
        <v>214.81874999999999</v>
      </c>
      <c r="Q40" s="51"/>
      <c r="S40" s="53"/>
      <c r="T40" s="53"/>
      <c r="U40" s="51"/>
      <c r="V40" s="217"/>
      <c r="W40" s="145"/>
      <c r="X40" s="53"/>
      <c r="Y40" s="53"/>
      <c r="Z40" s="51"/>
    </row>
    <row r="41" spans="1:43">
      <c r="D41" s="51">
        <v>35</v>
      </c>
      <c r="E41" s="51" t="s">
        <v>71</v>
      </c>
      <c r="F41" s="51">
        <v>35</v>
      </c>
      <c r="G41" s="53">
        <v>72.765000000000001</v>
      </c>
      <c r="H41" s="53">
        <v>72.72</v>
      </c>
      <c r="I41" s="53">
        <v>6.9020000000000001</v>
      </c>
      <c r="J41" s="53">
        <v>6.9020000000000001</v>
      </c>
      <c r="K41" s="52">
        <v>32</v>
      </c>
      <c r="L41" s="145">
        <f t="shared" si="1"/>
        <v>0.24397131025696062</v>
      </c>
      <c r="M41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41" s="54">
        <f>IFERROR(-(WHOLE_STRUCTURE[[#This Row],[D, bottom '[m']]]-WHOLE_STRUCTURE[[#This Row],[D, top '[m']]])/(WHOLE_STRUCTURE[[#This Row],[Bottom '[m']]]-WHOLE_STRUCTURE[[#This Row],[Top '[m']]]),"")</f>
        <v>0</v>
      </c>
      <c r="O41" s="52">
        <f>IFERROR((WHOLE_STRUCTURE[[#This Row],[D, bottom '[m']]]+WHOLE_STRUCTURE[[#This Row],[D, top '[m']]])/(2*WHOLE_STRUCTURE[[#This Row],[t '[mm']]]/1000),"")</f>
        <v>215.6875</v>
      </c>
      <c r="Q41" s="51"/>
      <c r="S41" s="53"/>
      <c r="T41" s="53"/>
      <c r="U41" s="51"/>
      <c r="V41" s="217"/>
      <c r="W41" s="145"/>
      <c r="X41" s="53"/>
      <c r="Y41" s="53"/>
      <c r="Z41" s="51"/>
    </row>
    <row r="42" spans="1:43">
      <c r="D42" s="51">
        <v>36</v>
      </c>
      <c r="E42" s="51" t="s">
        <v>71</v>
      </c>
      <c r="F42" s="51">
        <v>36</v>
      </c>
      <c r="G42" s="53">
        <v>72.72</v>
      </c>
      <c r="H42" s="53">
        <v>72.589999999999989</v>
      </c>
      <c r="I42" s="53">
        <v>6.9020000000000001</v>
      </c>
      <c r="J42" s="53">
        <v>6.9020000000000001</v>
      </c>
      <c r="K42" s="52">
        <v>32</v>
      </c>
      <c r="L42" s="145">
        <f t="shared" si="1"/>
        <v>0.70480600740902288</v>
      </c>
      <c r="M42" s="53">
        <f>IFERROR(IF(OR(ISBLANK(WHOLE_STRUCTURE[[#This Row],[Top '[m']]]), ISBLANK(WHOLE_STRUCTURE[[#This Row],[Bottom '[m']]])), "", WHOLE_STRUCTURE[[#This Row],[Top '[m']]] - WHOLE_STRUCTURE[[#This Row],[Bottom '[m']]]),"")</f>
        <v>0.13000000000000966</v>
      </c>
      <c r="N42" s="54">
        <f>IFERROR(-(WHOLE_STRUCTURE[[#This Row],[D, bottom '[m']]]-WHOLE_STRUCTURE[[#This Row],[D, top '[m']]])/(WHOLE_STRUCTURE[[#This Row],[Bottom '[m']]]-WHOLE_STRUCTURE[[#This Row],[Top '[m']]]),"")</f>
        <v>0</v>
      </c>
      <c r="O42" s="52">
        <f>IFERROR((WHOLE_STRUCTURE[[#This Row],[D, bottom '[m']]]+WHOLE_STRUCTURE[[#This Row],[D, top '[m']]])/(2*WHOLE_STRUCTURE[[#This Row],[t '[mm']]]/1000),"")</f>
        <v>215.6875</v>
      </c>
      <c r="Q42" s="51"/>
      <c r="S42" s="53"/>
      <c r="T42" s="53"/>
      <c r="U42" s="51"/>
      <c r="V42" s="217"/>
      <c r="W42" s="145"/>
      <c r="X42" s="53"/>
      <c r="Y42" s="53"/>
      <c r="Z42" s="51"/>
    </row>
    <row r="43" spans="1:43">
      <c r="D43" s="51">
        <v>37</v>
      </c>
      <c r="E43" s="51" t="s">
        <v>71</v>
      </c>
      <c r="F43" s="51">
        <v>37</v>
      </c>
      <c r="G43" s="53">
        <v>72.589999999999989</v>
      </c>
      <c r="H43" s="53">
        <v>72.460999999999999</v>
      </c>
      <c r="I43" s="53">
        <v>6.9020000000000001</v>
      </c>
      <c r="J43" s="53">
        <v>6.9020000000000001</v>
      </c>
      <c r="K43" s="52">
        <v>32</v>
      </c>
      <c r="L43" s="145">
        <f t="shared" si="1"/>
        <v>0.69938442273654333</v>
      </c>
      <c r="M43" s="53">
        <f>IFERROR(IF(OR(ISBLANK(WHOLE_STRUCTURE[[#This Row],[Top '[m']]]), ISBLANK(WHOLE_STRUCTURE[[#This Row],[Bottom '[m']]])), "", WHOLE_STRUCTURE[[#This Row],[Top '[m']]] - WHOLE_STRUCTURE[[#This Row],[Bottom '[m']]]),"")</f>
        <v>0.12899999999999068</v>
      </c>
      <c r="N43" s="54">
        <f>IFERROR(-(WHOLE_STRUCTURE[[#This Row],[D, bottom '[m']]]-WHOLE_STRUCTURE[[#This Row],[D, top '[m']]])/(WHOLE_STRUCTURE[[#This Row],[Bottom '[m']]]-WHOLE_STRUCTURE[[#This Row],[Top '[m']]]),"")</f>
        <v>0</v>
      </c>
      <c r="O43" s="52">
        <f>IFERROR((WHOLE_STRUCTURE[[#This Row],[D, bottom '[m']]]+WHOLE_STRUCTURE[[#This Row],[D, top '[m']]])/(2*WHOLE_STRUCTURE[[#This Row],[t '[mm']]]/1000),"")</f>
        <v>215.6875</v>
      </c>
      <c r="Q43" s="51"/>
      <c r="S43" s="53"/>
      <c r="T43" s="53"/>
      <c r="U43" s="51"/>
      <c r="V43" s="217"/>
      <c r="W43" s="145"/>
      <c r="X43" s="53"/>
      <c r="Y43" s="53"/>
      <c r="Z43" s="51"/>
    </row>
    <row r="44" spans="1:43">
      <c r="D44" s="51">
        <v>38</v>
      </c>
      <c r="E44" s="51" t="s">
        <v>71</v>
      </c>
      <c r="F44" s="51">
        <v>38</v>
      </c>
      <c r="G44" s="53">
        <v>72.460999999999999</v>
      </c>
      <c r="H44" s="53">
        <v>72.415999999999997</v>
      </c>
      <c r="I44" s="53">
        <v>6.9020000000000001</v>
      </c>
      <c r="J44" s="53">
        <v>6.9020000000000001</v>
      </c>
      <c r="K44" s="52">
        <v>32</v>
      </c>
      <c r="L44" s="145">
        <f t="shared" si="1"/>
        <v>0.24397131025696062</v>
      </c>
      <c r="M44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44" s="54">
        <f>IFERROR(-(WHOLE_STRUCTURE[[#This Row],[D, bottom '[m']]]-WHOLE_STRUCTURE[[#This Row],[D, top '[m']]])/(WHOLE_STRUCTURE[[#This Row],[Bottom '[m']]]-WHOLE_STRUCTURE[[#This Row],[Top '[m']]]),"")</f>
        <v>0</v>
      </c>
      <c r="O44" s="52">
        <f>IFERROR((WHOLE_STRUCTURE[[#This Row],[D, bottom '[m']]]+WHOLE_STRUCTURE[[#This Row],[D, top '[m']]])/(2*WHOLE_STRUCTURE[[#This Row],[t '[mm']]]/1000),"")</f>
        <v>215.6875</v>
      </c>
      <c r="Q44" s="51"/>
      <c r="S44" s="53"/>
      <c r="T44" s="53"/>
      <c r="U44" s="51"/>
      <c r="V44" s="217"/>
      <c r="W44" s="145"/>
      <c r="X44" s="53"/>
      <c r="Y44" s="53"/>
      <c r="Z44" s="51"/>
    </row>
    <row r="45" spans="1:43">
      <c r="D45" s="51">
        <v>39</v>
      </c>
      <c r="E45" s="51" t="s">
        <v>71</v>
      </c>
      <c r="F45" s="51">
        <v>39</v>
      </c>
      <c r="G45" s="53">
        <v>72.415999999999997</v>
      </c>
      <c r="H45" s="53">
        <v>71.292999999999992</v>
      </c>
      <c r="I45" s="53">
        <v>6.9020000000000001</v>
      </c>
      <c r="J45" s="53">
        <v>6.9241000000000001</v>
      </c>
      <c r="K45" s="52">
        <v>32</v>
      </c>
      <c r="L45" s="145">
        <f t="shared" si="1"/>
        <v>6.0982324920917463</v>
      </c>
      <c r="M45" s="53">
        <f>IFERROR(IF(OR(ISBLANK(WHOLE_STRUCTURE[[#This Row],[Top '[m']]]), ISBLANK(WHOLE_STRUCTURE[[#This Row],[Bottom '[m']]])), "", WHOLE_STRUCTURE[[#This Row],[Top '[m']]] - WHOLE_STRUCTURE[[#This Row],[Bottom '[m']]]),"")</f>
        <v>1.1230000000000047</v>
      </c>
      <c r="N45" s="54">
        <f>IFERROR(-(WHOLE_STRUCTURE[[#This Row],[D, bottom '[m']]]-WHOLE_STRUCTURE[[#This Row],[D, top '[m']]])/(WHOLE_STRUCTURE[[#This Row],[Bottom '[m']]]-WHOLE_STRUCTURE[[#This Row],[Top '[m']]]),"")</f>
        <v>1.9679430097951839E-2</v>
      </c>
      <c r="O45" s="52">
        <f>IFERROR((WHOLE_STRUCTURE[[#This Row],[D, bottom '[m']]]+WHOLE_STRUCTURE[[#This Row],[D, top '[m']]])/(2*WHOLE_STRUCTURE[[#This Row],[t '[mm']]]/1000),"")</f>
        <v>216.03281250000001</v>
      </c>
      <c r="Q45" s="51"/>
      <c r="S45" s="53"/>
      <c r="T45" s="53"/>
      <c r="U45" s="51"/>
      <c r="V45" s="217"/>
      <c r="W45" s="145"/>
      <c r="X45" s="53"/>
      <c r="Y45" s="53"/>
      <c r="Z45" s="51"/>
    </row>
    <row r="46" spans="1:43">
      <c r="D46" s="51">
        <v>40</v>
      </c>
      <c r="E46" s="51" t="s">
        <v>71</v>
      </c>
      <c r="F46" s="51">
        <v>40</v>
      </c>
      <c r="G46" s="53">
        <v>71.292999999999992</v>
      </c>
      <c r="H46" s="53">
        <v>70.092999999999989</v>
      </c>
      <c r="I46" s="53">
        <v>6.9241000000000001</v>
      </c>
      <c r="J46" s="53">
        <v>6.9477000000000002</v>
      </c>
      <c r="K46" s="52">
        <v>31.7</v>
      </c>
      <c r="L46" s="145">
        <f t="shared" si="1"/>
        <v>6.4769926046518744</v>
      </c>
      <c r="M46" s="53">
        <f>IFERROR(IF(OR(ISBLANK(WHOLE_STRUCTURE[[#This Row],[Top '[m']]]), ISBLANK(WHOLE_STRUCTURE[[#This Row],[Bottom '[m']]])), "", WHOLE_STRUCTURE[[#This Row],[Top '[m']]] - WHOLE_STRUCTURE[[#This Row],[Bottom '[m']]]),"")</f>
        <v>1.2000000000000028</v>
      </c>
      <c r="N46" s="54">
        <f>IFERROR(-(WHOLE_STRUCTURE[[#This Row],[D, bottom '[m']]]-WHOLE_STRUCTURE[[#This Row],[D, top '[m']]])/(WHOLE_STRUCTURE[[#This Row],[Bottom '[m']]]-WHOLE_STRUCTURE[[#This Row],[Top '[m']]]),"")</f>
        <v>1.9666666666666676E-2</v>
      </c>
      <c r="O46" s="52">
        <f>IFERROR((WHOLE_STRUCTURE[[#This Row],[D, bottom '[m']]]+WHOLE_STRUCTURE[[#This Row],[D, top '[m']]])/(2*WHOLE_STRUCTURE[[#This Row],[t '[mm']]]/1000),"")</f>
        <v>218.79810725552051</v>
      </c>
      <c r="Q46" s="51"/>
      <c r="S46" s="53"/>
      <c r="T46" s="53"/>
      <c r="U46" s="51"/>
      <c r="V46" s="217"/>
      <c r="W46" s="145"/>
      <c r="X46" s="53"/>
      <c r="Y46" s="53"/>
      <c r="Z46" s="51"/>
    </row>
    <row r="47" spans="1:43">
      <c r="D47" s="51">
        <v>41</v>
      </c>
      <c r="E47" s="51" t="s">
        <v>71</v>
      </c>
      <c r="F47" s="51">
        <v>41</v>
      </c>
      <c r="G47" s="53">
        <v>70.092999999999989</v>
      </c>
      <c r="H47" s="53">
        <v>67.331999999999994</v>
      </c>
      <c r="I47" s="53">
        <v>6.9477000000000002</v>
      </c>
      <c r="J47" s="53">
        <v>7.0012999999999996</v>
      </c>
      <c r="K47" s="52">
        <v>32.300000000000004</v>
      </c>
      <c r="L47" s="145">
        <f t="shared" si="1"/>
        <v>15.268120527915034</v>
      </c>
      <c r="M47" s="53">
        <f>IFERROR(IF(OR(ISBLANK(WHOLE_STRUCTURE[[#This Row],[Top '[m']]]), ISBLANK(WHOLE_STRUCTURE[[#This Row],[Bottom '[m']]])), "", WHOLE_STRUCTURE[[#This Row],[Top '[m']]] - WHOLE_STRUCTURE[[#This Row],[Bottom '[m']]]),"")</f>
        <v>2.7609999999999957</v>
      </c>
      <c r="N47" s="54">
        <f>IFERROR(-(WHOLE_STRUCTURE[[#This Row],[D, bottom '[m']]]-WHOLE_STRUCTURE[[#This Row],[D, top '[m']]])/(WHOLE_STRUCTURE[[#This Row],[Bottom '[m']]]-WHOLE_STRUCTURE[[#This Row],[Top '[m']]]),"")</f>
        <v>1.9413256066642345E-2</v>
      </c>
      <c r="O47" s="52">
        <f>IFERROR((WHOLE_STRUCTURE[[#This Row],[D, bottom '[m']]]+WHOLE_STRUCTURE[[#This Row],[D, top '[m']]])/(2*WHOLE_STRUCTURE[[#This Row],[t '[mm']]]/1000),"")</f>
        <v>215.92879256965944</v>
      </c>
      <c r="Q47" s="51"/>
      <c r="S47" s="53"/>
      <c r="T47" s="53"/>
      <c r="U47" s="51"/>
      <c r="V47" s="217"/>
      <c r="W47" s="145"/>
      <c r="X47" s="53"/>
      <c r="Y47" s="53"/>
      <c r="Z47" s="51"/>
    </row>
    <row r="48" spans="1:43">
      <c r="D48" s="51">
        <v>42</v>
      </c>
      <c r="E48" s="51" t="s">
        <v>71</v>
      </c>
      <c r="F48" s="51">
        <v>42</v>
      </c>
      <c r="G48" s="53">
        <v>67.331999999999994</v>
      </c>
      <c r="H48" s="53">
        <v>64.573999999999998</v>
      </c>
      <c r="I48" s="53">
        <v>7.0012999999999996</v>
      </c>
      <c r="J48" s="53">
        <v>7.0548000000000002</v>
      </c>
      <c r="K48" s="52">
        <v>32.800000000000004</v>
      </c>
      <c r="L48" s="145">
        <f t="shared" si="1"/>
        <v>15.60597386030209</v>
      </c>
      <c r="M48" s="53">
        <f>IFERROR(IF(OR(ISBLANK(WHOLE_STRUCTURE[[#This Row],[Top '[m']]]), ISBLANK(WHOLE_STRUCTURE[[#This Row],[Bottom '[m']]])), "", WHOLE_STRUCTURE[[#This Row],[Top '[m']]] - WHOLE_STRUCTURE[[#This Row],[Bottom '[m']]]),"")</f>
        <v>2.7579999999999956</v>
      </c>
      <c r="N48" s="54">
        <f>IFERROR(-(WHOLE_STRUCTURE[[#This Row],[D, bottom '[m']]]-WHOLE_STRUCTURE[[#This Row],[D, top '[m']]])/(WHOLE_STRUCTURE[[#This Row],[Bottom '[m']]]-WHOLE_STRUCTURE[[#This Row],[Top '[m']]]),"")</f>
        <v>1.9398114575779779E-2</v>
      </c>
      <c r="O48" s="52">
        <f>IFERROR((WHOLE_STRUCTURE[[#This Row],[D, bottom '[m']]]+WHOLE_STRUCTURE[[#This Row],[D, top '[m']]])/(2*WHOLE_STRUCTURE[[#This Row],[t '[mm']]]/1000),"")</f>
        <v>214.26981707317071</v>
      </c>
      <c r="Q48" s="51"/>
      <c r="S48" s="53"/>
      <c r="T48" s="53"/>
      <c r="U48" s="51"/>
      <c r="V48" s="217"/>
      <c r="W48" s="145"/>
      <c r="X48" s="53"/>
      <c r="Y48" s="53"/>
      <c r="Z48" s="51"/>
    </row>
    <row r="49" spans="4:26">
      <c r="D49" s="51">
        <v>43</v>
      </c>
      <c r="E49" s="51" t="s">
        <v>71</v>
      </c>
      <c r="F49" s="51">
        <v>43</v>
      </c>
      <c r="G49" s="53">
        <v>64.573999999999998</v>
      </c>
      <c r="H49" s="53">
        <v>61.815999999999988</v>
      </c>
      <c r="I49" s="53">
        <v>7.0548000000000002</v>
      </c>
      <c r="J49" s="53">
        <v>7.1083999999999996</v>
      </c>
      <c r="K49" s="52">
        <v>33.4</v>
      </c>
      <c r="L49" s="145">
        <f t="shared" si="1"/>
        <v>16.011738077218361</v>
      </c>
      <c r="M49" s="53">
        <f>IFERROR(IF(OR(ISBLANK(WHOLE_STRUCTURE[[#This Row],[Top '[m']]]), ISBLANK(WHOLE_STRUCTURE[[#This Row],[Bottom '[m']]])), "", WHOLE_STRUCTURE[[#This Row],[Top '[m']]] - WHOLE_STRUCTURE[[#This Row],[Bottom '[m']]]),"")</f>
        <v>2.7580000000000098</v>
      </c>
      <c r="N49" s="54">
        <f>IFERROR(-(WHOLE_STRUCTURE[[#This Row],[D, bottom '[m']]]-WHOLE_STRUCTURE[[#This Row],[D, top '[m']]])/(WHOLE_STRUCTURE[[#This Row],[Bottom '[m']]]-WHOLE_STRUCTURE[[#This Row],[Top '[m']]]),"")</f>
        <v>1.9434372733864842E-2</v>
      </c>
      <c r="O49" s="52">
        <f>IFERROR((WHOLE_STRUCTURE[[#This Row],[D, bottom '[m']]]+WHOLE_STRUCTURE[[#This Row],[D, top '[m']]])/(2*WHOLE_STRUCTURE[[#This Row],[t '[mm']]]/1000),"")</f>
        <v>212.0239520958084</v>
      </c>
      <c r="Q49" s="51"/>
      <c r="S49" s="53"/>
      <c r="T49" s="53"/>
      <c r="U49" s="51"/>
      <c r="V49" s="217"/>
      <c r="W49" s="145"/>
      <c r="X49" s="53"/>
      <c r="Y49" s="53"/>
      <c r="Z49" s="51"/>
    </row>
    <row r="50" spans="4:26">
      <c r="D50" s="51">
        <v>44</v>
      </c>
      <c r="E50" s="51" t="s">
        <v>71</v>
      </c>
      <c r="F50" s="51">
        <v>44</v>
      </c>
      <c r="G50" s="53">
        <v>61.815999999999988</v>
      </c>
      <c r="H50" s="53">
        <v>59.058999999999997</v>
      </c>
      <c r="I50" s="53">
        <v>7.1083999999999996</v>
      </c>
      <c r="J50" s="53">
        <v>7.1619000000000002</v>
      </c>
      <c r="K50" s="52">
        <v>33.9</v>
      </c>
      <c r="L50" s="145">
        <f t="shared" si="1"/>
        <v>16.367818328804507</v>
      </c>
      <c r="M50" s="53">
        <f>IFERROR(IF(OR(ISBLANK(WHOLE_STRUCTURE[[#This Row],[Top '[m']]]), ISBLANK(WHOLE_STRUCTURE[[#This Row],[Bottom '[m']]])), "", WHOLE_STRUCTURE[[#This Row],[Top '[m']]] - WHOLE_STRUCTURE[[#This Row],[Bottom '[m']]]),"")</f>
        <v>2.7569999999999908</v>
      </c>
      <c r="N50" s="54">
        <f>IFERROR(-(WHOLE_STRUCTURE[[#This Row],[D, bottom '[m']]]-WHOLE_STRUCTURE[[#This Row],[D, top '[m']]])/(WHOLE_STRUCTURE[[#This Row],[Bottom '[m']]]-WHOLE_STRUCTURE[[#This Row],[Top '[m']]]),"")</f>
        <v>1.940515052593425E-2</v>
      </c>
      <c r="O50" s="52">
        <f>IFERROR((WHOLE_STRUCTURE[[#This Row],[D, bottom '[m']]]+WHOLE_STRUCTURE[[#This Row],[D, top '[m']]])/(2*WHOLE_STRUCTURE[[#This Row],[t '[mm']]]/1000),"")</f>
        <v>210.47640117994098</v>
      </c>
      <c r="Q50" s="51"/>
      <c r="S50" s="53"/>
      <c r="T50" s="53"/>
      <c r="U50" s="51"/>
      <c r="V50" s="217"/>
      <c r="W50" s="145"/>
      <c r="X50" s="53"/>
      <c r="Y50" s="53"/>
      <c r="Z50" s="51"/>
    </row>
    <row r="51" spans="4:26">
      <c r="D51" s="51">
        <v>45</v>
      </c>
      <c r="E51" s="51" t="s">
        <v>71</v>
      </c>
      <c r="F51" s="51">
        <v>45</v>
      </c>
      <c r="G51" s="53">
        <v>59.058999999999997</v>
      </c>
      <c r="H51" s="53">
        <v>56.303999999999988</v>
      </c>
      <c r="I51" s="53">
        <v>7.1619000000000002</v>
      </c>
      <c r="J51" s="53">
        <v>7.2164000000000001</v>
      </c>
      <c r="K51" s="52">
        <v>34.4</v>
      </c>
      <c r="L51" s="145">
        <f t="shared" si="1"/>
        <v>16.72222407153459</v>
      </c>
      <c r="M51" s="53">
        <f>IFERROR(IF(OR(ISBLANK(WHOLE_STRUCTURE[[#This Row],[Top '[m']]]), ISBLANK(WHOLE_STRUCTURE[[#This Row],[Bottom '[m']]])), "", WHOLE_STRUCTURE[[#This Row],[Top '[m']]] - WHOLE_STRUCTURE[[#This Row],[Bottom '[m']]]),"")</f>
        <v>2.7550000000000097</v>
      </c>
      <c r="N51" s="54">
        <f>IFERROR(-(WHOLE_STRUCTURE[[#This Row],[D, bottom '[m']]]-WHOLE_STRUCTURE[[#This Row],[D, top '[m']]])/(WHOLE_STRUCTURE[[#This Row],[Bottom '[m']]]-WHOLE_STRUCTURE[[#This Row],[Top '[m']]]),"")</f>
        <v>1.9782214156079784E-2</v>
      </c>
      <c r="O51" s="52">
        <f>IFERROR((WHOLE_STRUCTURE[[#This Row],[D, bottom '[m']]]+WHOLE_STRUCTURE[[#This Row],[D, top '[m']]])/(2*WHOLE_STRUCTURE[[#This Row],[t '[mm']]]/1000),"")</f>
        <v>208.98691860465115</v>
      </c>
      <c r="Q51" s="51"/>
      <c r="S51" s="53"/>
      <c r="T51" s="53"/>
      <c r="U51" s="51"/>
      <c r="V51" s="217"/>
      <c r="W51" s="145"/>
      <c r="X51" s="53"/>
      <c r="Y51" s="53"/>
      <c r="Z51" s="51"/>
    </row>
    <row r="52" spans="4:26">
      <c r="D52" s="51">
        <v>46</v>
      </c>
      <c r="E52" s="51" t="s">
        <v>71</v>
      </c>
      <c r="F52" s="51">
        <v>46</v>
      </c>
      <c r="G52" s="53">
        <v>56.303999999999988</v>
      </c>
      <c r="H52" s="53">
        <v>53.55</v>
      </c>
      <c r="I52" s="53">
        <v>7.2164000000000001</v>
      </c>
      <c r="J52" s="53">
        <v>7.2698999999999998</v>
      </c>
      <c r="K52" s="52">
        <v>34.9</v>
      </c>
      <c r="L52" s="145">
        <f t="shared" si="1"/>
        <v>17.085934335832185</v>
      </c>
      <c r="M52" s="53">
        <f>IFERROR(IF(OR(ISBLANK(WHOLE_STRUCTURE[[#This Row],[Top '[m']]]), ISBLANK(WHOLE_STRUCTURE[[#This Row],[Bottom '[m']]])), "", WHOLE_STRUCTURE[[#This Row],[Top '[m']]] - WHOLE_STRUCTURE[[#This Row],[Bottom '[m']]]),"")</f>
        <v>2.7539999999999907</v>
      </c>
      <c r="N52" s="54">
        <f>IFERROR(-(WHOLE_STRUCTURE[[#This Row],[D, bottom '[m']]]-WHOLE_STRUCTURE[[#This Row],[D, top '[m']]])/(WHOLE_STRUCTURE[[#This Row],[Bottom '[m']]]-WHOLE_STRUCTURE[[#This Row],[Top '[m']]]),"")</f>
        <v>1.9426289034132113E-2</v>
      </c>
      <c r="O52" s="52">
        <f>IFERROR((WHOLE_STRUCTURE[[#This Row],[D, bottom '[m']]]+WHOLE_STRUCTURE[[#This Row],[D, top '[m']]])/(2*WHOLE_STRUCTURE[[#This Row],[t '[mm']]]/1000),"")</f>
        <v>207.54011461318052</v>
      </c>
      <c r="Q52" s="51"/>
      <c r="S52" s="53"/>
      <c r="T52" s="53"/>
      <c r="U52" s="51"/>
      <c r="V52" s="217"/>
      <c r="W52" s="145"/>
      <c r="X52" s="53"/>
      <c r="Y52" s="53"/>
      <c r="Z52" s="51"/>
    </row>
    <row r="53" spans="4:26">
      <c r="D53" s="51">
        <v>47</v>
      </c>
      <c r="E53" s="51" t="s">
        <v>71</v>
      </c>
      <c r="F53" s="51">
        <v>47</v>
      </c>
      <c r="G53" s="53">
        <v>53.55</v>
      </c>
      <c r="H53" s="53">
        <v>50.796999999999997</v>
      </c>
      <c r="I53" s="53">
        <v>7.2698999999999998</v>
      </c>
      <c r="J53" s="53">
        <v>7.3234000000000004</v>
      </c>
      <c r="K53" s="52">
        <v>35.4</v>
      </c>
      <c r="L53" s="145">
        <f t="shared" si="1"/>
        <v>17.451806633347989</v>
      </c>
      <c r="M53" s="53">
        <f>IFERROR(IF(OR(ISBLANK(WHOLE_STRUCTURE[[#This Row],[Top '[m']]]), ISBLANK(WHOLE_STRUCTURE[[#This Row],[Bottom '[m']]])), "", WHOLE_STRUCTURE[[#This Row],[Top '[m']]] - WHOLE_STRUCTURE[[#This Row],[Bottom '[m']]]),"")</f>
        <v>2.7530000000000001</v>
      </c>
      <c r="N53" s="54">
        <f>IFERROR(-(WHOLE_STRUCTURE[[#This Row],[D, bottom '[m']]]-WHOLE_STRUCTURE[[#This Row],[D, top '[m']]])/(WHOLE_STRUCTURE[[#This Row],[Bottom '[m']]]-WHOLE_STRUCTURE[[#This Row],[Top '[m']]]),"")</f>
        <v>1.9433345441336923E-2</v>
      </c>
      <c r="O53" s="52">
        <f>IFERROR((WHOLE_STRUCTURE[[#This Row],[D, bottom '[m']]]+WHOLE_STRUCTURE[[#This Row],[D, top '[m']]])/(2*WHOLE_STRUCTURE[[#This Row],[t '[mm']]]/1000),"")</f>
        <v>206.12005649717511</v>
      </c>
      <c r="Q53" s="51"/>
      <c r="S53" s="53"/>
      <c r="T53" s="53"/>
      <c r="U53" s="51"/>
      <c r="V53" s="217"/>
      <c r="W53" s="145"/>
      <c r="X53" s="53"/>
      <c r="Y53" s="53"/>
      <c r="Z53" s="51"/>
    </row>
    <row r="54" spans="4:26">
      <c r="D54" s="51">
        <v>48</v>
      </c>
      <c r="E54" s="51" t="s">
        <v>71</v>
      </c>
      <c r="F54" s="51">
        <v>48</v>
      </c>
      <c r="G54" s="53">
        <v>50.796999999999997</v>
      </c>
      <c r="H54" s="53">
        <v>48.044999999999987</v>
      </c>
      <c r="I54" s="53">
        <v>7.3234000000000004</v>
      </c>
      <c r="J54" s="53">
        <v>7.3768000000000002</v>
      </c>
      <c r="K54" s="52">
        <v>35.799999999999997</v>
      </c>
      <c r="L54" s="145">
        <f t="shared" si="1"/>
        <v>17.771486453115703</v>
      </c>
      <c r="M54" s="53">
        <f>IFERROR(IF(OR(ISBLANK(WHOLE_STRUCTURE[[#This Row],[Top '[m']]]), ISBLANK(WHOLE_STRUCTURE[[#This Row],[Bottom '[m']]])), "", WHOLE_STRUCTURE[[#This Row],[Top '[m']]] - WHOLE_STRUCTURE[[#This Row],[Bottom '[m']]]),"")</f>
        <v>2.7520000000000095</v>
      </c>
      <c r="N54" s="54">
        <f>IFERROR(-(WHOLE_STRUCTURE[[#This Row],[D, bottom '[m']]]-WHOLE_STRUCTURE[[#This Row],[D, top '[m']]])/(WHOLE_STRUCTURE[[#This Row],[Bottom '[m']]]-WHOLE_STRUCTURE[[#This Row],[Top '[m']]]),"")</f>
        <v>1.9404069767441755E-2</v>
      </c>
      <c r="O54" s="52">
        <f>IFERROR((WHOLE_STRUCTURE[[#This Row],[D, bottom '[m']]]+WHOLE_STRUCTURE[[#This Row],[D, top '[m']]])/(2*WHOLE_STRUCTURE[[#This Row],[t '[mm']]]/1000),"")</f>
        <v>205.31005586592181</v>
      </c>
      <c r="Q54" s="51"/>
      <c r="S54" s="53"/>
      <c r="T54" s="53"/>
      <c r="U54" s="51"/>
      <c r="V54" s="217"/>
      <c r="W54" s="145"/>
      <c r="X54" s="53"/>
      <c r="Y54" s="53"/>
      <c r="Z54" s="51"/>
    </row>
    <row r="55" spans="4:26">
      <c r="D55" s="51">
        <v>49</v>
      </c>
      <c r="E55" s="51" t="s">
        <v>71</v>
      </c>
      <c r="F55" s="51">
        <v>49</v>
      </c>
      <c r="G55" s="53">
        <v>48.044999999999987</v>
      </c>
      <c r="H55" s="53">
        <v>45.295000000000002</v>
      </c>
      <c r="I55" s="53">
        <v>7.3768000000000002</v>
      </c>
      <c r="J55" s="53">
        <v>7.4303999999999997</v>
      </c>
      <c r="K55" s="52">
        <v>36.4</v>
      </c>
      <c r="L55" s="145">
        <f t="shared" si="1"/>
        <v>18.186790619055419</v>
      </c>
      <c r="M55" s="53">
        <f>IFERROR(IF(OR(ISBLANK(WHOLE_STRUCTURE[[#This Row],[Top '[m']]]), ISBLANK(WHOLE_STRUCTURE[[#This Row],[Bottom '[m']]])), "", WHOLE_STRUCTURE[[#This Row],[Top '[m']]] - WHOLE_STRUCTURE[[#This Row],[Bottom '[m']]]),"")</f>
        <v>2.7499999999999858</v>
      </c>
      <c r="N55" s="54">
        <f>IFERROR(-(WHOLE_STRUCTURE[[#This Row],[D, bottom '[m']]]-WHOLE_STRUCTURE[[#This Row],[D, top '[m']]])/(WHOLE_STRUCTURE[[#This Row],[Bottom '[m']]]-WHOLE_STRUCTURE[[#This Row],[Top '[m']]]),"")</f>
        <v>1.9490909090908982E-2</v>
      </c>
      <c r="O55" s="52">
        <f>IFERROR((WHOLE_STRUCTURE[[#This Row],[D, bottom '[m']]]+WHOLE_STRUCTURE[[#This Row],[D, top '[m']]])/(2*WHOLE_STRUCTURE[[#This Row],[t '[mm']]]/1000),"")</f>
        <v>203.39560439560438</v>
      </c>
      <c r="Q55" s="51"/>
      <c r="S55" s="53"/>
      <c r="T55" s="53"/>
      <c r="U55" s="51"/>
      <c r="V55" s="217"/>
      <c r="W55" s="145"/>
      <c r="X55" s="53"/>
      <c r="Y55" s="53"/>
      <c r="Z55" s="51"/>
    </row>
    <row r="56" spans="4:26">
      <c r="D56" s="51">
        <v>50</v>
      </c>
      <c r="E56" s="51" t="s">
        <v>71</v>
      </c>
      <c r="F56" s="51">
        <v>50</v>
      </c>
      <c r="G56" s="53">
        <v>45.295000000000002</v>
      </c>
      <c r="H56" s="53">
        <v>42.545999999999992</v>
      </c>
      <c r="I56" s="53">
        <v>7.4303999999999997</v>
      </c>
      <c r="J56" s="53">
        <v>7.4749999999999996</v>
      </c>
      <c r="K56" s="52">
        <v>39.5</v>
      </c>
      <c r="L56" s="145">
        <f t="shared" si="1"/>
        <v>19.851671590436961</v>
      </c>
      <c r="M56" s="53">
        <f>IFERROR(IF(OR(ISBLANK(WHOLE_STRUCTURE[[#This Row],[Top '[m']]]), ISBLANK(WHOLE_STRUCTURE[[#This Row],[Bottom '[m']]])), "", WHOLE_STRUCTURE[[#This Row],[Top '[m']]] - WHOLE_STRUCTURE[[#This Row],[Bottom '[m']]]),"")</f>
        <v>2.7490000000000094</v>
      </c>
      <c r="N56" s="54">
        <f>IFERROR(-(WHOLE_STRUCTURE[[#This Row],[D, bottom '[m']]]-WHOLE_STRUCTURE[[#This Row],[D, top '[m']]])/(WHOLE_STRUCTURE[[#This Row],[Bottom '[m']]]-WHOLE_STRUCTURE[[#This Row],[Top '[m']]]),"")</f>
        <v>1.6224081484175999E-2</v>
      </c>
      <c r="O56" s="52">
        <f>IFERROR((WHOLE_STRUCTURE[[#This Row],[D, bottom '[m']]]+WHOLE_STRUCTURE[[#This Row],[D, top '[m']]])/(2*WHOLE_STRUCTURE[[#This Row],[t '[mm']]]/1000),"")</f>
        <v>188.67594936708861</v>
      </c>
      <c r="Q56" s="51"/>
      <c r="S56" s="53"/>
      <c r="T56" s="53"/>
      <c r="U56" s="51"/>
      <c r="V56" s="217"/>
      <c r="W56" s="145"/>
      <c r="X56" s="53"/>
      <c r="Y56" s="53"/>
      <c r="Z56" s="51"/>
    </row>
    <row r="57" spans="4:26">
      <c r="D57" s="51">
        <v>51</v>
      </c>
      <c r="E57" s="51" t="s">
        <v>71</v>
      </c>
      <c r="F57" s="51">
        <v>51</v>
      </c>
      <c r="G57" s="53">
        <v>42.545999999999992</v>
      </c>
      <c r="H57" s="53">
        <v>39.798000000000002</v>
      </c>
      <c r="I57" s="53">
        <v>7.4749999999999996</v>
      </c>
      <c r="J57" s="53">
        <v>7.4749999999999996</v>
      </c>
      <c r="K57" s="52">
        <v>39.5</v>
      </c>
      <c r="L57" s="145">
        <f t="shared" si="1"/>
        <v>19.904145210531599</v>
      </c>
      <c r="M57" s="53">
        <f>IFERROR(IF(OR(ISBLANK(WHOLE_STRUCTURE[[#This Row],[Top '[m']]]), ISBLANK(WHOLE_STRUCTURE[[#This Row],[Bottom '[m']]])), "", WHOLE_STRUCTURE[[#This Row],[Top '[m']]] - WHOLE_STRUCTURE[[#This Row],[Bottom '[m']]]),"")</f>
        <v>2.7479999999999905</v>
      </c>
      <c r="N57" s="54">
        <f>IFERROR(-(WHOLE_STRUCTURE[[#This Row],[D, bottom '[m']]]-WHOLE_STRUCTURE[[#This Row],[D, top '[m']]])/(WHOLE_STRUCTURE[[#This Row],[Bottom '[m']]]-WHOLE_STRUCTURE[[#This Row],[Top '[m']]]),"")</f>
        <v>0</v>
      </c>
      <c r="O57" s="52">
        <f>IFERROR((WHOLE_STRUCTURE[[#This Row],[D, bottom '[m']]]+WHOLE_STRUCTURE[[#This Row],[D, top '[m']]])/(2*WHOLE_STRUCTURE[[#This Row],[t '[mm']]]/1000),"")</f>
        <v>189.24050632911391</v>
      </c>
      <c r="Q57" s="51"/>
      <c r="S57" s="53"/>
      <c r="T57" s="53"/>
      <c r="U57" s="51"/>
      <c r="V57" s="217"/>
      <c r="W57" s="145"/>
      <c r="X57" s="53"/>
      <c r="Y57" s="53"/>
      <c r="Z57" s="51"/>
    </row>
    <row r="58" spans="4:26">
      <c r="D58" s="51">
        <v>52</v>
      </c>
      <c r="E58" s="51" t="s">
        <v>71</v>
      </c>
      <c r="F58" s="51">
        <v>52</v>
      </c>
      <c r="G58" s="53">
        <v>39.798000000000002</v>
      </c>
      <c r="H58" s="53">
        <v>39.753</v>
      </c>
      <c r="I58" s="53">
        <v>7.4749999999999996</v>
      </c>
      <c r="J58" s="53">
        <v>7.4749999999999996</v>
      </c>
      <c r="K58" s="52">
        <v>39.5</v>
      </c>
      <c r="L58" s="145">
        <f t="shared" si="1"/>
        <v>0.32594124253055279</v>
      </c>
      <c r="M58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58" s="54">
        <f>IFERROR(-(WHOLE_STRUCTURE[[#This Row],[D, bottom '[m']]]-WHOLE_STRUCTURE[[#This Row],[D, top '[m']]])/(WHOLE_STRUCTURE[[#This Row],[Bottom '[m']]]-WHOLE_STRUCTURE[[#This Row],[Top '[m']]]),"")</f>
        <v>0</v>
      </c>
      <c r="O58" s="52">
        <f>IFERROR((WHOLE_STRUCTURE[[#This Row],[D, bottom '[m']]]+WHOLE_STRUCTURE[[#This Row],[D, top '[m']]])/(2*WHOLE_STRUCTURE[[#This Row],[t '[mm']]]/1000),"")</f>
        <v>189.24050632911391</v>
      </c>
      <c r="Q58" s="51"/>
      <c r="S58" s="53"/>
      <c r="T58" s="53"/>
      <c r="U58" s="51"/>
      <c r="V58" s="217"/>
      <c r="W58" s="145"/>
      <c r="X58" s="53"/>
      <c r="Y58" s="53"/>
      <c r="Z58" s="51"/>
    </row>
    <row r="59" spans="4:26">
      <c r="D59" s="51">
        <v>53</v>
      </c>
      <c r="E59" s="51" t="s">
        <v>71</v>
      </c>
      <c r="F59" s="51">
        <v>53</v>
      </c>
      <c r="G59" s="53">
        <v>39.753</v>
      </c>
      <c r="H59" s="53">
        <v>39.613</v>
      </c>
      <c r="I59" s="53">
        <v>7.4749999999999996</v>
      </c>
      <c r="J59" s="53">
        <v>7.4749999999999996</v>
      </c>
      <c r="K59" s="52">
        <v>39.5</v>
      </c>
      <c r="L59" s="145">
        <f t="shared" si="1"/>
        <v>1.0140394212061299</v>
      </c>
      <c r="M59" s="53">
        <f>IFERROR(IF(OR(ISBLANK(WHOLE_STRUCTURE[[#This Row],[Top '[m']]]), ISBLANK(WHOLE_STRUCTURE[[#This Row],[Bottom '[m']]])), "", WHOLE_STRUCTURE[[#This Row],[Top '[m']]] - WHOLE_STRUCTURE[[#This Row],[Bottom '[m']]]),"")</f>
        <v>0.14000000000000057</v>
      </c>
      <c r="N59" s="54">
        <f>IFERROR(-(WHOLE_STRUCTURE[[#This Row],[D, bottom '[m']]]-WHOLE_STRUCTURE[[#This Row],[D, top '[m']]])/(WHOLE_STRUCTURE[[#This Row],[Bottom '[m']]]-WHOLE_STRUCTURE[[#This Row],[Top '[m']]]),"")</f>
        <v>0</v>
      </c>
      <c r="O59" s="52">
        <f>IFERROR((WHOLE_STRUCTURE[[#This Row],[D, bottom '[m']]]+WHOLE_STRUCTURE[[#This Row],[D, top '[m']]])/(2*WHOLE_STRUCTURE[[#This Row],[t '[mm']]]/1000),"")</f>
        <v>189.24050632911391</v>
      </c>
      <c r="Q59" s="51"/>
      <c r="S59" s="53"/>
      <c r="T59" s="53"/>
      <c r="U59" s="51"/>
      <c r="V59" s="217"/>
      <c r="W59" s="145"/>
      <c r="X59" s="53"/>
      <c r="Y59" s="53"/>
      <c r="Z59" s="51"/>
    </row>
    <row r="60" spans="4:26">
      <c r="D60" s="51">
        <v>54</v>
      </c>
      <c r="E60" s="51" t="s">
        <v>71</v>
      </c>
      <c r="F60" s="51">
        <v>54</v>
      </c>
      <c r="G60" s="53">
        <v>39.613</v>
      </c>
      <c r="H60" s="53">
        <v>39.47399999999999</v>
      </c>
      <c r="I60" s="53">
        <v>7.4749999999999996</v>
      </c>
      <c r="J60" s="53">
        <v>7.4749999999999996</v>
      </c>
      <c r="K60" s="52">
        <v>39.5</v>
      </c>
      <c r="L60" s="145">
        <f t="shared" si="1"/>
        <v>1.0067962824832974</v>
      </c>
      <c r="M60" s="53">
        <f>IFERROR(IF(OR(ISBLANK(WHOLE_STRUCTURE[[#This Row],[Top '[m']]]), ISBLANK(WHOLE_STRUCTURE[[#This Row],[Bottom '[m']]])), "", WHOLE_STRUCTURE[[#This Row],[Top '[m']]] - WHOLE_STRUCTURE[[#This Row],[Bottom '[m']]]),"")</f>
        <v>0.13900000000001</v>
      </c>
      <c r="N60" s="54">
        <f>IFERROR(-(WHOLE_STRUCTURE[[#This Row],[D, bottom '[m']]]-WHOLE_STRUCTURE[[#This Row],[D, top '[m']]])/(WHOLE_STRUCTURE[[#This Row],[Bottom '[m']]]-WHOLE_STRUCTURE[[#This Row],[Top '[m']]]),"")</f>
        <v>0</v>
      </c>
      <c r="O60" s="52">
        <f>IFERROR((WHOLE_STRUCTURE[[#This Row],[D, bottom '[m']]]+WHOLE_STRUCTURE[[#This Row],[D, top '[m']]])/(2*WHOLE_STRUCTURE[[#This Row],[t '[mm']]]/1000),"")</f>
        <v>189.24050632911391</v>
      </c>
      <c r="Q60" s="51"/>
      <c r="S60" s="53"/>
      <c r="T60" s="53"/>
      <c r="U60" s="51"/>
      <c r="V60" s="217"/>
      <c r="W60" s="145"/>
      <c r="X60" s="53"/>
      <c r="Y60" s="53"/>
      <c r="Z60" s="51"/>
    </row>
    <row r="61" spans="4:26">
      <c r="D61" s="51">
        <v>55</v>
      </c>
      <c r="E61" s="51" t="s">
        <v>71</v>
      </c>
      <c r="F61" s="51">
        <v>55</v>
      </c>
      <c r="G61" s="53">
        <v>39.47399999999999</v>
      </c>
      <c r="H61" s="53">
        <v>39.429000000000002</v>
      </c>
      <c r="I61" s="53">
        <v>7.4749999999999996</v>
      </c>
      <c r="J61" s="53">
        <v>7.4749999999999996</v>
      </c>
      <c r="K61" s="52">
        <v>38</v>
      </c>
      <c r="L61" s="145">
        <f t="shared" si="1"/>
        <v>0.31362698374479547</v>
      </c>
      <c r="M61" s="53">
        <f>IFERROR(IF(OR(ISBLANK(WHOLE_STRUCTURE[[#This Row],[Top '[m']]]), ISBLANK(WHOLE_STRUCTURE[[#This Row],[Bottom '[m']]])), "", WHOLE_STRUCTURE[[#This Row],[Top '[m']]] - WHOLE_STRUCTURE[[#This Row],[Bottom '[m']]]),"")</f>
        <v>4.4999999999987494E-2</v>
      </c>
      <c r="N61" s="54">
        <f>IFERROR(-(WHOLE_STRUCTURE[[#This Row],[D, bottom '[m']]]-WHOLE_STRUCTURE[[#This Row],[D, top '[m']]])/(WHOLE_STRUCTURE[[#This Row],[Bottom '[m']]]-WHOLE_STRUCTURE[[#This Row],[Top '[m']]]),"")</f>
        <v>0</v>
      </c>
      <c r="O61" s="52">
        <f>IFERROR((WHOLE_STRUCTURE[[#This Row],[D, bottom '[m']]]+WHOLE_STRUCTURE[[#This Row],[D, top '[m']]])/(2*WHOLE_STRUCTURE[[#This Row],[t '[mm']]]/1000),"")</f>
        <v>196.71052631578948</v>
      </c>
      <c r="Q61" s="51"/>
      <c r="S61" s="53"/>
      <c r="T61" s="53"/>
      <c r="U61" s="51"/>
      <c r="V61" s="217"/>
      <c r="W61" s="145"/>
      <c r="X61" s="53"/>
      <c r="Y61" s="53"/>
      <c r="Z61" s="51"/>
    </row>
    <row r="62" spans="4:26">
      <c r="D62" s="51">
        <v>56</v>
      </c>
      <c r="E62" s="51" t="s">
        <v>71</v>
      </c>
      <c r="F62" s="51">
        <v>56</v>
      </c>
      <c r="G62" s="53">
        <v>39.429000000000002</v>
      </c>
      <c r="H62" s="53">
        <v>38.315999999999988</v>
      </c>
      <c r="I62" s="53">
        <v>7.4749999999999996</v>
      </c>
      <c r="J62" s="53">
        <v>7.4749999999999996</v>
      </c>
      <c r="K62" s="52">
        <v>38</v>
      </c>
      <c r="L62" s="145">
        <f t="shared" si="1"/>
        <v>7.7570407312901937</v>
      </c>
      <c r="M62" s="53">
        <f>IFERROR(IF(OR(ISBLANK(WHOLE_STRUCTURE[[#This Row],[Top '[m']]]), ISBLANK(WHOLE_STRUCTURE[[#This Row],[Bottom '[m']]])), "", WHOLE_STRUCTURE[[#This Row],[Top '[m']]] - WHOLE_STRUCTURE[[#This Row],[Bottom '[m']]]),"")</f>
        <v>1.1130000000000138</v>
      </c>
      <c r="N62" s="54">
        <f>IFERROR(-(WHOLE_STRUCTURE[[#This Row],[D, bottom '[m']]]-WHOLE_STRUCTURE[[#This Row],[D, top '[m']]])/(WHOLE_STRUCTURE[[#This Row],[Bottom '[m']]]-WHOLE_STRUCTURE[[#This Row],[Top '[m']]]),"")</f>
        <v>0</v>
      </c>
      <c r="O62" s="52">
        <f>IFERROR((WHOLE_STRUCTURE[[#This Row],[D, bottom '[m']]]+WHOLE_STRUCTURE[[#This Row],[D, top '[m']]])/(2*WHOLE_STRUCTURE[[#This Row],[t '[mm']]]/1000),"")</f>
        <v>196.71052631578948</v>
      </c>
      <c r="Q62" s="51"/>
      <c r="S62" s="53"/>
      <c r="T62" s="53"/>
      <c r="U62" s="51"/>
      <c r="V62" s="217"/>
      <c r="W62" s="145"/>
      <c r="X62" s="53"/>
      <c r="Y62" s="53"/>
      <c r="Z62" s="51"/>
    </row>
    <row r="63" spans="4:26">
      <c r="D63" s="51">
        <v>57</v>
      </c>
      <c r="E63" s="51" t="s">
        <v>71</v>
      </c>
      <c r="F63" s="51">
        <v>57</v>
      </c>
      <c r="G63" s="53">
        <v>38.315999999999988</v>
      </c>
      <c r="H63" s="53">
        <v>36.518999999999991</v>
      </c>
      <c r="I63" s="53">
        <v>7.4749999999999996</v>
      </c>
      <c r="J63" s="53">
        <v>7.4749999999999996</v>
      </c>
      <c r="K63" s="52">
        <v>38.800000000000004</v>
      </c>
      <c r="L63" s="145">
        <f t="shared" si="1"/>
        <v>12.786462048690439</v>
      </c>
      <c r="M63" s="53">
        <f>IFERROR(IF(OR(ISBLANK(WHOLE_STRUCTURE[[#This Row],[Top '[m']]]), ISBLANK(WHOLE_STRUCTURE[[#This Row],[Bottom '[m']]])), "", WHOLE_STRUCTURE[[#This Row],[Top '[m']]] - WHOLE_STRUCTURE[[#This Row],[Bottom '[m']]]),"")</f>
        <v>1.796999999999997</v>
      </c>
      <c r="N63" s="54">
        <f>IFERROR(-(WHOLE_STRUCTURE[[#This Row],[D, bottom '[m']]]-WHOLE_STRUCTURE[[#This Row],[D, top '[m']]])/(WHOLE_STRUCTURE[[#This Row],[Bottom '[m']]]-WHOLE_STRUCTURE[[#This Row],[Top '[m']]]),"")</f>
        <v>0</v>
      </c>
      <c r="O63" s="52">
        <f>IFERROR((WHOLE_STRUCTURE[[#This Row],[D, bottom '[m']]]+WHOLE_STRUCTURE[[#This Row],[D, top '[m']]])/(2*WHOLE_STRUCTURE[[#This Row],[t '[mm']]]/1000),"")</f>
        <v>192.65463917525773</v>
      </c>
      <c r="Q63" s="51"/>
      <c r="S63" s="53"/>
      <c r="T63" s="53"/>
      <c r="U63" s="51"/>
      <c r="V63" s="217"/>
      <c r="W63" s="145"/>
      <c r="X63" s="53"/>
      <c r="Y63" s="53"/>
      <c r="Z63" s="51"/>
    </row>
    <row r="64" spans="4:26">
      <c r="D64" s="51">
        <v>58</v>
      </c>
      <c r="E64" s="51" t="s">
        <v>71</v>
      </c>
      <c r="F64" s="51">
        <v>58</v>
      </c>
      <c r="G64" s="53">
        <v>36.518999999999991</v>
      </c>
      <c r="H64" s="53">
        <v>33.594999999999999</v>
      </c>
      <c r="I64" s="53">
        <v>7.4749999999999996</v>
      </c>
      <c r="J64" s="53">
        <v>7.4749999999999996</v>
      </c>
      <c r="K64" s="52">
        <v>40.4</v>
      </c>
      <c r="L64" s="145">
        <f t="shared" si="1"/>
        <v>21.658873770182829</v>
      </c>
      <c r="M64" s="53">
        <f>IFERROR(IF(OR(ISBLANK(WHOLE_STRUCTURE[[#This Row],[Top '[m']]]), ISBLANK(WHOLE_STRUCTURE[[#This Row],[Bottom '[m']]])), "", WHOLE_STRUCTURE[[#This Row],[Top '[m']]] - WHOLE_STRUCTURE[[#This Row],[Bottom '[m']]]),"")</f>
        <v>2.9239999999999924</v>
      </c>
      <c r="N64" s="54">
        <f>IFERROR(-(WHOLE_STRUCTURE[[#This Row],[D, bottom '[m']]]-WHOLE_STRUCTURE[[#This Row],[D, top '[m']]])/(WHOLE_STRUCTURE[[#This Row],[Bottom '[m']]]-WHOLE_STRUCTURE[[#This Row],[Top '[m']]]),"")</f>
        <v>0</v>
      </c>
      <c r="O64" s="52">
        <f>IFERROR((WHOLE_STRUCTURE[[#This Row],[D, bottom '[m']]]+WHOLE_STRUCTURE[[#This Row],[D, top '[m']]])/(2*WHOLE_STRUCTURE[[#This Row],[t '[mm']]]/1000),"")</f>
        <v>185.02475247524751</v>
      </c>
      <c r="Q64" s="51"/>
      <c r="S64" s="53"/>
      <c r="T64" s="53"/>
      <c r="U64" s="51"/>
      <c r="V64" s="217"/>
      <c r="W64" s="145"/>
      <c r="X64" s="53"/>
      <c r="Y64" s="53"/>
      <c r="Z64" s="51"/>
    </row>
    <row r="65" spans="4:26">
      <c r="D65" s="51">
        <v>59</v>
      </c>
      <c r="E65" s="51" t="s">
        <v>71</v>
      </c>
      <c r="F65" s="51">
        <v>59</v>
      </c>
      <c r="G65" s="53">
        <v>33.594999999999999</v>
      </c>
      <c r="H65" s="53">
        <v>30.670999999999996</v>
      </c>
      <c r="I65" s="53">
        <v>7.4749999999999996</v>
      </c>
      <c r="J65" s="53">
        <v>7.4749999999999996</v>
      </c>
      <c r="K65" s="52">
        <v>41.2</v>
      </c>
      <c r="L65" s="145">
        <f t="shared" si="1"/>
        <v>22.085385606417802</v>
      </c>
      <c r="M65" s="53">
        <f>IFERROR(IF(OR(ISBLANK(WHOLE_STRUCTURE[[#This Row],[Top '[m']]]), ISBLANK(WHOLE_STRUCTURE[[#This Row],[Bottom '[m']]])), "", WHOLE_STRUCTURE[[#This Row],[Top '[m']]] - WHOLE_STRUCTURE[[#This Row],[Bottom '[m']]]),"")</f>
        <v>2.924000000000003</v>
      </c>
      <c r="N65" s="54">
        <f>IFERROR(-(WHOLE_STRUCTURE[[#This Row],[D, bottom '[m']]]-WHOLE_STRUCTURE[[#This Row],[D, top '[m']]])/(WHOLE_STRUCTURE[[#This Row],[Bottom '[m']]]-WHOLE_STRUCTURE[[#This Row],[Top '[m']]]),"")</f>
        <v>0</v>
      </c>
      <c r="O65" s="52">
        <f>IFERROR((WHOLE_STRUCTURE[[#This Row],[D, bottom '[m']]]+WHOLE_STRUCTURE[[#This Row],[D, top '[m']]])/(2*WHOLE_STRUCTURE[[#This Row],[t '[mm']]]/1000),"")</f>
        <v>181.43203883495144</v>
      </c>
      <c r="Q65" s="51"/>
      <c r="S65" s="53"/>
      <c r="T65" s="53"/>
      <c r="U65" s="51"/>
      <c r="V65" s="217"/>
      <c r="W65" s="145"/>
      <c r="X65" s="53"/>
      <c r="Y65" s="53"/>
      <c r="Z65" s="51"/>
    </row>
    <row r="66" spans="4:26">
      <c r="D66" s="51">
        <v>60</v>
      </c>
      <c r="E66" s="51" t="s">
        <v>71</v>
      </c>
      <c r="F66" s="51">
        <v>60</v>
      </c>
      <c r="G66" s="53">
        <v>30.670999999999996</v>
      </c>
      <c r="H66" s="53">
        <v>27.745999999999999</v>
      </c>
      <c r="I66" s="53">
        <v>7.4767000000000001</v>
      </c>
      <c r="J66" s="53">
        <v>7.4749999999999996</v>
      </c>
      <c r="K66" s="52">
        <v>42.1</v>
      </c>
      <c r="L66" s="145">
        <f t="shared" si="1"/>
        <v>22.5753996435555</v>
      </c>
      <c r="M66" s="53">
        <f>IFERROR(IF(OR(ISBLANK(WHOLE_STRUCTURE[[#This Row],[Top '[m']]]), ISBLANK(WHOLE_STRUCTURE[[#This Row],[Bottom '[m']]])), "", WHOLE_STRUCTURE[[#This Row],[Top '[m']]] - WHOLE_STRUCTURE[[#This Row],[Bottom '[m']]]),"")</f>
        <v>2.9249999999999972</v>
      </c>
      <c r="N66" s="54">
        <f>IFERROR(-(WHOLE_STRUCTURE[[#This Row],[D, bottom '[m']]]-WHOLE_STRUCTURE[[#This Row],[D, top '[m']]])/(WHOLE_STRUCTURE[[#This Row],[Bottom '[m']]]-WHOLE_STRUCTURE[[#This Row],[Top '[m']]]),"")</f>
        <v>-5.8119658119674554E-4</v>
      </c>
      <c r="O66" s="52">
        <f>IFERROR((WHOLE_STRUCTURE[[#This Row],[D, bottom '[m']]]+WHOLE_STRUCTURE[[#This Row],[D, top '[m']]])/(2*WHOLE_STRUCTURE[[#This Row],[t '[mm']]]/1000),"")</f>
        <v>177.57363420427552</v>
      </c>
      <c r="Q66" s="51"/>
      <c r="S66" s="53"/>
      <c r="T66" s="53"/>
      <c r="U66" s="51"/>
      <c r="V66" s="217"/>
      <c r="W66" s="145"/>
      <c r="X66" s="53"/>
      <c r="Y66" s="53"/>
      <c r="Z66" s="51"/>
    </row>
    <row r="67" spans="4:26">
      <c r="D67" s="51">
        <v>61</v>
      </c>
      <c r="E67" s="51" t="s">
        <v>71</v>
      </c>
      <c r="F67" s="51">
        <v>61</v>
      </c>
      <c r="G67" s="53">
        <v>27.745999999999999</v>
      </c>
      <c r="H67" s="53">
        <v>24.822000000000003</v>
      </c>
      <c r="I67" s="53">
        <v>7.4775999999999998</v>
      </c>
      <c r="J67" s="53">
        <v>7.4749999999999996</v>
      </c>
      <c r="K67" s="52">
        <v>43</v>
      </c>
      <c r="L67" s="145">
        <f t="shared" si="1"/>
        <v>23.048730724071454</v>
      </c>
      <c r="M67" s="53">
        <f>IFERROR(IF(OR(ISBLANK(WHOLE_STRUCTURE[[#This Row],[Top '[m']]]), ISBLANK(WHOLE_STRUCTURE[[#This Row],[Bottom '[m']]])), "", WHOLE_STRUCTURE[[#This Row],[Top '[m']]] - WHOLE_STRUCTURE[[#This Row],[Bottom '[m']]]),"")</f>
        <v>2.9239999999999959</v>
      </c>
      <c r="N67" s="54">
        <f>IFERROR(-(WHOLE_STRUCTURE[[#This Row],[D, bottom '[m']]]-WHOLE_STRUCTURE[[#This Row],[D, top '[m']]])/(WHOLE_STRUCTURE[[#This Row],[Bottom '[m']]]-WHOLE_STRUCTURE[[#This Row],[Top '[m']]]),"")</f>
        <v>-8.8919288645696352E-4</v>
      </c>
      <c r="O67" s="52">
        <f>IFERROR((WHOLE_STRUCTURE[[#This Row],[D, bottom '[m']]]+WHOLE_STRUCTURE[[#This Row],[D, top '[m']]])/(2*WHOLE_STRUCTURE[[#This Row],[t '[mm']]]/1000),"")</f>
        <v>173.86744186046514</v>
      </c>
      <c r="Q67" s="51"/>
      <c r="S67" s="53"/>
      <c r="T67" s="53"/>
      <c r="U67" s="51"/>
      <c r="V67" s="217"/>
      <c r="W67" s="145"/>
      <c r="X67" s="53"/>
      <c r="Y67" s="53"/>
      <c r="Z67" s="51"/>
    </row>
    <row r="68" spans="4:26">
      <c r="D68" s="51">
        <v>62</v>
      </c>
      <c r="E68" s="51" t="s">
        <v>71</v>
      </c>
      <c r="F68" s="51">
        <v>62</v>
      </c>
      <c r="G68" s="53">
        <v>24.822000000000003</v>
      </c>
      <c r="H68" s="53">
        <v>21.897000000000002</v>
      </c>
      <c r="I68" s="53">
        <v>7.4785000000000004</v>
      </c>
      <c r="J68" s="53">
        <v>7.5</v>
      </c>
      <c r="K68" s="52">
        <v>64.5</v>
      </c>
      <c r="L68" s="145">
        <f t="shared" si="1"/>
        <v>34.545139399533667</v>
      </c>
      <c r="M68" s="53">
        <f>IFERROR(IF(OR(ISBLANK(WHOLE_STRUCTURE[[#This Row],[Top '[m']]]), ISBLANK(WHOLE_STRUCTURE[[#This Row],[Bottom '[m']]])), "", WHOLE_STRUCTURE[[#This Row],[Top '[m']]] - WHOLE_STRUCTURE[[#This Row],[Bottom '[m']]]),"")</f>
        <v>2.9250000000000007</v>
      </c>
      <c r="N68" s="54">
        <f>IFERROR(-(WHOLE_STRUCTURE[[#This Row],[D, bottom '[m']]]-WHOLE_STRUCTURE[[#This Row],[D, top '[m']]])/(WHOLE_STRUCTURE[[#This Row],[Bottom '[m']]]-WHOLE_STRUCTURE[[#This Row],[Top '[m']]]),"")</f>
        <v>7.3504273504272225E-3</v>
      </c>
      <c r="O68" s="52">
        <f>IFERROR((WHOLE_STRUCTURE[[#This Row],[D, bottom '[m']]]+WHOLE_STRUCTURE[[#This Row],[D, top '[m']]])/(2*WHOLE_STRUCTURE[[#This Row],[t '[mm']]]/1000),"")</f>
        <v>116.1124031007752</v>
      </c>
      <c r="Q68" s="51"/>
      <c r="S68" s="53"/>
      <c r="T68" s="53"/>
      <c r="U68" s="51"/>
      <c r="V68" s="217"/>
      <c r="W68" s="145"/>
      <c r="X68" s="53"/>
      <c r="Y68" s="53"/>
      <c r="Z68" s="51"/>
    </row>
    <row r="69" spans="4:26">
      <c r="D69" s="51">
        <v>63</v>
      </c>
      <c r="E69" s="51" t="s">
        <v>71</v>
      </c>
      <c r="F69" s="51">
        <v>63</v>
      </c>
      <c r="G69" s="53">
        <v>21.897000000000002</v>
      </c>
      <c r="H69" s="53">
        <v>19.821000000000002</v>
      </c>
      <c r="I69" s="53">
        <v>7.5</v>
      </c>
      <c r="J69" s="53">
        <v>7.5</v>
      </c>
      <c r="K69" s="52">
        <v>64.5</v>
      </c>
      <c r="L69" s="145">
        <f t="shared" si="1"/>
        <v>24.553690158832335</v>
      </c>
      <c r="M69" s="53">
        <f>IFERROR(IF(OR(ISBLANK(WHOLE_STRUCTURE[[#This Row],[Top '[m']]]), ISBLANK(WHOLE_STRUCTURE[[#This Row],[Bottom '[m']]])), "", WHOLE_STRUCTURE[[#This Row],[Top '[m']]] - WHOLE_STRUCTURE[[#This Row],[Bottom '[m']]]),"")</f>
        <v>2.0760000000000005</v>
      </c>
      <c r="N69" s="54">
        <f>IFERROR(-(WHOLE_STRUCTURE[[#This Row],[D, bottom '[m']]]-WHOLE_STRUCTURE[[#This Row],[D, top '[m']]])/(WHOLE_STRUCTURE[[#This Row],[Bottom '[m']]]-WHOLE_STRUCTURE[[#This Row],[Top '[m']]]),"")</f>
        <v>0</v>
      </c>
      <c r="O69" s="52">
        <f>IFERROR((WHOLE_STRUCTURE[[#This Row],[D, bottom '[m']]]+WHOLE_STRUCTURE[[#This Row],[D, top '[m']]])/(2*WHOLE_STRUCTURE[[#This Row],[t '[mm']]]/1000),"")</f>
        <v>116.27906976744185</v>
      </c>
      <c r="Q69" s="51"/>
      <c r="S69" s="53"/>
      <c r="T69" s="53"/>
      <c r="U69" s="51"/>
      <c r="V69" s="217"/>
      <c r="W69" s="145"/>
      <c r="X69" s="53"/>
      <c r="Y69" s="53"/>
      <c r="Z69" s="51"/>
    </row>
    <row r="70" spans="4:26">
      <c r="D70" s="51">
        <v>64</v>
      </c>
      <c r="E70" s="51" t="s">
        <v>71</v>
      </c>
      <c r="F70" s="51">
        <v>64</v>
      </c>
      <c r="G70" s="53">
        <v>19.821000000000002</v>
      </c>
      <c r="H70" s="53">
        <v>17.295999999999999</v>
      </c>
      <c r="I70" s="53">
        <v>7.5</v>
      </c>
      <c r="J70" s="53">
        <v>7.5</v>
      </c>
      <c r="K70" s="52">
        <v>64.5</v>
      </c>
      <c r="L70" s="145">
        <f t="shared" si="1"/>
        <v>29.864194436922769</v>
      </c>
      <c r="M70" s="53">
        <f>IFERROR(IF(OR(ISBLANK(WHOLE_STRUCTURE[[#This Row],[Top '[m']]]), ISBLANK(WHOLE_STRUCTURE[[#This Row],[Bottom '[m']]])), "", WHOLE_STRUCTURE[[#This Row],[Top '[m']]] - WHOLE_STRUCTURE[[#This Row],[Bottom '[m']]]),"")</f>
        <v>2.5250000000000021</v>
      </c>
      <c r="N70" s="54">
        <f>IFERROR(-(WHOLE_STRUCTURE[[#This Row],[D, bottom '[m']]]-WHOLE_STRUCTURE[[#This Row],[D, top '[m']]])/(WHOLE_STRUCTURE[[#This Row],[Bottom '[m']]]-WHOLE_STRUCTURE[[#This Row],[Top '[m']]]),"")</f>
        <v>0</v>
      </c>
      <c r="O70" s="52">
        <f>IFERROR((WHOLE_STRUCTURE[[#This Row],[D, bottom '[m']]]+WHOLE_STRUCTURE[[#This Row],[D, top '[m']]])/(2*WHOLE_STRUCTURE[[#This Row],[t '[mm']]]/1000),"")</f>
        <v>116.27906976744185</v>
      </c>
      <c r="Q70" s="51"/>
      <c r="S70" s="53"/>
      <c r="T70" s="53"/>
      <c r="U70" s="51"/>
      <c r="V70" s="217"/>
      <c r="W70" s="145"/>
      <c r="X70" s="53"/>
      <c r="Y70" s="53"/>
      <c r="Z70" s="51"/>
    </row>
    <row r="71" spans="4:26">
      <c r="D71" s="51">
        <v>65</v>
      </c>
      <c r="E71" s="51" t="s">
        <v>71</v>
      </c>
      <c r="F71" s="51">
        <v>65</v>
      </c>
      <c r="G71" s="53">
        <v>17.295999999999999</v>
      </c>
      <c r="H71" s="53">
        <v>16.897000000000002</v>
      </c>
      <c r="I71" s="53">
        <v>7.5</v>
      </c>
      <c r="J71" s="53">
        <v>7.5</v>
      </c>
      <c r="K71" s="52">
        <v>64.5</v>
      </c>
      <c r="L71" s="145">
        <f t="shared" ref="L71:L101" si="2">IF(7850/1000*(1/3)*PI()*ABS(G71-H71)*((I71/2)^2+(I71/2)*(J71/2)+(J71/2)^2-(I71/2-K71/1000)^2-(I71/2-K71/1000)*(J71/2-K71/1000)-(J71/2-K71/1000)^2)=0,"",7850/1000*(1/3)*PI()*ABS(G71-H71)*((I71/2)^2+(I71/2)*(J71/2)+(J71/2)^2-(I71/2-K71/1000)^2-(I71/2-K71/1000)*(J71/2-K71/1000)-(J71/2-K71/1000)^2))</f>
        <v>4.7191340912206332</v>
      </c>
      <c r="M71" s="53">
        <f>IFERROR(IF(OR(ISBLANK(WHOLE_STRUCTURE[[#This Row],[Top '[m']]]), ISBLANK(WHOLE_STRUCTURE[[#This Row],[Bottom '[m']]])), "", WHOLE_STRUCTURE[[#This Row],[Top '[m']]] - WHOLE_STRUCTURE[[#This Row],[Bottom '[m']]]),"")</f>
        <v>0.39899999999999736</v>
      </c>
      <c r="N71" s="54">
        <f>IFERROR(-(WHOLE_STRUCTURE[[#This Row],[D, bottom '[m']]]-WHOLE_STRUCTURE[[#This Row],[D, top '[m']]])/(WHOLE_STRUCTURE[[#This Row],[Bottom '[m']]]-WHOLE_STRUCTURE[[#This Row],[Top '[m']]]),"")</f>
        <v>0</v>
      </c>
      <c r="O71" s="52">
        <f>IFERROR((WHOLE_STRUCTURE[[#This Row],[D, bottom '[m']]]+WHOLE_STRUCTURE[[#This Row],[D, top '[m']]])/(2*WHOLE_STRUCTURE[[#This Row],[t '[mm']]]/1000),"")</f>
        <v>116.27906976744185</v>
      </c>
      <c r="Q71" s="51"/>
      <c r="S71" s="53"/>
      <c r="T71" s="53"/>
      <c r="U71" s="51"/>
      <c r="V71" s="217"/>
      <c r="W71" s="145"/>
      <c r="X71" s="53"/>
      <c r="Y71" s="53"/>
      <c r="Z71" s="51"/>
    </row>
    <row r="72" spans="4:26">
      <c r="D72" s="51">
        <v>66</v>
      </c>
      <c r="E72" s="51" t="s">
        <v>71</v>
      </c>
      <c r="F72" s="51">
        <v>66</v>
      </c>
      <c r="G72" s="53">
        <v>16.897000000000002</v>
      </c>
      <c r="H72" s="53">
        <v>15.510000000000002</v>
      </c>
      <c r="I72" s="53">
        <v>7.5</v>
      </c>
      <c r="J72" s="53">
        <v>7.5</v>
      </c>
      <c r="K72" s="52">
        <v>64.5</v>
      </c>
      <c r="L72" s="145">
        <f t="shared" si="2"/>
        <v>16.404608983767076</v>
      </c>
      <c r="M72" s="53">
        <f>IFERROR(IF(OR(ISBLANK(WHOLE_STRUCTURE[[#This Row],[Top '[m']]]), ISBLANK(WHOLE_STRUCTURE[[#This Row],[Bottom '[m']]])), "", WHOLE_STRUCTURE[[#This Row],[Top '[m']]] - WHOLE_STRUCTURE[[#This Row],[Bottom '[m']]]),"")</f>
        <v>1.3870000000000005</v>
      </c>
      <c r="N72" s="54">
        <f>IFERROR(-(WHOLE_STRUCTURE[[#This Row],[D, bottom '[m']]]-WHOLE_STRUCTURE[[#This Row],[D, top '[m']]])/(WHOLE_STRUCTURE[[#This Row],[Bottom '[m']]]-WHOLE_STRUCTURE[[#This Row],[Top '[m']]]),"")</f>
        <v>0</v>
      </c>
      <c r="O72" s="52">
        <f>IFERROR((WHOLE_STRUCTURE[[#This Row],[D, bottom '[m']]]+WHOLE_STRUCTURE[[#This Row],[D, top '[m']]])/(2*WHOLE_STRUCTURE[[#This Row],[t '[mm']]]/1000),"")</f>
        <v>116.27906976744185</v>
      </c>
      <c r="Q72" s="51"/>
      <c r="S72" s="53"/>
      <c r="T72" s="53"/>
      <c r="U72" s="51"/>
      <c r="V72" s="217"/>
      <c r="W72" s="145"/>
      <c r="X72" s="53"/>
      <c r="Y72" s="53"/>
      <c r="Z72" s="51"/>
    </row>
    <row r="73" spans="4:26">
      <c r="D73" s="51">
        <v>67</v>
      </c>
      <c r="E73" s="51" t="s">
        <v>71</v>
      </c>
      <c r="F73" s="51">
        <v>67</v>
      </c>
      <c r="G73" s="53">
        <v>15.510000000000002</v>
      </c>
      <c r="H73" s="53">
        <v>15.455000000000002</v>
      </c>
      <c r="I73" s="53">
        <v>7.5</v>
      </c>
      <c r="J73" s="53">
        <v>7.5</v>
      </c>
      <c r="K73" s="52">
        <v>64.5</v>
      </c>
      <c r="L73" s="145">
        <f t="shared" si="2"/>
        <v>0.65050720555672981</v>
      </c>
      <c r="M73" s="53">
        <f>IFERROR(IF(OR(ISBLANK(WHOLE_STRUCTURE[[#This Row],[Top '[m']]]), ISBLANK(WHOLE_STRUCTURE[[#This Row],[Bottom '[m']]])), "", WHOLE_STRUCTURE[[#This Row],[Top '[m']]] - WHOLE_STRUCTURE[[#This Row],[Bottom '[m']]]),"")</f>
        <v>5.4999999999999716E-2</v>
      </c>
      <c r="N73" s="54">
        <f>IFERROR(-(WHOLE_STRUCTURE[[#This Row],[D, bottom '[m']]]-WHOLE_STRUCTURE[[#This Row],[D, top '[m']]])/(WHOLE_STRUCTURE[[#This Row],[Bottom '[m']]]-WHOLE_STRUCTURE[[#This Row],[Top '[m']]]),"")</f>
        <v>0</v>
      </c>
      <c r="O73" s="52">
        <f>IFERROR((WHOLE_STRUCTURE[[#This Row],[D, bottom '[m']]]+WHOLE_STRUCTURE[[#This Row],[D, top '[m']]])/(2*WHOLE_STRUCTURE[[#This Row],[t '[mm']]]/1000),"")</f>
        <v>116.27906976744185</v>
      </c>
      <c r="Q73" s="51"/>
      <c r="S73" s="53"/>
      <c r="T73" s="53"/>
      <c r="U73" s="51"/>
      <c r="V73" s="217"/>
      <c r="W73" s="145"/>
      <c r="X73" s="53"/>
      <c r="Y73" s="53"/>
      <c r="Z73" s="51"/>
    </row>
    <row r="74" spans="4:26">
      <c r="D74" s="51">
        <v>68</v>
      </c>
      <c r="E74" s="51" t="s">
        <v>71</v>
      </c>
      <c r="F74" s="51">
        <v>68</v>
      </c>
      <c r="G74" s="53">
        <v>15.455000000000002</v>
      </c>
      <c r="H74" s="53">
        <v>15.3</v>
      </c>
      <c r="I74" s="53">
        <v>7.5</v>
      </c>
      <c r="J74" s="53">
        <v>7.5</v>
      </c>
      <c r="K74" s="52">
        <v>64.5</v>
      </c>
      <c r="L74" s="145">
        <f t="shared" si="2"/>
        <v>1.8332475792962613</v>
      </c>
      <c r="M74" s="53">
        <f>IFERROR(IF(OR(ISBLANK(WHOLE_STRUCTURE[[#This Row],[Top '[m']]]), ISBLANK(WHOLE_STRUCTURE[[#This Row],[Bottom '[m']]])), "", WHOLE_STRUCTURE[[#This Row],[Top '[m']]] - WHOLE_STRUCTURE[[#This Row],[Bottom '[m']]]),"")</f>
        <v>0.15500000000000114</v>
      </c>
      <c r="N74" s="54">
        <f>IFERROR(-(WHOLE_STRUCTURE[[#This Row],[D, bottom '[m']]]-WHOLE_STRUCTURE[[#This Row],[D, top '[m']]])/(WHOLE_STRUCTURE[[#This Row],[Bottom '[m']]]-WHOLE_STRUCTURE[[#This Row],[Top '[m']]]),"")</f>
        <v>0</v>
      </c>
      <c r="O74" s="52">
        <f>IFERROR((WHOLE_STRUCTURE[[#This Row],[D, bottom '[m']]]+WHOLE_STRUCTURE[[#This Row],[D, top '[m']]])/(2*WHOLE_STRUCTURE[[#This Row],[t '[mm']]]/1000),"")</f>
        <v>116.27906976744185</v>
      </c>
      <c r="Q74" s="51"/>
      <c r="S74" s="53"/>
      <c r="T74" s="53"/>
      <c r="U74" s="51"/>
      <c r="V74" s="217"/>
      <c r="W74" s="145"/>
      <c r="X74" s="53"/>
      <c r="Y74" s="53"/>
      <c r="Z74" s="51"/>
    </row>
    <row r="75" spans="4:26">
      <c r="D75" s="51">
        <v>69</v>
      </c>
      <c r="E75" s="51" t="s">
        <v>83</v>
      </c>
      <c r="F75" s="51">
        <v>1</v>
      </c>
      <c r="G75" s="53">
        <v>15.3</v>
      </c>
      <c r="H75" s="53">
        <v>11.3</v>
      </c>
      <c r="I75" s="53">
        <v>8</v>
      </c>
      <c r="J75" s="53">
        <v>8</v>
      </c>
      <c r="K75" s="52">
        <v>100</v>
      </c>
      <c r="L75" s="145">
        <f t="shared" si="2"/>
        <v>77.930347364948375</v>
      </c>
      <c r="M75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75" s="54">
        <f>IFERROR(-(WHOLE_STRUCTURE[[#This Row],[D, bottom '[m']]]-WHOLE_STRUCTURE[[#This Row],[D, top '[m']]])/(WHOLE_STRUCTURE[[#This Row],[Bottom '[m']]]-WHOLE_STRUCTURE[[#This Row],[Top '[m']]]),"")</f>
        <v>0</v>
      </c>
      <c r="O75" s="52">
        <f>IFERROR((WHOLE_STRUCTURE[[#This Row],[D, bottom '[m']]]+WHOLE_STRUCTURE[[#This Row],[D, top '[m']]])/(2*WHOLE_STRUCTURE[[#This Row],[t '[mm']]]/1000),"")</f>
        <v>80</v>
      </c>
      <c r="Q75" s="51"/>
      <c r="S75" s="53"/>
      <c r="T75" s="53"/>
      <c r="U75" s="51"/>
      <c r="V75" s="217"/>
      <c r="W75" s="145"/>
      <c r="X75" s="53"/>
      <c r="Y75" s="53"/>
      <c r="Z75" s="51"/>
    </row>
    <row r="76" spans="4:26">
      <c r="D76" s="51">
        <v>70</v>
      </c>
      <c r="E76" s="51" t="s">
        <v>83</v>
      </c>
      <c r="F76" s="51">
        <v>2</v>
      </c>
      <c r="G76" s="53">
        <v>11.3</v>
      </c>
      <c r="H76" s="53">
        <v>7.9</v>
      </c>
      <c r="I76" s="53">
        <v>8</v>
      </c>
      <c r="J76" s="53">
        <v>8</v>
      </c>
      <c r="K76" s="52">
        <v>105</v>
      </c>
      <c r="L76" s="145">
        <f t="shared" si="2"/>
        <v>69.508814241556166</v>
      </c>
      <c r="M76" s="53">
        <f>IFERROR(IF(OR(ISBLANK(WHOLE_STRUCTURE[[#This Row],[Top '[m']]]), ISBLANK(WHOLE_STRUCTURE[[#This Row],[Bottom '[m']]])), "", WHOLE_STRUCTURE[[#This Row],[Top '[m']]] - WHOLE_STRUCTURE[[#This Row],[Bottom '[m']]]),"")</f>
        <v>3.4000000000000004</v>
      </c>
      <c r="N76" s="54">
        <f>IFERROR(-(WHOLE_STRUCTURE[[#This Row],[D, bottom '[m']]]-WHOLE_STRUCTURE[[#This Row],[D, top '[m']]])/(WHOLE_STRUCTURE[[#This Row],[Bottom '[m']]]-WHOLE_STRUCTURE[[#This Row],[Top '[m']]]),"")</f>
        <v>0</v>
      </c>
      <c r="O76" s="52">
        <f>IFERROR((WHOLE_STRUCTURE[[#This Row],[D, bottom '[m']]]+WHOLE_STRUCTURE[[#This Row],[D, top '[m']]])/(2*WHOLE_STRUCTURE[[#This Row],[t '[mm']]]/1000),"")</f>
        <v>76.19047619047619</v>
      </c>
      <c r="Q76" s="51"/>
      <c r="S76" s="53"/>
      <c r="T76" s="53"/>
      <c r="U76" s="51"/>
      <c r="V76" s="217"/>
      <c r="W76" s="145"/>
      <c r="X76" s="53"/>
      <c r="Y76" s="53"/>
      <c r="Z76" s="51"/>
    </row>
    <row r="77" spans="4:26">
      <c r="D77" s="51">
        <v>71</v>
      </c>
      <c r="E77" s="51" t="s">
        <v>83</v>
      </c>
      <c r="F77" s="51">
        <v>3</v>
      </c>
      <c r="G77" s="53">
        <v>7.9</v>
      </c>
      <c r="H77" s="53">
        <v>5.5</v>
      </c>
      <c r="I77" s="53">
        <v>8</v>
      </c>
      <c r="J77" s="53">
        <v>8</v>
      </c>
      <c r="K77" s="52">
        <v>110</v>
      </c>
      <c r="L77" s="145">
        <f t="shared" si="2"/>
        <v>51.368922894712881</v>
      </c>
      <c r="M77" s="53">
        <f>IFERROR(IF(OR(ISBLANK(WHOLE_STRUCTURE[[#This Row],[Top '[m']]]), ISBLANK(WHOLE_STRUCTURE[[#This Row],[Bottom '[m']]])), "", WHOLE_STRUCTURE[[#This Row],[Top '[m']]] - WHOLE_STRUCTURE[[#This Row],[Bottom '[m']]]),"")</f>
        <v>2.4000000000000004</v>
      </c>
      <c r="N77" s="54">
        <f>IFERROR(-(WHOLE_STRUCTURE[[#This Row],[D, bottom '[m']]]-WHOLE_STRUCTURE[[#This Row],[D, top '[m']]])/(WHOLE_STRUCTURE[[#This Row],[Bottom '[m']]]-WHOLE_STRUCTURE[[#This Row],[Top '[m']]]),"")</f>
        <v>0</v>
      </c>
      <c r="O77" s="52">
        <f>IFERROR((WHOLE_STRUCTURE[[#This Row],[D, bottom '[m']]]+WHOLE_STRUCTURE[[#This Row],[D, top '[m']]])/(2*WHOLE_STRUCTURE[[#This Row],[t '[mm']]]/1000),"")</f>
        <v>72.727272727272734</v>
      </c>
      <c r="Q77" s="51"/>
      <c r="S77" s="53"/>
      <c r="T77" s="53"/>
      <c r="U77" s="51"/>
      <c r="V77" s="217"/>
      <c r="W77" s="145"/>
      <c r="X77" s="53"/>
      <c r="Y77" s="53"/>
      <c r="Z77" s="51"/>
    </row>
    <row r="78" spans="4:26">
      <c r="D78" s="51">
        <v>72</v>
      </c>
      <c r="E78" s="51" t="s">
        <v>69</v>
      </c>
      <c r="F78" s="51">
        <v>1</v>
      </c>
      <c r="G78" s="53">
        <v>5.5</v>
      </c>
      <c r="H78" s="53">
        <v>1.7</v>
      </c>
      <c r="I78" s="53">
        <v>8</v>
      </c>
      <c r="J78" s="53">
        <v>8</v>
      </c>
      <c r="K78" s="52">
        <v>108</v>
      </c>
      <c r="L78" s="145">
        <f t="shared" si="2"/>
        <v>79.875567751985059</v>
      </c>
      <c r="M78" s="53">
        <f>IFERROR(IF(OR(ISBLANK(WHOLE_STRUCTURE[[#This Row],[Top '[m']]]), ISBLANK(WHOLE_STRUCTURE[[#This Row],[Bottom '[m']]])), "", WHOLE_STRUCTURE[[#This Row],[Top '[m']]] - WHOLE_STRUCTURE[[#This Row],[Bottom '[m']]]),"")</f>
        <v>3.8</v>
      </c>
      <c r="N78" s="54">
        <f>IFERROR(-(WHOLE_STRUCTURE[[#This Row],[D, bottom '[m']]]-WHOLE_STRUCTURE[[#This Row],[D, top '[m']]])/(WHOLE_STRUCTURE[[#This Row],[Bottom '[m']]]-WHOLE_STRUCTURE[[#This Row],[Top '[m']]]),"")</f>
        <v>0</v>
      </c>
      <c r="O78" s="52">
        <f>IFERROR((WHOLE_STRUCTURE[[#This Row],[D, bottom '[m']]]+WHOLE_STRUCTURE[[#This Row],[D, top '[m']]])/(2*WHOLE_STRUCTURE[[#This Row],[t '[mm']]]/1000),"")</f>
        <v>74.074074074074076</v>
      </c>
      <c r="Q78" s="51"/>
      <c r="S78" s="53"/>
      <c r="T78" s="53"/>
      <c r="U78" s="51"/>
      <c r="V78" s="217"/>
      <c r="W78" s="145"/>
      <c r="X78" s="53"/>
      <c r="Y78" s="53"/>
      <c r="Z78" s="51"/>
    </row>
    <row r="79" spans="4:26">
      <c r="G79" s="53"/>
      <c r="H79" s="53"/>
      <c r="I79" s="53"/>
      <c r="J79" s="53"/>
      <c r="K79" s="52"/>
      <c r="L79" s="145" t="str">
        <f t="shared" si="2"/>
        <v/>
      </c>
      <c r="M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9" s="54" t="str">
        <f>IFERROR(-(WHOLE_STRUCTURE[[#This Row],[D, bottom '[m']]]-WHOLE_STRUCTURE[[#This Row],[D, top '[m']]])/(WHOLE_STRUCTURE[[#This Row],[Bottom '[m']]]-WHOLE_STRUCTURE[[#This Row],[Top '[m']]]),"")</f>
        <v/>
      </c>
      <c r="O79" s="52" t="str">
        <f>IFERROR((WHOLE_STRUCTURE[[#This Row],[D, bottom '[m']]]+WHOLE_STRUCTURE[[#This Row],[D, top '[m']]])/(2*WHOLE_STRUCTURE[[#This Row],[t '[mm']]]/1000),"")</f>
        <v/>
      </c>
      <c r="Q79" s="51"/>
      <c r="S79" s="53"/>
      <c r="T79" s="53"/>
      <c r="U79" s="51"/>
      <c r="V79" s="217"/>
      <c r="W79" s="145"/>
      <c r="X79" s="53"/>
      <c r="Y79" s="53"/>
      <c r="Z79" s="51"/>
    </row>
    <row r="80" spans="4:26">
      <c r="G80" s="53"/>
      <c r="H80" s="53"/>
      <c r="I80" s="53"/>
      <c r="J80" s="53"/>
      <c r="K80" s="52"/>
      <c r="L80" s="145" t="str">
        <f t="shared" si="2"/>
        <v/>
      </c>
      <c r="M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0" s="54" t="str">
        <f>IFERROR(-(WHOLE_STRUCTURE[[#This Row],[D, bottom '[m']]]-WHOLE_STRUCTURE[[#This Row],[D, top '[m']]])/(WHOLE_STRUCTURE[[#This Row],[Bottom '[m']]]-WHOLE_STRUCTURE[[#This Row],[Top '[m']]]),"")</f>
        <v/>
      </c>
      <c r="O80" s="52" t="str">
        <f>IFERROR((WHOLE_STRUCTURE[[#This Row],[D, bottom '[m']]]+WHOLE_STRUCTURE[[#This Row],[D, top '[m']]])/(2*WHOLE_STRUCTURE[[#This Row],[t '[mm']]]/1000),"")</f>
        <v/>
      </c>
      <c r="Q80" s="51"/>
      <c r="S80" s="53"/>
      <c r="T80" s="53"/>
      <c r="U80" s="51"/>
      <c r="V80" s="217"/>
      <c r="W80" s="145"/>
      <c r="X80" s="53"/>
      <c r="Y80" s="53"/>
      <c r="Z80" s="51"/>
    </row>
    <row r="81" spans="7:26">
      <c r="G81" s="53"/>
      <c r="H81" s="53"/>
      <c r="I81" s="53"/>
      <c r="J81" s="53"/>
      <c r="K81" s="52"/>
      <c r="L81" s="145" t="str">
        <f t="shared" si="2"/>
        <v/>
      </c>
      <c r="M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1" s="54" t="str">
        <f>IFERROR(-(WHOLE_STRUCTURE[[#This Row],[D, bottom '[m']]]-WHOLE_STRUCTURE[[#This Row],[D, top '[m']]])/(WHOLE_STRUCTURE[[#This Row],[Bottom '[m']]]-WHOLE_STRUCTURE[[#This Row],[Top '[m']]]),"")</f>
        <v/>
      </c>
      <c r="O81" s="52" t="str">
        <f>IFERROR((WHOLE_STRUCTURE[[#This Row],[D, bottom '[m']]]+WHOLE_STRUCTURE[[#This Row],[D, top '[m']]])/(2*WHOLE_STRUCTURE[[#This Row],[t '[mm']]]/1000),"")</f>
        <v/>
      </c>
      <c r="Q81" s="51"/>
      <c r="S81" s="53"/>
      <c r="T81" s="53"/>
      <c r="U81" s="51"/>
      <c r="V81" s="217"/>
      <c r="W81" s="145"/>
      <c r="X81" s="53"/>
      <c r="Y81" s="53"/>
      <c r="Z81" s="51"/>
    </row>
    <row r="82" spans="7:26">
      <c r="G82" s="53"/>
      <c r="H82" s="53"/>
      <c r="I82" s="53"/>
      <c r="J82" s="53"/>
      <c r="K82" s="52"/>
      <c r="L82" s="145" t="str">
        <f t="shared" si="2"/>
        <v/>
      </c>
      <c r="M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2" s="54" t="str">
        <f>IFERROR(-(WHOLE_STRUCTURE[[#This Row],[D, bottom '[m']]]-WHOLE_STRUCTURE[[#This Row],[D, top '[m']]])/(WHOLE_STRUCTURE[[#This Row],[Bottom '[m']]]-WHOLE_STRUCTURE[[#This Row],[Top '[m']]]),"")</f>
        <v/>
      </c>
      <c r="O82" s="52" t="str">
        <f>IFERROR((WHOLE_STRUCTURE[[#This Row],[D, bottom '[m']]]+WHOLE_STRUCTURE[[#This Row],[D, top '[m']]])/(2*WHOLE_STRUCTURE[[#This Row],[t '[mm']]]/1000),"")</f>
        <v/>
      </c>
      <c r="Q82" s="51"/>
      <c r="S82" s="53"/>
      <c r="T82" s="53"/>
      <c r="U82" s="51"/>
      <c r="V82" s="217"/>
      <c r="W82" s="145"/>
      <c r="X82" s="53"/>
      <c r="Y82" s="53"/>
      <c r="Z82" s="51"/>
    </row>
    <row r="83" spans="7:26">
      <c r="G83" s="53"/>
      <c r="H83" s="53"/>
      <c r="I83" s="53"/>
      <c r="J83" s="53"/>
      <c r="K83" s="52"/>
      <c r="L83" s="145" t="str">
        <f t="shared" si="2"/>
        <v/>
      </c>
      <c r="M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3" s="54" t="str">
        <f>IFERROR(-(WHOLE_STRUCTURE[[#This Row],[D, bottom '[m']]]-WHOLE_STRUCTURE[[#This Row],[D, top '[m']]])/(WHOLE_STRUCTURE[[#This Row],[Bottom '[m']]]-WHOLE_STRUCTURE[[#This Row],[Top '[m']]]),"")</f>
        <v/>
      </c>
      <c r="O83" s="52" t="str">
        <f>IFERROR((WHOLE_STRUCTURE[[#This Row],[D, bottom '[m']]]+WHOLE_STRUCTURE[[#This Row],[D, top '[m']]])/(2*WHOLE_STRUCTURE[[#This Row],[t '[mm']]]/1000),"")</f>
        <v/>
      </c>
      <c r="Q83" s="51"/>
      <c r="S83" s="53"/>
      <c r="T83" s="53"/>
      <c r="U83" s="51"/>
      <c r="V83" s="217"/>
      <c r="W83" s="145"/>
      <c r="X83" s="53"/>
      <c r="Y83" s="53"/>
      <c r="Z83" s="51"/>
    </row>
    <row r="84" spans="7:26">
      <c r="G84" s="53"/>
      <c r="H84" s="53"/>
      <c r="I84" s="53"/>
      <c r="J84" s="53"/>
      <c r="K84" s="52"/>
      <c r="L84" s="145" t="str">
        <f t="shared" si="2"/>
        <v/>
      </c>
      <c r="M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4" s="54" t="str">
        <f>IFERROR(-(WHOLE_STRUCTURE[[#This Row],[D, bottom '[m']]]-WHOLE_STRUCTURE[[#This Row],[D, top '[m']]])/(WHOLE_STRUCTURE[[#This Row],[Bottom '[m']]]-WHOLE_STRUCTURE[[#This Row],[Top '[m']]]),"")</f>
        <v/>
      </c>
      <c r="O84" s="52" t="str">
        <f>IFERROR((WHOLE_STRUCTURE[[#This Row],[D, bottom '[m']]]+WHOLE_STRUCTURE[[#This Row],[D, top '[m']]])/(2*WHOLE_STRUCTURE[[#This Row],[t '[mm']]]/1000),"")</f>
        <v/>
      </c>
      <c r="Q84" s="51"/>
      <c r="S84" s="53"/>
      <c r="T84" s="53"/>
      <c r="U84" s="51"/>
      <c r="V84" s="217"/>
      <c r="W84" s="145"/>
      <c r="X84" s="53"/>
      <c r="Y84" s="53"/>
      <c r="Z84" s="51"/>
    </row>
    <row r="85" spans="7:26">
      <c r="G85" s="53"/>
      <c r="H85" s="53"/>
      <c r="I85" s="53"/>
      <c r="J85" s="53"/>
      <c r="K85" s="52"/>
      <c r="L85" s="145" t="str">
        <f t="shared" si="2"/>
        <v/>
      </c>
      <c r="M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5" s="54" t="str">
        <f>IFERROR(-(WHOLE_STRUCTURE[[#This Row],[D, bottom '[m']]]-WHOLE_STRUCTURE[[#This Row],[D, top '[m']]])/(WHOLE_STRUCTURE[[#This Row],[Bottom '[m']]]-WHOLE_STRUCTURE[[#This Row],[Top '[m']]]),"")</f>
        <v/>
      </c>
      <c r="O85" s="52" t="str">
        <f>IFERROR((WHOLE_STRUCTURE[[#This Row],[D, bottom '[m']]]+WHOLE_STRUCTURE[[#This Row],[D, top '[m']]])/(2*WHOLE_STRUCTURE[[#This Row],[t '[mm']]]/1000),"")</f>
        <v/>
      </c>
      <c r="S85" s="223"/>
      <c r="T85" s="223"/>
      <c r="U85" s="51"/>
      <c r="V85" s="217"/>
      <c r="W85" s="145"/>
      <c r="X85" s="53"/>
      <c r="Y85" s="53"/>
      <c r="Z85" s="51"/>
    </row>
    <row r="86" spans="7:26">
      <c r="G86" s="53"/>
      <c r="H86" s="53"/>
      <c r="I86" s="53"/>
      <c r="J86" s="53"/>
      <c r="K86" s="52"/>
      <c r="L86" s="145" t="str">
        <f t="shared" si="2"/>
        <v/>
      </c>
      <c r="M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6" s="54" t="str">
        <f>IFERROR(-(WHOLE_STRUCTURE[[#This Row],[D, bottom '[m']]]-WHOLE_STRUCTURE[[#This Row],[D, top '[m']]])/(WHOLE_STRUCTURE[[#This Row],[Bottom '[m']]]-WHOLE_STRUCTURE[[#This Row],[Top '[m']]]),"")</f>
        <v/>
      </c>
      <c r="O86" s="52" t="str">
        <f>IFERROR((WHOLE_STRUCTURE[[#This Row],[D, bottom '[m']]]+WHOLE_STRUCTURE[[#This Row],[D, top '[m']]])/(2*WHOLE_STRUCTURE[[#This Row],[t '[mm']]]/1000),"")</f>
        <v/>
      </c>
      <c r="S86" s="223"/>
      <c r="T86" s="223"/>
      <c r="U86" s="51"/>
      <c r="V86" s="217"/>
      <c r="W86" s="145"/>
      <c r="X86" s="53"/>
      <c r="Y86" s="53"/>
      <c r="Z86" s="51"/>
    </row>
    <row r="87" spans="7:26">
      <c r="G87" s="53"/>
      <c r="H87" s="53"/>
      <c r="I87" s="53"/>
      <c r="J87" s="53"/>
      <c r="K87" s="52"/>
      <c r="L87" s="145" t="str">
        <f t="shared" si="2"/>
        <v/>
      </c>
      <c r="M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7" s="54" t="str">
        <f>IFERROR(-(WHOLE_STRUCTURE[[#This Row],[D, bottom '[m']]]-WHOLE_STRUCTURE[[#This Row],[D, top '[m']]])/(WHOLE_STRUCTURE[[#This Row],[Bottom '[m']]]-WHOLE_STRUCTURE[[#This Row],[Top '[m']]]),"")</f>
        <v/>
      </c>
      <c r="O87" s="52" t="str">
        <f>IFERROR((WHOLE_STRUCTURE[[#This Row],[D, bottom '[m']]]+WHOLE_STRUCTURE[[#This Row],[D, top '[m']]])/(2*WHOLE_STRUCTURE[[#This Row],[t '[mm']]]/1000),"")</f>
        <v/>
      </c>
      <c r="S87" s="223"/>
      <c r="T87" s="223"/>
      <c r="U87" s="51"/>
      <c r="V87" s="217"/>
      <c r="W87" s="145"/>
      <c r="X87" s="53"/>
      <c r="Y87" s="53"/>
      <c r="Z87" s="51"/>
    </row>
    <row r="88" spans="7:26">
      <c r="G88" s="53"/>
      <c r="H88" s="53"/>
      <c r="I88" s="53"/>
      <c r="J88" s="53"/>
      <c r="K88" s="52"/>
      <c r="L88" s="145" t="str">
        <f t="shared" si="2"/>
        <v/>
      </c>
      <c r="M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8" s="54" t="str">
        <f>IFERROR(-(WHOLE_STRUCTURE[[#This Row],[D, bottom '[m']]]-WHOLE_STRUCTURE[[#This Row],[D, top '[m']]])/(WHOLE_STRUCTURE[[#This Row],[Bottom '[m']]]-WHOLE_STRUCTURE[[#This Row],[Top '[m']]]),"")</f>
        <v/>
      </c>
      <c r="O88" s="52" t="str">
        <f>IFERROR((WHOLE_STRUCTURE[[#This Row],[D, bottom '[m']]]+WHOLE_STRUCTURE[[#This Row],[D, top '[m']]])/(2*WHOLE_STRUCTURE[[#This Row],[t '[mm']]]/1000),"")</f>
        <v/>
      </c>
      <c r="S88" s="223"/>
      <c r="T88" s="223"/>
      <c r="U88" s="51"/>
      <c r="V88" s="217"/>
      <c r="W88" s="145"/>
      <c r="X88" s="53"/>
      <c r="Y88" s="53"/>
      <c r="Z88" s="51"/>
    </row>
    <row r="89" spans="7:26">
      <c r="G89" s="53"/>
      <c r="H89" s="53"/>
      <c r="I89" s="53"/>
      <c r="J89" s="53"/>
      <c r="K89" s="52"/>
      <c r="L89" s="145" t="str">
        <f t="shared" si="2"/>
        <v/>
      </c>
      <c r="M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9" s="54" t="str">
        <f>IFERROR(-(WHOLE_STRUCTURE[[#This Row],[D, bottom '[m']]]-WHOLE_STRUCTURE[[#This Row],[D, top '[m']]])/(WHOLE_STRUCTURE[[#This Row],[Bottom '[m']]]-WHOLE_STRUCTURE[[#This Row],[Top '[m']]]),"")</f>
        <v/>
      </c>
      <c r="O89" s="52" t="str">
        <f>IFERROR((WHOLE_STRUCTURE[[#This Row],[D, bottom '[m']]]+WHOLE_STRUCTURE[[#This Row],[D, top '[m']]])/(2*WHOLE_STRUCTURE[[#This Row],[t '[mm']]]/1000),"")</f>
        <v/>
      </c>
      <c r="S89" s="223"/>
      <c r="T89" s="223"/>
      <c r="U89" s="51"/>
      <c r="V89" s="217"/>
      <c r="W89" s="145"/>
      <c r="X89" s="53"/>
      <c r="Y89" s="53"/>
      <c r="Z89" s="51"/>
    </row>
    <row r="90" spans="7:26">
      <c r="G90" s="53"/>
      <c r="H90" s="53"/>
      <c r="I90" s="53"/>
      <c r="J90" s="53"/>
      <c r="K90" s="52"/>
      <c r="L90" s="145" t="str">
        <f t="shared" si="2"/>
        <v/>
      </c>
      <c r="M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0" s="54" t="str">
        <f>IFERROR(-(WHOLE_STRUCTURE[[#This Row],[D, bottom '[m']]]-WHOLE_STRUCTURE[[#This Row],[D, top '[m']]])/(WHOLE_STRUCTURE[[#This Row],[Bottom '[m']]]-WHOLE_STRUCTURE[[#This Row],[Top '[m']]]),"")</f>
        <v/>
      </c>
      <c r="O90" s="52" t="str">
        <f>IFERROR((WHOLE_STRUCTURE[[#This Row],[D, bottom '[m']]]+WHOLE_STRUCTURE[[#This Row],[D, top '[m']]])/(2*WHOLE_STRUCTURE[[#This Row],[t '[mm']]]/1000),"")</f>
        <v/>
      </c>
      <c r="S90" s="223"/>
      <c r="T90" s="223"/>
      <c r="U90" s="51"/>
      <c r="V90" s="217"/>
      <c r="W90" s="145"/>
      <c r="X90" s="53"/>
      <c r="Y90" s="53"/>
      <c r="Z90" s="51"/>
    </row>
    <row r="91" spans="7:26">
      <c r="G91" s="53"/>
      <c r="H91" s="53"/>
      <c r="I91" s="53"/>
      <c r="J91" s="53"/>
      <c r="K91" s="52"/>
      <c r="L91" s="145" t="str">
        <f t="shared" si="2"/>
        <v/>
      </c>
      <c r="M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1" s="54" t="str">
        <f>IFERROR(-(WHOLE_STRUCTURE[[#This Row],[D, bottom '[m']]]-WHOLE_STRUCTURE[[#This Row],[D, top '[m']]])/(WHOLE_STRUCTURE[[#This Row],[Bottom '[m']]]-WHOLE_STRUCTURE[[#This Row],[Top '[m']]]),"")</f>
        <v/>
      </c>
      <c r="O91" s="52" t="str">
        <f>IFERROR((WHOLE_STRUCTURE[[#This Row],[D, bottom '[m']]]+WHOLE_STRUCTURE[[#This Row],[D, top '[m']]])/(2*WHOLE_STRUCTURE[[#This Row],[t '[mm']]]/1000),"")</f>
        <v/>
      </c>
      <c r="S91" s="223"/>
      <c r="T91" s="223"/>
      <c r="U91" s="51"/>
      <c r="V91" s="217"/>
      <c r="W91" s="145"/>
      <c r="X91" s="53"/>
      <c r="Y91" s="53"/>
      <c r="Z91" s="51"/>
    </row>
    <row r="92" spans="7:26">
      <c r="G92" s="53"/>
      <c r="H92" s="53"/>
      <c r="I92" s="53"/>
      <c r="J92" s="53"/>
      <c r="K92" s="52"/>
      <c r="L92" s="145" t="str">
        <f t="shared" si="2"/>
        <v/>
      </c>
      <c r="M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2" s="54" t="str">
        <f>IFERROR(-(WHOLE_STRUCTURE[[#This Row],[D, bottom '[m']]]-WHOLE_STRUCTURE[[#This Row],[D, top '[m']]])/(WHOLE_STRUCTURE[[#This Row],[Bottom '[m']]]-WHOLE_STRUCTURE[[#This Row],[Top '[m']]]),"")</f>
        <v/>
      </c>
      <c r="O92" s="52" t="str">
        <f>IFERROR((WHOLE_STRUCTURE[[#This Row],[D, bottom '[m']]]+WHOLE_STRUCTURE[[#This Row],[D, top '[m']]])/(2*WHOLE_STRUCTURE[[#This Row],[t '[mm']]]/1000),"")</f>
        <v/>
      </c>
      <c r="S92" s="223"/>
      <c r="T92" s="223"/>
      <c r="U92" s="51"/>
      <c r="V92" s="217"/>
      <c r="W92" s="145"/>
      <c r="X92" s="53"/>
      <c r="Y92" s="53"/>
      <c r="Z92" s="51"/>
    </row>
    <row r="93" spans="7:26">
      <c r="G93" s="53"/>
      <c r="H93" s="53"/>
      <c r="I93" s="53"/>
      <c r="J93" s="53"/>
      <c r="K93" s="52"/>
      <c r="L93" s="145" t="str">
        <f t="shared" si="2"/>
        <v/>
      </c>
      <c r="M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3" s="54" t="str">
        <f>IFERROR(-(WHOLE_STRUCTURE[[#This Row],[D, bottom '[m']]]-WHOLE_STRUCTURE[[#This Row],[D, top '[m']]])/(WHOLE_STRUCTURE[[#This Row],[Bottom '[m']]]-WHOLE_STRUCTURE[[#This Row],[Top '[m']]]),"")</f>
        <v/>
      </c>
      <c r="O93" s="52" t="str">
        <f>IFERROR((WHOLE_STRUCTURE[[#This Row],[D, bottom '[m']]]+WHOLE_STRUCTURE[[#This Row],[D, top '[m']]])/(2*WHOLE_STRUCTURE[[#This Row],[t '[mm']]]/1000),"")</f>
        <v/>
      </c>
      <c r="S93" s="223"/>
      <c r="T93" s="223"/>
      <c r="U93" s="51"/>
      <c r="V93" s="217"/>
      <c r="W93" s="145"/>
      <c r="X93" s="53"/>
      <c r="Y93" s="53"/>
      <c r="Z93" s="51"/>
    </row>
    <row r="94" spans="7:26">
      <c r="G94" s="53"/>
      <c r="H94" s="53"/>
      <c r="I94" s="53"/>
      <c r="J94" s="53"/>
      <c r="K94" s="52"/>
      <c r="L94" s="145" t="str">
        <f t="shared" si="2"/>
        <v/>
      </c>
      <c r="M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4" s="54" t="str">
        <f>IFERROR(-(WHOLE_STRUCTURE[[#This Row],[D, bottom '[m']]]-WHOLE_STRUCTURE[[#This Row],[D, top '[m']]])/(WHOLE_STRUCTURE[[#This Row],[Bottom '[m']]]-WHOLE_STRUCTURE[[#This Row],[Top '[m']]]),"")</f>
        <v/>
      </c>
      <c r="O94" s="52" t="str">
        <f>IFERROR((WHOLE_STRUCTURE[[#This Row],[D, bottom '[m']]]+WHOLE_STRUCTURE[[#This Row],[D, top '[m']]])/(2*WHOLE_STRUCTURE[[#This Row],[t '[mm']]]/1000),"")</f>
        <v/>
      </c>
      <c r="S94" s="223"/>
      <c r="T94" s="223"/>
      <c r="U94" s="51"/>
      <c r="V94" s="217"/>
      <c r="W94" s="145"/>
      <c r="X94" s="53"/>
      <c r="Y94" s="53"/>
      <c r="Z94" s="51"/>
    </row>
    <row r="95" spans="7:26">
      <c r="G95" s="53"/>
      <c r="H95" s="53"/>
      <c r="I95" s="53"/>
      <c r="J95" s="53"/>
      <c r="K95" s="52"/>
      <c r="L95" s="145" t="str">
        <f t="shared" si="2"/>
        <v/>
      </c>
      <c r="M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5" s="54" t="str">
        <f>IFERROR(-(WHOLE_STRUCTURE[[#This Row],[D, bottom '[m']]]-WHOLE_STRUCTURE[[#This Row],[D, top '[m']]])/(WHOLE_STRUCTURE[[#This Row],[Bottom '[m']]]-WHOLE_STRUCTURE[[#This Row],[Top '[m']]]),"")</f>
        <v/>
      </c>
      <c r="O95" s="52" t="str">
        <f>IFERROR((WHOLE_STRUCTURE[[#This Row],[D, bottom '[m']]]+WHOLE_STRUCTURE[[#This Row],[D, top '[m']]])/(2*WHOLE_STRUCTURE[[#This Row],[t '[mm']]]/1000),"")</f>
        <v/>
      </c>
      <c r="S95" s="223"/>
      <c r="T95" s="223"/>
      <c r="U95" s="51"/>
      <c r="V95" s="217"/>
      <c r="W95" s="145"/>
      <c r="X95" s="53"/>
      <c r="Y95" s="53"/>
      <c r="Z95" s="51"/>
    </row>
    <row r="96" spans="7:26">
      <c r="G96" s="53"/>
      <c r="H96" s="53"/>
      <c r="I96" s="53"/>
      <c r="J96" s="53"/>
      <c r="K96" s="52"/>
      <c r="L96" s="145" t="str">
        <f t="shared" si="2"/>
        <v/>
      </c>
      <c r="M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6" s="54" t="str">
        <f>IFERROR(-(WHOLE_STRUCTURE[[#This Row],[D, bottom '[m']]]-WHOLE_STRUCTURE[[#This Row],[D, top '[m']]])/(WHOLE_STRUCTURE[[#This Row],[Bottom '[m']]]-WHOLE_STRUCTURE[[#This Row],[Top '[m']]]),"")</f>
        <v/>
      </c>
      <c r="O96" s="52" t="str">
        <f>IFERROR((WHOLE_STRUCTURE[[#This Row],[D, bottom '[m']]]+WHOLE_STRUCTURE[[#This Row],[D, top '[m']]])/(2*WHOLE_STRUCTURE[[#This Row],[t '[mm']]]/1000),"")</f>
        <v/>
      </c>
      <c r="S96" s="223"/>
      <c r="T96" s="223"/>
      <c r="U96" s="51"/>
      <c r="V96" s="217"/>
      <c r="W96" s="145"/>
      <c r="X96" s="53"/>
      <c r="Y96" s="53"/>
      <c r="Z96" s="51"/>
    </row>
    <row r="97" spans="7:26">
      <c r="G97" s="53"/>
      <c r="H97" s="53"/>
      <c r="I97" s="53"/>
      <c r="J97" s="53"/>
      <c r="K97" s="52"/>
      <c r="L97" s="145" t="str">
        <f t="shared" si="2"/>
        <v/>
      </c>
      <c r="M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7" s="54" t="str">
        <f>IFERROR(-(WHOLE_STRUCTURE[[#This Row],[D, bottom '[m']]]-WHOLE_STRUCTURE[[#This Row],[D, top '[m']]])/(WHOLE_STRUCTURE[[#This Row],[Bottom '[m']]]-WHOLE_STRUCTURE[[#This Row],[Top '[m']]]),"")</f>
        <v/>
      </c>
      <c r="O97" s="52" t="str">
        <f>IFERROR((WHOLE_STRUCTURE[[#This Row],[D, bottom '[m']]]+WHOLE_STRUCTURE[[#This Row],[D, top '[m']]])/(2*WHOLE_STRUCTURE[[#This Row],[t '[mm']]]/1000),"")</f>
        <v/>
      </c>
      <c r="S97" s="223"/>
      <c r="T97" s="223"/>
      <c r="U97" s="51"/>
      <c r="V97" s="217"/>
      <c r="W97" s="145"/>
      <c r="X97" s="53"/>
      <c r="Y97" s="53"/>
      <c r="Z97" s="51"/>
    </row>
    <row r="98" spans="7:26">
      <c r="G98" s="53"/>
      <c r="H98" s="53"/>
      <c r="I98" s="53"/>
      <c r="J98" s="53"/>
      <c r="K98" s="52"/>
      <c r="L98" s="145" t="str">
        <f t="shared" si="2"/>
        <v/>
      </c>
      <c r="M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8" s="54" t="str">
        <f>IFERROR(-(WHOLE_STRUCTURE[[#This Row],[D, bottom '[m']]]-WHOLE_STRUCTURE[[#This Row],[D, top '[m']]])/(WHOLE_STRUCTURE[[#This Row],[Bottom '[m']]]-WHOLE_STRUCTURE[[#This Row],[Top '[m']]]),"")</f>
        <v/>
      </c>
      <c r="O98" s="52" t="str">
        <f>IFERROR((WHOLE_STRUCTURE[[#This Row],[D, bottom '[m']]]+WHOLE_STRUCTURE[[#This Row],[D, top '[m']]])/(2*WHOLE_STRUCTURE[[#This Row],[t '[mm']]]/1000),"")</f>
        <v/>
      </c>
      <c r="S98" s="223"/>
      <c r="T98" s="223"/>
      <c r="U98" s="51"/>
      <c r="V98" s="217"/>
      <c r="W98" s="145"/>
      <c r="X98" s="53"/>
      <c r="Y98" s="53"/>
      <c r="Z98" s="51"/>
    </row>
    <row r="99" spans="7:26">
      <c r="G99" s="53"/>
      <c r="H99" s="53"/>
      <c r="I99" s="53"/>
      <c r="J99" s="53"/>
      <c r="K99" s="52"/>
      <c r="L99" s="145" t="str">
        <f t="shared" si="2"/>
        <v/>
      </c>
      <c r="M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9" s="54" t="str">
        <f>IFERROR(-(WHOLE_STRUCTURE[[#This Row],[D, bottom '[m']]]-WHOLE_STRUCTURE[[#This Row],[D, top '[m']]])/(WHOLE_STRUCTURE[[#This Row],[Bottom '[m']]]-WHOLE_STRUCTURE[[#This Row],[Top '[m']]]),"")</f>
        <v/>
      </c>
      <c r="O99" s="52" t="str">
        <f>IFERROR((WHOLE_STRUCTURE[[#This Row],[D, bottom '[m']]]+WHOLE_STRUCTURE[[#This Row],[D, top '[m']]])/(2*WHOLE_STRUCTURE[[#This Row],[t '[mm']]]/1000),"")</f>
        <v/>
      </c>
      <c r="S99" s="223"/>
      <c r="T99" s="223"/>
      <c r="U99" s="51"/>
      <c r="V99" s="217"/>
      <c r="W99" s="145"/>
      <c r="X99" s="53"/>
      <c r="Y99" s="53"/>
      <c r="Z99" s="51"/>
    </row>
    <row r="100" spans="7:26">
      <c r="G100" s="53"/>
      <c r="H100" s="53"/>
      <c r="I100" s="53"/>
      <c r="J100" s="53"/>
      <c r="K100" s="52"/>
      <c r="L100" s="145" t="str">
        <f t="shared" si="2"/>
        <v/>
      </c>
      <c r="M1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0" s="54" t="str">
        <f>IFERROR(-(WHOLE_STRUCTURE[[#This Row],[D, bottom '[m']]]-WHOLE_STRUCTURE[[#This Row],[D, top '[m']]])/(WHOLE_STRUCTURE[[#This Row],[Bottom '[m']]]-WHOLE_STRUCTURE[[#This Row],[Top '[m']]]),"")</f>
        <v/>
      </c>
      <c r="O100" s="52" t="str">
        <f>IFERROR((WHOLE_STRUCTURE[[#This Row],[D, bottom '[m']]]+WHOLE_STRUCTURE[[#This Row],[D, top '[m']]])/(2*WHOLE_STRUCTURE[[#This Row],[t '[mm']]]/1000),"")</f>
        <v/>
      </c>
      <c r="S100" s="223"/>
      <c r="T100" s="223"/>
      <c r="U100" s="51"/>
      <c r="V100" s="217"/>
      <c r="W100" s="145"/>
      <c r="X100" s="53"/>
      <c r="Y100" s="53"/>
      <c r="Z100" s="51"/>
    </row>
    <row r="101" spans="7:26">
      <c r="G101" s="53"/>
      <c r="H101" s="53"/>
      <c r="I101" s="53"/>
      <c r="J101" s="53"/>
      <c r="K101" s="52"/>
      <c r="L101" s="145" t="str">
        <f t="shared" si="2"/>
        <v/>
      </c>
      <c r="M1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1" s="54" t="str">
        <f>IFERROR(-(WHOLE_STRUCTURE[[#This Row],[D, bottom '[m']]]-WHOLE_STRUCTURE[[#This Row],[D, top '[m']]])/(WHOLE_STRUCTURE[[#This Row],[Bottom '[m']]]-WHOLE_STRUCTURE[[#This Row],[Top '[m']]]),"")</f>
        <v/>
      </c>
      <c r="O101" s="52" t="str">
        <f>IFERROR((WHOLE_STRUCTURE[[#This Row],[D, bottom '[m']]]+WHOLE_STRUCTURE[[#This Row],[D, top '[m']]])/(2*WHOLE_STRUCTURE[[#This Row],[t '[mm']]]/1000),"")</f>
        <v/>
      </c>
      <c r="S101" s="223"/>
      <c r="T101" s="223"/>
      <c r="U101" s="51"/>
      <c r="V101" s="217"/>
      <c r="W101" s="145"/>
      <c r="X101" s="53"/>
      <c r="Y101" s="53"/>
      <c r="Z101" s="51"/>
    </row>
    <row r="102" spans="7:26">
      <c r="G102" s="53"/>
      <c r="H102" s="53"/>
      <c r="I102" s="53"/>
      <c r="J102" s="53"/>
      <c r="K102" s="52"/>
      <c r="L102" s="145" t="str">
        <f t="shared" ref="L102" si="3">IF(7850/1000*(1/3)*PI()*ABS(G102-H102)*((I102/2)^2+(I102/2)*(J102/2)+(J102/2)^2-(I102/2-K102/1000)^2-(I102/2-K102/1000)*(J102/2-K102/1000)-(J102/2-K102/1000)^2)=0,"",7850/1000*(1/3)*PI()*ABS(G102-H102)*((I102/2)^2+(I102/2)*(J102/2)+(J102/2)^2-(I102/2-K102/1000)^2-(I102/2-K102/1000)*(J102/2-K102/1000)-(J102/2-K102/1000)^2))</f>
        <v/>
      </c>
      <c r="M1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2" s="54" t="str">
        <f>IFERROR(-(WHOLE_STRUCTURE[[#This Row],[D, bottom '[m']]]-WHOLE_STRUCTURE[[#This Row],[D, top '[m']]])/(WHOLE_STRUCTURE[[#This Row],[Bottom '[m']]]-WHOLE_STRUCTURE[[#This Row],[Top '[m']]]),"")</f>
        <v/>
      </c>
      <c r="O102" s="52" t="str">
        <f>IFERROR((WHOLE_STRUCTURE[[#This Row],[D, bottom '[m']]]+WHOLE_STRUCTURE[[#This Row],[D, top '[m']]])/(2*WHOLE_STRUCTURE[[#This Row],[t '[mm']]]/1000),"")</f>
        <v/>
      </c>
      <c r="S102" s="223"/>
      <c r="T102" s="223"/>
      <c r="U102" s="51"/>
      <c r="V102" s="217"/>
      <c r="W102" s="145"/>
      <c r="X102" s="53"/>
      <c r="Y102" s="53"/>
      <c r="Z102" s="51"/>
    </row>
    <row r="103" spans="7:26">
      <c r="G103" s="53"/>
      <c r="H103" s="53"/>
      <c r="I103" s="53"/>
      <c r="J103" s="53"/>
      <c r="K103" s="52"/>
      <c r="L103" s="145" t="str">
        <f t="shared" ref="L103:L113" si="4">IF(7850/1000*(1/3)*PI()*ABS(G103-H103)*((I103/2)^2+(I103/2)*(J103/2)+(J103/2)^2-(I103/2-K103/1000)^2-(I103/2-K103/1000)*(J103/2-K103/1000)-(J103/2-K103/1000)^2)=0,"",7850/1000*(1/3)*PI()*ABS(G103-H103)*((I103/2)^2+(I103/2)*(J103/2)+(J103/2)^2-(I103/2-K103/1000)^2-(I103/2-K103/1000)*(J103/2-K103/1000)-(J103/2-K103/1000)^2))</f>
        <v/>
      </c>
      <c r="M1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3" s="54" t="str">
        <f>IFERROR(-(WHOLE_STRUCTURE[[#This Row],[D, bottom '[m']]]-WHOLE_STRUCTURE[[#This Row],[D, top '[m']]])/(WHOLE_STRUCTURE[[#This Row],[Bottom '[m']]]-WHOLE_STRUCTURE[[#This Row],[Top '[m']]]),"")</f>
        <v/>
      </c>
      <c r="O103" s="52" t="str">
        <f>IFERROR((WHOLE_STRUCTURE[[#This Row],[D, bottom '[m']]]+WHOLE_STRUCTURE[[#This Row],[D, top '[m']]])/(2*WHOLE_STRUCTURE[[#This Row],[t '[mm']]]/1000),"")</f>
        <v/>
      </c>
      <c r="S103" s="223"/>
      <c r="T103" s="223"/>
      <c r="U103" s="51"/>
      <c r="V103" s="217"/>
      <c r="W103" s="145"/>
      <c r="X103" s="53"/>
      <c r="Y103" s="53"/>
      <c r="Z103" s="51"/>
    </row>
    <row r="104" spans="7:26">
      <c r="G104" s="53"/>
      <c r="H104" s="53"/>
      <c r="I104" s="53"/>
      <c r="J104" s="53"/>
      <c r="K104" s="52"/>
      <c r="L104" s="145" t="str">
        <f t="shared" si="4"/>
        <v/>
      </c>
      <c r="M1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4" s="54" t="str">
        <f>IFERROR(-(WHOLE_STRUCTURE[[#This Row],[D, bottom '[m']]]-WHOLE_STRUCTURE[[#This Row],[D, top '[m']]])/(WHOLE_STRUCTURE[[#This Row],[Bottom '[m']]]-WHOLE_STRUCTURE[[#This Row],[Top '[m']]]),"")</f>
        <v/>
      </c>
      <c r="O104" s="52" t="str">
        <f>IFERROR((WHOLE_STRUCTURE[[#This Row],[D, bottom '[m']]]+WHOLE_STRUCTURE[[#This Row],[D, top '[m']]])/(2*WHOLE_STRUCTURE[[#This Row],[t '[mm']]]/1000),"")</f>
        <v/>
      </c>
      <c r="S104" s="223"/>
      <c r="T104" s="223"/>
      <c r="U104" s="51"/>
      <c r="V104" s="217"/>
      <c r="W104" s="145"/>
      <c r="X104" s="53"/>
      <c r="Y104" s="53"/>
      <c r="Z104" s="51"/>
    </row>
    <row r="105" spans="7:26">
      <c r="G105" s="53"/>
      <c r="H105" s="53"/>
      <c r="I105" s="53"/>
      <c r="J105" s="53"/>
      <c r="K105" s="52"/>
      <c r="L105" s="145" t="str">
        <f t="shared" si="4"/>
        <v/>
      </c>
      <c r="M1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5" s="54" t="str">
        <f>IFERROR(-(WHOLE_STRUCTURE[[#This Row],[D, bottom '[m']]]-WHOLE_STRUCTURE[[#This Row],[D, top '[m']]])/(WHOLE_STRUCTURE[[#This Row],[Bottom '[m']]]-WHOLE_STRUCTURE[[#This Row],[Top '[m']]]),"")</f>
        <v/>
      </c>
      <c r="O105" s="52" t="str">
        <f>IFERROR((WHOLE_STRUCTURE[[#This Row],[D, bottom '[m']]]+WHOLE_STRUCTURE[[#This Row],[D, top '[m']]])/(2*WHOLE_STRUCTURE[[#This Row],[t '[mm']]]/1000),"")</f>
        <v/>
      </c>
      <c r="S105" s="223"/>
      <c r="T105" s="223"/>
      <c r="U105" s="51"/>
      <c r="V105" s="217"/>
      <c r="W105" s="145"/>
      <c r="X105" s="53"/>
      <c r="Y105" s="53"/>
      <c r="Z105" s="51"/>
    </row>
    <row r="106" spans="7:26">
      <c r="G106" s="53"/>
      <c r="H106" s="53"/>
      <c r="I106" s="53"/>
      <c r="J106" s="53"/>
      <c r="K106" s="52"/>
      <c r="L106" s="145" t="str">
        <f t="shared" si="4"/>
        <v/>
      </c>
      <c r="M1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6" s="54" t="str">
        <f>IFERROR(-(WHOLE_STRUCTURE[[#This Row],[D, bottom '[m']]]-WHOLE_STRUCTURE[[#This Row],[D, top '[m']]])/(WHOLE_STRUCTURE[[#This Row],[Bottom '[m']]]-WHOLE_STRUCTURE[[#This Row],[Top '[m']]]),"")</f>
        <v/>
      </c>
      <c r="O106" s="52" t="str">
        <f>IFERROR((WHOLE_STRUCTURE[[#This Row],[D, bottom '[m']]]+WHOLE_STRUCTURE[[#This Row],[D, top '[m']]])/(2*WHOLE_STRUCTURE[[#This Row],[t '[mm']]]/1000),"")</f>
        <v/>
      </c>
      <c r="S106" s="223"/>
      <c r="T106" s="223"/>
      <c r="U106" s="51"/>
      <c r="V106" s="217"/>
      <c r="W106" s="145"/>
      <c r="X106" s="53"/>
      <c r="Y106" s="53"/>
      <c r="Z106" s="51"/>
    </row>
    <row r="107" spans="7:26">
      <c r="G107" s="53"/>
      <c r="H107" s="53"/>
      <c r="I107" s="53"/>
      <c r="J107" s="53"/>
      <c r="K107" s="52"/>
      <c r="L107" s="145" t="str">
        <f t="shared" si="4"/>
        <v/>
      </c>
      <c r="M1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7" s="54" t="str">
        <f>IFERROR(-(WHOLE_STRUCTURE[[#This Row],[D, bottom '[m']]]-WHOLE_STRUCTURE[[#This Row],[D, top '[m']]])/(WHOLE_STRUCTURE[[#This Row],[Bottom '[m']]]-WHOLE_STRUCTURE[[#This Row],[Top '[m']]]),"")</f>
        <v/>
      </c>
      <c r="O107" s="52" t="str">
        <f>IFERROR((WHOLE_STRUCTURE[[#This Row],[D, bottom '[m']]]+WHOLE_STRUCTURE[[#This Row],[D, top '[m']]])/(2*WHOLE_STRUCTURE[[#This Row],[t '[mm']]]/1000),"")</f>
        <v/>
      </c>
      <c r="S107" s="223"/>
      <c r="T107" s="223"/>
      <c r="U107" s="51"/>
      <c r="V107" s="217"/>
      <c r="W107" s="145"/>
      <c r="X107" s="53"/>
      <c r="Y107" s="53"/>
      <c r="Z107" s="51"/>
    </row>
    <row r="108" spans="7:26">
      <c r="G108" s="53"/>
      <c r="H108" s="53"/>
      <c r="I108" s="53"/>
      <c r="J108" s="53"/>
      <c r="K108" s="52"/>
      <c r="L108" s="145" t="str">
        <f t="shared" si="4"/>
        <v/>
      </c>
      <c r="M1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8" s="54" t="str">
        <f>IFERROR(-(WHOLE_STRUCTURE[[#This Row],[D, bottom '[m']]]-WHOLE_STRUCTURE[[#This Row],[D, top '[m']]])/(WHOLE_STRUCTURE[[#This Row],[Bottom '[m']]]-WHOLE_STRUCTURE[[#This Row],[Top '[m']]]),"")</f>
        <v/>
      </c>
      <c r="O108" s="52" t="str">
        <f>IFERROR((WHOLE_STRUCTURE[[#This Row],[D, bottom '[m']]]+WHOLE_STRUCTURE[[#This Row],[D, top '[m']]])/(2*WHOLE_STRUCTURE[[#This Row],[t '[mm']]]/1000),"")</f>
        <v/>
      </c>
      <c r="S108" s="223"/>
      <c r="T108" s="223"/>
      <c r="U108" s="51"/>
      <c r="V108" s="217"/>
      <c r="W108" s="145"/>
      <c r="X108" s="53"/>
      <c r="Y108" s="53"/>
      <c r="Z108" s="51"/>
    </row>
    <row r="109" spans="7:26">
      <c r="G109" s="53"/>
      <c r="H109" s="53"/>
      <c r="I109" s="53"/>
      <c r="J109" s="53"/>
      <c r="K109" s="52"/>
      <c r="L109" s="145" t="str">
        <f t="shared" si="4"/>
        <v/>
      </c>
      <c r="M1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9" s="54" t="str">
        <f>IFERROR(-(WHOLE_STRUCTURE[[#This Row],[D, bottom '[m']]]-WHOLE_STRUCTURE[[#This Row],[D, top '[m']]])/(WHOLE_STRUCTURE[[#This Row],[Bottom '[m']]]-WHOLE_STRUCTURE[[#This Row],[Top '[m']]]),"")</f>
        <v/>
      </c>
      <c r="O109" s="52" t="str">
        <f>IFERROR((WHOLE_STRUCTURE[[#This Row],[D, bottom '[m']]]+WHOLE_STRUCTURE[[#This Row],[D, top '[m']]])/(2*WHOLE_STRUCTURE[[#This Row],[t '[mm']]]/1000),"")</f>
        <v/>
      </c>
      <c r="S109" s="223"/>
      <c r="T109" s="223"/>
      <c r="U109" s="51"/>
      <c r="V109" s="217"/>
      <c r="W109" s="145"/>
      <c r="X109" s="53"/>
      <c r="Y109" s="53"/>
      <c r="Z109" s="51"/>
    </row>
    <row r="110" spans="7:26">
      <c r="G110" s="53"/>
      <c r="H110" s="53"/>
      <c r="I110" s="53"/>
      <c r="J110" s="53"/>
      <c r="K110" s="52"/>
      <c r="L110" s="145" t="str">
        <f t="shared" si="4"/>
        <v/>
      </c>
      <c r="M1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0" s="54" t="str">
        <f>IFERROR(-(WHOLE_STRUCTURE[[#This Row],[D, bottom '[m']]]-WHOLE_STRUCTURE[[#This Row],[D, top '[m']]])/(WHOLE_STRUCTURE[[#This Row],[Bottom '[m']]]-WHOLE_STRUCTURE[[#This Row],[Top '[m']]]),"")</f>
        <v/>
      </c>
      <c r="O110" s="52" t="str">
        <f>IFERROR((WHOLE_STRUCTURE[[#This Row],[D, bottom '[m']]]+WHOLE_STRUCTURE[[#This Row],[D, top '[m']]])/(2*WHOLE_STRUCTURE[[#This Row],[t '[mm']]]/1000),"")</f>
        <v/>
      </c>
      <c r="S110" s="223"/>
      <c r="T110" s="223"/>
      <c r="U110" s="51"/>
      <c r="V110" s="217"/>
      <c r="W110" s="145"/>
      <c r="X110" s="53"/>
      <c r="Y110" s="53"/>
      <c r="Z110" s="51"/>
    </row>
    <row r="111" spans="7:26">
      <c r="G111" s="53"/>
      <c r="H111" s="53"/>
      <c r="I111" s="53"/>
      <c r="J111" s="53"/>
      <c r="K111" s="52"/>
      <c r="L111" s="145" t="str">
        <f t="shared" si="4"/>
        <v/>
      </c>
      <c r="M1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1" s="54" t="str">
        <f>IFERROR(-(WHOLE_STRUCTURE[[#This Row],[D, bottom '[m']]]-WHOLE_STRUCTURE[[#This Row],[D, top '[m']]])/(WHOLE_STRUCTURE[[#This Row],[Bottom '[m']]]-WHOLE_STRUCTURE[[#This Row],[Top '[m']]]),"")</f>
        <v/>
      </c>
      <c r="O111" s="52" t="str">
        <f>IFERROR((WHOLE_STRUCTURE[[#This Row],[D, bottom '[m']]]+WHOLE_STRUCTURE[[#This Row],[D, top '[m']]])/(2*WHOLE_STRUCTURE[[#This Row],[t '[mm']]]/1000),"")</f>
        <v/>
      </c>
      <c r="S111" s="223"/>
      <c r="T111" s="223"/>
      <c r="U111" s="51"/>
      <c r="V111" s="217"/>
      <c r="W111" s="145"/>
      <c r="X111" s="53"/>
      <c r="Y111" s="53"/>
      <c r="Z111" s="51"/>
    </row>
    <row r="112" spans="7:26">
      <c r="G112" s="53"/>
      <c r="H112" s="53"/>
      <c r="I112" s="53"/>
      <c r="J112" s="53"/>
      <c r="K112" s="52"/>
      <c r="L112" s="145" t="str">
        <f t="shared" si="4"/>
        <v/>
      </c>
      <c r="M1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2" s="54" t="str">
        <f>IFERROR(-(WHOLE_STRUCTURE[[#This Row],[D, bottom '[m']]]-WHOLE_STRUCTURE[[#This Row],[D, top '[m']]])/(WHOLE_STRUCTURE[[#This Row],[Bottom '[m']]]-WHOLE_STRUCTURE[[#This Row],[Top '[m']]]),"")</f>
        <v/>
      </c>
      <c r="O112" s="52" t="str">
        <f>IFERROR((WHOLE_STRUCTURE[[#This Row],[D, bottom '[m']]]+WHOLE_STRUCTURE[[#This Row],[D, top '[m']]])/(2*WHOLE_STRUCTURE[[#This Row],[t '[mm']]]/1000),"")</f>
        <v/>
      </c>
      <c r="S112" s="223"/>
      <c r="T112" s="223"/>
      <c r="U112" s="51"/>
      <c r="V112" s="217"/>
      <c r="W112" s="145"/>
      <c r="X112" s="53"/>
      <c r="Y112" s="53"/>
      <c r="Z112" s="51"/>
    </row>
    <row r="113" spans="7:26">
      <c r="G113" s="53"/>
      <c r="H113" s="53"/>
      <c r="I113" s="53"/>
      <c r="J113" s="53"/>
      <c r="K113" s="52"/>
      <c r="L113" s="145" t="str">
        <f t="shared" si="4"/>
        <v/>
      </c>
      <c r="M1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3" s="54" t="str">
        <f>IFERROR(-(WHOLE_STRUCTURE[[#This Row],[D, bottom '[m']]]-WHOLE_STRUCTURE[[#This Row],[D, top '[m']]])/(WHOLE_STRUCTURE[[#This Row],[Bottom '[m']]]-WHOLE_STRUCTURE[[#This Row],[Top '[m']]]),"")</f>
        <v/>
      </c>
      <c r="O113" s="52" t="str">
        <f>IFERROR((WHOLE_STRUCTURE[[#This Row],[D, bottom '[m']]]+WHOLE_STRUCTURE[[#This Row],[D, top '[m']]])/(2*WHOLE_STRUCTURE[[#This Row],[t '[mm']]]/1000),"")</f>
        <v/>
      </c>
      <c r="S113" s="223"/>
      <c r="T113" s="223"/>
      <c r="U113" s="51"/>
      <c r="V113" s="217"/>
      <c r="W113" s="145"/>
      <c r="X113" s="53"/>
      <c r="Y113" s="53"/>
      <c r="Z113" s="51"/>
    </row>
    <row r="114" spans="7:26">
      <c r="G114" s="53"/>
      <c r="H114" s="53"/>
      <c r="I114" s="53"/>
      <c r="J114" s="53"/>
      <c r="K114" s="52"/>
      <c r="L114" s="145" t="str">
        <f t="shared" ref="L114:L123" si="5">IF(7850/1000*(1/3)*PI()*ABS(G114-H114)*((I114/2)^2+(I114/2)*(J114/2)+(J114/2)^2-(I114/2-K114/1000)^2-(I114/2-K114/1000)*(J114/2-K114/1000)-(J114/2-K114/1000)^2)=0,"",7850/1000*(1/3)*PI()*ABS(G114-H114)*((I114/2)^2+(I114/2)*(J114/2)+(J114/2)^2-(I114/2-K114/1000)^2-(I114/2-K114/1000)*(J114/2-K114/1000)-(J114/2-K114/1000)^2))</f>
        <v/>
      </c>
      <c r="M1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4" s="54" t="str">
        <f>IFERROR(-(WHOLE_STRUCTURE[[#This Row],[D, bottom '[m']]]-WHOLE_STRUCTURE[[#This Row],[D, top '[m']]])/(WHOLE_STRUCTURE[[#This Row],[Bottom '[m']]]-WHOLE_STRUCTURE[[#This Row],[Top '[m']]]),"")</f>
        <v/>
      </c>
      <c r="O114" s="52" t="str">
        <f>IFERROR((WHOLE_STRUCTURE[[#This Row],[D, bottom '[m']]]+WHOLE_STRUCTURE[[#This Row],[D, top '[m']]])/(2*WHOLE_STRUCTURE[[#This Row],[t '[mm']]]/1000),"")</f>
        <v/>
      </c>
      <c r="S114" s="223"/>
      <c r="T114" s="223"/>
      <c r="U114" s="51"/>
      <c r="V114" s="217"/>
      <c r="W114" s="145"/>
      <c r="X114" s="53"/>
      <c r="Y114" s="53"/>
      <c r="Z114" s="51"/>
    </row>
    <row r="115" spans="7:26">
      <c r="G115" s="53"/>
      <c r="H115" s="53"/>
      <c r="I115" s="53"/>
      <c r="J115" s="53"/>
      <c r="K115" s="52"/>
      <c r="L115" s="145" t="str">
        <f t="shared" si="5"/>
        <v/>
      </c>
      <c r="M1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5" s="54" t="str">
        <f>IFERROR(-(WHOLE_STRUCTURE[[#This Row],[D, bottom '[m']]]-WHOLE_STRUCTURE[[#This Row],[D, top '[m']]])/(WHOLE_STRUCTURE[[#This Row],[Bottom '[m']]]-WHOLE_STRUCTURE[[#This Row],[Top '[m']]]),"")</f>
        <v/>
      </c>
      <c r="O115" s="52" t="str">
        <f>IFERROR((WHOLE_STRUCTURE[[#This Row],[D, bottom '[m']]]+WHOLE_STRUCTURE[[#This Row],[D, top '[m']]])/(2*WHOLE_STRUCTURE[[#This Row],[t '[mm']]]/1000),"")</f>
        <v/>
      </c>
      <c r="S115" s="223"/>
      <c r="T115" s="223"/>
      <c r="U115" s="51"/>
      <c r="V115" s="217"/>
      <c r="W115" s="145"/>
      <c r="X115" s="53"/>
      <c r="Y115" s="53"/>
      <c r="Z115" s="51"/>
    </row>
    <row r="116" spans="7:26">
      <c r="G116" s="53"/>
      <c r="H116" s="53"/>
      <c r="I116" s="53"/>
      <c r="J116" s="53"/>
      <c r="K116" s="52"/>
      <c r="L116" s="145" t="str">
        <f t="shared" si="5"/>
        <v/>
      </c>
      <c r="M1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6" s="54" t="str">
        <f>IFERROR(-(WHOLE_STRUCTURE[[#This Row],[D, bottom '[m']]]-WHOLE_STRUCTURE[[#This Row],[D, top '[m']]])/(WHOLE_STRUCTURE[[#This Row],[Bottom '[m']]]-WHOLE_STRUCTURE[[#This Row],[Top '[m']]]),"")</f>
        <v/>
      </c>
      <c r="O116" s="52" t="str">
        <f>IFERROR((WHOLE_STRUCTURE[[#This Row],[D, bottom '[m']]]+WHOLE_STRUCTURE[[#This Row],[D, top '[m']]])/(2*WHOLE_STRUCTURE[[#This Row],[t '[mm']]]/1000),"")</f>
        <v/>
      </c>
      <c r="S116" s="223"/>
      <c r="T116" s="223"/>
      <c r="U116" s="51"/>
      <c r="V116" s="217"/>
      <c r="W116" s="145"/>
      <c r="X116" s="53"/>
      <c r="Y116" s="53"/>
      <c r="Z116" s="51"/>
    </row>
    <row r="117" spans="7:26">
      <c r="G117" s="53"/>
      <c r="H117" s="53"/>
      <c r="I117" s="53"/>
      <c r="J117" s="53"/>
      <c r="K117" s="52"/>
      <c r="L117" s="145" t="str">
        <f t="shared" si="5"/>
        <v/>
      </c>
      <c r="M1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7" s="54" t="str">
        <f>IFERROR(-(WHOLE_STRUCTURE[[#This Row],[D, bottom '[m']]]-WHOLE_STRUCTURE[[#This Row],[D, top '[m']]])/(WHOLE_STRUCTURE[[#This Row],[Bottom '[m']]]-WHOLE_STRUCTURE[[#This Row],[Top '[m']]]),"")</f>
        <v/>
      </c>
      <c r="O117" s="52" t="str">
        <f>IFERROR((WHOLE_STRUCTURE[[#This Row],[D, bottom '[m']]]+WHOLE_STRUCTURE[[#This Row],[D, top '[m']]])/(2*WHOLE_STRUCTURE[[#This Row],[t '[mm']]]/1000),"")</f>
        <v/>
      </c>
      <c r="S117" s="223"/>
      <c r="T117" s="223"/>
      <c r="U117" s="51"/>
      <c r="V117" s="217"/>
      <c r="W117" s="145"/>
      <c r="X117" s="53"/>
      <c r="Y117" s="53"/>
      <c r="Z117" s="51"/>
    </row>
    <row r="118" spans="7:26">
      <c r="G118" s="53"/>
      <c r="H118" s="53"/>
      <c r="I118" s="53"/>
      <c r="J118" s="53"/>
      <c r="K118" s="52"/>
      <c r="L118" s="145" t="str">
        <f t="shared" si="5"/>
        <v/>
      </c>
      <c r="M1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8" s="54" t="str">
        <f>IFERROR(-(WHOLE_STRUCTURE[[#This Row],[D, bottom '[m']]]-WHOLE_STRUCTURE[[#This Row],[D, top '[m']]])/(WHOLE_STRUCTURE[[#This Row],[Bottom '[m']]]-WHOLE_STRUCTURE[[#This Row],[Top '[m']]]),"")</f>
        <v/>
      </c>
      <c r="O118" s="52" t="str">
        <f>IFERROR((WHOLE_STRUCTURE[[#This Row],[D, bottom '[m']]]+WHOLE_STRUCTURE[[#This Row],[D, top '[m']]])/(2*WHOLE_STRUCTURE[[#This Row],[t '[mm']]]/1000),"")</f>
        <v/>
      </c>
      <c r="S118" s="223"/>
      <c r="T118" s="223"/>
      <c r="U118" s="51"/>
      <c r="V118" s="217"/>
      <c r="W118" s="145"/>
      <c r="X118" s="53"/>
      <c r="Y118" s="53"/>
      <c r="Z118" s="51"/>
    </row>
    <row r="119" spans="7:26">
      <c r="G119" s="53"/>
      <c r="H119" s="53"/>
      <c r="I119" s="53"/>
      <c r="J119" s="53"/>
      <c r="K119" s="52"/>
      <c r="L119" s="145" t="str">
        <f t="shared" si="5"/>
        <v/>
      </c>
      <c r="M1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9" s="54" t="str">
        <f>IFERROR(-(WHOLE_STRUCTURE[[#This Row],[D, bottom '[m']]]-WHOLE_STRUCTURE[[#This Row],[D, top '[m']]])/(WHOLE_STRUCTURE[[#This Row],[Bottom '[m']]]-WHOLE_STRUCTURE[[#This Row],[Top '[m']]]),"")</f>
        <v/>
      </c>
      <c r="O119" s="52" t="str">
        <f>IFERROR((WHOLE_STRUCTURE[[#This Row],[D, bottom '[m']]]+WHOLE_STRUCTURE[[#This Row],[D, top '[m']]])/(2*WHOLE_STRUCTURE[[#This Row],[t '[mm']]]/1000),"")</f>
        <v/>
      </c>
      <c r="S119" s="223"/>
      <c r="T119" s="223"/>
      <c r="U119" s="51"/>
      <c r="V119" s="217"/>
      <c r="W119" s="145"/>
      <c r="X119" s="53"/>
      <c r="Y119" s="53"/>
      <c r="Z119" s="51"/>
    </row>
    <row r="120" spans="7:26">
      <c r="G120" s="53"/>
      <c r="H120" s="53"/>
      <c r="I120" s="53"/>
      <c r="J120" s="53"/>
      <c r="K120" s="52"/>
      <c r="L120" s="145" t="str">
        <f t="shared" si="5"/>
        <v/>
      </c>
      <c r="M1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0" s="54" t="str">
        <f>IFERROR(-(WHOLE_STRUCTURE[[#This Row],[D, bottom '[m']]]-WHOLE_STRUCTURE[[#This Row],[D, top '[m']]])/(WHOLE_STRUCTURE[[#This Row],[Bottom '[m']]]-WHOLE_STRUCTURE[[#This Row],[Top '[m']]]),"")</f>
        <v/>
      </c>
      <c r="O120" s="52" t="str">
        <f>IFERROR((WHOLE_STRUCTURE[[#This Row],[D, bottom '[m']]]+WHOLE_STRUCTURE[[#This Row],[D, top '[m']]])/(2*WHOLE_STRUCTURE[[#This Row],[t '[mm']]]/1000),"")</f>
        <v/>
      </c>
      <c r="S120" s="223"/>
      <c r="T120" s="223"/>
      <c r="U120" s="51"/>
      <c r="V120" s="217"/>
      <c r="W120" s="145"/>
      <c r="X120" s="53"/>
      <c r="Y120" s="53"/>
      <c r="Z120" s="51"/>
    </row>
    <row r="121" spans="7:26">
      <c r="G121" s="53"/>
      <c r="H121" s="53"/>
      <c r="I121" s="53"/>
      <c r="J121" s="53"/>
      <c r="K121" s="52"/>
      <c r="L121" s="145" t="str">
        <f t="shared" si="5"/>
        <v/>
      </c>
      <c r="M1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1" s="54" t="str">
        <f>IFERROR(-(WHOLE_STRUCTURE[[#This Row],[D, bottom '[m']]]-WHOLE_STRUCTURE[[#This Row],[D, top '[m']]])/(WHOLE_STRUCTURE[[#This Row],[Bottom '[m']]]-WHOLE_STRUCTURE[[#This Row],[Top '[m']]]),"")</f>
        <v/>
      </c>
      <c r="O121" s="52" t="str">
        <f>IFERROR((WHOLE_STRUCTURE[[#This Row],[D, bottom '[m']]]+WHOLE_STRUCTURE[[#This Row],[D, top '[m']]])/(2*WHOLE_STRUCTURE[[#This Row],[t '[mm']]]/1000),"")</f>
        <v/>
      </c>
      <c r="S121" s="223"/>
      <c r="T121" s="223"/>
      <c r="U121" s="51"/>
      <c r="V121" s="217"/>
      <c r="W121" s="145"/>
      <c r="X121" s="53"/>
      <c r="Y121" s="53"/>
      <c r="Z121" s="51"/>
    </row>
    <row r="122" spans="7:26">
      <c r="G122" s="53"/>
      <c r="H122" s="53"/>
      <c r="I122" s="53"/>
      <c r="J122" s="53"/>
      <c r="K122" s="52"/>
      <c r="L122" s="145" t="str">
        <f t="shared" si="5"/>
        <v/>
      </c>
      <c r="M1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2" s="54" t="str">
        <f>IFERROR(-(WHOLE_STRUCTURE[[#This Row],[D, bottom '[m']]]-WHOLE_STRUCTURE[[#This Row],[D, top '[m']]])/(WHOLE_STRUCTURE[[#This Row],[Bottom '[m']]]-WHOLE_STRUCTURE[[#This Row],[Top '[m']]]),"")</f>
        <v/>
      </c>
      <c r="O122" s="52" t="str">
        <f>IFERROR((WHOLE_STRUCTURE[[#This Row],[D, bottom '[m']]]+WHOLE_STRUCTURE[[#This Row],[D, top '[m']]])/(2*WHOLE_STRUCTURE[[#This Row],[t '[mm']]]/1000),"")</f>
        <v/>
      </c>
      <c r="S122" s="223"/>
      <c r="T122" s="223"/>
      <c r="U122" s="51"/>
      <c r="V122" s="217"/>
      <c r="W122" s="145"/>
      <c r="X122" s="53"/>
      <c r="Y122" s="53"/>
      <c r="Z122" s="51"/>
    </row>
    <row r="123" spans="7:26">
      <c r="G123" s="53"/>
      <c r="H123" s="53"/>
      <c r="I123" s="53"/>
      <c r="J123" s="53"/>
      <c r="K123" s="52"/>
      <c r="L123" s="145" t="str">
        <f t="shared" si="5"/>
        <v/>
      </c>
      <c r="M1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3" s="54" t="str">
        <f>IFERROR(-(WHOLE_STRUCTURE[[#This Row],[D, bottom '[m']]]-WHOLE_STRUCTURE[[#This Row],[D, top '[m']]])/(WHOLE_STRUCTURE[[#This Row],[Bottom '[m']]]-WHOLE_STRUCTURE[[#This Row],[Top '[m']]]),"")</f>
        <v/>
      </c>
      <c r="O123" s="52" t="str">
        <f>IFERROR((WHOLE_STRUCTURE[[#This Row],[D, bottom '[m']]]+WHOLE_STRUCTURE[[#This Row],[D, top '[m']]])/(2*WHOLE_STRUCTURE[[#This Row],[t '[mm']]]/1000),"")</f>
        <v/>
      </c>
      <c r="S123" s="223"/>
      <c r="T123" s="223"/>
      <c r="U123" s="51"/>
      <c r="V123" s="217"/>
      <c r="W123" s="145"/>
      <c r="X123" s="53"/>
      <c r="Y123" s="53"/>
      <c r="Z123" s="51"/>
    </row>
    <row r="124" spans="7:26">
      <c r="G124" s="53"/>
      <c r="H124" s="53"/>
      <c r="I124" s="53"/>
      <c r="J124" s="53"/>
      <c r="K124" s="52"/>
      <c r="L124" s="145"/>
      <c r="O124" s="52"/>
      <c r="S124" s="223"/>
      <c r="T124" s="223"/>
      <c r="U124" s="51"/>
      <c r="V124" s="217"/>
      <c r="W124" s="145"/>
      <c r="X124" s="53"/>
      <c r="Y124" s="53"/>
      <c r="Z124" s="51"/>
    </row>
    <row r="125" spans="7:26">
      <c r="G125" s="53"/>
      <c r="H125" s="53"/>
      <c r="I125" s="53"/>
      <c r="J125" s="53"/>
      <c r="K125" s="52"/>
      <c r="L125" s="145"/>
      <c r="O125" s="52"/>
      <c r="S125" s="223"/>
      <c r="T125" s="223"/>
      <c r="U125" s="51"/>
      <c r="V125" s="217"/>
      <c r="W125" s="145"/>
      <c r="X125" s="53"/>
      <c r="Y125" s="53"/>
      <c r="Z125" s="51"/>
    </row>
    <row r="126" spans="7:26">
      <c r="G126" s="53"/>
      <c r="H126" s="53"/>
      <c r="I126" s="53"/>
      <c r="J126" s="53"/>
      <c r="K126" s="52"/>
      <c r="L126" s="145"/>
      <c r="O126" s="52"/>
      <c r="S126" s="223"/>
      <c r="T126" s="223"/>
      <c r="U126" s="51"/>
      <c r="V126" s="217"/>
      <c r="W126" s="145"/>
      <c r="X126" s="53"/>
      <c r="Y126" s="53"/>
      <c r="Z126" s="51"/>
    </row>
    <row r="127" spans="7:26">
      <c r="G127" s="53"/>
      <c r="H127" s="53"/>
      <c r="I127" s="53"/>
      <c r="J127" s="53"/>
      <c r="K127" s="52"/>
      <c r="L127" s="145"/>
      <c r="O127" s="52"/>
      <c r="S127" s="223"/>
      <c r="T127" s="223"/>
      <c r="U127" s="51"/>
      <c r="V127" s="217"/>
      <c r="W127" s="145"/>
      <c r="X127" s="53"/>
      <c r="Y127" s="53"/>
      <c r="Z127" s="51"/>
    </row>
    <row r="128" spans="7:26">
      <c r="G128" s="53"/>
      <c r="H128" s="53"/>
      <c r="I128" s="53"/>
      <c r="J128" s="53"/>
      <c r="K128" s="52"/>
      <c r="L128" s="145"/>
      <c r="O128" s="52"/>
      <c r="S128" s="223"/>
      <c r="T128" s="223"/>
      <c r="U128" s="51"/>
      <c r="V128" s="217"/>
      <c r="W128" s="145"/>
      <c r="X128" s="53"/>
      <c r="Y128" s="53"/>
      <c r="Z128" s="51"/>
    </row>
    <row r="129" spans="7:26">
      <c r="G129" s="53"/>
      <c r="H129" s="53"/>
      <c r="I129" s="53"/>
      <c r="J129" s="53"/>
      <c r="K129" s="52"/>
      <c r="L129" s="145"/>
      <c r="O129" s="52"/>
      <c r="S129" s="223"/>
      <c r="T129" s="223"/>
      <c r="U129" s="51"/>
      <c r="V129" s="217"/>
      <c r="W129" s="145"/>
      <c r="X129" s="53"/>
      <c r="Y129" s="53"/>
      <c r="Z129" s="51"/>
    </row>
    <row r="130" spans="7:26">
      <c r="G130" s="53"/>
      <c r="H130" s="53"/>
      <c r="I130" s="53"/>
      <c r="J130" s="53"/>
      <c r="K130" s="52"/>
      <c r="L130" s="145"/>
      <c r="O130" s="52"/>
      <c r="S130" s="223"/>
      <c r="T130" s="223"/>
      <c r="U130" s="51"/>
      <c r="V130" s="217"/>
      <c r="W130" s="145"/>
      <c r="X130" s="53"/>
      <c r="Y130" s="53"/>
      <c r="Z130" s="51"/>
    </row>
    <row r="131" spans="7:26">
      <c r="G131" s="53"/>
      <c r="H131" s="53"/>
      <c r="I131" s="53"/>
      <c r="J131" s="53"/>
      <c r="K131" s="52"/>
      <c r="L131" s="145"/>
      <c r="O131" s="52"/>
      <c r="S131" s="223"/>
      <c r="T131" s="223"/>
      <c r="U131" s="51"/>
      <c r="V131" s="217"/>
      <c r="W131" s="145"/>
      <c r="X131" s="53"/>
      <c r="Y131" s="53"/>
      <c r="Z131" s="51"/>
    </row>
    <row r="132" spans="7:26">
      <c r="G132" s="53"/>
      <c r="H132" s="53"/>
      <c r="I132" s="53"/>
      <c r="J132" s="53"/>
      <c r="K132" s="52"/>
      <c r="L132" s="145" t="str">
        <f>IF(7850/1000*(1/3)*PI()*ABS(G132-H132)*((I132/2)^2+(I132/2)*(J132/2)+(J132/2)^2-(I132/2-K132/1000)^2-(I132/2-K132/1000)*(J132/2-K132/1000)-(J132/2-K132/1000)^2)=0,"",7850/1000*(1/3)*PI()*ABS(G132-H132)*((I132/2)^2+(I132/2)*(J132/2)+(J132/2)^2-(I132/2-K132/1000)^2-(I132/2-K132/1000)*(J132/2-K132/1000)-(J132/2-K132/1000)^2))</f>
        <v/>
      </c>
      <c r="M1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2" s="54" t="str">
        <f>IFERROR(-(WHOLE_STRUCTURE[[#This Row],[D, bottom '[m']]]-WHOLE_STRUCTURE[[#This Row],[D, top '[m']]])/(WHOLE_STRUCTURE[[#This Row],[Bottom '[m']]]-WHOLE_STRUCTURE[[#This Row],[Top '[m']]]),"")</f>
        <v/>
      </c>
      <c r="O132" s="52" t="str">
        <f>IFERROR((WHOLE_STRUCTURE[[#This Row],[D, bottom '[m']]]+WHOLE_STRUCTURE[[#This Row],[D, top '[m']]])/(2*WHOLE_STRUCTURE[[#This Row],[t '[mm']]]/1000),"")</f>
        <v/>
      </c>
      <c r="S132" s="223"/>
      <c r="T132" s="223"/>
      <c r="U132" s="51"/>
      <c r="V132" s="217"/>
      <c r="W132" s="145"/>
      <c r="X132" s="53"/>
      <c r="Y132" s="53"/>
      <c r="Z132" s="51"/>
    </row>
    <row r="133" spans="7:26">
      <c r="G133" s="53"/>
      <c r="H133" s="53"/>
      <c r="I133" s="53"/>
      <c r="J133" s="53"/>
      <c r="K133" s="52"/>
      <c r="L133" s="145" t="str">
        <f t="shared" ref="L133:L196" si="6">IF(7850/1000*(1/3)*PI()*ABS(G133-H133)*((I133/2)^2+(I133/2)*(J133/2)+(J133/2)^2-(I133/2-K133/1000)^2-(I133/2-K133/1000)*(J133/2-K133/1000)-(J133/2-K133/1000)^2)=0,"",7850/1000*(1/3)*PI()*ABS(G133-H133)*((I133/2)^2+(I133/2)*(J133/2)+(J133/2)^2-(I133/2-K133/1000)^2-(I133/2-K133/1000)*(J133/2-K133/1000)-(J133/2-K133/1000)^2))</f>
        <v/>
      </c>
      <c r="M1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3" s="54" t="str">
        <f>IFERROR(-(WHOLE_STRUCTURE[[#This Row],[D, bottom '[m']]]-WHOLE_STRUCTURE[[#This Row],[D, top '[m']]])/(WHOLE_STRUCTURE[[#This Row],[Bottom '[m']]]-WHOLE_STRUCTURE[[#This Row],[Top '[m']]]),"")</f>
        <v/>
      </c>
      <c r="O133" s="52" t="str">
        <f>IFERROR((WHOLE_STRUCTURE[[#This Row],[D, bottom '[m']]]+WHOLE_STRUCTURE[[#This Row],[D, top '[m']]])/(2*WHOLE_STRUCTURE[[#This Row],[t '[mm']]]/1000),"")</f>
        <v/>
      </c>
      <c r="S133" s="223"/>
      <c r="T133" s="223"/>
      <c r="U133" s="51"/>
      <c r="V133" s="217"/>
      <c r="W133" s="145"/>
      <c r="X133" s="53"/>
      <c r="Y133" s="53"/>
      <c r="Z133" s="51"/>
    </row>
    <row r="134" spans="7:26">
      <c r="G134" s="53"/>
      <c r="H134" s="53"/>
      <c r="I134" s="53"/>
      <c r="J134" s="53"/>
      <c r="K134" s="52"/>
      <c r="L134" s="145" t="str">
        <f t="shared" si="6"/>
        <v/>
      </c>
      <c r="M1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4" s="54" t="str">
        <f>IFERROR(-(WHOLE_STRUCTURE[[#This Row],[D, bottom '[m']]]-WHOLE_STRUCTURE[[#This Row],[D, top '[m']]])/(WHOLE_STRUCTURE[[#This Row],[Bottom '[m']]]-WHOLE_STRUCTURE[[#This Row],[Top '[m']]]),"")</f>
        <v/>
      </c>
      <c r="O134" s="52" t="str">
        <f>IFERROR((WHOLE_STRUCTURE[[#This Row],[D, bottom '[m']]]+WHOLE_STRUCTURE[[#This Row],[D, top '[m']]])/(2*WHOLE_STRUCTURE[[#This Row],[t '[mm']]]/1000),"")</f>
        <v/>
      </c>
      <c r="S134" s="223"/>
      <c r="T134" s="223"/>
      <c r="U134" s="51"/>
      <c r="V134" s="217"/>
      <c r="W134" s="145"/>
      <c r="X134" s="53"/>
      <c r="Y134" s="53"/>
      <c r="Z134" s="51"/>
    </row>
    <row r="135" spans="7:26">
      <c r="G135" s="53"/>
      <c r="H135" s="53"/>
      <c r="I135" s="53"/>
      <c r="J135" s="53"/>
      <c r="K135" s="52"/>
      <c r="L135" s="145" t="str">
        <f t="shared" si="6"/>
        <v/>
      </c>
      <c r="M1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5" s="54" t="str">
        <f>IFERROR(-(WHOLE_STRUCTURE[[#This Row],[D, bottom '[m']]]-WHOLE_STRUCTURE[[#This Row],[D, top '[m']]])/(WHOLE_STRUCTURE[[#This Row],[Bottom '[m']]]-WHOLE_STRUCTURE[[#This Row],[Top '[m']]]),"")</f>
        <v/>
      </c>
      <c r="O135" s="52" t="str">
        <f>IFERROR((WHOLE_STRUCTURE[[#This Row],[D, bottom '[m']]]+WHOLE_STRUCTURE[[#This Row],[D, top '[m']]])/(2*WHOLE_STRUCTURE[[#This Row],[t '[mm']]]/1000),"")</f>
        <v/>
      </c>
      <c r="S135" s="223"/>
      <c r="T135" s="223"/>
      <c r="U135" s="51"/>
      <c r="V135" s="217"/>
      <c r="W135" s="145"/>
      <c r="X135" s="53"/>
      <c r="Y135" s="53"/>
      <c r="Z135" s="51"/>
    </row>
    <row r="136" spans="7:26">
      <c r="G136" s="53"/>
      <c r="H136" s="53"/>
      <c r="I136" s="53"/>
      <c r="J136" s="53"/>
      <c r="K136" s="52"/>
      <c r="L136" s="145" t="str">
        <f t="shared" si="6"/>
        <v/>
      </c>
      <c r="M1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6" s="54" t="str">
        <f>IFERROR(-(WHOLE_STRUCTURE[[#This Row],[D, bottom '[m']]]-WHOLE_STRUCTURE[[#This Row],[D, top '[m']]])/(WHOLE_STRUCTURE[[#This Row],[Bottom '[m']]]-WHOLE_STRUCTURE[[#This Row],[Top '[m']]]),"")</f>
        <v/>
      </c>
      <c r="O136" s="52" t="str">
        <f>IFERROR((WHOLE_STRUCTURE[[#This Row],[D, bottom '[m']]]+WHOLE_STRUCTURE[[#This Row],[D, top '[m']]])/(2*WHOLE_STRUCTURE[[#This Row],[t '[mm']]]/1000),"")</f>
        <v/>
      </c>
      <c r="S136" s="223"/>
      <c r="T136" s="223"/>
      <c r="V136" s="264"/>
      <c r="W136" s="265"/>
      <c r="X136" s="223"/>
      <c r="Y136" s="223"/>
    </row>
    <row r="137" spans="7:26">
      <c r="G137" s="53"/>
      <c r="H137" s="53"/>
      <c r="I137" s="53"/>
      <c r="J137" s="53"/>
      <c r="K137" s="52"/>
      <c r="L137" s="145" t="str">
        <f t="shared" si="6"/>
        <v/>
      </c>
      <c r="M1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7" s="54" t="str">
        <f>IFERROR(-(WHOLE_STRUCTURE[[#This Row],[D, bottom '[m']]]-WHOLE_STRUCTURE[[#This Row],[D, top '[m']]])/(WHOLE_STRUCTURE[[#This Row],[Bottom '[m']]]-WHOLE_STRUCTURE[[#This Row],[Top '[m']]]),"")</f>
        <v/>
      </c>
      <c r="O137" s="52" t="str">
        <f>IFERROR((WHOLE_STRUCTURE[[#This Row],[D, bottom '[m']]]+WHOLE_STRUCTURE[[#This Row],[D, top '[m']]])/(2*WHOLE_STRUCTURE[[#This Row],[t '[mm']]]/1000),"")</f>
        <v/>
      </c>
      <c r="S137" s="223"/>
      <c r="T137" s="223"/>
      <c r="V137" s="264"/>
      <c r="W137" s="265"/>
      <c r="X137" s="223"/>
      <c r="Y137" s="223"/>
    </row>
    <row r="138" spans="7:26">
      <c r="G138" s="53"/>
      <c r="H138" s="53"/>
      <c r="I138" s="53"/>
      <c r="J138" s="53"/>
      <c r="K138" s="52"/>
      <c r="L138" s="145" t="str">
        <f t="shared" si="6"/>
        <v/>
      </c>
      <c r="M1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8" s="54" t="str">
        <f>IFERROR(-(WHOLE_STRUCTURE[[#This Row],[D, bottom '[m']]]-WHOLE_STRUCTURE[[#This Row],[D, top '[m']]])/(WHOLE_STRUCTURE[[#This Row],[Bottom '[m']]]-WHOLE_STRUCTURE[[#This Row],[Top '[m']]]),"")</f>
        <v/>
      </c>
      <c r="O138" s="52" t="str">
        <f>IFERROR((WHOLE_STRUCTURE[[#This Row],[D, bottom '[m']]]+WHOLE_STRUCTURE[[#This Row],[D, top '[m']]])/(2*WHOLE_STRUCTURE[[#This Row],[t '[mm']]]/1000),"")</f>
        <v/>
      </c>
      <c r="S138" s="223"/>
      <c r="T138" s="223"/>
      <c r="V138" s="264"/>
      <c r="W138" s="265"/>
      <c r="X138" s="223"/>
      <c r="Y138" s="223"/>
    </row>
    <row r="139" spans="7:26">
      <c r="G139" s="53"/>
      <c r="H139" s="53"/>
      <c r="I139" s="53"/>
      <c r="J139" s="53"/>
      <c r="K139" s="52"/>
      <c r="L139" s="145" t="str">
        <f t="shared" si="6"/>
        <v/>
      </c>
      <c r="M1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9" s="54" t="str">
        <f>IFERROR(-(WHOLE_STRUCTURE[[#This Row],[D, bottom '[m']]]-WHOLE_STRUCTURE[[#This Row],[D, top '[m']]])/(WHOLE_STRUCTURE[[#This Row],[Bottom '[m']]]-WHOLE_STRUCTURE[[#This Row],[Top '[m']]]),"")</f>
        <v/>
      </c>
      <c r="O139" s="52" t="str">
        <f>IFERROR((WHOLE_STRUCTURE[[#This Row],[D, bottom '[m']]]+WHOLE_STRUCTURE[[#This Row],[D, top '[m']]])/(2*WHOLE_STRUCTURE[[#This Row],[t '[mm']]]/1000),"")</f>
        <v/>
      </c>
      <c r="S139" s="223"/>
      <c r="T139" s="223"/>
      <c r="V139" s="264"/>
      <c r="W139" s="265"/>
      <c r="X139" s="223"/>
      <c r="Y139" s="223"/>
    </row>
    <row r="140" spans="7:26">
      <c r="G140" s="53"/>
      <c r="H140" s="53"/>
      <c r="I140" s="53"/>
      <c r="J140" s="53"/>
      <c r="K140" s="52"/>
      <c r="L140" s="145" t="str">
        <f t="shared" si="6"/>
        <v/>
      </c>
      <c r="M1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0" s="54" t="str">
        <f>IFERROR(-(WHOLE_STRUCTURE[[#This Row],[D, bottom '[m']]]-WHOLE_STRUCTURE[[#This Row],[D, top '[m']]])/(WHOLE_STRUCTURE[[#This Row],[Bottom '[m']]]-WHOLE_STRUCTURE[[#This Row],[Top '[m']]]),"")</f>
        <v/>
      </c>
      <c r="O140" s="52" t="str">
        <f>IFERROR((WHOLE_STRUCTURE[[#This Row],[D, bottom '[m']]]+WHOLE_STRUCTURE[[#This Row],[D, top '[m']]])/(2*WHOLE_STRUCTURE[[#This Row],[t '[mm']]]/1000),"")</f>
        <v/>
      </c>
      <c r="S140" s="223"/>
      <c r="T140" s="223"/>
      <c r="V140" s="264"/>
      <c r="W140" s="265"/>
      <c r="X140" s="223"/>
      <c r="Y140" s="223"/>
    </row>
    <row r="141" spans="7:26">
      <c r="G141" s="53"/>
      <c r="H141" s="53"/>
      <c r="I141" s="53"/>
      <c r="J141" s="53"/>
      <c r="K141" s="52"/>
      <c r="L141" s="145" t="str">
        <f t="shared" si="6"/>
        <v/>
      </c>
      <c r="M1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1" s="54" t="str">
        <f>IFERROR(-(WHOLE_STRUCTURE[[#This Row],[D, bottom '[m']]]-WHOLE_STRUCTURE[[#This Row],[D, top '[m']]])/(WHOLE_STRUCTURE[[#This Row],[Bottom '[m']]]-WHOLE_STRUCTURE[[#This Row],[Top '[m']]]),"")</f>
        <v/>
      </c>
      <c r="O141" s="52" t="str">
        <f>IFERROR((WHOLE_STRUCTURE[[#This Row],[D, bottom '[m']]]+WHOLE_STRUCTURE[[#This Row],[D, top '[m']]])/(2*WHOLE_STRUCTURE[[#This Row],[t '[mm']]]/1000),"")</f>
        <v/>
      </c>
      <c r="S141" s="223"/>
      <c r="T141" s="223"/>
      <c r="V141" s="264"/>
      <c r="W141" s="265"/>
      <c r="X141" s="223"/>
      <c r="Y141" s="223"/>
    </row>
    <row r="142" spans="7:26">
      <c r="G142" s="53"/>
      <c r="H142" s="53"/>
      <c r="I142" s="53"/>
      <c r="J142" s="53"/>
      <c r="K142" s="52"/>
      <c r="L142" s="145" t="str">
        <f t="shared" si="6"/>
        <v/>
      </c>
      <c r="M1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2" s="54" t="str">
        <f>IFERROR(-(WHOLE_STRUCTURE[[#This Row],[D, bottom '[m']]]-WHOLE_STRUCTURE[[#This Row],[D, top '[m']]])/(WHOLE_STRUCTURE[[#This Row],[Bottom '[m']]]-WHOLE_STRUCTURE[[#This Row],[Top '[m']]]),"")</f>
        <v/>
      </c>
      <c r="O142" s="52" t="str">
        <f>IFERROR((WHOLE_STRUCTURE[[#This Row],[D, bottom '[m']]]+WHOLE_STRUCTURE[[#This Row],[D, top '[m']]])/(2*WHOLE_STRUCTURE[[#This Row],[t '[mm']]]/1000),"")</f>
        <v/>
      </c>
      <c r="S142" s="223"/>
      <c r="T142" s="223"/>
      <c r="V142" s="264"/>
      <c r="W142" s="265"/>
      <c r="X142" s="223"/>
      <c r="Y142" s="223"/>
    </row>
    <row r="143" spans="7:26">
      <c r="G143" s="53"/>
      <c r="H143" s="53"/>
      <c r="I143" s="53"/>
      <c r="J143" s="53"/>
      <c r="K143" s="52"/>
      <c r="L143" s="145" t="str">
        <f t="shared" si="6"/>
        <v/>
      </c>
      <c r="M1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3" s="54" t="str">
        <f>IFERROR(-(WHOLE_STRUCTURE[[#This Row],[D, bottom '[m']]]-WHOLE_STRUCTURE[[#This Row],[D, top '[m']]])/(WHOLE_STRUCTURE[[#This Row],[Bottom '[m']]]-WHOLE_STRUCTURE[[#This Row],[Top '[m']]]),"")</f>
        <v/>
      </c>
      <c r="O143" s="52" t="str">
        <f>IFERROR((WHOLE_STRUCTURE[[#This Row],[D, bottom '[m']]]+WHOLE_STRUCTURE[[#This Row],[D, top '[m']]])/(2*WHOLE_STRUCTURE[[#This Row],[t '[mm']]]/1000),"")</f>
        <v/>
      </c>
      <c r="S143" s="223"/>
      <c r="T143" s="223"/>
      <c r="V143" s="264"/>
      <c r="W143" s="265"/>
      <c r="X143" s="223"/>
      <c r="Y143" s="223"/>
    </row>
    <row r="144" spans="7:26">
      <c r="G144" s="53"/>
      <c r="H144" s="53"/>
      <c r="I144" s="53"/>
      <c r="J144" s="53"/>
      <c r="K144" s="52"/>
      <c r="L144" s="145" t="str">
        <f t="shared" si="6"/>
        <v/>
      </c>
      <c r="M1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4" s="54" t="str">
        <f>IFERROR(-(WHOLE_STRUCTURE[[#This Row],[D, bottom '[m']]]-WHOLE_STRUCTURE[[#This Row],[D, top '[m']]])/(WHOLE_STRUCTURE[[#This Row],[Bottom '[m']]]-WHOLE_STRUCTURE[[#This Row],[Top '[m']]]),"")</f>
        <v/>
      </c>
      <c r="O144" s="52" t="str">
        <f>IFERROR((WHOLE_STRUCTURE[[#This Row],[D, bottom '[m']]]+WHOLE_STRUCTURE[[#This Row],[D, top '[m']]])/(2*WHOLE_STRUCTURE[[#This Row],[t '[mm']]]/1000),"")</f>
        <v/>
      </c>
      <c r="S144" s="223"/>
      <c r="T144" s="223"/>
      <c r="V144" s="264"/>
      <c r="W144" s="265"/>
      <c r="X144" s="223"/>
      <c r="Y144" s="223"/>
    </row>
    <row r="145" spans="7:25">
      <c r="G145" s="53"/>
      <c r="H145" s="53"/>
      <c r="I145" s="53"/>
      <c r="J145" s="53"/>
      <c r="K145" s="52"/>
      <c r="L145" s="145" t="str">
        <f t="shared" si="6"/>
        <v/>
      </c>
      <c r="M1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5" s="54" t="str">
        <f>IFERROR(-(WHOLE_STRUCTURE[[#This Row],[D, bottom '[m']]]-WHOLE_STRUCTURE[[#This Row],[D, top '[m']]])/(WHOLE_STRUCTURE[[#This Row],[Bottom '[m']]]-WHOLE_STRUCTURE[[#This Row],[Top '[m']]]),"")</f>
        <v/>
      </c>
      <c r="O145" s="52" t="str">
        <f>IFERROR((WHOLE_STRUCTURE[[#This Row],[D, bottom '[m']]]+WHOLE_STRUCTURE[[#This Row],[D, top '[m']]])/(2*WHOLE_STRUCTURE[[#This Row],[t '[mm']]]/1000),"")</f>
        <v/>
      </c>
      <c r="S145" s="223"/>
      <c r="T145" s="223"/>
      <c r="V145" s="264"/>
      <c r="W145" s="265"/>
      <c r="X145" s="223"/>
      <c r="Y145" s="223"/>
    </row>
    <row r="146" spans="7:25">
      <c r="G146" s="53"/>
      <c r="H146" s="53"/>
      <c r="I146" s="53"/>
      <c r="J146" s="53"/>
      <c r="K146" s="52"/>
      <c r="L146" s="145" t="str">
        <f t="shared" si="6"/>
        <v/>
      </c>
      <c r="M1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6" s="54" t="str">
        <f>IFERROR(-(WHOLE_STRUCTURE[[#This Row],[D, bottom '[m']]]-WHOLE_STRUCTURE[[#This Row],[D, top '[m']]])/(WHOLE_STRUCTURE[[#This Row],[Bottom '[m']]]-WHOLE_STRUCTURE[[#This Row],[Top '[m']]]),"")</f>
        <v/>
      </c>
      <c r="O146" s="52" t="str">
        <f>IFERROR((WHOLE_STRUCTURE[[#This Row],[D, bottom '[m']]]+WHOLE_STRUCTURE[[#This Row],[D, top '[m']]])/(2*WHOLE_STRUCTURE[[#This Row],[t '[mm']]]/1000),"")</f>
        <v/>
      </c>
      <c r="S146" s="223"/>
      <c r="T146" s="223"/>
      <c r="V146" s="264"/>
      <c r="W146" s="265"/>
      <c r="X146" s="223"/>
      <c r="Y146" s="223"/>
    </row>
    <row r="147" spans="7:25">
      <c r="G147" s="53"/>
      <c r="H147" s="53"/>
      <c r="I147" s="53"/>
      <c r="J147" s="53"/>
      <c r="K147" s="52"/>
      <c r="L147" s="145" t="str">
        <f t="shared" si="6"/>
        <v/>
      </c>
      <c r="M1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7" s="54" t="str">
        <f>IFERROR(-(WHOLE_STRUCTURE[[#This Row],[D, bottom '[m']]]-WHOLE_STRUCTURE[[#This Row],[D, top '[m']]])/(WHOLE_STRUCTURE[[#This Row],[Bottom '[m']]]-WHOLE_STRUCTURE[[#This Row],[Top '[m']]]),"")</f>
        <v/>
      </c>
      <c r="O147" s="52" t="str">
        <f>IFERROR((WHOLE_STRUCTURE[[#This Row],[D, bottom '[m']]]+WHOLE_STRUCTURE[[#This Row],[D, top '[m']]])/(2*WHOLE_STRUCTURE[[#This Row],[t '[mm']]]/1000),"")</f>
        <v/>
      </c>
      <c r="S147" s="223"/>
      <c r="T147" s="223"/>
      <c r="V147" s="264"/>
      <c r="W147" s="265"/>
      <c r="X147" s="223"/>
      <c r="Y147" s="223"/>
    </row>
    <row r="148" spans="7:25">
      <c r="G148" s="53"/>
      <c r="H148" s="53"/>
      <c r="I148" s="53"/>
      <c r="J148" s="53"/>
      <c r="K148" s="52"/>
      <c r="L148" s="145" t="str">
        <f t="shared" si="6"/>
        <v/>
      </c>
      <c r="M1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8" s="54" t="str">
        <f>IFERROR(-(WHOLE_STRUCTURE[[#This Row],[D, bottom '[m']]]-WHOLE_STRUCTURE[[#This Row],[D, top '[m']]])/(WHOLE_STRUCTURE[[#This Row],[Bottom '[m']]]-WHOLE_STRUCTURE[[#This Row],[Top '[m']]]),"")</f>
        <v/>
      </c>
      <c r="O148" s="52" t="str">
        <f>IFERROR((WHOLE_STRUCTURE[[#This Row],[D, bottom '[m']]]+WHOLE_STRUCTURE[[#This Row],[D, top '[m']]])/(2*WHOLE_STRUCTURE[[#This Row],[t '[mm']]]/1000),"")</f>
        <v/>
      </c>
      <c r="S148" s="223"/>
      <c r="T148" s="223"/>
      <c r="V148" s="264"/>
      <c r="W148" s="265"/>
      <c r="X148" s="223"/>
      <c r="Y148" s="223"/>
    </row>
    <row r="149" spans="7:25">
      <c r="G149" s="53"/>
      <c r="H149" s="53"/>
      <c r="I149" s="53"/>
      <c r="J149" s="53"/>
      <c r="K149" s="52"/>
      <c r="L149" s="145" t="str">
        <f t="shared" si="6"/>
        <v/>
      </c>
      <c r="M1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9" s="54" t="str">
        <f>IFERROR(-(WHOLE_STRUCTURE[[#This Row],[D, bottom '[m']]]-WHOLE_STRUCTURE[[#This Row],[D, top '[m']]])/(WHOLE_STRUCTURE[[#This Row],[Bottom '[m']]]-WHOLE_STRUCTURE[[#This Row],[Top '[m']]]),"")</f>
        <v/>
      </c>
      <c r="O149" s="52" t="str">
        <f>IFERROR((WHOLE_STRUCTURE[[#This Row],[D, bottom '[m']]]+WHOLE_STRUCTURE[[#This Row],[D, top '[m']]])/(2*WHOLE_STRUCTURE[[#This Row],[t '[mm']]]/1000),"")</f>
        <v/>
      </c>
      <c r="S149" s="223"/>
      <c r="T149" s="223"/>
      <c r="V149" s="264"/>
      <c r="W149" s="265"/>
      <c r="X149" s="223"/>
      <c r="Y149" s="223"/>
    </row>
    <row r="150" spans="7:25">
      <c r="G150" s="53"/>
      <c r="H150" s="53"/>
      <c r="I150" s="53"/>
      <c r="J150" s="53"/>
      <c r="K150" s="52"/>
      <c r="L150" s="145" t="str">
        <f t="shared" si="6"/>
        <v/>
      </c>
      <c r="M1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0" s="54" t="str">
        <f>IFERROR(-(WHOLE_STRUCTURE[[#This Row],[D, bottom '[m']]]-WHOLE_STRUCTURE[[#This Row],[D, top '[m']]])/(WHOLE_STRUCTURE[[#This Row],[Bottom '[m']]]-WHOLE_STRUCTURE[[#This Row],[Top '[m']]]),"")</f>
        <v/>
      </c>
      <c r="O150" s="52" t="str">
        <f>IFERROR((WHOLE_STRUCTURE[[#This Row],[D, bottom '[m']]]+WHOLE_STRUCTURE[[#This Row],[D, top '[m']]])/(2*WHOLE_STRUCTURE[[#This Row],[t '[mm']]]/1000),"")</f>
        <v/>
      </c>
      <c r="S150" s="223"/>
      <c r="T150" s="223"/>
      <c r="V150" s="264"/>
      <c r="W150" s="265"/>
      <c r="X150" s="223"/>
      <c r="Y150" s="223"/>
    </row>
    <row r="151" spans="7:25">
      <c r="G151" s="53"/>
      <c r="H151" s="53"/>
      <c r="I151" s="53"/>
      <c r="J151" s="53"/>
      <c r="K151" s="52"/>
      <c r="L151" s="145" t="str">
        <f t="shared" si="6"/>
        <v/>
      </c>
      <c r="M1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1" s="54" t="str">
        <f>IFERROR(-(WHOLE_STRUCTURE[[#This Row],[D, bottom '[m']]]-WHOLE_STRUCTURE[[#This Row],[D, top '[m']]])/(WHOLE_STRUCTURE[[#This Row],[Bottom '[m']]]-WHOLE_STRUCTURE[[#This Row],[Top '[m']]]),"")</f>
        <v/>
      </c>
      <c r="O151" s="52" t="str">
        <f>IFERROR((WHOLE_STRUCTURE[[#This Row],[D, bottom '[m']]]+WHOLE_STRUCTURE[[#This Row],[D, top '[m']]])/(2*WHOLE_STRUCTURE[[#This Row],[t '[mm']]]/1000),"")</f>
        <v/>
      </c>
      <c r="S151" s="223"/>
      <c r="T151" s="223"/>
      <c r="V151" s="264"/>
      <c r="W151" s="265"/>
      <c r="X151" s="223"/>
      <c r="Y151" s="223"/>
    </row>
    <row r="152" spans="7:25">
      <c r="G152" s="53"/>
      <c r="H152" s="53"/>
      <c r="I152" s="53"/>
      <c r="J152" s="53"/>
      <c r="K152" s="52"/>
      <c r="L152" s="145" t="str">
        <f t="shared" si="6"/>
        <v/>
      </c>
      <c r="M1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2" s="54" t="str">
        <f>IFERROR(-(WHOLE_STRUCTURE[[#This Row],[D, bottom '[m']]]-WHOLE_STRUCTURE[[#This Row],[D, top '[m']]])/(WHOLE_STRUCTURE[[#This Row],[Bottom '[m']]]-WHOLE_STRUCTURE[[#This Row],[Top '[m']]]),"")</f>
        <v/>
      </c>
      <c r="O152" s="52" t="str">
        <f>IFERROR((WHOLE_STRUCTURE[[#This Row],[D, bottom '[m']]]+WHOLE_STRUCTURE[[#This Row],[D, top '[m']]])/(2*WHOLE_STRUCTURE[[#This Row],[t '[mm']]]/1000),"")</f>
        <v/>
      </c>
      <c r="S152" s="223"/>
      <c r="T152" s="223"/>
      <c r="V152" s="264"/>
      <c r="W152" s="265"/>
      <c r="X152" s="223"/>
      <c r="Y152" s="223"/>
    </row>
    <row r="153" spans="7:25">
      <c r="G153" s="53"/>
      <c r="H153" s="53"/>
      <c r="I153" s="53"/>
      <c r="J153" s="53"/>
      <c r="K153" s="52"/>
      <c r="L153" s="145" t="str">
        <f t="shared" si="6"/>
        <v/>
      </c>
      <c r="M1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3" s="54" t="str">
        <f>IFERROR(-(WHOLE_STRUCTURE[[#This Row],[D, bottom '[m']]]-WHOLE_STRUCTURE[[#This Row],[D, top '[m']]])/(WHOLE_STRUCTURE[[#This Row],[Bottom '[m']]]-WHOLE_STRUCTURE[[#This Row],[Top '[m']]]),"")</f>
        <v/>
      </c>
      <c r="O153" s="52" t="str">
        <f>IFERROR((WHOLE_STRUCTURE[[#This Row],[D, bottom '[m']]]+WHOLE_STRUCTURE[[#This Row],[D, top '[m']]])/(2*WHOLE_STRUCTURE[[#This Row],[t '[mm']]]/1000),"")</f>
        <v/>
      </c>
      <c r="S153" s="223"/>
      <c r="T153" s="223"/>
      <c r="V153" s="264"/>
      <c r="W153" s="265"/>
      <c r="X153" s="223"/>
      <c r="Y153" s="223"/>
    </row>
    <row r="154" spans="7:25">
      <c r="G154" s="53"/>
      <c r="H154" s="53"/>
      <c r="I154" s="53"/>
      <c r="J154" s="53"/>
      <c r="K154" s="52"/>
      <c r="L154" s="145" t="str">
        <f t="shared" si="6"/>
        <v/>
      </c>
      <c r="M1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4" s="54" t="str">
        <f>IFERROR(-(WHOLE_STRUCTURE[[#This Row],[D, bottom '[m']]]-WHOLE_STRUCTURE[[#This Row],[D, top '[m']]])/(WHOLE_STRUCTURE[[#This Row],[Bottom '[m']]]-WHOLE_STRUCTURE[[#This Row],[Top '[m']]]),"")</f>
        <v/>
      </c>
      <c r="O154" s="52" t="str">
        <f>IFERROR((WHOLE_STRUCTURE[[#This Row],[D, bottom '[m']]]+WHOLE_STRUCTURE[[#This Row],[D, top '[m']]])/(2*WHOLE_STRUCTURE[[#This Row],[t '[mm']]]/1000),"")</f>
        <v/>
      </c>
      <c r="S154" s="223"/>
      <c r="T154" s="223"/>
      <c r="V154" s="264"/>
      <c r="W154" s="265"/>
      <c r="X154" s="223"/>
      <c r="Y154" s="223"/>
    </row>
    <row r="155" spans="7:25">
      <c r="G155" s="53"/>
      <c r="H155" s="53"/>
      <c r="I155" s="53"/>
      <c r="J155" s="53"/>
      <c r="K155" s="52"/>
      <c r="L155" s="145" t="str">
        <f t="shared" si="6"/>
        <v/>
      </c>
      <c r="M1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5" s="54" t="str">
        <f>IFERROR(-(WHOLE_STRUCTURE[[#This Row],[D, bottom '[m']]]-WHOLE_STRUCTURE[[#This Row],[D, top '[m']]])/(WHOLE_STRUCTURE[[#This Row],[Bottom '[m']]]-WHOLE_STRUCTURE[[#This Row],[Top '[m']]]),"")</f>
        <v/>
      </c>
      <c r="O155" s="52" t="str">
        <f>IFERROR((WHOLE_STRUCTURE[[#This Row],[D, bottom '[m']]]+WHOLE_STRUCTURE[[#This Row],[D, top '[m']]])/(2*WHOLE_STRUCTURE[[#This Row],[t '[mm']]]/1000),"")</f>
        <v/>
      </c>
      <c r="S155" s="223"/>
      <c r="T155" s="223"/>
      <c r="V155" s="264"/>
      <c r="W155" s="265"/>
      <c r="X155" s="223"/>
      <c r="Y155" s="223"/>
    </row>
    <row r="156" spans="7:25">
      <c r="G156" s="53"/>
      <c r="H156" s="53"/>
      <c r="I156" s="53"/>
      <c r="J156" s="53"/>
      <c r="K156" s="52"/>
      <c r="L156" s="145" t="str">
        <f t="shared" si="6"/>
        <v/>
      </c>
      <c r="M1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6" s="54" t="str">
        <f>IFERROR(-(WHOLE_STRUCTURE[[#This Row],[D, bottom '[m']]]-WHOLE_STRUCTURE[[#This Row],[D, top '[m']]])/(WHOLE_STRUCTURE[[#This Row],[Bottom '[m']]]-WHOLE_STRUCTURE[[#This Row],[Top '[m']]]),"")</f>
        <v/>
      </c>
      <c r="O156" s="52" t="str">
        <f>IFERROR((WHOLE_STRUCTURE[[#This Row],[D, bottom '[m']]]+WHOLE_STRUCTURE[[#This Row],[D, top '[m']]])/(2*WHOLE_STRUCTURE[[#This Row],[t '[mm']]]/1000),"")</f>
        <v/>
      </c>
      <c r="S156" s="223"/>
      <c r="T156" s="223"/>
      <c r="V156" s="264"/>
      <c r="W156" s="265"/>
      <c r="X156" s="223"/>
      <c r="Y156" s="223"/>
    </row>
    <row r="157" spans="7:25">
      <c r="G157" s="53"/>
      <c r="H157" s="53"/>
      <c r="I157" s="53"/>
      <c r="J157" s="53"/>
      <c r="K157" s="52"/>
      <c r="L157" s="145" t="str">
        <f t="shared" si="6"/>
        <v/>
      </c>
      <c r="M1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7" s="54" t="str">
        <f>IFERROR(-(WHOLE_STRUCTURE[[#This Row],[D, bottom '[m']]]-WHOLE_STRUCTURE[[#This Row],[D, top '[m']]])/(WHOLE_STRUCTURE[[#This Row],[Bottom '[m']]]-WHOLE_STRUCTURE[[#This Row],[Top '[m']]]),"")</f>
        <v/>
      </c>
      <c r="O157" s="52" t="str">
        <f>IFERROR((WHOLE_STRUCTURE[[#This Row],[D, bottom '[m']]]+WHOLE_STRUCTURE[[#This Row],[D, top '[m']]])/(2*WHOLE_STRUCTURE[[#This Row],[t '[mm']]]/1000),"")</f>
        <v/>
      </c>
      <c r="S157" s="223"/>
      <c r="T157" s="223"/>
      <c r="V157" s="264"/>
      <c r="W157" s="265"/>
      <c r="X157" s="223"/>
      <c r="Y157" s="223"/>
    </row>
    <row r="158" spans="7:25">
      <c r="G158" s="53"/>
      <c r="H158" s="53"/>
      <c r="I158" s="53"/>
      <c r="J158" s="53"/>
      <c r="K158" s="52"/>
      <c r="L158" s="145" t="str">
        <f t="shared" si="6"/>
        <v/>
      </c>
      <c r="M1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8" s="54" t="str">
        <f>IFERROR(-(WHOLE_STRUCTURE[[#This Row],[D, bottom '[m']]]-WHOLE_STRUCTURE[[#This Row],[D, top '[m']]])/(WHOLE_STRUCTURE[[#This Row],[Bottom '[m']]]-WHOLE_STRUCTURE[[#This Row],[Top '[m']]]),"")</f>
        <v/>
      </c>
      <c r="O158" s="52" t="str">
        <f>IFERROR((WHOLE_STRUCTURE[[#This Row],[D, bottom '[m']]]+WHOLE_STRUCTURE[[#This Row],[D, top '[m']]])/(2*WHOLE_STRUCTURE[[#This Row],[t '[mm']]]/1000),"")</f>
        <v/>
      </c>
      <c r="S158" s="223"/>
      <c r="T158" s="223"/>
      <c r="V158" s="264"/>
      <c r="W158" s="265"/>
      <c r="X158" s="223"/>
      <c r="Y158" s="223"/>
    </row>
    <row r="159" spans="7:25">
      <c r="G159" s="53"/>
      <c r="H159" s="53"/>
      <c r="I159" s="53"/>
      <c r="J159" s="53"/>
      <c r="K159" s="52"/>
      <c r="L159" s="145" t="str">
        <f t="shared" si="6"/>
        <v/>
      </c>
      <c r="M1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9" s="54" t="str">
        <f>IFERROR(-(WHOLE_STRUCTURE[[#This Row],[D, bottom '[m']]]-WHOLE_STRUCTURE[[#This Row],[D, top '[m']]])/(WHOLE_STRUCTURE[[#This Row],[Bottom '[m']]]-WHOLE_STRUCTURE[[#This Row],[Top '[m']]]),"")</f>
        <v/>
      </c>
      <c r="O159" s="52" t="str">
        <f>IFERROR((WHOLE_STRUCTURE[[#This Row],[D, bottom '[m']]]+WHOLE_STRUCTURE[[#This Row],[D, top '[m']]])/(2*WHOLE_STRUCTURE[[#This Row],[t '[mm']]]/1000),"")</f>
        <v/>
      </c>
      <c r="S159" s="223"/>
      <c r="T159" s="223"/>
      <c r="V159" s="264"/>
      <c r="W159" s="265"/>
      <c r="X159" s="223"/>
      <c r="Y159" s="223"/>
    </row>
    <row r="160" spans="7:25">
      <c r="G160" s="53"/>
      <c r="H160" s="53"/>
      <c r="I160" s="53"/>
      <c r="J160" s="53"/>
      <c r="K160" s="52"/>
      <c r="L160" s="145" t="str">
        <f t="shared" si="6"/>
        <v/>
      </c>
      <c r="M1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0" s="54" t="str">
        <f>IFERROR(-(WHOLE_STRUCTURE[[#This Row],[D, bottom '[m']]]-WHOLE_STRUCTURE[[#This Row],[D, top '[m']]])/(WHOLE_STRUCTURE[[#This Row],[Bottom '[m']]]-WHOLE_STRUCTURE[[#This Row],[Top '[m']]]),"")</f>
        <v/>
      </c>
      <c r="O160" s="52" t="str">
        <f>IFERROR((WHOLE_STRUCTURE[[#This Row],[D, bottom '[m']]]+WHOLE_STRUCTURE[[#This Row],[D, top '[m']]])/(2*WHOLE_STRUCTURE[[#This Row],[t '[mm']]]/1000),"")</f>
        <v/>
      </c>
      <c r="S160" s="223"/>
      <c r="T160" s="223"/>
      <c r="V160" s="264"/>
      <c r="W160" s="265"/>
      <c r="X160" s="223"/>
      <c r="Y160" s="223"/>
    </row>
    <row r="161" spans="7:25">
      <c r="G161" s="53"/>
      <c r="H161" s="53"/>
      <c r="I161" s="53"/>
      <c r="J161" s="53"/>
      <c r="K161" s="52"/>
      <c r="L161" s="145" t="str">
        <f t="shared" si="6"/>
        <v/>
      </c>
      <c r="M1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1" s="54" t="str">
        <f>IFERROR(-(WHOLE_STRUCTURE[[#This Row],[D, bottom '[m']]]-WHOLE_STRUCTURE[[#This Row],[D, top '[m']]])/(WHOLE_STRUCTURE[[#This Row],[Bottom '[m']]]-WHOLE_STRUCTURE[[#This Row],[Top '[m']]]),"")</f>
        <v/>
      </c>
      <c r="O161" s="52" t="str">
        <f>IFERROR((WHOLE_STRUCTURE[[#This Row],[D, bottom '[m']]]+WHOLE_STRUCTURE[[#This Row],[D, top '[m']]])/(2*WHOLE_STRUCTURE[[#This Row],[t '[mm']]]/1000),"")</f>
        <v/>
      </c>
      <c r="S161" s="223"/>
      <c r="T161" s="223"/>
      <c r="V161" s="264"/>
      <c r="W161" s="265"/>
      <c r="X161" s="223"/>
      <c r="Y161" s="223"/>
    </row>
    <row r="162" spans="7:25">
      <c r="G162" s="53"/>
      <c r="H162" s="53"/>
      <c r="I162" s="53"/>
      <c r="J162" s="53"/>
      <c r="K162" s="52"/>
      <c r="L162" s="145" t="str">
        <f t="shared" si="6"/>
        <v/>
      </c>
      <c r="M1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2" s="54" t="str">
        <f>IFERROR(-(WHOLE_STRUCTURE[[#This Row],[D, bottom '[m']]]-WHOLE_STRUCTURE[[#This Row],[D, top '[m']]])/(WHOLE_STRUCTURE[[#This Row],[Bottom '[m']]]-WHOLE_STRUCTURE[[#This Row],[Top '[m']]]),"")</f>
        <v/>
      </c>
      <c r="O162" s="52" t="str">
        <f>IFERROR((WHOLE_STRUCTURE[[#This Row],[D, bottom '[m']]]+WHOLE_STRUCTURE[[#This Row],[D, top '[m']]])/(2*WHOLE_STRUCTURE[[#This Row],[t '[mm']]]/1000),"")</f>
        <v/>
      </c>
      <c r="S162" s="223"/>
      <c r="T162" s="223"/>
      <c r="V162" s="264"/>
      <c r="W162" s="265"/>
      <c r="X162" s="223"/>
      <c r="Y162" s="223"/>
    </row>
    <row r="163" spans="7:25">
      <c r="G163" s="53"/>
      <c r="H163" s="53"/>
      <c r="I163" s="53"/>
      <c r="J163" s="53"/>
      <c r="K163" s="52"/>
      <c r="L163" s="145" t="str">
        <f t="shared" si="6"/>
        <v/>
      </c>
      <c r="M1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3" s="54" t="str">
        <f>IFERROR(-(WHOLE_STRUCTURE[[#This Row],[D, bottom '[m']]]-WHOLE_STRUCTURE[[#This Row],[D, top '[m']]])/(WHOLE_STRUCTURE[[#This Row],[Bottom '[m']]]-WHOLE_STRUCTURE[[#This Row],[Top '[m']]]),"")</f>
        <v/>
      </c>
      <c r="O163" s="52" t="str">
        <f>IFERROR((WHOLE_STRUCTURE[[#This Row],[D, bottom '[m']]]+WHOLE_STRUCTURE[[#This Row],[D, top '[m']]])/(2*WHOLE_STRUCTURE[[#This Row],[t '[mm']]]/1000),"")</f>
        <v/>
      </c>
      <c r="S163" s="223"/>
      <c r="T163" s="223"/>
      <c r="V163" s="264"/>
      <c r="W163" s="265"/>
      <c r="X163" s="223"/>
      <c r="Y163" s="223"/>
    </row>
    <row r="164" spans="7:25">
      <c r="G164" s="53"/>
      <c r="H164" s="53"/>
      <c r="I164" s="53"/>
      <c r="J164" s="53"/>
      <c r="K164" s="52"/>
      <c r="L164" s="145" t="str">
        <f t="shared" si="6"/>
        <v/>
      </c>
      <c r="M1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4" s="54" t="str">
        <f>IFERROR(-(WHOLE_STRUCTURE[[#This Row],[D, bottom '[m']]]-WHOLE_STRUCTURE[[#This Row],[D, top '[m']]])/(WHOLE_STRUCTURE[[#This Row],[Bottom '[m']]]-WHOLE_STRUCTURE[[#This Row],[Top '[m']]]),"")</f>
        <v/>
      </c>
      <c r="O164" s="52" t="str">
        <f>IFERROR((WHOLE_STRUCTURE[[#This Row],[D, bottom '[m']]]+WHOLE_STRUCTURE[[#This Row],[D, top '[m']]])/(2*WHOLE_STRUCTURE[[#This Row],[t '[mm']]]/1000),"")</f>
        <v/>
      </c>
      <c r="S164" s="223"/>
      <c r="T164" s="223"/>
      <c r="V164" s="264"/>
      <c r="W164" s="265"/>
      <c r="X164" s="223"/>
      <c r="Y164" s="223"/>
    </row>
    <row r="165" spans="7:25">
      <c r="G165" s="53"/>
      <c r="H165" s="53"/>
      <c r="I165" s="53"/>
      <c r="J165" s="53"/>
      <c r="K165" s="52"/>
      <c r="L165" s="145" t="str">
        <f t="shared" si="6"/>
        <v/>
      </c>
      <c r="M1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5" s="54" t="str">
        <f>IFERROR(-(WHOLE_STRUCTURE[[#This Row],[D, bottom '[m']]]-WHOLE_STRUCTURE[[#This Row],[D, top '[m']]])/(WHOLE_STRUCTURE[[#This Row],[Bottom '[m']]]-WHOLE_STRUCTURE[[#This Row],[Top '[m']]]),"")</f>
        <v/>
      </c>
      <c r="O165" s="52" t="str">
        <f>IFERROR((WHOLE_STRUCTURE[[#This Row],[D, bottom '[m']]]+WHOLE_STRUCTURE[[#This Row],[D, top '[m']]])/(2*WHOLE_STRUCTURE[[#This Row],[t '[mm']]]/1000),"")</f>
        <v/>
      </c>
      <c r="S165" s="223"/>
      <c r="T165" s="223"/>
      <c r="V165" s="264"/>
      <c r="W165" s="265"/>
      <c r="X165" s="223"/>
      <c r="Y165" s="223"/>
    </row>
    <row r="166" spans="7:25">
      <c r="G166" s="53"/>
      <c r="H166" s="53"/>
      <c r="I166" s="53"/>
      <c r="J166" s="53"/>
      <c r="K166" s="52"/>
      <c r="L166" s="145" t="str">
        <f t="shared" si="6"/>
        <v/>
      </c>
      <c r="M1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6" s="54" t="str">
        <f>IFERROR(-(WHOLE_STRUCTURE[[#This Row],[D, bottom '[m']]]-WHOLE_STRUCTURE[[#This Row],[D, top '[m']]])/(WHOLE_STRUCTURE[[#This Row],[Bottom '[m']]]-WHOLE_STRUCTURE[[#This Row],[Top '[m']]]),"")</f>
        <v/>
      </c>
      <c r="O166" s="52" t="str">
        <f>IFERROR((WHOLE_STRUCTURE[[#This Row],[D, bottom '[m']]]+WHOLE_STRUCTURE[[#This Row],[D, top '[m']]])/(2*WHOLE_STRUCTURE[[#This Row],[t '[mm']]]/1000),"")</f>
        <v/>
      </c>
      <c r="S166" s="223"/>
      <c r="T166" s="223"/>
      <c r="V166" s="264"/>
      <c r="W166" s="265"/>
      <c r="X166" s="223"/>
      <c r="Y166" s="223"/>
    </row>
    <row r="167" spans="7:25">
      <c r="G167" s="53"/>
      <c r="H167" s="53"/>
      <c r="I167" s="53"/>
      <c r="J167" s="53"/>
      <c r="K167" s="52"/>
      <c r="L167" s="145" t="str">
        <f t="shared" si="6"/>
        <v/>
      </c>
      <c r="M1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7" s="54" t="str">
        <f>IFERROR(-(WHOLE_STRUCTURE[[#This Row],[D, bottom '[m']]]-WHOLE_STRUCTURE[[#This Row],[D, top '[m']]])/(WHOLE_STRUCTURE[[#This Row],[Bottom '[m']]]-WHOLE_STRUCTURE[[#This Row],[Top '[m']]]),"")</f>
        <v/>
      </c>
      <c r="O167" s="52" t="str">
        <f>IFERROR((WHOLE_STRUCTURE[[#This Row],[D, bottom '[m']]]+WHOLE_STRUCTURE[[#This Row],[D, top '[m']]])/(2*WHOLE_STRUCTURE[[#This Row],[t '[mm']]]/1000),"")</f>
        <v/>
      </c>
      <c r="S167" s="223"/>
      <c r="T167" s="223"/>
      <c r="V167" s="264"/>
      <c r="W167" s="265"/>
      <c r="X167" s="223"/>
      <c r="Y167" s="223"/>
    </row>
    <row r="168" spans="7:25">
      <c r="G168" s="53"/>
      <c r="H168" s="53"/>
      <c r="I168" s="53"/>
      <c r="J168" s="53"/>
      <c r="K168" s="52"/>
      <c r="L168" s="145" t="str">
        <f t="shared" si="6"/>
        <v/>
      </c>
      <c r="M1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8" s="54" t="str">
        <f>IFERROR(-(WHOLE_STRUCTURE[[#This Row],[D, bottom '[m']]]-WHOLE_STRUCTURE[[#This Row],[D, top '[m']]])/(WHOLE_STRUCTURE[[#This Row],[Bottom '[m']]]-WHOLE_STRUCTURE[[#This Row],[Top '[m']]]),"")</f>
        <v/>
      </c>
      <c r="O168" s="52" t="str">
        <f>IFERROR((WHOLE_STRUCTURE[[#This Row],[D, bottom '[m']]]+WHOLE_STRUCTURE[[#This Row],[D, top '[m']]])/(2*WHOLE_STRUCTURE[[#This Row],[t '[mm']]]/1000),"")</f>
        <v/>
      </c>
      <c r="S168" s="223"/>
      <c r="T168" s="223"/>
      <c r="V168" s="264"/>
      <c r="W168" s="265"/>
      <c r="X168" s="223"/>
      <c r="Y168" s="223"/>
    </row>
    <row r="169" spans="7:25">
      <c r="G169" s="53"/>
      <c r="H169" s="53"/>
      <c r="I169" s="53"/>
      <c r="J169" s="53"/>
      <c r="K169" s="52"/>
      <c r="L169" s="145" t="str">
        <f t="shared" si="6"/>
        <v/>
      </c>
      <c r="M1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9" s="54" t="str">
        <f>IFERROR(-(WHOLE_STRUCTURE[[#This Row],[D, bottom '[m']]]-WHOLE_STRUCTURE[[#This Row],[D, top '[m']]])/(WHOLE_STRUCTURE[[#This Row],[Bottom '[m']]]-WHOLE_STRUCTURE[[#This Row],[Top '[m']]]),"")</f>
        <v/>
      </c>
      <c r="O169" s="52" t="str">
        <f>IFERROR((WHOLE_STRUCTURE[[#This Row],[D, bottom '[m']]]+WHOLE_STRUCTURE[[#This Row],[D, top '[m']]])/(2*WHOLE_STRUCTURE[[#This Row],[t '[mm']]]/1000),"")</f>
        <v/>
      </c>
      <c r="S169" s="223"/>
      <c r="T169" s="223"/>
      <c r="V169" s="264"/>
      <c r="W169" s="265"/>
      <c r="X169" s="223"/>
      <c r="Y169" s="223"/>
    </row>
    <row r="170" spans="7:25">
      <c r="G170" s="53"/>
      <c r="H170" s="53"/>
      <c r="I170" s="53"/>
      <c r="J170" s="53"/>
      <c r="K170" s="52"/>
      <c r="L170" s="145" t="str">
        <f t="shared" si="6"/>
        <v/>
      </c>
      <c r="M1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0" s="54" t="str">
        <f>IFERROR(-(WHOLE_STRUCTURE[[#This Row],[D, bottom '[m']]]-WHOLE_STRUCTURE[[#This Row],[D, top '[m']]])/(WHOLE_STRUCTURE[[#This Row],[Bottom '[m']]]-WHOLE_STRUCTURE[[#This Row],[Top '[m']]]),"")</f>
        <v/>
      </c>
      <c r="O170" s="52" t="str">
        <f>IFERROR((WHOLE_STRUCTURE[[#This Row],[D, bottom '[m']]]+WHOLE_STRUCTURE[[#This Row],[D, top '[m']]])/(2*WHOLE_STRUCTURE[[#This Row],[t '[mm']]]/1000),"")</f>
        <v/>
      </c>
      <c r="S170" s="223"/>
      <c r="T170" s="223"/>
      <c r="V170" s="264"/>
      <c r="W170" s="265"/>
      <c r="X170" s="223"/>
      <c r="Y170" s="223"/>
    </row>
    <row r="171" spans="7:25">
      <c r="G171" s="53"/>
      <c r="H171" s="53"/>
      <c r="I171" s="53"/>
      <c r="J171" s="53"/>
      <c r="K171" s="52"/>
      <c r="L171" s="145" t="str">
        <f t="shared" si="6"/>
        <v/>
      </c>
      <c r="M1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1" s="54" t="str">
        <f>IFERROR(-(WHOLE_STRUCTURE[[#This Row],[D, bottom '[m']]]-WHOLE_STRUCTURE[[#This Row],[D, top '[m']]])/(WHOLE_STRUCTURE[[#This Row],[Bottom '[m']]]-WHOLE_STRUCTURE[[#This Row],[Top '[m']]]),"")</f>
        <v/>
      </c>
      <c r="O171" s="52" t="str">
        <f>IFERROR((WHOLE_STRUCTURE[[#This Row],[D, bottom '[m']]]+WHOLE_STRUCTURE[[#This Row],[D, top '[m']]])/(2*WHOLE_STRUCTURE[[#This Row],[t '[mm']]]/1000),"")</f>
        <v/>
      </c>
      <c r="S171" s="223"/>
      <c r="T171" s="223"/>
      <c r="V171" s="264"/>
      <c r="W171" s="265"/>
      <c r="X171" s="223"/>
      <c r="Y171" s="223"/>
    </row>
    <row r="172" spans="7:25">
      <c r="G172" s="53"/>
      <c r="H172" s="53"/>
      <c r="I172" s="53"/>
      <c r="J172" s="53"/>
      <c r="K172" s="52"/>
      <c r="L172" s="145" t="str">
        <f t="shared" si="6"/>
        <v/>
      </c>
      <c r="M1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2" s="54" t="str">
        <f>IFERROR(-(WHOLE_STRUCTURE[[#This Row],[D, bottom '[m']]]-WHOLE_STRUCTURE[[#This Row],[D, top '[m']]])/(WHOLE_STRUCTURE[[#This Row],[Bottom '[m']]]-WHOLE_STRUCTURE[[#This Row],[Top '[m']]]),"")</f>
        <v/>
      </c>
      <c r="O172" s="52" t="str">
        <f>IFERROR((WHOLE_STRUCTURE[[#This Row],[D, bottom '[m']]]+WHOLE_STRUCTURE[[#This Row],[D, top '[m']]])/(2*WHOLE_STRUCTURE[[#This Row],[t '[mm']]]/1000),"")</f>
        <v/>
      </c>
      <c r="S172" s="223"/>
      <c r="T172" s="223"/>
      <c r="V172" s="264"/>
      <c r="W172" s="265"/>
      <c r="X172" s="223"/>
      <c r="Y172" s="223"/>
    </row>
    <row r="173" spans="7:25">
      <c r="G173" s="53"/>
      <c r="H173" s="53"/>
      <c r="I173" s="53"/>
      <c r="J173" s="53"/>
      <c r="K173" s="52"/>
      <c r="L173" s="145" t="str">
        <f t="shared" si="6"/>
        <v/>
      </c>
      <c r="M1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3" s="54" t="str">
        <f>IFERROR(-(WHOLE_STRUCTURE[[#This Row],[D, bottom '[m']]]-WHOLE_STRUCTURE[[#This Row],[D, top '[m']]])/(WHOLE_STRUCTURE[[#This Row],[Bottom '[m']]]-WHOLE_STRUCTURE[[#This Row],[Top '[m']]]),"")</f>
        <v/>
      </c>
      <c r="O173" s="52" t="str">
        <f>IFERROR((WHOLE_STRUCTURE[[#This Row],[D, bottom '[m']]]+WHOLE_STRUCTURE[[#This Row],[D, top '[m']]])/(2*WHOLE_STRUCTURE[[#This Row],[t '[mm']]]/1000),"")</f>
        <v/>
      </c>
      <c r="S173" s="223"/>
      <c r="T173" s="223"/>
      <c r="V173" s="264"/>
      <c r="W173" s="265"/>
      <c r="X173" s="223"/>
      <c r="Y173" s="223"/>
    </row>
    <row r="174" spans="7:25">
      <c r="G174" s="53"/>
      <c r="H174" s="53"/>
      <c r="I174" s="53"/>
      <c r="J174" s="53"/>
      <c r="K174" s="52"/>
      <c r="L174" s="145" t="str">
        <f t="shared" si="6"/>
        <v/>
      </c>
      <c r="M1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4" s="54" t="str">
        <f>IFERROR(-(WHOLE_STRUCTURE[[#This Row],[D, bottom '[m']]]-WHOLE_STRUCTURE[[#This Row],[D, top '[m']]])/(WHOLE_STRUCTURE[[#This Row],[Bottom '[m']]]-WHOLE_STRUCTURE[[#This Row],[Top '[m']]]),"")</f>
        <v/>
      </c>
      <c r="O174" s="52" t="str">
        <f>IFERROR((WHOLE_STRUCTURE[[#This Row],[D, bottom '[m']]]+WHOLE_STRUCTURE[[#This Row],[D, top '[m']]])/(2*WHOLE_STRUCTURE[[#This Row],[t '[mm']]]/1000),"")</f>
        <v/>
      </c>
      <c r="S174" s="223"/>
      <c r="T174" s="223"/>
      <c r="V174" s="264"/>
      <c r="W174" s="265"/>
      <c r="X174" s="223"/>
      <c r="Y174" s="223"/>
    </row>
    <row r="175" spans="7:25">
      <c r="G175" s="53"/>
      <c r="H175" s="53"/>
      <c r="I175" s="53"/>
      <c r="J175" s="53"/>
      <c r="K175" s="52"/>
      <c r="L175" s="145" t="str">
        <f t="shared" si="6"/>
        <v/>
      </c>
      <c r="M1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5" s="54" t="str">
        <f>IFERROR(-(WHOLE_STRUCTURE[[#This Row],[D, bottom '[m']]]-WHOLE_STRUCTURE[[#This Row],[D, top '[m']]])/(WHOLE_STRUCTURE[[#This Row],[Bottom '[m']]]-WHOLE_STRUCTURE[[#This Row],[Top '[m']]]),"")</f>
        <v/>
      </c>
      <c r="O175" s="52" t="str">
        <f>IFERROR((WHOLE_STRUCTURE[[#This Row],[D, bottom '[m']]]+WHOLE_STRUCTURE[[#This Row],[D, top '[m']]])/(2*WHOLE_STRUCTURE[[#This Row],[t '[mm']]]/1000),"")</f>
        <v/>
      </c>
      <c r="S175" s="223"/>
      <c r="T175" s="223"/>
      <c r="V175" s="264"/>
      <c r="W175" s="265"/>
      <c r="X175" s="223"/>
      <c r="Y175" s="223"/>
    </row>
    <row r="176" spans="7:25">
      <c r="G176" s="53"/>
      <c r="H176" s="53"/>
      <c r="I176" s="53"/>
      <c r="J176" s="53"/>
      <c r="K176" s="52"/>
      <c r="L176" s="145" t="str">
        <f t="shared" si="6"/>
        <v/>
      </c>
      <c r="M1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6" s="54" t="str">
        <f>IFERROR(-(WHOLE_STRUCTURE[[#This Row],[D, bottom '[m']]]-WHOLE_STRUCTURE[[#This Row],[D, top '[m']]])/(WHOLE_STRUCTURE[[#This Row],[Bottom '[m']]]-WHOLE_STRUCTURE[[#This Row],[Top '[m']]]),"")</f>
        <v/>
      </c>
      <c r="O176" s="52" t="str">
        <f>IFERROR((WHOLE_STRUCTURE[[#This Row],[D, bottom '[m']]]+WHOLE_STRUCTURE[[#This Row],[D, top '[m']]])/(2*WHOLE_STRUCTURE[[#This Row],[t '[mm']]]/1000),"")</f>
        <v/>
      </c>
      <c r="S176" s="223"/>
      <c r="T176" s="223"/>
      <c r="V176" s="264"/>
      <c r="W176" s="265"/>
      <c r="X176" s="223"/>
      <c r="Y176" s="223"/>
    </row>
    <row r="177" spans="7:25">
      <c r="G177" s="53"/>
      <c r="H177" s="53"/>
      <c r="I177" s="53"/>
      <c r="J177" s="53"/>
      <c r="K177" s="52"/>
      <c r="L177" s="145" t="str">
        <f t="shared" si="6"/>
        <v/>
      </c>
      <c r="M1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7" s="54" t="str">
        <f>IFERROR(-(WHOLE_STRUCTURE[[#This Row],[D, bottom '[m']]]-WHOLE_STRUCTURE[[#This Row],[D, top '[m']]])/(WHOLE_STRUCTURE[[#This Row],[Bottom '[m']]]-WHOLE_STRUCTURE[[#This Row],[Top '[m']]]),"")</f>
        <v/>
      </c>
      <c r="O177" s="52" t="str">
        <f>IFERROR((WHOLE_STRUCTURE[[#This Row],[D, bottom '[m']]]+WHOLE_STRUCTURE[[#This Row],[D, top '[m']]])/(2*WHOLE_STRUCTURE[[#This Row],[t '[mm']]]/1000),"")</f>
        <v/>
      </c>
      <c r="S177" s="223"/>
      <c r="T177" s="223"/>
      <c r="V177" s="264"/>
      <c r="W177" s="265"/>
      <c r="X177" s="223"/>
      <c r="Y177" s="223"/>
    </row>
    <row r="178" spans="7:25">
      <c r="G178" s="53"/>
      <c r="H178" s="53"/>
      <c r="I178" s="53"/>
      <c r="J178" s="53"/>
      <c r="K178" s="52"/>
      <c r="L178" s="145" t="str">
        <f t="shared" si="6"/>
        <v/>
      </c>
      <c r="M1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8" s="54" t="str">
        <f>IFERROR(-(WHOLE_STRUCTURE[[#This Row],[D, bottom '[m']]]-WHOLE_STRUCTURE[[#This Row],[D, top '[m']]])/(WHOLE_STRUCTURE[[#This Row],[Bottom '[m']]]-WHOLE_STRUCTURE[[#This Row],[Top '[m']]]),"")</f>
        <v/>
      </c>
      <c r="O178" s="52" t="str">
        <f>IFERROR((WHOLE_STRUCTURE[[#This Row],[D, bottom '[m']]]+WHOLE_STRUCTURE[[#This Row],[D, top '[m']]])/(2*WHOLE_STRUCTURE[[#This Row],[t '[mm']]]/1000),"")</f>
        <v/>
      </c>
      <c r="S178" s="223"/>
      <c r="T178" s="223"/>
      <c r="V178" s="264"/>
      <c r="W178" s="265"/>
      <c r="X178" s="223"/>
      <c r="Y178" s="223"/>
    </row>
    <row r="179" spans="7:25">
      <c r="G179" s="53"/>
      <c r="H179" s="53"/>
      <c r="I179" s="53"/>
      <c r="J179" s="53"/>
      <c r="K179" s="52"/>
      <c r="L179" s="145" t="str">
        <f t="shared" si="6"/>
        <v/>
      </c>
      <c r="M1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9" s="54" t="str">
        <f>IFERROR(-(WHOLE_STRUCTURE[[#This Row],[D, bottom '[m']]]-WHOLE_STRUCTURE[[#This Row],[D, top '[m']]])/(WHOLE_STRUCTURE[[#This Row],[Bottom '[m']]]-WHOLE_STRUCTURE[[#This Row],[Top '[m']]]),"")</f>
        <v/>
      </c>
      <c r="O179" s="52" t="str">
        <f>IFERROR((WHOLE_STRUCTURE[[#This Row],[D, bottom '[m']]]+WHOLE_STRUCTURE[[#This Row],[D, top '[m']]])/(2*WHOLE_STRUCTURE[[#This Row],[t '[mm']]]/1000),"")</f>
        <v/>
      </c>
      <c r="S179" s="223"/>
      <c r="T179" s="223"/>
      <c r="V179" s="264"/>
      <c r="W179" s="265"/>
      <c r="X179" s="223"/>
      <c r="Y179" s="223"/>
    </row>
    <row r="180" spans="7:25">
      <c r="G180" s="53"/>
      <c r="H180" s="53"/>
      <c r="I180" s="53"/>
      <c r="J180" s="53"/>
      <c r="K180" s="52"/>
      <c r="L180" s="145" t="str">
        <f t="shared" si="6"/>
        <v/>
      </c>
      <c r="M1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0" s="54" t="str">
        <f>IFERROR(-(WHOLE_STRUCTURE[[#This Row],[D, bottom '[m']]]-WHOLE_STRUCTURE[[#This Row],[D, top '[m']]])/(WHOLE_STRUCTURE[[#This Row],[Bottom '[m']]]-WHOLE_STRUCTURE[[#This Row],[Top '[m']]]),"")</f>
        <v/>
      </c>
      <c r="O180" s="52" t="str">
        <f>IFERROR((WHOLE_STRUCTURE[[#This Row],[D, bottom '[m']]]+WHOLE_STRUCTURE[[#This Row],[D, top '[m']]])/(2*WHOLE_STRUCTURE[[#This Row],[t '[mm']]]/1000),"")</f>
        <v/>
      </c>
      <c r="S180" s="223"/>
      <c r="T180" s="223"/>
      <c r="V180" s="264"/>
      <c r="W180" s="265"/>
      <c r="X180" s="223"/>
      <c r="Y180" s="223"/>
    </row>
    <row r="181" spans="7:25">
      <c r="G181" s="53"/>
      <c r="H181" s="53"/>
      <c r="I181" s="53"/>
      <c r="J181" s="53"/>
      <c r="K181" s="52"/>
      <c r="L181" s="145" t="str">
        <f t="shared" si="6"/>
        <v/>
      </c>
      <c r="M1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1" s="54" t="str">
        <f>IFERROR(-(WHOLE_STRUCTURE[[#This Row],[D, bottom '[m']]]-WHOLE_STRUCTURE[[#This Row],[D, top '[m']]])/(WHOLE_STRUCTURE[[#This Row],[Bottom '[m']]]-WHOLE_STRUCTURE[[#This Row],[Top '[m']]]),"")</f>
        <v/>
      </c>
      <c r="O181" s="52" t="str">
        <f>IFERROR((WHOLE_STRUCTURE[[#This Row],[D, bottom '[m']]]+WHOLE_STRUCTURE[[#This Row],[D, top '[m']]])/(2*WHOLE_STRUCTURE[[#This Row],[t '[mm']]]/1000),"")</f>
        <v/>
      </c>
      <c r="S181" s="223"/>
      <c r="T181" s="223"/>
      <c r="V181" s="264"/>
      <c r="W181" s="265"/>
      <c r="X181" s="223"/>
      <c r="Y181" s="223"/>
    </row>
    <row r="182" spans="7:25">
      <c r="G182" s="53"/>
      <c r="H182" s="53"/>
      <c r="I182" s="53"/>
      <c r="J182" s="53"/>
      <c r="K182" s="52"/>
      <c r="L182" s="145" t="str">
        <f t="shared" si="6"/>
        <v/>
      </c>
      <c r="M1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2" s="54" t="str">
        <f>IFERROR(-(WHOLE_STRUCTURE[[#This Row],[D, bottom '[m']]]-WHOLE_STRUCTURE[[#This Row],[D, top '[m']]])/(WHOLE_STRUCTURE[[#This Row],[Bottom '[m']]]-WHOLE_STRUCTURE[[#This Row],[Top '[m']]]),"")</f>
        <v/>
      </c>
      <c r="O182" s="52" t="str">
        <f>IFERROR((WHOLE_STRUCTURE[[#This Row],[D, bottom '[m']]]+WHOLE_STRUCTURE[[#This Row],[D, top '[m']]])/(2*WHOLE_STRUCTURE[[#This Row],[t '[mm']]]/1000),"")</f>
        <v/>
      </c>
      <c r="S182" s="223"/>
      <c r="T182" s="223"/>
      <c r="V182" s="264"/>
      <c r="W182" s="265"/>
      <c r="X182" s="223"/>
      <c r="Y182" s="223"/>
    </row>
    <row r="183" spans="7:25">
      <c r="G183" s="53"/>
      <c r="H183" s="53"/>
      <c r="I183" s="53"/>
      <c r="J183" s="53"/>
      <c r="K183" s="52"/>
      <c r="L183" s="145" t="str">
        <f t="shared" si="6"/>
        <v/>
      </c>
      <c r="M1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3" s="54" t="str">
        <f>IFERROR(-(WHOLE_STRUCTURE[[#This Row],[D, bottom '[m']]]-WHOLE_STRUCTURE[[#This Row],[D, top '[m']]])/(WHOLE_STRUCTURE[[#This Row],[Bottom '[m']]]-WHOLE_STRUCTURE[[#This Row],[Top '[m']]]),"")</f>
        <v/>
      </c>
      <c r="O183" s="52" t="str">
        <f>IFERROR((WHOLE_STRUCTURE[[#This Row],[D, bottom '[m']]]+WHOLE_STRUCTURE[[#This Row],[D, top '[m']]])/(2*WHOLE_STRUCTURE[[#This Row],[t '[mm']]]/1000),"")</f>
        <v/>
      </c>
      <c r="S183" s="223"/>
      <c r="T183" s="223"/>
      <c r="V183" s="264"/>
      <c r="W183" s="265"/>
      <c r="X183" s="223"/>
      <c r="Y183" s="223"/>
    </row>
    <row r="184" spans="7:25">
      <c r="G184" s="53"/>
      <c r="H184" s="53"/>
      <c r="I184" s="53"/>
      <c r="J184" s="53"/>
      <c r="K184" s="52"/>
      <c r="L184" s="145" t="str">
        <f t="shared" si="6"/>
        <v/>
      </c>
      <c r="M1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4" s="54" t="str">
        <f>IFERROR(-(WHOLE_STRUCTURE[[#This Row],[D, bottom '[m']]]-WHOLE_STRUCTURE[[#This Row],[D, top '[m']]])/(WHOLE_STRUCTURE[[#This Row],[Bottom '[m']]]-WHOLE_STRUCTURE[[#This Row],[Top '[m']]]),"")</f>
        <v/>
      </c>
      <c r="O184" s="52" t="str">
        <f>IFERROR((WHOLE_STRUCTURE[[#This Row],[D, bottom '[m']]]+WHOLE_STRUCTURE[[#This Row],[D, top '[m']]])/(2*WHOLE_STRUCTURE[[#This Row],[t '[mm']]]/1000),"")</f>
        <v/>
      </c>
      <c r="S184" s="223"/>
      <c r="T184" s="223"/>
      <c r="V184" s="264"/>
      <c r="W184" s="265"/>
      <c r="X184" s="223"/>
      <c r="Y184" s="223"/>
    </row>
    <row r="185" spans="7:25">
      <c r="G185" s="53"/>
      <c r="H185" s="53"/>
      <c r="I185" s="53"/>
      <c r="J185" s="53"/>
      <c r="K185" s="52"/>
      <c r="L185" s="145" t="str">
        <f t="shared" si="6"/>
        <v/>
      </c>
      <c r="M1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5" s="54" t="str">
        <f>IFERROR(-(WHOLE_STRUCTURE[[#This Row],[D, bottom '[m']]]-WHOLE_STRUCTURE[[#This Row],[D, top '[m']]])/(WHOLE_STRUCTURE[[#This Row],[Bottom '[m']]]-WHOLE_STRUCTURE[[#This Row],[Top '[m']]]),"")</f>
        <v/>
      </c>
      <c r="O185" s="52" t="str">
        <f>IFERROR((WHOLE_STRUCTURE[[#This Row],[D, bottom '[m']]]+WHOLE_STRUCTURE[[#This Row],[D, top '[m']]])/(2*WHOLE_STRUCTURE[[#This Row],[t '[mm']]]/1000),"")</f>
        <v/>
      </c>
      <c r="S185" s="223"/>
      <c r="T185" s="223"/>
      <c r="V185" s="264"/>
      <c r="W185" s="265"/>
      <c r="X185" s="223"/>
      <c r="Y185" s="223"/>
    </row>
    <row r="186" spans="7:25">
      <c r="G186" s="53"/>
      <c r="H186" s="53"/>
      <c r="I186" s="53"/>
      <c r="J186" s="53"/>
      <c r="K186" s="52"/>
      <c r="L186" s="145" t="str">
        <f t="shared" si="6"/>
        <v/>
      </c>
      <c r="M1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6" s="54" t="str">
        <f>IFERROR(-(WHOLE_STRUCTURE[[#This Row],[D, bottom '[m']]]-WHOLE_STRUCTURE[[#This Row],[D, top '[m']]])/(WHOLE_STRUCTURE[[#This Row],[Bottom '[m']]]-WHOLE_STRUCTURE[[#This Row],[Top '[m']]]),"")</f>
        <v/>
      </c>
      <c r="O186" s="52" t="str">
        <f>IFERROR((WHOLE_STRUCTURE[[#This Row],[D, bottom '[m']]]+WHOLE_STRUCTURE[[#This Row],[D, top '[m']]])/(2*WHOLE_STRUCTURE[[#This Row],[t '[mm']]]/1000),"")</f>
        <v/>
      </c>
      <c r="S186" s="223"/>
      <c r="T186" s="223"/>
      <c r="V186" s="264"/>
      <c r="W186" s="265"/>
      <c r="X186" s="223"/>
      <c r="Y186" s="223"/>
    </row>
    <row r="187" spans="7:25">
      <c r="G187" s="53"/>
      <c r="H187" s="53"/>
      <c r="I187" s="53"/>
      <c r="J187" s="53"/>
      <c r="K187" s="52"/>
      <c r="L187" s="145" t="str">
        <f t="shared" si="6"/>
        <v/>
      </c>
      <c r="M1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7" s="54" t="str">
        <f>IFERROR(-(WHOLE_STRUCTURE[[#This Row],[D, bottom '[m']]]-WHOLE_STRUCTURE[[#This Row],[D, top '[m']]])/(WHOLE_STRUCTURE[[#This Row],[Bottom '[m']]]-WHOLE_STRUCTURE[[#This Row],[Top '[m']]]),"")</f>
        <v/>
      </c>
      <c r="O187" s="52" t="str">
        <f>IFERROR((WHOLE_STRUCTURE[[#This Row],[D, bottom '[m']]]+WHOLE_STRUCTURE[[#This Row],[D, top '[m']]])/(2*WHOLE_STRUCTURE[[#This Row],[t '[mm']]]/1000),"")</f>
        <v/>
      </c>
      <c r="S187" s="223"/>
      <c r="T187" s="223"/>
      <c r="V187" s="264"/>
      <c r="W187" s="265"/>
      <c r="X187" s="223"/>
      <c r="Y187" s="223"/>
    </row>
    <row r="188" spans="7:25">
      <c r="G188" s="53"/>
      <c r="H188" s="53"/>
      <c r="I188" s="53"/>
      <c r="J188" s="53"/>
      <c r="K188" s="52"/>
      <c r="L188" s="145" t="str">
        <f t="shared" si="6"/>
        <v/>
      </c>
      <c r="M1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8" s="54" t="str">
        <f>IFERROR(-(WHOLE_STRUCTURE[[#This Row],[D, bottom '[m']]]-WHOLE_STRUCTURE[[#This Row],[D, top '[m']]])/(WHOLE_STRUCTURE[[#This Row],[Bottom '[m']]]-WHOLE_STRUCTURE[[#This Row],[Top '[m']]]),"")</f>
        <v/>
      </c>
      <c r="O188" s="52" t="str">
        <f>IFERROR((WHOLE_STRUCTURE[[#This Row],[D, bottom '[m']]]+WHOLE_STRUCTURE[[#This Row],[D, top '[m']]])/(2*WHOLE_STRUCTURE[[#This Row],[t '[mm']]]/1000),"")</f>
        <v/>
      </c>
      <c r="S188" s="223"/>
      <c r="T188" s="223"/>
      <c r="V188" s="264"/>
      <c r="W188" s="265"/>
      <c r="X188" s="223"/>
      <c r="Y188" s="223"/>
    </row>
    <row r="189" spans="7:25">
      <c r="G189" s="53"/>
      <c r="H189" s="53"/>
      <c r="I189" s="53"/>
      <c r="J189" s="53"/>
      <c r="K189" s="52"/>
      <c r="L189" s="145" t="str">
        <f t="shared" si="6"/>
        <v/>
      </c>
      <c r="M1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9" s="54" t="str">
        <f>IFERROR(-(WHOLE_STRUCTURE[[#This Row],[D, bottom '[m']]]-WHOLE_STRUCTURE[[#This Row],[D, top '[m']]])/(WHOLE_STRUCTURE[[#This Row],[Bottom '[m']]]-WHOLE_STRUCTURE[[#This Row],[Top '[m']]]),"")</f>
        <v/>
      </c>
      <c r="O189" s="52" t="str">
        <f>IFERROR((WHOLE_STRUCTURE[[#This Row],[D, bottom '[m']]]+WHOLE_STRUCTURE[[#This Row],[D, top '[m']]])/(2*WHOLE_STRUCTURE[[#This Row],[t '[mm']]]/1000),"")</f>
        <v/>
      </c>
      <c r="S189" s="223"/>
      <c r="T189" s="223"/>
      <c r="V189" s="264"/>
      <c r="W189" s="265"/>
      <c r="X189" s="223"/>
      <c r="Y189" s="223"/>
    </row>
    <row r="190" spans="7:25">
      <c r="G190" s="53"/>
      <c r="H190" s="53"/>
      <c r="I190" s="53"/>
      <c r="J190" s="53"/>
      <c r="K190" s="52"/>
      <c r="L190" s="145" t="str">
        <f t="shared" si="6"/>
        <v/>
      </c>
      <c r="M1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0" s="54" t="str">
        <f>IFERROR(-(WHOLE_STRUCTURE[[#This Row],[D, bottom '[m']]]-WHOLE_STRUCTURE[[#This Row],[D, top '[m']]])/(WHOLE_STRUCTURE[[#This Row],[Bottom '[m']]]-WHOLE_STRUCTURE[[#This Row],[Top '[m']]]),"")</f>
        <v/>
      </c>
      <c r="O190" s="52" t="str">
        <f>IFERROR((WHOLE_STRUCTURE[[#This Row],[D, bottom '[m']]]+WHOLE_STRUCTURE[[#This Row],[D, top '[m']]])/(2*WHOLE_STRUCTURE[[#This Row],[t '[mm']]]/1000),"")</f>
        <v/>
      </c>
      <c r="S190" s="223"/>
      <c r="T190" s="223"/>
      <c r="V190" s="264"/>
      <c r="W190" s="265"/>
      <c r="X190" s="223"/>
      <c r="Y190" s="223"/>
    </row>
    <row r="191" spans="7:25">
      <c r="G191" s="53"/>
      <c r="H191" s="53"/>
      <c r="I191" s="53"/>
      <c r="J191" s="53"/>
      <c r="K191" s="52"/>
      <c r="L191" s="145" t="str">
        <f t="shared" si="6"/>
        <v/>
      </c>
      <c r="M1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1" s="54" t="str">
        <f>IFERROR(-(WHOLE_STRUCTURE[[#This Row],[D, bottom '[m']]]-WHOLE_STRUCTURE[[#This Row],[D, top '[m']]])/(WHOLE_STRUCTURE[[#This Row],[Bottom '[m']]]-WHOLE_STRUCTURE[[#This Row],[Top '[m']]]),"")</f>
        <v/>
      </c>
      <c r="O191" s="52" t="str">
        <f>IFERROR((WHOLE_STRUCTURE[[#This Row],[D, bottom '[m']]]+WHOLE_STRUCTURE[[#This Row],[D, top '[m']]])/(2*WHOLE_STRUCTURE[[#This Row],[t '[mm']]]/1000),"")</f>
        <v/>
      </c>
      <c r="S191" s="223"/>
      <c r="T191" s="223"/>
      <c r="V191" s="264"/>
      <c r="W191" s="265"/>
      <c r="X191" s="223"/>
      <c r="Y191" s="223"/>
    </row>
    <row r="192" spans="7:25">
      <c r="G192" s="53"/>
      <c r="H192" s="53"/>
      <c r="I192" s="53"/>
      <c r="J192" s="53"/>
      <c r="K192" s="52"/>
      <c r="L192" s="145" t="str">
        <f t="shared" si="6"/>
        <v/>
      </c>
      <c r="M1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2" s="54" t="str">
        <f>IFERROR(-(WHOLE_STRUCTURE[[#This Row],[D, bottom '[m']]]-WHOLE_STRUCTURE[[#This Row],[D, top '[m']]])/(WHOLE_STRUCTURE[[#This Row],[Bottom '[m']]]-WHOLE_STRUCTURE[[#This Row],[Top '[m']]]),"")</f>
        <v/>
      </c>
      <c r="O192" s="52" t="str">
        <f>IFERROR((WHOLE_STRUCTURE[[#This Row],[D, bottom '[m']]]+WHOLE_STRUCTURE[[#This Row],[D, top '[m']]])/(2*WHOLE_STRUCTURE[[#This Row],[t '[mm']]]/1000),"")</f>
        <v/>
      </c>
      <c r="S192" s="223"/>
      <c r="T192" s="223"/>
      <c r="V192" s="264"/>
      <c r="W192" s="265"/>
      <c r="X192" s="223"/>
      <c r="Y192" s="223"/>
    </row>
    <row r="193" spans="7:25">
      <c r="G193" s="53"/>
      <c r="H193" s="53"/>
      <c r="I193" s="53"/>
      <c r="J193" s="53"/>
      <c r="K193" s="52"/>
      <c r="L193" s="145" t="str">
        <f t="shared" si="6"/>
        <v/>
      </c>
      <c r="M1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3" s="54" t="str">
        <f>IFERROR(-(WHOLE_STRUCTURE[[#This Row],[D, bottom '[m']]]-WHOLE_STRUCTURE[[#This Row],[D, top '[m']]])/(WHOLE_STRUCTURE[[#This Row],[Bottom '[m']]]-WHOLE_STRUCTURE[[#This Row],[Top '[m']]]),"")</f>
        <v/>
      </c>
      <c r="O193" s="52" t="str">
        <f>IFERROR((WHOLE_STRUCTURE[[#This Row],[D, bottom '[m']]]+WHOLE_STRUCTURE[[#This Row],[D, top '[m']]])/(2*WHOLE_STRUCTURE[[#This Row],[t '[mm']]]/1000),"")</f>
        <v/>
      </c>
      <c r="S193" s="223"/>
      <c r="T193" s="223"/>
      <c r="V193" s="264"/>
      <c r="W193" s="265"/>
      <c r="X193" s="223"/>
      <c r="Y193" s="223"/>
    </row>
    <row r="194" spans="7:25">
      <c r="G194" s="53"/>
      <c r="H194" s="53"/>
      <c r="I194" s="53"/>
      <c r="J194" s="53"/>
      <c r="K194" s="52"/>
      <c r="L194" s="145" t="str">
        <f t="shared" si="6"/>
        <v/>
      </c>
      <c r="M1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4" s="54" t="str">
        <f>IFERROR(-(WHOLE_STRUCTURE[[#This Row],[D, bottom '[m']]]-WHOLE_STRUCTURE[[#This Row],[D, top '[m']]])/(WHOLE_STRUCTURE[[#This Row],[Bottom '[m']]]-WHOLE_STRUCTURE[[#This Row],[Top '[m']]]),"")</f>
        <v/>
      </c>
      <c r="O194" s="52" t="str">
        <f>IFERROR((WHOLE_STRUCTURE[[#This Row],[D, bottom '[m']]]+WHOLE_STRUCTURE[[#This Row],[D, top '[m']]])/(2*WHOLE_STRUCTURE[[#This Row],[t '[mm']]]/1000),"")</f>
        <v/>
      </c>
      <c r="S194" s="223"/>
      <c r="T194" s="223"/>
      <c r="V194" s="264"/>
      <c r="W194" s="265"/>
      <c r="X194" s="223"/>
      <c r="Y194" s="223"/>
    </row>
    <row r="195" spans="7:25">
      <c r="G195" s="53"/>
      <c r="H195" s="53"/>
      <c r="I195" s="53"/>
      <c r="J195" s="53"/>
      <c r="K195" s="52"/>
      <c r="L195" s="145" t="str">
        <f t="shared" si="6"/>
        <v/>
      </c>
      <c r="M1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5" s="54" t="str">
        <f>IFERROR(-(WHOLE_STRUCTURE[[#This Row],[D, bottom '[m']]]-WHOLE_STRUCTURE[[#This Row],[D, top '[m']]])/(WHOLE_STRUCTURE[[#This Row],[Bottom '[m']]]-WHOLE_STRUCTURE[[#This Row],[Top '[m']]]),"")</f>
        <v/>
      </c>
      <c r="O195" s="52" t="str">
        <f>IFERROR((WHOLE_STRUCTURE[[#This Row],[D, bottom '[m']]]+WHOLE_STRUCTURE[[#This Row],[D, top '[m']]])/(2*WHOLE_STRUCTURE[[#This Row],[t '[mm']]]/1000),"")</f>
        <v/>
      </c>
      <c r="S195" s="223"/>
      <c r="T195" s="223"/>
      <c r="V195" s="264"/>
      <c r="W195" s="265"/>
      <c r="X195" s="223"/>
      <c r="Y195" s="223"/>
    </row>
    <row r="196" spans="7:25">
      <c r="G196" s="53"/>
      <c r="H196" s="53"/>
      <c r="I196" s="53"/>
      <c r="J196" s="53"/>
      <c r="K196" s="52"/>
      <c r="L196" s="145" t="str">
        <f t="shared" si="6"/>
        <v/>
      </c>
      <c r="M1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6" s="54" t="str">
        <f>IFERROR(-(WHOLE_STRUCTURE[[#This Row],[D, bottom '[m']]]-WHOLE_STRUCTURE[[#This Row],[D, top '[m']]])/(WHOLE_STRUCTURE[[#This Row],[Bottom '[m']]]-WHOLE_STRUCTURE[[#This Row],[Top '[m']]]),"")</f>
        <v/>
      </c>
      <c r="O196" s="52" t="str">
        <f>IFERROR((WHOLE_STRUCTURE[[#This Row],[D, bottom '[m']]]+WHOLE_STRUCTURE[[#This Row],[D, top '[m']]])/(2*WHOLE_STRUCTURE[[#This Row],[t '[mm']]]/1000),"")</f>
        <v/>
      </c>
      <c r="S196" s="223"/>
      <c r="T196" s="223"/>
      <c r="V196" s="264"/>
      <c r="W196" s="265"/>
      <c r="X196" s="223"/>
      <c r="Y196" s="223"/>
    </row>
    <row r="197" spans="7:25">
      <c r="G197" s="53"/>
      <c r="H197" s="53"/>
      <c r="I197" s="53"/>
      <c r="J197" s="53"/>
      <c r="K197" s="52"/>
      <c r="L197" s="145" t="str">
        <f t="shared" ref="L197:L260" si="7">IF(7850/1000*(1/3)*PI()*ABS(G197-H197)*((I197/2)^2+(I197/2)*(J197/2)+(J197/2)^2-(I197/2-K197/1000)^2-(I197/2-K197/1000)*(J197/2-K197/1000)-(J197/2-K197/1000)^2)=0,"",7850/1000*(1/3)*PI()*ABS(G197-H197)*((I197/2)^2+(I197/2)*(J197/2)+(J197/2)^2-(I197/2-K197/1000)^2-(I197/2-K197/1000)*(J197/2-K197/1000)-(J197/2-K197/1000)^2))</f>
        <v/>
      </c>
      <c r="M1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7" s="54" t="str">
        <f>IFERROR(-(WHOLE_STRUCTURE[[#This Row],[D, bottom '[m']]]-WHOLE_STRUCTURE[[#This Row],[D, top '[m']]])/(WHOLE_STRUCTURE[[#This Row],[Bottom '[m']]]-WHOLE_STRUCTURE[[#This Row],[Top '[m']]]),"")</f>
        <v/>
      </c>
      <c r="O197" s="52" t="str">
        <f>IFERROR((WHOLE_STRUCTURE[[#This Row],[D, bottom '[m']]]+WHOLE_STRUCTURE[[#This Row],[D, top '[m']]])/(2*WHOLE_STRUCTURE[[#This Row],[t '[mm']]]/1000),"")</f>
        <v/>
      </c>
      <c r="S197" s="223"/>
      <c r="T197" s="223"/>
      <c r="V197" s="264"/>
      <c r="W197" s="265"/>
      <c r="X197" s="223"/>
      <c r="Y197" s="223"/>
    </row>
    <row r="198" spans="7:25">
      <c r="G198" s="53"/>
      <c r="H198" s="53"/>
      <c r="I198" s="53"/>
      <c r="J198" s="53"/>
      <c r="K198" s="52"/>
      <c r="L198" s="145" t="str">
        <f t="shared" si="7"/>
        <v/>
      </c>
      <c r="M1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8" s="54" t="str">
        <f>IFERROR(-(WHOLE_STRUCTURE[[#This Row],[D, bottom '[m']]]-WHOLE_STRUCTURE[[#This Row],[D, top '[m']]])/(WHOLE_STRUCTURE[[#This Row],[Bottom '[m']]]-WHOLE_STRUCTURE[[#This Row],[Top '[m']]]),"")</f>
        <v/>
      </c>
      <c r="O198" s="52" t="str">
        <f>IFERROR((WHOLE_STRUCTURE[[#This Row],[D, bottom '[m']]]+WHOLE_STRUCTURE[[#This Row],[D, top '[m']]])/(2*WHOLE_STRUCTURE[[#This Row],[t '[mm']]]/1000),"")</f>
        <v/>
      </c>
      <c r="S198" s="223"/>
      <c r="T198" s="223"/>
      <c r="V198" s="264"/>
      <c r="W198" s="265"/>
      <c r="X198" s="223"/>
      <c r="Y198" s="223"/>
    </row>
    <row r="199" spans="7:25">
      <c r="G199" s="53"/>
      <c r="H199" s="53"/>
      <c r="I199" s="53"/>
      <c r="J199" s="53"/>
      <c r="K199" s="52"/>
      <c r="L199" s="145" t="str">
        <f t="shared" si="7"/>
        <v/>
      </c>
      <c r="M1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9" s="54" t="str">
        <f>IFERROR(-(WHOLE_STRUCTURE[[#This Row],[D, bottom '[m']]]-WHOLE_STRUCTURE[[#This Row],[D, top '[m']]])/(WHOLE_STRUCTURE[[#This Row],[Bottom '[m']]]-WHOLE_STRUCTURE[[#This Row],[Top '[m']]]),"")</f>
        <v/>
      </c>
      <c r="O199" s="52" t="str">
        <f>IFERROR((WHOLE_STRUCTURE[[#This Row],[D, bottom '[m']]]+WHOLE_STRUCTURE[[#This Row],[D, top '[m']]])/(2*WHOLE_STRUCTURE[[#This Row],[t '[mm']]]/1000),"")</f>
        <v/>
      </c>
      <c r="S199" s="223"/>
      <c r="T199" s="223"/>
      <c r="V199" s="264"/>
      <c r="W199" s="265"/>
      <c r="X199" s="223"/>
      <c r="Y199" s="223"/>
    </row>
    <row r="200" spans="7:25">
      <c r="G200" s="53"/>
      <c r="H200" s="53"/>
      <c r="I200" s="53"/>
      <c r="J200" s="53"/>
      <c r="K200" s="52"/>
      <c r="L200" s="145" t="str">
        <f t="shared" si="7"/>
        <v/>
      </c>
      <c r="M2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0" s="54" t="str">
        <f>IFERROR(-(WHOLE_STRUCTURE[[#This Row],[D, bottom '[m']]]-WHOLE_STRUCTURE[[#This Row],[D, top '[m']]])/(WHOLE_STRUCTURE[[#This Row],[Bottom '[m']]]-WHOLE_STRUCTURE[[#This Row],[Top '[m']]]),"")</f>
        <v/>
      </c>
      <c r="O200" s="52" t="str">
        <f>IFERROR((WHOLE_STRUCTURE[[#This Row],[D, bottom '[m']]]+WHOLE_STRUCTURE[[#This Row],[D, top '[m']]])/(2*WHOLE_STRUCTURE[[#This Row],[t '[mm']]]/1000),"")</f>
        <v/>
      </c>
      <c r="S200" s="223"/>
      <c r="T200" s="223"/>
      <c r="V200" s="264"/>
      <c r="W200" s="265"/>
      <c r="X200" s="223"/>
      <c r="Y200" s="223"/>
    </row>
    <row r="201" spans="7:25">
      <c r="G201" s="53"/>
      <c r="H201" s="53"/>
      <c r="I201" s="53"/>
      <c r="J201" s="53"/>
      <c r="K201" s="52"/>
      <c r="L201" s="145" t="str">
        <f t="shared" si="7"/>
        <v/>
      </c>
      <c r="M2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1" s="54" t="str">
        <f>IFERROR(-(WHOLE_STRUCTURE[[#This Row],[D, bottom '[m']]]-WHOLE_STRUCTURE[[#This Row],[D, top '[m']]])/(WHOLE_STRUCTURE[[#This Row],[Bottom '[m']]]-WHOLE_STRUCTURE[[#This Row],[Top '[m']]]),"")</f>
        <v/>
      </c>
      <c r="O201" s="52" t="str">
        <f>IFERROR((WHOLE_STRUCTURE[[#This Row],[D, bottom '[m']]]+WHOLE_STRUCTURE[[#This Row],[D, top '[m']]])/(2*WHOLE_STRUCTURE[[#This Row],[t '[mm']]]/1000),"")</f>
        <v/>
      </c>
      <c r="S201" s="223"/>
      <c r="T201" s="223"/>
      <c r="V201" s="264"/>
      <c r="W201" s="265"/>
      <c r="X201" s="223"/>
      <c r="Y201" s="223"/>
    </row>
    <row r="202" spans="7:25">
      <c r="G202" s="53"/>
      <c r="H202" s="53"/>
      <c r="I202" s="53"/>
      <c r="J202" s="53"/>
      <c r="K202" s="52"/>
      <c r="L202" s="145" t="str">
        <f t="shared" si="7"/>
        <v/>
      </c>
      <c r="M2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2" s="54" t="str">
        <f>IFERROR(-(WHOLE_STRUCTURE[[#This Row],[D, bottom '[m']]]-WHOLE_STRUCTURE[[#This Row],[D, top '[m']]])/(WHOLE_STRUCTURE[[#This Row],[Bottom '[m']]]-WHOLE_STRUCTURE[[#This Row],[Top '[m']]]),"")</f>
        <v/>
      </c>
      <c r="O202" s="52" t="str">
        <f>IFERROR((WHOLE_STRUCTURE[[#This Row],[D, bottom '[m']]]+WHOLE_STRUCTURE[[#This Row],[D, top '[m']]])/(2*WHOLE_STRUCTURE[[#This Row],[t '[mm']]]/1000),"")</f>
        <v/>
      </c>
      <c r="S202" s="223"/>
      <c r="T202" s="223"/>
      <c r="V202" s="264"/>
      <c r="W202" s="265"/>
      <c r="X202" s="223"/>
      <c r="Y202" s="223"/>
    </row>
    <row r="203" spans="7:25">
      <c r="G203" s="53"/>
      <c r="H203" s="53"/>
      <c r="I203" s="53"/>
      <c r="J203" s="53"/>
      <c r="K203" s="52"/>
      <c r="L203" s="145" t="str">
        <f t="shared" si="7"/>
        <v/>
      </c>
      <c r="M2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3" s="54" t="str">
        <f>IFERROR(-(WHOLE_STRUCTURE[[#This Row],[D, bottom '[m']]]-WHOLE_STRUCTURE[[#This Row],[D, top '[m']]])/(WHOLE_STRUCTURE[[#This Row],[Bottom '[m']]]-WHOLE_STRUCTURE[[#This Row],[Top '[m']]]),"")</f>
        <v/>
      </c>
      <c r="O203" s="52" t="str">
        <f>IFERROR((WHOLE_STRUCTURE[[#This Row],[D, bottom '[m']]]+WHOLE_STRUCTURE[[#This Row],[D, top '[m']]])/(2*WHOLE_STRUCTURE[[#This Row],[t '[mm']]]/1000),"")</f>
        <v/>
      </c>
      <c r="S203" s="223"/>
      <c r="T203" s="223"/>
      <c r="V203" s="264"/>
      <c r="W203" s="265"/>
      <c r="X203" s="223"/>
      <c r="Y203" s="223"/>
    </row>
    <row r="204" spans="7:25">
      <c r="G204" s="53"/>
      <c r="H204" s="53"/>
      <c r="I204" s="53"/>
      <c r="J204" s="53"/>
      <c r="K204" s="52"/>
      <c r="L204" s="145" t="str">
        <f t="shared" si="7"/>
        <v/>
      </c>
      <c r="M2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4" s="54" t="str">
        <f>IFERROR(-(WHOLE_STRUCTURE[[#This Row],[D, bottom '[m']]]-WHOLE_STRUCTURE[[#This Row],[D, top '[m']]])/(WHOLE_STRUCTURE[[#This Row],[Bottom '[m']]]-WHOLE_STRUCTURE[[#This Row],[Top '[m']]]),"")</f>
        <v/>
      </c>
      <c r="O204" s="52" t="str">
        <f>IFERROR((WHOLE_STRUCTURE[[#This Row],[D, bottom '[m']]]+WHOLE_STRUCTURE[[#This Row],[D, top '[m']]])/(2*WHOLE_STRUCTURE[[#This Row],[t '[mm']]]/1000),"")</f>
        <v/>
      </c>
      <c r="S204" s="223"/>
      <c r="T204" s="223"/>
      <c r="V204" s="264"/>
      <c r="W204" s="265"/>
      <c r="X204" s="223"/>
      <c r="Y204" s="223"/>
    </row>
    <row r="205" spans="7:25">
      <c r="G205" s="53"/>
      <c r="H205" s="53"/>
      <c r="I205" s="53"/>
      <c r="J205" s="53"/>
      <c r="K205" s="52"/>
      <c r="L205" s="145" t="str">
        <f t="shared" si="7"/>
        <v/>
      </c>
      <c r="M2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5" s="54" t="str">
        <f>IFERROR(-(WHOLE_STRUCTURE[[#This Row],[D, bottom '[m']]]-WHOLE_STRUCTURE[[#This Row],[D, top '[m']]])/(WHOLE_STRUCTURE[[#This Row],[Bottom '[m']]]-WHOLE_STRUCTURE[[#This Row],[Top '[m']]]),"")</f>
        <v/>
      </c>
      <c r="O205" s="52" t="str">
        <f>IFERROR((WHOLE_STRUCTURE[[#This Row],[D, bottom '[m']]]+WHOLE_STRUCTURE[[#This Row],[D, top '[m']]])/(2*WHOLE_STRUCTURE[[#This Row],[t '[mm']]]/1000),"")</f>
        <v/>
      </c>
      <c r="S205" s="223"/>
      <c r="T205" s="223"/>
      <c r="V205" s="264"/>
      <c r="W205" s="265"/>
      <c r="X205" s="223"/>
      <c r="Y205" s="223"/>
    </row>
    <row r="206" spans="7:25">
      <c r="G206" s="53"/>
      <c r="H206" s="53"/>
      <c r="I206" s="53"/>
      <c r="J206" s="53"/>
      <c r="K206" s="52"/>
      <c r="L206" s="145" t="str">
        <f t="shared" si="7"/>
        <v/>
      </c>
      <c r="M2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6" s="54" t="str">
        <f>IFERROR(-(WHOLE_STRUCTURE[[#This Row],[D, bottom '[m']]]-WHOLE_STRUCTURE[[#This Row],[D, top '[m']]])/(WHOLE_STRUCTURE[[#This Row],[Bottom '[m']]]-WHOLE_STRUCTURE[[#This Row],[Top '[m']]]),"")</f>
        <v/>
      </c>
      <c r="O206" s="52" t="str">
        <f>IFERROR((WHOLE_STRUCTURE[[#This Row],[D, bottom '[m']]]+WHOLE_STRUCTURE[[#This Row],[D, top '[m']]])/(2*WHOLE_STRUCTURE[[#This Row],[t '[mm']]]/1000),"")</f>
        <v/>
      </c>
      <c r="S206" s="223"/>
      <c r="T206" s="223"/>
      <c r="V206" s="264"/>
      <c r="W206" s="265"/>
      <c r="X206" s="223"/>
      <c r="Y206" s="223"/>
    </row>
    <row r="207" spans="7:25">
      <c r="G207" s="53"/>
      <c r="H207" s="53"/>
      <c r="I207" s="53"/>
      <c r="J207" s="53"/>
      <c r="K207" s="52"/>
      <c r="L207" s="145" t="str">
        <f t="shared" si="7"/>
        <v/>
      </c>
      <c r="M2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7" s="54" t="str">
        <f>IFERROR(-(WHOLE_STRUCTURE[[#This Row],[D, bottom '[m']]]-WHOLE_STRUCTURE[[#This Row],[D, top '[m']]])/(WHOLE_STRUCTURE[[#This Row],[Bottom '[m']]]-WHOLE_STRUCTURE[[#This Row],[Top '[m']]]),"")</f>
        <v/>
      </c>
      <c r="O207" s="52" t="str">
        <f>IFERROR((WHOLE_STRUCTURE[[#This Row],[D, bottom '[m']]]+WHOLE_STRUCTURE[[#This Row],[D, top '[m']]])/(2*WHOLE_STRUCTURE[[#This Row],[t '[mm']]]/1000),"")</f>
        <v/>
      </c>
      <c r="S207" s="223"/>
      <c r="T207" s="223"/>
      <c r="V207" s="264"/>
      <c r="W207" s="265"/>
      <c r="X207" s="223"/>
      <c r="Y207" s="223"/>
    </row>
    <row r="208" spans="7:25">
      <c r="G208" s="53"/>
      <c r="H208" s="53"/>
      <c r="I208" s="53"/>
      <c r="J208" s="53"/>
      <c r="K208" s="52"/>
      <c r="L208" s="145" t="str">
        <f t="shared" si="7"/>
        <v/>
      </c>
      <c r="M2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8" s="54" t="str">
        <f>IFERROR(-(WHOLE_STRUCTURE[[#This Row],[D, bottom '[m']]]-WHOLE_STRUCTURE[[#This Row],[D, top '[m']]])/(WHOLE_STRUCTURE[[#This Row],[Bottom '[m']]]-WHOLE_STRUCTURE[[#This Row],[Top '[m']]]),"")</f>
        <v/>
      </c>
      <c r="O208" s="52" t="str">
        <f>IFERROR((WHOLE_STRUCTURE[[#This Row],[D, bottom '[m']]]+WHOLE_STRUCTURE[[#This Row],[D, top '[m']]])/(2*WHOLE_STRUCTURE[[#This Row],[t '[mm']]]/1000),"")</f>
        <v/>
      </c>
      <c r="S208" s="223"/>
      <c r="T208" s="223"/>
      <c r="V208" s="264"/>
      <c r="W208" s="265"/>
      <c r="X208" s="223"/>
      <c r="Y208" s="223"/>
    </row>
    <row r="209" spans="7:25">
      <c r="G209" s="53"/>
      <c r="H209" s="53"/>
      <c r="I209" s="53"/>
      <c r="J209" s="53"/>
      <c r="K209" s="52"/>
      <c r="L209" s="145" t="str">
        <f t="shared" si="7"/>
        <v/>
      </c>
      <c r="M2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9" s="54" t="str">
        <f>IFERROR(-(WHOLE_STRUCTURE[[#This Row],[D, bottom '[m']]]-WHOLE_STRUCTURE[[#This Row],[D, top '[m']]])/(WHOLE_STRUCTURE[[#This Row],[Bottom '[m']]]-WHOLE_STRUCTURE[[#This Row],[Top '[m']]]),"")</f>
        <v/>
      </c>
      <c r="O209" s="52" t="str">
        <f>IFERROR((WHOLE_STRUCTURE[[#This Row],[D, bottom '[m']]]+WHOLE_STRUCTURE[[#This Row],[D, top '[m']]])/(2*WHOLE_STRUCTURE[[#This Row],[t '[mm']]]/1000),"")</f>
        <v/>
      </c>
      <c r="S209" s="223"/>
      <c r="T209" s="223"/>
      <c r="V209" s="264"/>
      <c r="W209" s="265"/>
      <c r="X209" s="223"/>
      <c r="Y209" s="223"/>
    </row>
    <row r="210" spans="7:25">
      <c r="G210" s="53"/>
      <c r="H210" s="53"/>
      <c r="I210" s="53"/>
      <c r="J210" s="53"/>
      <c r="K210" s="52"/>
      <c r="L210" s="145" t="str">
        <f t="shared" si="7"/>
        <v/>
      </c>
      <c r="M2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0" s="54" t="str">
        <f>IFERROR(-(WHOLE_STRUCTURE[[#This Row],[D, bottom '[m']]]-WHOLE_STRUCTURE[[#This Row],[D, top '[m']]])/(WHOLE_STRUCTURE[[#This Row],[Bottom '[m']]]-WHOLE_STRUCTURE[[#This Row],[Top '[m']]]),"")</f>
        <v/>
      </c>
      <c r="O210" s="52" t="str">
        <f>IFERROR((WHOLE_STRUCTURE[[#This Row],[D, bottom '[m']]]+WHOLE_STRUCTURE[[#This Row],[D, top '[m']]])/(2*WHOLE_STRUCTURE[[#This Row],[t '[mm']]]/1000),"")</f>
        <v/>
      </c>
      <c r="S210" s="223"/>
      <c r="T210" s="223"/>
      <c r="V210" s="264"/>
      <c r="W210" s="265"/>
      <c r="X210" s="223"/>
      <c r="Y210" s="223"/>
    </row>
    <row r="211" spans="7:25">
      <c r="G211" s="53"/>
      <c r="H211" s="53"/>
      <c r="I211" s="53"/>
      <c r="J211" s="53"/>
      <c r="K211" s="52"/>
      <c r="L211" s="145" t="str">
        <f t="shared" si="7"/>
        <v/>
      </c>
      <c r="M2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1" s="54" t="str">
        <f>IFERROR(-(WHOLE_STRUCTURE[[#This Row],[D, bottom '[m']]]-WHOLE_STRUCTURE[[#This Row],[D, top '[m']]])/(WHOLE_STRUCTURE[[#This Row],[Bottom '[m']]]-WHOLE_STRUCTURE[[#This Row],[Top '[m']]]),"")</f>
        <v/>
      </c>
      <c r="O211" s="52" t="str">
        <f>IFERROR((WHOLE_STRUCTURE[[#This Row],[D, bottom '[m']]]+WHOLE_STRUCTURE[[#This Row],[D, top '[m']]])/(2*WHOLE_STRUCTURE[[#This Row],[t '[mm']]]/1000),"")</f>
        <v/>
      </c>
      <c r="S211" s="223"/>
      <c r="T211" s="223"/>
      <c r="V211" s="264"/>
      <c r="W211" s="265"/>
      <c r="X211" s="223"/>
      <c r="Y211" s="223"/>
    </row>
    <row r="212" spans="7:25">
      <c r="G212" s="53"/>
      <c r="H212" s="53"/>
      <c r="I212" s="53"/>
      <c r="J212" s="53"/>
      <c r="K212" s="52"/>
      <c r="L212" s="145" t="str">
        <f t="shared" si="7"/>
        <v/>
      </c>
      <c r="M2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2" s="54" t="str">
        <f>IFERROR(-(WHOLE_STRUCTURE[[#This Row],[D, bottom '[m']]]-WHOLE_STRUCTURE[[#This Row],[D, top '[m']]])/(WHOLE_STRUCTURE[[#This Row],[Bottom '[m']]]-WHOLE_STRUCTURE[[#This Row],[Top '[m']]]),"")</f>
        <v/>
      </c>
      <c r="O212" s="52" t="str">
        <f>IFERROR((WHOLE_STRUCTURE[[#This Row],[D, bottom '[m']]]+WHOLE_STRUCTURE[[#This Row],[D, top '[m']]])/(2*WHOLE_STRUCTURE[[#This Row],[t '[mm']]]/1000),"")</f>
        <v/>
      </c>
      <c r="S212" s="223"/>
      <c r="T212" s="223"/>
      <c r="V212" s="264"/>
      <c r="W212" s="265"/>
      <c r="X212" s="223"/>
      <c r="Y212" s="223"/>
    </row>
    <row r="213" spans="7:25">
      <c r="G213" s="53"/>
      <c r="H213" s="53"/>
      <c r="I213" s="53"/>
      <c r="J213" s="53"/>
      <c r="K213" s="52"/>
      <c r="L213" s="145" t="str">
        <f t="shared" si="7"/>
        <v/>
      </c>
      <c r="M2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3" s="54" t="str">
        <f>IFERROR(-(WHOLE_STRUCTURE[[#This Row],[D, bottom '[m']]]-WHOLE_STRUCTURE[[#This Row],[D, top '[m']]])/(WHOLE_STRUCTURE[[#This Row],[Bottom '[m']]]-WHOLE_STRUCTURE[[#This Row],[Top '[m']]]),"")</f>
        <v/>
      </c>
      <c r="O213" s="52" t="str">
        <f>IFERROR((WHOLE_STRUCTURE[[#This Row],[D, bottom '[m']]]+WHOLE_STRUCTURE[[#This Row],[D, top '[m']]])/(2*WHOLE_STRUCTURE[[#This Row],[t '[mm']]]/1000),"")</f>
        <v/>
      </c>
      <c r="S213" s="223"/>
      <c r="T213" s="223"/>
      <c r="V213" s="264"/>
      <c r="W213" s="265"/>
      <c r="X213" s="223"/>
      <c r="Y213" s="223"/>
    </row>
    <row r="214" spans="7:25">
      <c r="G214" s="53"/>
      <c r="H214" s="53"/>
      <c r="I214" s="53"/>
      <c r="J214" s="53"/>
      <c r="K214" s="52"/>
      <c r="L214" s="145" t="str">
        <f t="shared" si="7"/>
        <v/>
      </c>
      <c r="M2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4" s="54" t="str">
        <f>IFERROR(-(WHOLE_STRUCTURE[[#This Row],[D, bottom '[m']]]-WHOLE_STRUCTURE[[#This Row],[D, top '[m']]])/(WHOLE_STRUCTURE[[#This Row],[Bottom '[m']]]-WHOLE_STRUCTURE[[#This Row],[Top '[m']]]),"")</f>
        <v/>
      </c>
      <c r="O214" s="52" t="str">
        <f>IFERROR((WHOLE_STRUCTURE[[#This Row],[D, bottom '[m']]]+WHOLE_STRUCTURE[[#This Row],[D, top '[m']]])/(2*WHOLE_STRUCTURE[[#This Row],[t '[mm']]]/1000),"")</f>
        <v/>
      </c>
      <c r="S214" s="223"/>
      <c r="T214" s="223"/>
      <c r="V214" s="264"/>
      <c r="W214" s="265"/>
      <c r="X214" s="223"/>
      <c r="Y214" s="223"/>
    </row>
    <row r="215" spans="7:25">
      <c r="G215" s="53"/>
      <c r="H215" s="53"/>
      <c r="I215" s="53"/>
      <c r="J215" s="53"/>
      <c r="K215" s="52"/>
      <c r="L215" s="145" t="str">
        <f t="shared" si="7"/>
        <v/>
      </c>
      <c r="M2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5" s="54" t="str">
        <f>IFERROR(-(WHOLE_STRUCTURE[[#This Row],[D, bottom '[m']]]-WHOLE_STRUCTURE[[#This Row],[D, top '[m']]])/(WHOLE_STRUCTURE[[#This Row],[Bottom '[m']]]-WHOLE_STRUCTURE[[#This Row],[Top '[m']]]),"")</f>
        <v/>
      </c>
      <c r="O215" s="52" t="str">
        <f>IFERROR((WHOLE_STRUCTURE[[#This Row],[D, bottom '[m']]]+WHOLE_STRUCTURE[[#This Row],[D, top '[m']]])/(2*WHOLE_STRUCTURE[[#This Row],[t '[mm']]]/1000),"")</f>
        <v/>
      </c>
      <c r="S215" s="223"/>
      <c r="T215" s="223"/>
      <c r="V215" s="264"/>
      <c r="W215" s="265"/>
      <c r="X215" s="223"/>
      <c r="Y215" s="223"/>
    </row>
    <row r="216" spans="7:25">
      <c r="G216" s="53"/>
      <c r="H216" s="53"/>
      <c r="I216" s="53"/>
      <c r="J216" s="53"/>
      <c r="K216" s="52"/>
      <c r="L216" s="145" t="str">
        <f t="shared" si="7"/>
        <v/>
      </c>
      <c r="M2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6" s="54" t="str">
        <f>IFERROR(-(WHOLE_STRUCTURE[[#This Row],[D, bottom '[m']]]-WHOLE_STRUCTURE[[#This Row],[D, top '[m']]])/(WHOLE_STRUCTURE[[#This Row],[Bottom '[m']]]-WHOLE_STRUCTURE[[#This Row],[Top '[m']]]),"")</f>
        <v/>
      </c>
      <c r="O216" s="52" t="str">
        <f>IFERROR((WHOLE_STRUCTURE[[#This Row],[D, bottom '[m']]]+WHOLE_STRUCTURE[[#This Row],[D, top '[m']]])/(2*WHOLE_STRUCTURE[[#This Row],[t '[mm']]]/1000),"")</f>
        <v/>
      </c>
      <c r="S216" s="223"/>
      <c r="T216" s="223"/>
      <c r="V216" s="264"/>
      <c r="W216" s="265"/>
      <c r="X216" s="223"/>
      <c r="Y216" s="223"/>
    </row>
    <row r="217" spans="7:25">
      <c r="G217" s="53"/>
      <c r="H217" s="53"/>
      <c r="I217" s="53"/>
      <c r="J217" s="53"/>
      <c r="K217" s="52"/>
      <c r="L217" s="145" t="str">
        <f t="shared" si="7"/>
        <v/>
      </c>
      <c r="M2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7" s="54" t="str">
        <f>IFERROR(-(WHOLE_STRUCTURE[[#This Row],[D, bottom '[m']]]-WHOLE_STRUCTURE[[#This Row],[D, top '[m']]])/(WHOLE_STRUCTURE[[#This Row],[Bottom '[m']]]-WHOLE_STRUCTURE[[#This Row],[Top '[m']]]),"")</f>
        <v/>
      </c>
      <c r="O217" s="52" t="str">
        <f>IFERROR((WHOLE_STRUCTURE[[#This Row],[D, bottom '[m']]]+WHOLE_STRUCTURE[[#This Row],[D, top '[m']]])/(2*WHOLE_STRUCTURE[[#This Row],[t '[mm']]]/1000),"")</f>
        <v/>
      </c>
      <c r="S217" s="223"/>
      <c r="T217" s="223"/>
      <c r="V217" s="264"/>
      <c r="W217" s="265"/>
      <c r="X217" s="223"/>
      <c r="Y217" s="223"/>
    </row>
    <row r="218" spans="7:25">
      <c r="G218" s="53"/>
      <c r="H218" s="53"/>
      <c r="I218" s="53"/>
      <c r="J218" s="53"/>
      <c r="K218" s="52"/>
      <c r="L218" s="145" t="str">
        <f t="shared" si="7"/>
        <v/>
      </c>
      <c r="M2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8" s="54" t="str">
        <f>IFERROR(-(WHOLE_STRUCTURE[[#This Row],[D, bottom '[m']]]-WHOLE_STRUCTURE[[#This Row],[D, top '[m']]])/(WHOLE_STRUCTURE[[#This Row],[Bottom '[m']]]-WHOLE_STRUCTURE[[#This Row],[Top '[m']]]),"")</f>
        <v/>
      </c>
      <c r="O218" s="52" t="str">
        <f>IFERROR((WHOLE_STRUCTURE[[#This Row],[D, bottom '[m']]]+WHOLE_STRUCTURE[[#This Row],[D, top '[m']]])/(2*WHOLE_STRUCTURE[[#This Row],[t '[mm']]]/1000),"")</f>
        <v/>
      </c>
      <c r="S218" s="223"/>
      <c r="T218" s="223"/>
      <c r="V218" s="264"/>
      <c r="W218" s="265"/>
      <c r="X218" s="223"/>
      <c r="Y218" s="223"/>
    </row>
    <row r="219" spans="7:25">
      <c r="G219" s="53"/>
      <c r="H219" s="53"/>
      <c r="I219" s="53"/>
      <c r="J219" s="53"/>
      <c r="K219" s="52"/>
      <c r="L219" s="145" t="str">
        <f t="shared" si="7"/>
        <v/>
      </c>
      <c r="M2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9" s="54" t="str">
        <f>IFERROR(-(WHOLE_STRUCTURE[[#This Row],[D, bottom '[m']]]-WHOLE_STRUCTURE[[#This Row],[D, top '[m']]])/(WHOLE_STRUCTURE[[#This Row],[Bottom '[m']]]-WHOLE_STRUCTURE[[#This Row],[Top '[m']]]),"")</f>
        <v/>
      </c>
      <c r="O219" s="52" t="str">
        <f>IFERROR((WHOLE_STRUCTURE[[#This Row],[D, bottom '[m']]]+WHOLE_STRUCTURE[[#This Row],[D, top '[m']]])/(2*WHOLE_STRUCTURE[[#This Row],[t '[mm']]]/1000),"")</f>
        <v/>
      </c>
      <c r="S219" s="223"/>
      <c r="T219" s="223"/>
      <c r="V219" s="264"/>
      <c r="W219" s="265"/>
      <c r="X219" s="223"/>
      <c r="Y219" s="223"/>
    </row>
    <row r="220" spans="7:25">
      <c r="G220" s="53"/>
      <c r="H220" s="53"/>
      <c r="I220" s="53"/>
      <c r="J220" s="53"/>
      <c r="K220" s="52"/>
      <c r="L220" s="145" t="str">
        <f t="shared" si="7"/>
        <v/>
      </c>
      <c r="M2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0" s="54" t="str">
        <f>IFERROR(-(WHOLE_STRUCTURE[[#This Row],[D, bottom '[m']]]-WHOLE_STRUCTURE[[#This Row],[D, top '[m']]])/(WHOLE_STRUCTURE[[#This Row],[Bottom '[m']]]-WHOLE_STRUCTURE[[#This Row],[Top '[m']]]),"")</f>
        <v/>
      </c>
      <c r="O220" s="52" t="str">
        <f>IFERROR((WHOLE_STRUCTURE[[#This Row],[D, bottom '[m']]]+WHOLE_STRUCTURE[[#This Row],[D, top '[m']]])/(2*WHOLE_STRUCTURE[[#This Row],[t '[mm']]]/1000),"")</f>
        <v/>
      </c>
      <c r="S220" s="223"/>
      <c r="T220" s="223"/>
      <c r="V220" s="264"/>
      <c r="W220" s="265"/>
      <c r="X220" s="223"/>
      <c r="Y220" s="223"/>
    </row>
    <row r="221" spans="7:25">
      <c r="G221" s="53"/>
      <c r="H221" s="53"/>
      <c r="I221" s="53"/>
      <c r="J221" s="53"/>
      <c r="K221" s="52"/>
      <c r="L221" s="145" t="str">
        <f t="shared" si="7"/>
        <v/>
      </c>
      <c r="M2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1" s="54" t="str">
        <f>IFERROR(-(WHOLE_STRUCTURE[[#This Row],[D, bottom '[m']]]-WHOLE_STRUCTURE[[#This Row],[D, top '[m']]])/(WHOLE_STRUCTURE[[#This Row],[Bottom '[m']]]-WHOLE_STRUCTURE[[#This Row],[Top '[m']]]),"")</f>
        <v/>
      </c>
      <c r="O221" s="52" t="str">
        <f>IFERROR((WHOLE_STRUCTURE[[#This Row],[D, bottom '[m']]]+WHOLE_STRUCTURE[[#This Row],[D, top '[m']]])/(2*WHOLE_STRUCTURE[[#This Row],[t '[mm']]]/1000),"")</f>
        <v/>
      </c>
      <c r="S221" s="223"/>
      <c r="T221" s="223"/>
      <c r="V221" s="264"/>
      <c r="W221" s="265"/>
      <c r="X221" s="223"/>
      <c r="Y221" s="223"/>
    </row>
    <row r="222" spans="7:25">
      <c r="G222" s="53"/>
      <c r="H222" s="53"/>
      <c r="I222" s="53"/>
      <c r="J222" s="53"/>
      <c r="K222" s="52"/>
      <c r="L222" s="145" t="str">
        <f t="shared" si="7"/>
        <v/>
      </c>
      <c r="M2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2" s="54" t="str">
        <f>IFERROR(-(WHOLE_STRUCTURE[[#This Row],[D, bottom '[m']]]-WHOLE_STRUCTURE[[#This Row],[D, top '[m']]])/(WHOLE_STRUCTURE[[#This Row],[Bottom '[m']]]-WHOLE_STRUCTURE[[#This Row],[Top '[m']]]),"")</f>
        <v/>
      </c>
      <c r="O222" s="52" t="str">
        <f>IFERROR((WHOLE_STRUCTURE[[#This Row],[D, bottom '[m']]]+WHOLE_STRUCTURE[[#This Row],[D, top '[m']]])/(2*WHOLE_STRUCTURE[[#This Row],[t '[mm']]]/1000),"")</f>
        <v/>
      </c>
      <c r="S222" s="223"/>
      <c r="T222" s="223"/>
      <c r="V222" s="264"/>
      <c r="W222" s="265"/>
      <c r="X222" s="223"/>
      <c r="Y222" s="223"/>
    </row>
    <row r="223" spans="7:25">
      <c r="G223" s="53"/>
      <c r="H223" s="53"/>
      <c r="I223" s="53"/>
      <c r="J223" s="53"/>
      <c r="K223" s="52"/>
      <c r="L223" s="145" t="str">
        <f t="shared" si="7"/>
        <v/>
      </c>
      <c r="M2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3" s="54" t="str">
        <f>IFERROR(-(WHOLE_STRUCTURE[[#This Row],[D, bottom '[m']]]-WHOLE_STRUCTURE[[#This Row],[D, top '[m']]])/(WHOLE_STRUCTURE[[#This Row],[Bottom '[m']]]-WHOLE_STRUCTURE[[#This Row],[Top '[m']]]),"")</f>
        <v/>
      </c>
      <c r="O223" s="52" t="str">
        <f>IFERROR((WHOLE_STRUCTURE[[#This Row],[D, bottom '[m']]]+WHOLE_STRUCTURE[[#This Row],[D, top '[m']]])/(2*WHOLE_STRUCTURE[[#This Row],[t '[mm']]]/1000),"")</f>
        <v/>
      </c>
      <c r="S223" s="223"/>
      <c r="T223" s="223"/>
      <c r="V223" s="264"/>
      <c r="W223" s="265"/>
      <c r="X223" s="223"/>
      <c r="Y223" s="223"/>
    </row>
    <row r="224" spans="7:25">
      <c r="G224" s="53"/>
      <c r="H224" s="53"/>
      <c r="I224" s="53"/>
      <c r="J224" s="53"/>
      <c r="K224" s="52"/>
      <c r="L224" s="145" t="str">
        <f t="shared" si="7"/>
        <v/>
      </c>
      <c r="M2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4" s="54" t="str">
        <f>IFERROR(-(WHOLE_STRUCTURE[[#This Row],[D, bottom '[m']]]-WHOLE_STRUCTURE[[#This Row],[D, top '[m']]])/(WHOLE_STRUCTURE[[#This Row],[Bottom '[m']]]-WHOLE_STRUCTURE[[#This Row],[Top '[m']]]),"")</f>
        <v/>
      </c>
      <c r="O224" s="52" t="str">
        <f>IFERROR((WHOLE_STRUCTURE[[#This Row],[D, bottom '[m']]]+WHOLE_STRUCTURE[[#This Row],[D, top '[m']]])/(2*WHOLE_STRUCTURE[[#This Row],[t '[mm']]]/1000),"")</f>
        <v/>
      </c>
      <c r="S224" s="223"/>
      <c r="T224" s="223"/>
      <c r="V224" s="264"/>
      <c r="W224" s="265"/>
      <c r="X224" s="223"/>
      <c r="Y224" s="223"/>
    </row>
    <row r="225" spans="7:25">
      <c r="G225" s="53"/>
      <c r="H225" s="53"/>
      <c r="I225" s="53"/>
      <c r="J225" s="53"/>
      <c r="K225" s="52"/>
      <c r="L225" s="145" t="str">
        <f t="shared" si="7"/>
        <v/>
      </c>
      <c r="M2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5" s="54" t="str">
        <f>IFERROR(-(WHOLE_STRUCTURE[[#This Row],[D, bottom '[m']]]-WHOLE_STRUCTURE[[#This Row],[D, top '[m']]])/(WHOLE_STRUCTURE[[#This Row],[Bottom '[m']]]-WHOLE_STRUCTURE[[#This Row],[Top '[m']]]),"")</f>
        <v/>
      </c>
      <c r="O225" s="52" t="str">
        <f>IFERROR((WHOLE_STRUCTURE[[#This Row],[D, bottom '[m']]]+WHOLE_STRUCTURE[[#This Row],[D, top '[m']]])/(2*WHOLE_STRUCTURE[[#This Row],[t '[mm']]]/1000),"")</f>
        <v/>
      </c>
      <c r="S225" s="223"/>
      <c r="T225" s="223"/>
      <c r="V225" s="264"/>
      <c r="W225" s="265"/>
      <c r="X225" s="223"/>
      <c r="Y225" s="223"/>
    </row>
    <row r="226" spans="7:25">
      <c r="G226" s="53"/>
      <c r="H226" s="53"/>
      <c r="I226" s="53"/>
      <c r="J226" s="53"/>
      <c r="K226" s="52"/>
      <c r="L226" s="145" t="str">
        <f t="shared" si="7"/>
        <v/>
      </c>
      <c r="M2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6" s="54" t="str">
        <f>IFERROR(-(WHOLE_STRUCTURE[[#This Row],[D, bottom '[m']]]-WHOLE_STRUCTURE[[#This Row],[D, top '[m']]])/(WHOLE_STRUCTURE[[#This Row],[Bottom '[m']]]-WHOLE_STRUCTURE[[#This Row],[Top '[m']]]),"")</f>
        <v/>
      </c>
      <c r="O226" s="52" t="str">
        <f>IFERROR((WHOLE_STRUCTURE[[#This Row],[D, bottom '[m']]]+WHOLE_STRUCTURE[[#This Row],[D, top '[m']]])/(2*WHOLE_STRUCTURE[[#This Row],[t '[mm']]]/1000),"")</f>
        <v/>
      </c>
      <c r="S226" s="223"/>
      <c r="T226" s="223"/>
      <c r="V226" s="264"/>
      <c r="W226" s="265"/>
      <c r="X226" s="223"/>
      <c r="Y226" s="223"/>
    </row>
    <row r="227" spans="7:25">
      <c r="G227" s="53"/>
      <c r="H227" s="53"/>
      <c r="I227" s="53"/>
      <c r="J227" s="53"/>
      <c r="K227" s="52"/>
      <c r="L227" s="145" t="str">
        <f t="shared" si="7"/>
        <v/>
      </c>
      <c r="M2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7" s="54" t="str">
        <f>IFERROR(-(WHOLE_STRUCTURE[[#This Row],[D, bottom '[m']]]-WHOLE_STRUCTURE[[#This Row],[D, top '[m']]])/(WHOLE_STRUCTURE[[#This Row],[Bottom '[m']]]-WHOLE_STRUCTURE[[#This Row],[Top '[m']]]),"")</f>
        <v/>
      </c>
      <c r="O227" s="52" t="str">
        <f>IFERROR((WHOLE_STRUCTURE[[#This Row],[D, bottom '[m']]]+WHOLE_STRUCTURE[[#This Row],[D, top '[m']]])/(2*WHOLE_STRUCTURE[[#This Row],[t '[mm']]]/1000),"")</f>
        <v/>
      </c>
      <c r="S227" s="223"/>
      <c r="T227" s="223"/>
      <c r="V227" s="264"/>
      <c r="W227" s="265"/>
      <c r="X227" s="223"/>
      <c r="Y227" s="223"/>
    </row>
    <row r="228" spans="7:25">
      <c r="G228" s="53"/>
      <c r="H228" s="53"/>
      <c r="I228" s="53"/>
      <c r="J228" s="53"/>
      <c r="K228" s="52"/>
      <c r="L228" s="145" t="str">
        <f t="shared" si="7"/>
        <v/>
      </c>
      <c r="M2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8" s="54" t="str">
        <f>IFERROR(-(WHOLE_STRUCTURE[[#This Row],[D, bottom '[m']]]-WHOLE_STRUCTURE[[#This Row],[D, top '[m']]])/(WHOLE_STRUCTURE[[#This Row],[Bottom '[m']]]-WHOLE_STRUCTURE[[#This Row],[Top '[m']]]),"")</f>
        <v/>
      </c>
      <c r="O228" s="52" t="str">
        <f>IFERROR((WHOLE_STRUCTURE[[#This Row],[D, bottom '[m']]]+WHOLE_STRUCTURE[[#This Row],[D, top '[m']]])/(2*WHOLE_STRUCTURE[[#This Row],[t '[mm']]]/1000),"")</f>
        <v/>
      </c>
      <c r="S228" s="223"/>
      <c r="T228" s="223"/>
      <c r="V228" s="264"/>
      <c r="W228" s="265"/>
      <c r="X228" s="223"/>
      <c r="Y228" s="223"/>
    </row>
    <row r="229" spans="7:25">
      <c r="G229" s="53"/>
      <c r="H229" s="53"/>
      <c r="I229" s="53"/>
      <c r="J229" s="53"/>
      <c r="K229" s="52"/>
      <c r="L229" s="145" t="str">
        <f t="shared" si="7"/>
        <v/>
      </c>
      <c r="M2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9" s="54" t="str">
        <f>IFERROR(-(WHOLE_STRUCTURE[[#This Row],[D, bottom '[m']]]-WHOLE_STRUCTURE[[#This Row],[D, top '[m']]])/(WHOLE_STRUCTURE[[#This Row],[Bottom '[m']]]-WHOLE_STRUCTURE[[#This Row],[Top '[m']]]),"")</f>
        <v/>
      </c>
      <c r="O229" s="52" t="str">
        <f>IFERROR((WHOLE_STRUCTURE[[#This Row],[D, bottom '[m']]]+WHOLE_STRUCTURE[[#This Row],[D, top '[m']]])/(2*WHOLE_STRUCTURE[[#This Row],[t '[mm']]]/1000),"")</f>
        <v/>
      </c>
      <c r="S229" s="223"/>
      <c r="T229" s="223"/>
      <c r="V229" s="264"/>
      <c r="W229" s="265"/>
      <c r="X229" s="223"/>
      <c r="Y229" s="223"/>
    </row>
    <row r="230" spans="7:25">
      <c r="G230" s="53"/>
      <c r="H230" s="53"/>
      <c r="I230" s="53"/>
      <c r="J230" s="53"/>
      <c r="K230" s="52"/>
      <c r="L230" s="145" t="str">
        <f t="shared" si="7"/>
        <v/>
      </c>
      <c r="M2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0" s="54" t="str">
        <f>IFERROR(-(WHOLE_STRUCTURE[[#This Row],[D, bottom '[m']]]-WHOLE_STRUCTURE[[#This Row],[D, top '[m']]])/(WHOLE_STRUCTURE[[#This Row],[Bottom '[m']]]-WHOLE_STRUCTURE[[#This Row],[Top '[m']]]),"")</f>
        <v/>
      </c>
      <c r="O230" s="52" t="str">
        <f>IFERROR((WHOLE_STRUCTURE[[#This Row],[D, bottom '[m']]]+WHOLE_STRUCTURE[[#This Row],[D, top '[m']]])/(2*WHOLE_STRUCTURE[[#This Row],[t '[mm']]]/1000),"")</f>
        <v/>
      </c>
      <c r="S230" s="223"/>
      <c r="T230" s="223"/>
      <c r="V230" s="264"/>
      <c r="W230" s="265"/>
      <c r="X230" s="223"/>
      <c r="Y230" s="223"/>
    </row>
    <row r="231" spans="7:25">
      <c r="G231" s="53"/>
      <c r="H231" s="53"/>
      <c r="I231" s="53"/>
      <c r="J231" s="53"/>
      <c r="K231" s="52"/>
      <c r="L231" s="145" t="str">
        <f t="shared" si="7"/>
        <v/>
      </c>
      <c r="M2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1" s="54" t="str">
        <f>IFERROR(-(WHOLE_STRUCTURE[[#This Row],[D, bottom '[m']]]-WHOLE_STRUCTURE[[#This Row],[D, top '[m']]])/(WHOLE_STRUCTURE[[#This Row],[Bottom '[m']]]-WHOLE_STRUCTURE[[#This Row],[Top '[m']]]),"")</f>
        <v/>
      </c>
      <c r="O231" s="52" t="str">
        <f>IFERROR((WHOLE_STRUCTURE[[#This Row],[D, bottom '[m']]]+WHOLE_STRUCTURE[[#This Row],[D, top '[m']]])/(2*WHOLE_STRUCTURE[[#This Row],[t '[mm']]]/1000),"")</f>
        <v/>
      </c>
      <c r="S231" s="223"/>
      <c r="T231" s="223"/>
      <c r="V231" s="264"/>
      <c r="W231" s="265"/>
      <c r="X231" s="223"/>
      <c r="Y231" s="223"/>
    </row>
    <row r="232" spans="7:25">
      <c r="G232" s="53"/>
      <c r="H232" s="53"/>
      <c r="I232" s="53"/>
      <c r="J232" s="53"/>
      <c r="K232" s="52"/>
      <c r="L232" s="145" t="str">
        <f t="shared" si="7"/>
        <v/>
      </c>
      <c r="M2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2" s="54" t="str">
        <f>IFERROR(-(WHOLE_STRUCTURE[[#This Row],[D, bottom '[m']]]-WHOLE_STRUCTURE[[#This Row],[D, top '[m']]])/(WHOLE_STRUCTURE[[#This Row],[Bottom '[m']]]-WHOLE_STRUCTURE[[#This Row],[Top '[m']]]),"")</f>
        <v/>
      </c>
      <c r="O232" s="52" t="str">
        <f>IFERROR((WHOLE_STRUCTURE[[#This Row],[D, bottom '[m']]]+WHOLE_STRUCTURE[[#This Row],[D, top '[m']]])/(2*WHOLE_STRUCTURE[[#This Row],[t '[mm']]]/1000),"")</f>
        <v/>
      </c>
      <c r="S232" s="223"/>
      <c r="T232" s="223"/>
      <c r="V232" s="264"/>
      <c r="W232" s="265"/>
      <c r="X232" s="223"/>
      <c r="Y232" s="223"/>
    </row>
    <row r="233" spans="7:25">
      <c r="G233" s="53"/>
      <c r="H233" s="53"/>
      <c r="I233" s="53"/>
      <c r="J233" s="53"/>
      <c r="K233" s="52"/>
      <c r="L233" s="145" t="str">
        <f t="shared" si="7"/>
        <v/>
      </c>
      <c r="M2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3" s="54" t="str">
        <f>IFERROR(-(WHOLE_STRUCTURE[[#This Row],[D, bottom '[m']]]-WHOLE_STRUCTURE[[#This Row],[D, top '[m']]])/(WHOLE_STRUCTURE[[#This Row],[Bottom '[m']]]-WHOLE_STRUCTURE[[#This Row],[Top '[m']]]),"")</f>
        <v/>
      </c>
      <c r="O233" s="52" t="str">
        <f>IFERROR((WHOLE_STRUCTURE[[#This Row],[D, bottom '[m']]]+WHOLE_STRUCTURE[[#This Row],[D, top '[m']]])/(2*WHOLE_STRUCTURE[[#This Row],[t '[mm']]]/1000),"")</f>
        <v/>
      </c>
      <c r="S233" s="223"/>
      <c r="T233" s="223"/>
      <c r="V233" s="264"/>
      <c r="W233" s="265"/>
      <c r="X233" s="223"/>
      <c r="Y233" s="223"/>
    </row>
    <row r="234" spans="7:25">
      <c r="G234" s="53"/>
      <c r="H234" s="53"/>
      <c r="I234" s="53"/>
      <c r="J234" s="53"/>
      <c r="K234" s="52"/>
      <c r="L234" s="145" t="str">
        <f t="shared" si="7"/>
        <v/>
      </c>
      <c r="M2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4" s="54" t="str">
        <f>IFERROR(-(WHOLE_STRUCTURE[[#This Row],[D, bottom '[m']]]-WHOLE_STRUCTURE[[#This Row],[D, top '[m']]])/(WHOLE_STRUCTURE[[#This Row],[Bottom '[m']]]-WHOLE_STRUCTURE[[#This Row],[Top '[m']]]),"")</f>
        <v/>
      </c>
      <c r="O234" s="52" t="str">
        <f>IFERROR((WHOLE_STRUCTURE[[#This Row],[D, bottom '[m']]]+WHOLE_STRUCTURE[[#This Row],[D, top '[m']]])/(2*WHOLE_STRUCTURE[[#This Row],[t '[mm']]]/1000),"")</f>
        <v/>
      </c>
      <c r="S234" s="223"/>
      <c r="T234" s="223"/>
      <c r="V234" s="264"/>
      <c r="W234" s="265"/>
      <c r="X234" s="223"/>
      <c r="Y234" s="223"/>
    </row>
    <row r="235" spans="7:25">
      <c r="G235" s="53"/>
      <c r="H235" s="53"/>
      <c r="I235" s="53"/>
      <c r="J235" s="53"/>
      <c r="K235" s="52"/>
      <c r="L235" s="145" t="str">
        <f t="shared" si="7"/>
        <v/>
      </c>
      <c r="M2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5" s="54" t="str">
        <f>IFERROR(-(WHOLE_STRUCTURE[[#This Row],[D, bottom '[m']]]-WHOLE_STRUCTURE[[#This Row],[D, top '[m']]])/(WHOLE_STRUCTURE[[#This Row],[Bottom '[m']]]-WHOLE_STRUCTURE[[#This Row],[Top '[m']]]),"")</f>
        <v/>
      </c>
      <c r="O235" s="52" t="str">
        <f>IFERROR((WHOLE_STRUCTURE[[#This Row],[D, bottom '[m']]]+WHOLE_STRUCTURE[[#This Row],[D, top '[m']]])/(2*WHOLE_STRUCTURE[[#This Row],[t '[mm']]]/1000),"")</f>
        <v/>
      </c>
      <c r="S235" s="223"/>
      <c r="T235" s="223"/>
      <c r="V235" s="264"/>
      <c r="W235" s="265"/>
      <c r="X235" s="223"/>
      <c r="Y235" s="223"/>
    </row>
    <row r="236" spans="7:25">
      <c r="G236" s="53"/>
      <c r="H236" s="53"/>
      <c r="I236" s="53"/>
      <c r="J236" s="53"/>
      <c r="K236" s="52"/>
      <c r="L236" s="145" t="str">
        <f t="shared" si="7"/>
        <v/>
      </c>
      <c r="M2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6" s="54" t="str">
        <f>IFERROR(-(WHOLE_STRUCTURE[[#This Row],[D, bottom '[m']]]-WHOLE_STRUCTURE[[#This Row],[D, top '[m']]])/(WHOLE_STRUCTURE[[#This Row],[Bottom '[m']]]-WHOLE_STRUCTURE[[#This Row],[Top '[m']]]),"")</f>
        <v/>
      </c>
      <c r="O236" s="52" t="str">
        <f>IFERROR((WHOLE_STRUCTURE[[#This Row],[D, bottom '[m']]]+WHOLE_STRUCTURE[[#This Row],[D, top '[m']]])/(2*WHOLE_STRUCTURE[[#This Row],[t '[mm']]]/1000),"")</f>
        <v/>
      </c>
      <c r="S236" s="223"/>
      <c r="T236" s="223"/>
      <c r="V236" s="264"/>
      <c r="W236" s="265"/>
      <c r="X236" s="223"/>
      <c r="Y236" s="223"/>
    </row>
    <row r="237" spans="7:25">
      <c r="G237" s="53"/>
      <c r="H237" s="53"/>
      <c r="I237" s="53"/>
      <c r="J237" s="53"/>
      <c r="K237" s="52"/>
      <c r="L237" s="145" t="str">
        <f t="shared" si="7"/>
        <v/>
      </c>
      <c r="M2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7" s="54" t="str">
        <f>IFERROR(-(WHOLE_STRUCTURE[[#This Row],[D, bottom '[m']]]-WHOLE_STRUCTURE[[#This Row],[D, top '[m']]])/(WHOLE_STRUCTURE[[#This Row],[Bottom '[m']]]-WHOLE_STRUCTURE[[#This Row],[Top '[m']]]),"")</f>
        <v/>
      </c>
      <c r="O237" s="52" t="str">
        <f>IFERROR((WHOLE_STRUCTURE[[#This Row],[D, bottom '[m']]]+WHOLE_STRUCTURE[[#This Row],[D, top '[m']]])/(2*WHOLE_STRUCTURE[[#This Row],[t '[mm']]]/1000),"")</f>
        <v/>
      </c>
      <c r="S237" s="223"/>
      <c r="T237" s="223"/>
      <c r="V237" s="264"/>
      <c r="W237" s="265"/>
      <c r="X237" s="223"/>
      <c r="Y237" s="223"/>
    </row>
    <row r="238" spans="7:25">
      <c r="G238" s="53"/>
      <c r="H238" s="53"/>
      <c r="I238" s="53"/>
      <c r="J238" s="53"/>
      <c r="K238" s="52"/>
      <c r="L238" s="145" t="str">
        <f t="shared" si="7"/>
        <v/>
      </c>
      <c r="M2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8" s="54" t="str">
        <f>IFERROR(-(WHOLE_STRUCTURE[[#This Row],[D, bottom '[m']]]-WHOLE_STRUCTURE[[#This Row],[D, top '[m']]])/(WHOLE_STRUCTURE[[#This Row],[Bottom '[m']]]-WHOLE_STRUCTURE[[#This Row],[Top '[m']]]),"")</f>
        <v/>
      </c>
      <c r="O238" s="52" t="str">
        <f>IFERROR((WHOLE_STRUCTURE[[#This Row],[D, bottom '[m']]]+WHOLE_STRUCTURE[[#This Row],[D, top '[m']]])/(2*WHOLE_STRUCTURE[[#This Row],[t '[mm']]]/1000),"")</f>
        <v/>
      </c>
      <c r="S238" s="223"/>
      <c r="T238" s="223"/>
      <c r="V238" s="264"/>
      <c r="W238" s="265"/>
      <c r="X238" s="223"/>
      <c r="Y238" s="223"/>
    </row>
    <row r="239" spans="7:25">
      <c r="G239" s="53"/>
      <c r="H239" s="53"/>
      <c r="I239" s="53"/>
      <c r="J239" s="53"/>
      <c r="K239" s="52"/>
      <c r="L239" s="145" t="str">
        <f t="shared" si="7"/>
        <v/>
      </c>
      <c r="M2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9" s="54" t="str">
        <f>IFERROR(-(WHOLE_STRUCTURE[[#This Row],[D, bottom '[m']]]-WHOLE_STRUCTURE[[#This Row],[D, top '[m']]])/(WHOLE_STRUCTURE[[#This Row],[Bottom '[m']]]-WHOLE_STRUCTURE[[#This Row],[Top '[m']]]),"")</f>
        <v/>
      </c>
      <c r="O239" s="52" t="str">
        <f>IFERROR((WHOLE_STRUCTURE[[#This Row],[D, bottom '[m']]]+WHOLE_STRUCTURE[[#This Row],[D, top '[m']]])/(2*WHOLE_STRUCTURE[[#This Row],[t '[mm']]]/1000),"")</f>
        <v/>
      </c>
      <c r="S239" s="223"/>
      <c r="T239" s="223"/>
      <c r="V239" s="264"/>
      <c r="W239" s="265"/>
      <c r="X239" s="223"/>
      <c r="Y239" s="223"/>
    </row>
    <row r="240" spans="7:25">
      <c r="G240" s="53"/>
      <c r="H240" s="53"/>
      <c r="I240" s="53"/>
      <c r="J240" s="53"/>
      <c r="K240" s="52"/>
      <c r="L240" s="145" t="str">
        <f t="shared" si="7"/>
        <v/>
      </c>
      <c r="M2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0" s="54" t="str">
        <f>IFERROR(-(WHOLE_STRUCTURE[[#This Row],[D, bottom '[m']]]-WHOLE_STRUCTURE[[#This Row],[D, top '[m']]])/(WHOLE_STRUCTURE[[#This Row],[Bottom '[m']]]-WHOLE_STRUCTURE[[#This Row],[Top '[m']]]),"")</f>
        <v/>
      </c>
      <c r="O240" s="52" t="str">
        <f>IFERROR((WHOLE_STRUCTURE[[#This Row],[D, bottom '[m']]]+WHOLE_STRUCTURE[[#This Row],[D, top '[m']]])/(2*WHOLE_STRUCTURE[[#This Row],[t '[mm']]]/1000),"")</f>
        <v/>
      </c>
      <c r="S240" s="223"/>
      <c r="T240" s="223"/>
      <c r="V240" s="264"/>
      <c r="W240" s="265"/>
      <c r="X240" s="223"/>
      <c r="Y240" s="223"/>
    </row>
    <row r="241" spans="7:25">
      <c r="G241" s="53"/>
      <c r="H241" s="53"/>
      <c r="I241" s="53"/>
      <c r="J241" s="53"/>
      <c r="K241" s="52"/>
      <c r="L241" s="145" t="str">
        <f t="shared" si="7"/>
        <v/>
      </c>
      <c r="M2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1" s="54" t="str">
        <f>IFERROR(-(WHOLE_STRUCTURE[[#This Row],[D, bottom '[m']]]-WHOLE_STRUCTURE[[#This Row],[D, top '[m']]])/(WHOLE_STRUCTURE[[#This Row],[Bottom '[m']]]-WHOLE_STRUCTURE[[#This Row],[Top '[m']]]),"")</f>
        <v/>
      </c>
      <c r="O241" s="52" t="str">
        <f>IFERROR((WHOLE_STRUCTURE[[#This Row],[D, bottom '[m']]]+WHOLE_STRUCTURE[[#This Row],[D, top '[m']]])/(2*WHOLE_STRUCTURE[[#This Row],[t '[mm']]]/1000),"")</f>
        <v/>
      </c>
      <c r="S241" s="223"/>
      <c r="T241" s="223"/>
      <c r="V241" s="264"/>
      <c r="W241" s="265"/>
      <c r="X241" s="223"/>
      <c r="Y241" s="223"/>
    </row>
    <row r="242" spans="7:25">
      <c r="G242" s="53"/>
      <c r="H242" s="53"/>
      <c r="I242" s="53"/>
      <c r="J242" s="53"/>
      <c r="K242" s="52"/>
      <c r="L242" s="145" t="str">
        <f t="shared" si="7"/>
        <v/>
      </c>
      <c r="M2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2" s="54" t="str">
        <f>IFERROR(-(WHOLE_STRUCTURE[[#This Row],[D, bottom '[m']]]-WHOLE_STRUCTURE[[#This Row],[D, top '[m']]])/(WHOLE_STRUCTURE[[#This Row],[Bottom '[m']]]-WHOLE_STRUCTURE[[#This Row],[Top '[m']]]),"")</f>
        <v/>
      </c>
      <c r="O242" s="52" t="str">
        <f>IFERROR((WHOLE_STRUCTURE[[#This Row],[D, bottom '[m']]]+WHOLE_STRUCTURE[[#This Row],[D, top '[m']]])/(2*WHOLE_STRUCTURE[[#This Row],[t '[mm']]]/1000),"")</f>
        <v/>
      </c>
      <c r="S242" s="223"/>
      <c r="T242" s="223"/>
      <c r="V242" s="264"/>
      <c r="W242" s="265"/>
      <c r="X242" s="223"/>
      <c r="Y242" s="223"/>
    </row>
    <row r="243" spans="7:25">
      <c r="G243" s="53"/>
      <c r="H243" s="53"/>
      <c r="I243" s="53"/>
      <c r="J243" s="53"/>
      <c r="K243" s="52"/>
      <c r="L243" s="145" t="str">
        <f t="shared" si="7"/>
        <v/>
      </c>
      <c r="M2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3" s="54" t="str">
        <f>IFERROR(-(WHOLE_STRUCTURE[[#This Row],[D, bottom '[m']]]-WHOLE_STRUCTURE[[#This Row],[D, top '[m']]])/(WHOLE_STRUCTURE[[#This Row],[Bottom '[m']]]-WHOLE_STRUCTURE[[#This Row],[Top '[m']]]),"")</f>
        <v/>
      </c>
      <c r="O243" s="52" t="str">
        <f>IFERROR((WHOLE_STRUCTURE[[#This Row],[D, bottom '[m']]]+WHOLE_STRUCTURE[[#This Row],[D, top '[m']]])/(2*WHOLE_STRUCTURE[[#This Row],[t '[mm']]]/1000),"")</f>
        <v/>
      </c>
      <c r="S243" s="223"/>
      <c r="T243" s="223"/>
      <c r="V243" s="264"/>
      <c r="W243" s="265"/>
      <c r="X243" s="223"/>
      <c r="Y243" s="223"/>
    </row>
    <row r="244" spans="7:25">
      <c r="G244" s="53"/>
      <c r="H244" s="53"/>
      <c r="I244" s="53"/>
      <c r="J244" s="53"/>
      <c r="K244" s="52"/>
      <c r="L244" s="145" t="str">
        <f t="shared" si="7"/>
        <v/>
      </c>
      <c r="M2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4" s="54" t="str">
        <f>IFERROR(-(WHOLE_STRUCTURE[[#This Row],[D, bottom '[m']]]-WHOLE_STRUCTURE[[#This Row],[D, top '[m']]])/(WHOLE_STRUCTURE[[#This Row],[Bottom '[m']]]-WHOLE_STRUCTURE[[#This Row],[Top '[m']]]),"")</f>
        <v/>
      </c>
      <c r="O244" s="52" t="str">
        <f>IFERROR((WHOLE_STRUCTURE[[#This Row],[D, bottom '[m']]]+WHOLE_STRUCTURE[[#This Row],[D, top '[m']]])/(2*WHOLE_STRUCTURE[[#This Row],[t '[mm']]]/1000),"")</f>
        <v/>
      </c>
      <c r="S244" s="223"/>
      <c r="T244" s="223"/>
      <c r="V244" s="264"/>
      <c r="W244" s="265"/>
      <c r="X244" s="223"/>
      <c r="Y244" s="223"/>
    </row>
    <row r="245" spans="7:25">
      <c r="G245" s="53"/>
      <c r="H245" s="53"/>
      <c r="I245" s="53"/>
      <c r="J245" s="53"/>
      <c r="K245" s="52"/>
      <c r="L245" s="145" t="str">
        <f t="shared" si="7"/>
        <v/>
      </c>
      <c r="M2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5" s="54" t="str">
        <f>IFERROR(-(WHOLE_STRUCTURE[[#This Row],[D, bottom '[m']]]-WHOLE_STRUCTURE[[#This Row],[D, top '[m']]])/(WHOLE_STRUCTURE[[#This Row],[Bottom '[m']]]-WHOLE_STRUCTURE[[#This Row],[Top '[m']]]),"")</f>
        <v/>
      </c>
      <c r="O245" s="52" t="str">
        <f>IFERROR((WHOLE_STRUCTURE[[#This Row],[D, bottom '[m']]]+WHOLE_STRUCTURE[[#This Row],[D, top '[m']]])/(2*WHOLE_STRUCTURE[[#This Row],[t '[mm']]]/1000),"")</f>
        <v/>
      </c>
      <c r="S245" s="223"/>
      <c r="T245" s="223"/>
      <c r="V245" s="264"/>
      <c r="W245" s="265"/>
      <c r="X245" s="223"/>
      <c r="Y245" s="223"/>
    </row>
    <row r="246" spans="7:25">
      <c r="G246" s="53"/>
      <c r="H246" s="53"/>
      <c r="I246" s="53"/>
      <c r="J246" s="53"/>
      <c r="K246" s="52"/>
      <c r="L246" s="145" t="str">
        <f t="shared" si="7"/>
        <v/>
      </c>
      <c r="M2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6" s="54" t="str">
        <f>IFERROR(-(WHOLE_STRUCTURE[[#This Row],[D, bottom '[m']]]-WHOLE_STRUCTURE[[#This Row],[D, top '[m']]])/(WHOLE_STRUCTURE[[#This Row],[Bottom '[m']]]-WHOLE_STRUCTURE[[#This Row],[Top '[m']]]),"")</f>
        <v/>
      </c>
      <c r="O246" s="52" t="str">
        <f>IFERROR((WHOLE_STRUCTURE[[#This Row],[D, bottom '[m']]]+WHOLE_STRUCTURE[[#This Row],[D, top '[m']]])/(2*WHOLE_STRUCTURE[[#This Row],[t '[mm']]]/1000),"")</f>
        <v/>
      </c>
      <c r="S246" s="223"/>
      <c r="T246" s="223"/>
      <c r="V246" s="264"/>
      <c r="W246" s="265"/>
      <c r="X246" s="223"/>
      <c r="Y246" s="223"/>
    </row>
    <row r="247" spans="7:25">
      <c r="G247" s="53"/>
      <c r="H247" s="53"/>
      <c r="I247" s="53"/>
      <c r="J247" s="53"/>
      <c r="K247" s="52"/>
      <c r="L247" s="145" t="str">
        <f t="shared" si="7"/>
        <v/>
      </c>
      <c r="M2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7" s="54" t="str">
        <f>IFERROR(-(WHOLE_STRUCTURE[[#This Row],[D, bottom '[m']]]-WHOLE_STRUCTURE[[#This Row],[D, top '[m']]])/(WHOLE_STRUCTURE[[#This Row],[Bottom '[m']]]-WHOLE_STRUCTURE[[#This Row],[Top '[m']]]),"")</f>
        <v/>
      </c>
      <c r="O247" s="52" t="str">
        <f>IFERROR((WHOLE_STRUCTURE[[#This Row],[D, bottom '[m']]]+WHOLE_STRUCTURE[[#This Row],[D, top '[m']]])/(2*WHOLE_STRUCTURE[[#This Row],[t '[mm']]]/1000),"")</f>
        <v/>
      </c>
      <c r="S247" s="223"/>
      <c r="T247" s="223"/>
      <c r="V247" s="264"/>
      <c r="W247" s="265"/>
      <c r="X247" s="223"/>
      <c r="Y247" s="223"/>
    </row>
    <row r="248" spans="7:25">
      <c r="G248" s="53"/>
      <c r="H248" s="53"/>
      <c r="I248" s="53"/>
      <c r="J248" s="53"/>
      <c r="K248" s="52"/>
      <c r="L248" s="145" t="str">
        <f t="shared" si="7"/>
        <v/>
      </c>
      <c r="M2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8" s="54" t="str">
        <f>IFERROR(-(WHOLE_STRUCTURE[[#This Row],[D, bottom '[m']]]-WHOLE_STRUCTURE[[#This Row],[D, top '[m']]])/(WHOLE_STRUCTURE[[#This Row],[Bottom '[m']]]-WHOLE_STRUCTURE[[#This Row],[Top '[m']]]),"")</f>
        <v/>
      </c>
      <c r="O248" s="52" t="str">
        <f>IFERROR((WHOLE_STRUCTURE[[#This Row],[D, bottom '[m']]]+WHOLE_STRUCTURE[[#This Row],[D, top '[m']]])/(2*WHOLE_STRUCTURE[[#This Row],[t '[mm']]]/1000),"")</f>
        <v/>
      </c>
      <c r="S248" s="223"/>
      <c r="T248" s="223"/>
      <c r="V248" s="264"/>
      <c r="W248" s="265"/>
      <c r="X248" s="223"/>
      <c r="Y248" s="223"/>
    </row>
    <row r="249" spans="7:25">
      <c r="G249" s="53"/>
      <c r="H249" s="53"/>
      <c r="I249" s="53"/>
      <c r="J249" s="53"/>
      <c r="K249" s="52"/>
      <c r="L249" s="145" t="str">
        <f t="shared" si="7"/>
        <v/>
      </c>
      <c r="M2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9" s="54" t="str">
        <f>IFERROR(-(WHOLE_STRUCTURE[[#This Row],[D, bottom '[m']]]-WHOLE_STRUCTURE[[#This Row],[D, top '[m']]])/(WHOLE_STRUCTURE[[#This Row],[Bottom '[m']]]-WHOLE_STRUCTURE[[#This Row],[Top '[m']]]),"")</f>
        <v/>
      </c>
      <c r="O249" s="52" t="str">
        <f>IFERROR((WHOLE_STRUCTURE[[#This Row],[D, bottom '[m']]]+WHOLE_STRUCTURE[[#This Row],[D, top '[m']]])/(2*WHOLE_STRUCTURE[[#This Row],[t '[mm']]]/1000),"")</f>
        <v/>
      </c>
      <c r="S249" s="223"/>
      <c r="T249" s="223"/>
      <c r="V249" s="264"/>
      <c r="W249" s="265"/>
      <c r="X249" s="223"/>
      <c r="Y249" s="223"/>
    </row>
    <row r="250" spans="7:25">
      <c r="G250" s="53"/>
      <c r="H250" s="53"/>
      <c r="I250" s="53"/>
      <c r="J250" s="53"/>
      <c r="K250" s="52"/>
      <c r="L250" s="145" t="str">
        <f t="shared" si="7"/>
        <v/>
      </c>
      <c r="M2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0" s="54" t="str">
        <f>IFERROR(-(WHOLE_STRUCTURE[[#This Row],[D, bottom '[m']]]-WHOLE_STRUCTURE[[#This Row],[D, top '[m']]])/(WHOLE_STRUCTURE[[#This Row],[Bottom '[m']]]-WHOLE_STRUCTURE[[#This Row],[Top '[m']]]),"")</f>
        <v/>
      </c>
      <c r="O250" s="52" t="str">
        <f>IFERROR((WHOLE_STRUCTURE[[#This Row],[D, bottom '[m']]]+WHOLE_STRUCTURE[[#This Row],[D, top '[m']]])/(2*WHOLE_STRUCTURE[[#This Row],[t '[mm']]]/1000),"")</f>
        <v/>
      </c>
      <c r="S250" s="223"/>
      <c r="T250" s="223"/>
      <c r="V250" s="264"/>
      <c r="W250" s="265"/>
      <c r="X250" s="223"/>
      <c r="Y250" s="223"/>
    </row>
    <row r="251" spans="7:25">
      <c r="G251" s="53"/>
      <c r="H251" s="53"/>
      <c r="I251" s="53"/>
      <c r="J251" s="53"/>
      <c r="K251" s="52"/>
      <c r="L251" s="145" t="str">
        <f t="shared" si="7"/>
        <v/>
      </c>
      <c r="M2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1" s="54" t="str">
        <f>IFERROR(-(WHOLE_STRUCTURE[[#This Row],[D, bottom '[m']]]-WHOLE_STRUCTURE[[#This Row],[D, top '[m']]])/(WHOLE_STRUCTURE[[#This Row],[Bottom '[m']]]-WHOLE_STRUCTURE[[#This Row],[Top '[m']]]),"")</f>
        <v/>
      </c>
      <c r="O251" s="52" t="str">
        <f>IFERROR((WHOLE_STRUCTURE[[#This Row],[D, bottom '[m']]]+WHOLE_STRUCTURE[[#This Row],[D, top '[m']]])/(2*WHOLE_STRUCTURE[[#This Row],[t '[mm']]]/1000),"")</f>
        <v/>
      </c>
      <c r="S251" s="223"/>
      <c r="T251" s="223"/>
      <c r="V251" s="264"/>
      <c r="W251" s="265"/>
      <c r="X251" s="223"/>
      <c r="Y251" s="223"/>
    </row>
    <row r="252" spans="7:25">
      <c r="G252" s="53"/>
      <c r="H252" s="53"/>
      <c r="I252" s="53"/>
      <c r="J252" s="53"/>
      <c r="K252" s="52"/>
      <c r="L252" s="145" t="str">
        <f t="shared" si="7"/>
        <v/>
      </c>
      <c r="M2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2" s="54" t="str">
        <f>IFERROR(-(WHOLE_STRUCTURE[[#This Row],[D, bottom '[m']]]-WHOLE_STRUCTURE[[#This Row],[D, top '[m']]])/(WHOLE_STRUCTURE[[#This Row],[Bottom '[m']]]-WHOLE_STRUCTURE[[#This Row],[Top '[m']]]),"")</f>
        <v/>
      </c>
      <c r="O252" s="52" t="str">
        <f>IFERROR((WHOLE_STRUCTURE[[#This Row],[D, bottom '[m']]]+WHOLE_STRUCTURE[[#This Row],[D, top '[m']]])/(2*WHOLE_STRUCTURE[[#This Row],[t '[mm']]]/1000),"")</f>
        <v/>
      </c>
      <c r="S252" s="223"/>
      <c r="T252" s="223"/>
      <c r="V252" s="264"/>
      <c r="W252" s="265"/>
      <c r="X252" s="223"/>
      <c r="Y252" s="223"/>
    </row>
    <row r="253" spans="7:25">
      <c r="G253" s="53"/>
      <c r="H253" s="53"/>
      <c r="I253" s="53"/>
      <c r="J253" s="53"/>
      <c r="K253" s="52"/>
      <c r="L253" s="145" t="str">
        <f t="shared" si="7"/>
        <v/>
      </c>
      <c r="M2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3" s="54" t="str">
        <f>IFERROR(-(WHOLE_STRUCTURE[[#This Row],[D, bottom '[m']]]-WHOLE_STRUCTURE[[#This Row],[D, top '[m']]])/(WHOLE_STRUCTURE[[#This Row],[Bottom '[m']]]-WHOLE_STRUCTURE[[#This Row],[Top '[m']]]),"")</f>
        <v/>
      </c>
      <c r="O253" s="52" t="str">
        <f>IFERROR((WHOLE_STRUCTURE[[#This Row],[D, bottom '[m']]]+WHOLE_STRUCTURE[[#This Row],[D, top '[m']]])/(2*WHOLE_STRUCTURE[[#This Row],[t '[mm']]]/1000),"")</f>
        <v/>
      </c>
      <c r="S253" s="223"/>
      <c r="T253" s="223"/>
      <c r="V253" s="264"/>
      <c r="W253" s="265"/>
      <c r="X253" s="223"/>
      <c r="Y253" s="223"/>
    </row>
    <row r="254" spans="7:25">
      <c r="G254" s="53"/>
      <c r="H254" s="53"/>
      <c r="I254" s="53"/>
      <c r="J254" s="53"/>
      <c r="K254" s="52"/>
      <c r="L254" s="145" t="str">
        <f t="shared" si="7"/>
        <v/>
      </c>
      <c r="M2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4" s="54" t="str">
        <f>IFERROR(-(WHOLE_STRUCTURE[[#This Row],[D, bottom '[m']]]-WHOLE_STRUCTURE[[#This Row],[D, top '[m']]])/(WHOLE_STRUCTURE[[#This Row],[Bottom '[m']]]-WHOLE_STRUCTURE[[#This Row],[Top '[m']]]),"")</f>
        <v/>
      </c>
      <c r="O254" s="52" t="str">
        <f>IFERROR((WHOLE_STRUCTURE[[#This Row],[D, bottom '[m']]]+WHOLE_STRUCTURE[[#This Row],[D, top '[m']]])/(2*WHOLE_STRUCTURE[[#This Row],[t '[mm']]]/1000),"")</f>
        <v/>
      </c>
      <c r="S254" s="223"/>
      <c r="T254" s="223"/>
      <c r="V254" s="264"/>
      <c r="W254" s="265"/>
      <c r="X254" s="223"/>
      <c r="Y254" s="223"/>
    </row>
    <row r="255" spans="7:25">
      <c r="G255" s="53"/>
      <c r="H255" s="53"/>
      <c r="I255" s="53"/>
      <c r="J255" s="53"/>
      <c r="K255" s="52"/>
      <c r="L255" s="145" t="str">
        <f t="shared" si="7"/>
        <v/>
      </c>
      <c r="M2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5" s="54" t="str">
        <f>IFERROR(-(WHOLE_STRUCTURE[[#This Row],[D, bottom '[m']]]-WHOLE_STRUCTURE[[#This Row],[D, top '[m']]])/(WHOLE_STRUCTURE[[#This Row],[Bottom '[m']]]-WHOLE_STRUCTURE[[#This Row],[Top '[m']]]),"")</f>
        <v/>
      </c>
      <c r="O255" s="52" t="str">
        <f>IFERROR((WHOLE_STRUCTURE[[#This Row],[D, bottom '[m']]]+WHOLE_STRUCTURE[[#This Row],[D, top '[m']]])/(2*WHOLE_STRUCTURE[[#This Row],[t '[mm']]]/1000),"")</f>
        <v/>
      </c>
      <c r="S255" s="223"/>
      <c r="T255" s="223"/>
      <c r="V255" s="264"/>
      <c r="W255" s="265"/>
      <c r="X255" s="223"/>
      <c r="Y255" s="223"/>
    </row>
    <row r="256" spans="7:25">
      <c r="G256" s="53"/>
      <c r="H256" s="53"/>
      <c r="I256" s="53"/>
      <c r="J256" s="53"/>
      <c r="K256" s="52"/>
      <c r="L256" s="145" t="str">
        <f t="shared" si="7"/>
        <v/>
      </c>
      <c r="M2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6" s="54" t="str">
        <f>IFERROR(-(WHOLE_STRUCTURE[[#This Row],[D, bottom '[m']]]-WHOLE_STRUCTURE[[#This Row],[D, top '[m']]])/(WHOLE_STRUCTURE[[#This Row],[Bottom '[m']]]-WHOLE_STRUCTURE[[#This Row],[Top '[m']]]),"")</f>
        <v/>
      </c>
      <c r="O256" s="52" t="str">
        <f>IFERROR((WHOLE_STRUCTURE[[#This Row],[D, bottom '[m']]]+WHOLE_STRUCTURE[[#This Row],[D, top '[m']]])/(2*WHOLE_STRUCTURE[[#This Row],[t '[mm']]]/1000),"")</f>
        <v/>
      </c>
      <c r="S256" s="223"/>
      <c r="T256" s="223"/>
      <c r="V256" s="264"/>
      <c r="W256" s="265"/>
      <c r="X256" s="223"/>
      <c r="Y256" s="223"/>
    </row>
    <row r="257" spans="7:25">
      <c r="G257" s="53"/>
      <c r="H257" s="53"/>
      <c r="I257" s="53"/>
      <c r="J257" s="53"/>
      <c r="K257" s="52"/>
      <c r="L257" s="145" t="str">
        <f t="shared" si="7"/>
        <v/>
      </c>
      <c r="M2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7" s="54" t="str">
        <f>IFERROR(-(WHOLE_STRUCTURE[[#This Row],[D, bottom '[m']]]-WHOLE_STRUCTURE[[#This Row],[D, top '[m']]])/(WHOLE_STRUCTURE[[#This Row],[Bottom '[m']]]-WHOLE_STRUCTURE[[#This Row],[Top '[m']]]),"")</f>
        <v/>
      </c>
      <c r="O257" s="52" t="str">
        <f>IFERROR((WHOLE_STRUCTURE[[#This Row],[D, bottom '[m']]]+WHOLE_STRUCTURE[[#This Row],[D, top '[m']]])/(2*WHOLE_STRUCTURE[[#This Row],[t '[mm']]]/1000),"")</f>
        <v/>
      </c>
      <c r="S257" s="223"/>
      <c r="T257" s="223"/>
      <c r="V257" s="264"/>
      <c r="W257" s="265"/>
      <c r="X257" s="223"/>
      <c r="Y257" s="223"/>
    </row>
    <row r="258" spans="7:25">
      <c r="G258" s="53"/>
      <c r="H258" s="53"/>
      <c r="I258" s="53"/>
      <c r="J258" s="53"/>
      <c r="K258" s="52"/>
      <c r="L258" s="145" t="str">
        <f t="shared" si="7"/>
        <v/>
      </c>
      <c r="M2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8" s="54" t="str">
        <f>IFERROR(-(WHOLE_STRUCTURE[[#This Row],[D, bottom '[m']]]-WHOLE_STRUCTURE[[#This Row],[D, top '[m']]])/(WHOLE_STRUCTURE[[#This Row],[Bottom '[m']]]-WHOLE_STRUCTURE[[#This Row],[Top '[m']]]),"")</f>
        <v/>
      </c>
      <c r="O258" s="52" t="str">
        <f>IFERROR((WHOLE_STRUCTURE[[#This Row],[D, bottom '[m']]]+WHOLE_STRUCTURE[[#This Row],[D, top '[m']]])/(2*WHOLE_STRUCTURE[[#This Row],[t '[mm']]]/1000),"")</f>
        <v/>
      </c>
      <c r="S258" s="223"/>
      <c r="T258" s="223"/>
      <c r="V258" s="264"/>
      <c r="W258" s="265"/>
      <c r="X258" s="223"/>
      <c r="Y258" s="223"/>
    </row>
    <row r="259" spans="7:25">
      <c r="G259" s="53"/>
      <c r="H259" s="53"/>
      <c r="I259" s="53"/>
      <c r="J259" s="53"/>
      <c r="K259" s="52"/>
      <c r="L259" s="145" t="str">
        <f t="shared" si="7"/>
        <v/>
      </c>
      <c r="M2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9" s="54" t="str">
        <f>IFERROR(-(WHOLE_STRUCTURE[[#This Row],[D, bottom '[m']]]-WHOLE_STRUCTURE[[#This Row],[D, top '[m']]])/(WHOLE_STRUCTURE[[#This Row],[Bottom '[m']]]-WHOLE_STRUCTURE[[#This Row],[Top '[m']]]),"")</f>
        <v/>
      </c>
      <c r="O259" s="52" t="str">
        <f>IFERROR((WHOLE_STRUCTURE[[#This Row],[D, bottom '[m']]]+WHOLE_STRUCTURE[[#This Row],[D, top '[m']]])/(2*WHOLE_STRUCTURE[[#This Row],[t '[mm']]]/1000),"")</f>
        <v/>
      </c>
      <c r="S259" s="223"/>
      <c r="T259" s="223"/>
      <c r="V259" s="264"/>
      <c r="W259" s="265"/>
      <c r="X259" s="223"/>
      <c r="Y259" s="223"/>
    </row>
    <row r="260" spans="7:25">
      <c r="G260" s="53"/>
      <c r="H260" s="53"/>
      <c r="I260" s="53"/>
      <c r="J260" s="53"/>
      <c r="K260" s="52"/>
      <c r="L260" s="145" t="str">
        <f t="shared" si="7"/>
        <v/>
      </c>
      <c r="M2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0" s="54" t="str">
        <f>IFERROR(-(WHOLE_STRUCTURE[[#This Row],[D, bottom '[m']]]-WHOLE_STRUCTURE[[#This Row],[D, top '[m']]])/(WHOLE_STRUCTURE[[#This Row],[Bottom '[m']]]-WHOLE_STRUCTURE[[#This Row],[Top '[m']]]),"")</f>
        <v/>
      </c>
      <c r="O260" s="52" t="str">
        <f>IFERROR((WHOLE_STRUCTURE[[#This Row],[D, bottom '[m']]]+WHOLE_STRUCTURE[[#This Row],[D, top '[m']]])/(2*WHOLE_STRUCTURE[[#This Row],[t '[mm']]]/1000),"")</f>
        <v/>
      </c>
      <c r="S260" s="223"/>
      <c r="T260" s="223"/>
      <c r="V260" s="264"/>
      <c r="W260" s="265"/>
      <c r="X260" s="223"/>
      <c r="Y260" s="223"/>
    </row>
    <row r="261" spans="7:25">
      <c r="G261" s="53"/>
      <c r="H261" s="53"/>
      <c r="I261" s="53"/>
      <c r="J261" s="53"/>
      <c r="K261" s="52"/>
      <c r="L261" s="145" t="str">
        <f t="shared" ref="L261:L324" si="8">IF(7850/1000*(1/3)*PI()*ABS(G261-H261)*((I261/2)^2+(I261/2)*(J261/2)+(J261/2)^2-(I261/2-K261/1000)^2-(I261/2-K261/1000)*(J261/2-K261/1000)-(J261/2-K261/1000)^2)=0,"",7850/1000*(1/3)*PI()*ABS(G261-H261)*((I261/2)^2+(I261/2)*(J261/2)+(J261/2)^2-(I261/2-K261/1000)^2-(I261/2-K261/1000)*(J261/2-K261/1000)-(J261/2-K261/1000)^2))</f>
        <v/>
      </c>
      <c r="M2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1" s="54" t="str">
        <f>IFERROR(-(WHOLE_STRUCTURE[[#This Row],[D, bottom '[m']]]-WHOLE_STRUCTURE[[#This Row],[D, top '[m']]])/(WHOLE_STRUCTURE[[#This Row],[Bottom '[m']]]-WHOLE_STRUCTURE[[#This Row],[Top '[m']]]),"")</f>
        <v/>
      </c>
      <c r="O261" s="52" t="str">
        <f>IFERROR((WHOLE_STRUCTURE[[#This Row],[D, bottom '[m']]]+WHOLE_STRUCTURE[[#This Row],[D, top '[m']]])/(2*WHOLE_STRUCTURE[[#This Row],[t '[mm']]]/1000),"")</f>
        <v/>
      </c>
      <c r="S261" s="223"/>
      <c r="T261" s="223"/>
      <c r="V261" s="264"/>
      <c r="W261" s="265"/>
      <c r="X261" s="223"/>
      <c r="Y261" s="223"/>
    </row>
    <row r="262" spans="7:25">
      <c r="G262" s="53"/>
      <c r="H262" s="53"/>
      <c r="I262" s="53"/>
      <c r="J262" s="53"/>
      <c r="K262" s="52"/>
      <c r="L262" s="145" t="str">
        <f t="shared" si="8"/>
        <v/>
      </c>
      <c r="M2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2" s="54" t="str">
        <f>IFERROR(-(WHOLE_STRUCTURE[[#This Row],[D, bottom '[m']]]-WHOLE_STRUCTURE[[#This Row],[D, top '[m']]])/(WHOLE_STRUCTURE[[#This Row],[Bottom '[m']]]-WHOLE_STRUCTURE[[#This Row],[Top '[m']]]),"")</f>
        <v/>
      </c>
      <c r="O262" s="52" t="str">
        <f>IFERROR((WHOLE_STRUCTURE[[#This Row],[D, bottom '[m']]]+WHOLE_STRUCTURE[[#This Row],[D, top '[m']]])/(2*WHOLE_STRUCTURE[[#This Row],[t '[mm']]]/1000),"")</f>
        <v/>
      </c>
      <c r="S262" s="223"/>
      <c r="T262" s="223"/>
      <c r="V262" s="264"/>
      <c r="W262" s="265"/>
      <c r="X262" s="223"/>
      <c r="Y262" s="223"/>
    </row>
    <row r="263" spans="7:25">
      <c r="G263" s="53"/>
      <c r="H263" s="53"/>
      <c r="I263" s="53"/>
      <c r="J263" s="53"/>
      <c r="K263" s="52"/>
      <c r="L263" s="145" t="str">
        <f t="shared" si="8"/>
        <v/>
      </c>
      <c r="M2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3" s="54" t="str">
        <f>IFERROR(-(WHOLE_STRUCTURE[[#This Row],[D, bottom '[m']]]-WHOLE_STRUCTURE[[#This Row],[D, top '[m']]])/(WHOLE_STRUCTURE[[#This Row],[Bottom '[m']]]-WHOLE_STRUCTURE[[#This Row],[Top '[m']]]),"")</f>
        <v/>
      </c>
      <c r="O263" s="52" t="str">
        <f>IFERROR((WHOLE_STRUCTURE[[#This Row],[D, bottom '[m']]]+WHOLE_STRUCTURE[[#This Row],[D, top '[m']]])/(2*WHOLE_STRUCTURE[[#This Row],[t '[mm']]]/1000),"")</f>
        <v/>
      </c>
      <c r="S263" s="223"/>
      <c r="T263" s="223"/>
      <c r="V263" s="264"/>
      <c r="W263" s="265"/>
      <c r="X263" s="223"/>
      <c r="Y263" s="223"/>
    </row>
    <row r="264" spans="7:25">
      <c r="G264" s="53"/>
      <c r="H264" s="53"/>
      <c r="I264" s="53"/>
      <c r="J264" s="53"/>
      <c r="K264" s="52"/>
      <c r="L264" s="145" t="str">
        <f t="shared" si="8"/>
        <v/>
      </c>
      <c r="M2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4" s="54" t="str">
        <f>IFERROR(-(WHOLE_STRUCTURE[[#This Row],[D, bottom '[m']]]-WHOLE_STRUCTURE[[#This Row],[D, top '[m']]])/(WHOLE_STRUCTURE[[#This Row],[Bottom '[m']]]-WHOLE_STRUCTURE[[#This Row],[Top '[m']]]),"")</f>
        <v/>
      </c>
      <c r="O264" s="52" t="str">
        <f>IFERROR((WHOLE_STRUCTURE[[#This Row],[D, bottom '[m']]]+WHOLE_STRUCTURE[[#This Row],[D, top '[m']]])/(2*WHOLE_STRUCTURE[[#This Row],[t '[mm']]]/1000),"")</f>
        <v/>
      </c>
      <c r="S264" s="223"/>
      <c r="T264" s="223"/>
      <c r="V264" s="264"/>
      <c r="W264" s="265"/>
      <c r="X264" s="223"/>
      <c r="Y264" s="223"/>
    </row>
    <row r="265" spans="7:25">
      <c r="G265" s="53"/>
      <c r="H265" s="53"/>
      <c r="I265" s="53"/>
      <c r="J265" s="53"/>
      <c r="K265" s="52"/>
      <c r="L265" s="145" t="str">
        <f t="shared" si="8"/>
        <v/>
      </c>
      <c r="M2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5" s="54" t="str">
        <f>IFERROR(-(WHOLE_STRUCTURE[[#This Row],[D, bottom '[m']]]-WHOLE_STRUCTURE[[#This Row],[D, top '[m']]])/(WHOLE_STRUCTURE[[#This Row],[Bottom '[m']]]-WHOLE_STRUCTURE[[#This Row],[Top '[m']]]),"")</f>
        <v/>
      </c>
      <c r="O265" s="52" t="str">
        <f>IFERROR((WHOLE_STRUCTURE[[#This Row],[D, bottom '[m']]]+WHOLE_STRUCTURE[[#This Row],[D, top '[m']]])/(2*WHOLE_STRUCTURE[[#This Row],[t '[mm']]]/1000),"")</f>
        <v/>
      </c>
      <c r="S265" s="223"/>
      <c r="T265" s="223"/>
      <c r="V265" s="264"/>
      <c r="W265" s="265"/>
      <c r="X265" s="223"/>
      <c r="Y265" s="223"/>
    </row>
    <row r="266" spans="7:25">
      <c r="G266" s="53"/>
      <c r="H266" s="53"/>
      <c r="I266" s="53"/>
      <c r="J266" s="53"/>
      <c r="K266" s="52"/>
      <c r="L266" s="145" t="str">
        <f t="shared" si="8"/>
        <v/>
      </c>
      <c r="M2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6" s="54" t="str">
        <f>IFERROR(-(WHOLE_STRUCTURE[[#This Row],[D, bottom '[m']]]-WHOLE_STRUCTURE[[#This Row],[D, top '[m']]])/(WHOLE_STRUCTURE[[#This Row],[Bottom '[m']]]-WHOLE_STRUCTURE[[#This Row],[Top '[m']]]),"")</f>
        <v/>
      </c>
      <c r="O266" s="52" t="str">
        <f>IFERROR((WHOLE_STRUCTURE[[#This Row],[D, bottom '[m']]]+WHOLE_STRUCTURE[[#This Row],[D, top '[m']]])/(2*WHOLE_STRUCTURE[[#This Row],[t '[mm']]]/1000),"")</f>
        <v/>
      </c>
      <c r="S266" s="223"/>
      <c r="T266" s="223"/>
      <c r="V266" s="264"/>
      <c r="W266" s="265"/>
      <c r="X266" s="223"/>
      <c r="Y266" s="223"/>
    </row>
    <row r="267" spans="7:25">
      <c r="G267" s="53"/>
      <c r="H267" s="53"/>
      <c r="I267" s="53"/>
      <c r="J267" s="53"/>
      <c r="K267" s="52"/>
      <c r="L267" s="145" t="str">
        <f t="shared" si="8"/>
        <v/>
      </c>
      <c r="M2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7" s="54" t="str">
        <f>IFERROR(-(WHOLE_STRUCTURE[[#This Row],[D, bottom '[m']]]-WHOLE_STRUCTURE[[#This Row],[D, top '[m']]])/(WHOLE_STRUCTURE[[#This Row],[Bottom '[m']]]-WHOLE_STRUCTURE[[#This Row],[Top '[m']]]),"")</f>
        <v/>
      </c>
      <c r="O267" s="52" t="str">
        <f>IFERROR((WHOLE_STRUCTURE[[#This Row],[D, bottom '[m']]]+WHOLE_STRUCTURE[[#This Row],[D, top '[m']]])/(2*WHOLE_STRUCTURE[[#This Row],[t '[mm']]]/1000),"")</f>
        <v/>
      </c>
      <c r="S267" s="223"/>
      <c r="T267" s="223"/>
      <c r="V267" s="264"/>
      <c r="W267" s="265"/>
      <c r="X267" s="223"/>
      <c r="Y267" s="223"/>
    </row>
    <row r="268" spans="7:25">
      <c r="G268" s="53"/>
      <c r="H268" s="53"/>
      <c r="I268" s="53"/>
      <c r="J268" s="53"/>
      <c r="K268" s="52"/>
      <c r="L268" s="145" t="str">
        <f t="shared" si="8"/>
        <v/>
      </c>
      <c r="M2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8" s="54" t="str">
        <f>IFERROR(-(WHOLE_STRUCTURE[[#This Row],[D, bottom '[m']]]-WHOLE_STRUCTURE[[#This Row],[D, top '[m']]])/(WHOLE_STRUCTURE[[#This Row],[Bottom '[m']]]-WHOLE_STRUCTURE[[#This Row],[Top '[m']]]),"")</f>
        <v/>
      </c>
      <c r="O268" s="52" t="str">
        <f>IFERROR((WHOLE_STRUCTURE[[#This Row],[D, bottom '[m']]]+WHOLE_STRUCTURE[[#This Row],[D, top '[m']]])/(2*WHOLE_STRUCTURE[[#This Row],[t '[mm']]]/1000),"")</f>
        <v/>
      </c>
      <c r="S268" s="223"/>
      <c r="T268" s="223"/>
      <c r="V268" s="264"/>
      <c r="W268" s="265"/>
      <c r="X268" s="223"/>
      <c r="Y268" s="223"/>
    </row>
    <row r="269" spans="7:25">
      <c r="G269" s="53"/>
      <c r="H269" s="53"/>
      <c r="I269" s="53"/>
      <c r="J269" s="53"/>
      <c r="K269" s="52"/>
      <c r="L269" s="145" t="str">
        <f t="shared" si="8"/>
        <v/>
      </c>
      <c r="M2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9" s="54" t="str">
        <f>IFERROR(-(WHOLE_STRUCTURE[[#This Row],[D, bottom '[m']]]-WHOLE_STRUCTURE[[#This Row],[D, top '[m']]])/(WHOLE_STRUCTURE[[#This Row],[Bottom '[m']]]-WHOLE_STRUCTURE[[#This Row],[Top '[m']]]),"")</f>
        <v/>
      </c>
      <c r="O269" s="52" t="str">
        <f>IFERROR((WHOLE_STRUCTURE[[#This Row],[D, bottom '[m']]]+WHOLE_STRUCTURE[[#This Row],[D, top '[m']]])/(2*WHOLE_STRUCTURE[[#This Row],[t '[mm']]]/1000),"")</f>
        <v/>
      </c>
      <c r="S269" s="223"/>
      <c r="T269" s="223"/>
      <c r="V269" s="264"/>
      <c r="W269" s="265"/>
      <c r="X269" s="223"/>
      <c r="Y269" s="223"/>
    </row>
    <row r="270" spans="7:25">
      <c r="G270" s="53"/>
      <c r="H270" s="53"/>
      <c r="I270" s="53"/>
      <c r="J270" s="53"/>
      <c r="K270" s="52"/>
      <c r="L270" s="145" t="str">
        <f t="shared" si="8"/>
        <v/>
      </c>
      <c r="M2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0" s="54" t="str">
        <f>IFERROR(-(WHOLE_STRUCTURE[[#This Row],[D, bottom '[m']]]-WHOLE_STRUCTURE[[#This Row],[D, top '[m']]])/(WHOLE_STRUCTURE[[#This Row],[Bottom '[m']]]-WHOLE_STRUCTURE[[#This Row],[Top '[m']]]),"")</f>
        <v/>
      </c>
      <c r="O270" s="52" t="str">
        <f>IFERROR((WHOLE_STRUCTURE[[#This Row],[D, bottom '[m']]]+WHOLE_STRUCTURE[[#This Row],[D, top '[m']]])/(2*WHOLE_STRUCTURE[[#This Row],[t '[mm']]]/1000),"")</f>
        <v/>
      </c>
      <c r="S270" s="223"/>
      <c r="T270" s="223"/>
      <c r="V270" s="264"/>
      <c r="W270" s="265"/>
      <c r="X270" s="223"/>
      <c r="Y270" s="223"/>
    </row>
    <row r="271" spans="7:25">
      <c r="G271" s="53"/>
      <c r="H271" s="53"/>
      <c r="I271" s="53"/>
      <c r="J271" s="53"/>
      <c r="K271" s="52"/>
      <c r="L271" s="145" t="str">
        <f t="shared" si="8"/>
        <v/>
      </c>
      <c r="M2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1" s="54" t="str">
        <f>IFERROR(-(WHOLE_STRUCTURE[[#This Row],[D, bottom '[m']]]-WHOLE_STRUCTURE[[#This Row],[D, top '[m']]])/(WHOLE_STRUCTURE[[#This Row],[Bottom '[m']]]-WHOLE_STRUCTURE[[#This Row],[Top '[m']]]),"")</f>
        <v/>
      </c>
      <c r="O271" s="52" t="str">
        <f>IFERROR((WHOLE_STRUCTURE[[#This Row],[D, bottom '[m']]]+WHOLE_STRUCTURE[[#This Row],[D, top '[m']]])/(2*WHOLE_STRUCTURE[[#This Row],[t '[mm']]]/1000),"")</f>
        <v/>
      </c>
      <c r="S271" s="223"/>
      <c r="T271" s="223"/>
      <c r="V271" s="264"/>
      <c r="W271" s="265"/>
      <c r="X271" s="223"/>
      <c r="Y271" s="223"/>
    </row>
    <row r="272" spans="7:25">
      <c r="G272" s="53"/>
      <c r="H272" s="53"/>
      <c r="I272" s="53"/>
      <c r="J272" s="53"/>
      <c r="K272" s="52"/>
      <c r="L272" s="145" t="str">
        <f t="shared" si="8"/>
        <v/>
      </c>
      <c r="M2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2" s="54" t="str">
        <f>IFERROR(-(WHOLE_STRUCTURE[[#This Row],[D, bottom '[m']]]-WHOLE_STRUCTURE[[#This Row],[D, top '[m']]])/(WHOLE_STRUCTURE[[#This Row],[Bottom '[m']]]-WHOLE_STRUCTURE[[#This Row],[Top '[m']]]),"")</f>
        <v/>
      </c>
      <c r="O272" s="52" t="str">
        <f>IFERROR((WHOLE_STRUCTURE[[#This Row],[D, bottom '[m']]]+WHOLE_STRUCTURE[[#This Row],[D, top '[m']]])/(2*WHOLE_STRUCTURE[[#This Row],[t '[mm']]]/1000),"")</f>
        <v/>
      </c>
      <c r="S272" s="223"/>
      <c r="T272" s="223"/>
      <c r="V272" s="264"/>
      <c r="W272" s="265"/>
      <c r="X272" s="223"/>
      <c r="Y272" s="223"/>
    </row>
    <row r="273" spans="7:25">
      <c r="G273" s="53"/>
      <c r="H273" s="53"/>
      <c r="I273" s="53"/>
      <c r="J273" s="53"/>
      <c r="K273" s="52"/>
      <c r="L273" s="145" t="str">
        <f t="shared" si="8"/>
        <v/>
      </c>
      <c r="M2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3" s="54" t="str">
        <f>IFERROR(-(WHOLE_STRUCTURE[[#This Row],[D, bottom '[m']]]-WHOLE_STRUCTURE[[#This Row],[D, top '[m']]])/(WHOLE_STRUCTURE[[#This Row],[Bottom '[m']]]-WHOLE_STRUCTURE[[#This Row],[Top '[m']]]),"")</f>
        <v/>
      </c>
      <c r="O273" s="52" t="str">
        <f>IFERROR((WHOLE_STRUCTURE[[#This Row],[D, bottom '[m']]]+WHOLE_STRUCTURE[[#This Row],[D, top '[m']]])/(2*WHOLE_STRUCTURE[[#This Row],[t '[mm']]]/1000),"")</f>
        <v/>
      </c>
      <c r="S273" s="223"/>
      <c r="T273" s="223"/>
      <c r="V273" s="264"/>
      <c r="W273" s="265"/>
      <c r="X273" s="223"/>
      <c r="Y273" s="223"/>
    </row>
    <row r="274" spans="7:25">
      <c r="G274" s="53"/>
      <c r="H274" s="53"/>
      <c r="I274" s="53"/>
      <c r="J274" s="53"/>
      <c r="K274" s="52"/>
      <c r="L274" s="145" t="str">
        <f t="shared" si="8"/>
        <v/>
      </c>
      <c r="M2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4" s="54" t="str">
        <f>IFERROR(-(WHOLE_STRUCTURE[[#This Row],[D, bottom '[m']]]-WHOLE_STRUCTURE[[#This Row],[D, top '[m']]])/(WHOLE_STRUCTURE[[#This Row],[Bottom '[m']]]-WHOLE_STRUCTURE[[#This Row],[Top '[m']]]),"")</f>
        <v/>
      </c>
      <c r="O274" s="52" t="str">
        <f>IFERROR((WHOLE_STRUCTURE[[#This Row],[D, bottom '[m']]]+WHOLE_STRUCTURE[[#This Row],[D, top '[m']]])/(2*WHOLE_STRUCTURE[[#This Row],[t '[mm']]]/1000),"")</f>
        <v/>
      </c>
      <c r="S274" s="223"/>
      <c r="T274" s="223"/>
      <c r="V274" s="264"/>
      <c r="W274" s="265"/>
      <c r="X274" s="223"/>
      <c r="Y274" s="223"/>
    </row>
    <row r="275" spans="7:25">
      <c r="G275" s="53"/>
      <c r="H275" s="53"/>
      <c r="I275" s="53"/>
      <c r="J275" s="53"/>
      <c r="K275" s="52"/>
      <c r="L275" s="145" t="str">
        <f t="shared" si="8"/>
        <v/>
      </c>
      <c r="M2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5" s="54" t="str">
        <f>IFERROR(-(WHOLE_STRUCTURE[[#This Row],[D, bottom '[m']]]-WHOLE_STRUCTURE[[#This Row],[D, top '[m']]])/(WHOLE_STRUCTURE[[#This Row],[Bottom '[m']]]-WHOLE_STRUCTURE[[#This Row],[Top '[m']]]),"")</f>
        <v/>
      </c>
      <c r="O275" s="52" t="str">
        <f>IFERROR((WHOLE_STRUCTURE[[#This Row],[D, bottom '[m']]]+WHOLE_STRUCTURE[[#This Row],[D, top '[m']]])/(2*WHOLE_STRUCTURE[[#This Row],[t '[mm']]]/1000),"")</f>
        <v/>
      </c>
      <c r="S275" s="223"/>
      <c r="T275" s="223"/>
      <c r="V275" s="264"/>
      <c r="W275" s="265"/>
      <c r="X275" s="223"/>
      <c r="Y275" s="223"/>
    </row>
    <row r="276" spans="7:25">
      <c r="G276" s="53"/>
      <c r="H276" s="53"/>
      <c r="I276" s="53"/>
      <c r="J276" s="53"/>
      <c r="K276" s="52"/>
      <c r="L276" s="145" t="str">
        <f t="shared" si="8"/>
        <v/>
      </c>
      <c r="M2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6" s="54" t="str">
        <f>IFERROR(-(WHOLE_STRUCTURE[[#This Row],[D, bottom '[m']]]-WHOLE_STRUCTURE[[#This Row],[D, top '[m']]])/(WHOLE_STRUCTURE[[#This Row],[Bottom '[m']]]-WHOLE_STRUCTURE[[#This Row],[Top '[m']]]),"")</f>
        <v/>
      </c>
      <c r="O276" s="52" t="str">
        <f>IFERROR((WHOLE_STRUCTURE[[#This Row],[D, bottom '[m']]]+WHOLE_STRUCTURE[[#This Row],[D, top '[m']]])/(2*WHOLE_STRUCTURE[[#This Row],[t '[mm']]]/1000),"")</f>
        <v/>
      </c>
      <c r="S276" s="223"/>
      <c r="T276" s="223"/>
      <c r="V276" s="264"/>
      <c r="W276" s="265"/>
      <c r="X276" s="223"/>
      <c r="Y276" s="223"/>
    </row>
    <row r="277" spans="7:25">
      <c r="G277" s="53"/>
      <c r="H277" s="53"/>
      <c r="I277" s="53"/>
      <c r="J277" s="53"/>
      <c r="K277" s="52"/>
      <c r="L277" s="145" t="str">
        <f t="shared" si="8"/>
        <v/>
      </c>
      <c r="M2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7" s="54" t="str">
        <f>IFERROR(-(WHOLE_STRUCTURE[[#This Row],[D, bottom '[m']]]-WHOLE_STRUCTURE[[#This Row],[D, top '[m']]])/(WHOLE_STRUCTURE[[#This Row],[Bottom '[m']]]-WHOLE_STRUCTURE[[#This Row],[Top '[m']]]),"")</f>
        <v/>
      </c>
      <c r="O277" s="52" t="str">
        <f>IFERROR((WHOLE_STRUCTURE[[#This Row],[D, bottom '[m']]]+WHOLE_STRUCTURE[[#This Row],[D, top '[m']]])/(2*WHOLE_STRUCTURE[[#This Row],[t '[mm']]]/1000),"")</f>
        <v/>
      </c>
      <c r="S277" s="223"/>
      <c r="T277" s="223"/>
      <c r="V277" s="264"/>
      <c r="W277" s="265"/>
      <c r="X277" s="223"/>
      <c r="Y277" s="223"/>
    </row>
    <row r="278" spans="7:25">
      <c r="G278" s="53"/>
      <c r="H278" s="53"/>
      <c r="I278" s="53"/>
      <c r="J278" s="53"/>
      <c r="K278" s="52"/>
      <c r="L278" s="145" t="str">
        <f t="shared" si="8"/>
        <v/>
      </c>
      <c r="M2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8" s="54" t="str">
        <f>IFERROR(-(WHOLE_STRUCTURE[[#This Row],[D, bottom '[m']]]-WHOLE_STRUCTURE[[#This Row],[D, top '[m']]])/(WHOLE_STRUCTURE[[#This Row],[Bottom '[m']]]-WHOLE_STRUCTURE[[#This Row],[Top '[m']]]),"")</f>
        <v/>
      </c>
      <c r="O278" s="52" t="str">
        <f>IFERROR((WHOLE_STRUCTURE[[#This Row],[D, bottom '[m']]]+WHOLE_STRUCTURE[[#This Row],[D, top '[m']]])/(2*WHOLE_STRUCTURE[[#This Row],[t '[mm']]]/1000),"")</f>
        <v/>
      </c>
      <c r="S278" s="223"/>
      <c r="T278" s="223"/>
      <c r="V278" s="264"/>
      <c r="W278" s="265"/>
      <c r="X278" s="223"/>
      <c r="Y278" s="223"/>
    </row>
    <row r="279" spans="7:25">
      <c r="G279" s="53"/>
      <c r="H279" s="53"/>
      <c r="I279" s="53"/>
      <c r="J279" s="53"/>
      <c r="K279" s="52"/>
      <c r="L279" s="145" t="str">
        <f t="shared" si="8"/>
        <v/>
      </c>
      <c r="M2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9" s="54" t="str">
        <f>IFERROR(-(WHOLE_STRUCTURE[[#This Row],[D, bottom '[m']]]-WHOLE_STRUCTURE[[#This Row],[D, top '[m']]])/(WHOLE_STRUCTURE[[#This Row],[Bottom '[m']]]-WHOLE_STRUCTURE[[#This Row],[Top '[m']]]),"")</f>
        <v/>
      </c>
      <c r="O279" s="52" t="str">
        <f>IFERROR((WHOLE_STRUCTURE[[#This Row],[D, bottom '[m']]]+WHOLE_STRUCTURE[[#This Row],[D, top '[m']]])/(2*WHOLE_STRUCTURE[[#This Row],[t '[mm']]]/1000),"")</f>
        <v/>
      </c>
      <c r="S279" s="223"/>
      <c r="T279" s="223"/>
      <c r="V279" s="264"/>
      <c r="W279" s="265"/>
      <c r="X279" s="223"/>
      <c r="Y279" s="223"/>
    </row>
    <row r="280" spans="7:25">
      <c r="G280" s="53"/>
      <c r="H280" s="53"/>
      <c r="I280" s="53"/>
      <c r="J280" s="53"/>
      <c r="K280" s="52"/>
      <c r="L280" s="145" t="str">
        <f t="shared" si="8"/>
        <v/>
      </c>
      <c r="M2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0" s="54" t="str">
        <f>IFERROR(-(WHOLE_STRUCTURE[[#This Row],[D, bottom '[m']]]-WHOLE_STRUCTURE[[#This Row],[D, top '[m']]])/(WHOLE_STRUCTURE[[#This Row],[Bottom '[m']]]-WHOLE_STRUCTURE[[#This Row],[Top '[m']]]),"")</f>
        <v/>
      </c>
      <c r="O280" s="52" t="str">
        <f>IFERROR((WHOLE_STRUCTURE[[#This Row],[D, bottom '[m']]]+WHOLE_STRUCTURE[[#This Row],[D, top '[m']]])/(2*WHOLE_STRUCTURE[[#This Row],[t '[mm']]]/1000),"")</f>
        <v/>
      </c>
      <c r="S280" s="223"/>
      <c r="T280" s="223"/>
      <c r="V280" s="264"/>
      <c r="W280" s="265"/>
      <c r="X280" s="223"/>
      <c r="Y280" s="223"/>
    </row>
    <row r="281" spans="7:25">
      <c r="G281" s="53"/>
      <c r="H281" s="53"/>
      <c r="I281" s="53"/>
      <c r="J281" s="53"/>
      <c r="K281" s="52"/>
      <c r="L281" s="145" t="str">
        <f t="shared" si="8"/>
        <v/>
      </c>
      <c r="M2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1" s="54" t="str">
        <f>IFERROR(-(WHOLE_STRUCTURE[[#This Row],[D, bottom '[m']]]-WHOLE_STRUCTURE[[#This Row],[D, top '[m']]])/(WHOLE_STRUCTURE[[#This Row],[Bottom '[m']]]-WHOLE_STRUCTURE[[#This Row],[Top '[m']]]),"")</f>
        <v/>
      </c>
      <c r="O281" s="52" t="str">
        <f>IFERROR((WHOLE_STRUCTURE[[#This Row],[D, bottom '[m']]]+WHOLE_STRUCTURE[[#This Row],[D, top '[m']]])/(2*WHOLE_STRUCTURE[[#This Row],[t '[mm']]]/1000),"")</f>
        <v/>
      </c>
      <c r="S281" s="223"/>
      <c r="T281" s="223"/>
      <c r="V281" s="264"/>
      <c r="W281" s="265"/>
      <c r="X281" s="223"/>
      <c r="Y281" s="223"/>
    </row>
    <row r="282" spans="7:25">
      <c r="G282" s="53"/>
      <c r="H282" s="53"/>
      <c r="I282" s="53"/>
      <c r="J282" s="53"/>
      <c r="K282" s="52"/>
      <c r="L282" s="145" t="str">
        <f t="shared" si="8"/>
        <v/>
      </c>
      <c r="M2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2" s="54" t="str">
        <f>IFERROR(-(WHOLE_STRUCTURE[[#This Row],[D, bottom '[m']]]-WHOLE_STRUCTURE[[#This Row],[D, top '[m']]])/(WHOLE_STRUCTURE[[#This Row],[Bottom '[m']]]-WHOLE_STRUCTURE[[#This Row],[Top '[m']]]),"")</f>
        <v/>
      </c>
      <c r="O282" s="52" t="str">
        <f>IFERROR((WHOLE_STRUCTURE[[#This Row],[D, bottom '[m']]]+WHOLE_STRUCTURE[[#This Row],[D, top '[m']]])/(2*WHOLE_STRUCTURE[[#This Row],[t '[mm']]]/1000),"")</f>
        <v/>
      </c>
      <c r="S282" s="223"/>
      <c r="T282" s="223"/>
      <c r="V282" s="264"/>
      <c r="W282" s="265"/>
      <c r="X282" s="223"/>
      <c r="Y282" s="223"/>
    </row>
    <row r="283" spans="7:25">
      <c r="G283" s="53"/>
      <c r="H283" s="53"/>
      <c r="I283" s="53"/>
      <c r="J283" s="53"/>
      <c r="K283" s="52"/>
      <c r="L283" s="145" t="str">
        <f t="shared" si="8"/>
        <v/>
      </c>
      <c r="M2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3" s="54" t="str">
        <f>IFERROR(-(WHOLE_STRUCTURE[[#This Row],[D, bottom '[m']]]-WHOLE_STRUCTURE[[#This Row],[D, top '[m']]])/(WHOLE_STRUCTURE[[#This Row],[Bottom '[m']]]-WHOLE_STRUCTURE[[#This Row],[Top '[m']]]),"")</f>
        <v/>
      </c>
      <c r="O283" s="52" t="str">
        <f>IFERROR((WHOLE_STRUCTURE[[#This Row],[D, bottom '[m']]]+WHOLE_STRUCTURE[[#This Row],[D, top '[m']]])/(2*WHOLE_STRUCTURE[[#This Row],[t '[mm']]]/1000),"")</f>
        <v/>
      </c>
      <c r="S283" s="223"/>
      <c r="T283" s="223"/>
      <c r="V283" s="264"/>
      <c r="W283" s="265"/>
      <c r="X283" s="223"/>
      <c r="Y283" s="223"/>
    </row>
    <row r="284" spans="7:25">
      <c r="G284" s="53"/>
      <c r="H284" s="53"/>
      <c r="I284" s="53"/>
      <c r="J284" s="53"/>
      <c r="K284" s="52"/>
      <c r="L284" s="145" t="str">
        <f t="shared" si="8"/>
        <v/>
      </c>
      <c r="M2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4" s="54" t="str">
        <f>IFERROR(-(WHOLE_STRUCTURE[[#This Row],[D, bottom '[m']]]-WHOLE_STRUCTURE[[#This Row],[D, top '[m']]])/(WHOLE_STRUCTURE[[#This Row],[Bottom '[m']]]-WHOLE_STRUCTURE[[#This Row],[Top '[m']]]),"")</f>
        <v/>
      </c>
      <c r="O284" s="52" t="str">
        <f>IFERROR((WHOLE_STRUCTURE[[#This Row],[D, bottom '[m']]]+WHOLE_STRUCTURE[[#This Row],[D, top '[m']]])/(2*WHOLE_STRUCTURE[[#This Row],[t '[mm']]]/1000),"")</f>
        <v/>
      </c>
      <c r="S284" s="223"/>
      <c r="T284" s="223"/>
      <c r="V284" s="264"/>
      <c r="W284" s="265"/>
      <c r="X284" s="223"/>
      <c r="Y284" s="223"/>
    </row>
    <row r="285" spans="7:25">
      <c r="G285" s="53"/>
      <c r="H285" s="53"/>
      <c r="I285" s="53"/>
      <c r="J285" s="53"/>
      <c r="K285" s="52"/>
      <c r="L285" s="145" t="str">
        <f t="shared" si="8"/>
        <v/>
      </c>
      <c r="M2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5" s="54" t="str">
        <f>IFERROR(-(WHOLE_STRUCTURE[[#This Row],[D, bottom '[m']]]-WHOLE_STRUCTURE[[#This Row],[D, top '[m']]])/(WHOLE_STRUCTURE[[#This Row],[Bottom '[m']]]-WHOLE_STRUCTURE[[#This Row],[Top '[m']]]),"")</f>
        <v/>
      </c>
      <c r="O285" s="52" t="str">
        <f>IFERROR((WHOLE_STRUCTURE[[#This Row],[D, bottom '[m']]]+WHOLE_STRUCTURE[[#This Row],[D, top '[m']]])/(2*WHOLE_STRUCTURE[[#This Row],[t '[mm']]]/1000),"")</f>
        <v/>
      </c>
      <c r="S285" s="223"/>
      <c r="T285" s="223"/>
      <c r="V285" s="264"/>
      <c r="W285" s="265"/>
      <c r="X285" s="223"/>
      <c r="Y285" s="223"/>
    </row>
    <row r="286" spans="7:25">
      <c r="G286" s="53"/>
      <c r="H286" s="53"/>
      <c r="I286" s="53"/>
      <c r="J286" s="53"/>
      <c r="K286" s="52"/>
      <c r="L286" s="145" t="str">
        <f t="shared" si="8"/>
        <v/>
      </c>
      <c r="M2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6" s="54" t="str">
        <f>IFERROR(-(WHOLE_STRUCTURE[[#This Row],[D, bottom '[m']]]-WHOLE_STRUCTURE[[#This Row],[D, top '[m']]])/(WHOLE_STRUCTURE[[#This Row],[Bottom '[m']]]-WHOLE_STRUCTURE[[#This Row],[Top '[m']]]),"")</f>
        <v/>
      </c>
      <c r="O286" s="52" t="str">
        <f>IFERROR((WHOLE_STRUCTURE[[#This Row],[D, bottom '[m']]]+WHOLE_STRUCTURE[[#This Row],[D, top '[m']]])/(2*WHOLE_STRUCTURE[[#This Row],[t '[mm']]]/1000),"")</f>
        <v/>
      </c>
      <c r="S286" s="223"/>
      <c r="T286" s="223"/>
      <c r="V286" s="264"/>
      <c r="W286" s="265"/>
      <c r="X286" s="223"/>
      <c r="Y286" s="223"/>
    </row>
    <row r="287" spans="7:25">
      <c r="G287" s="53"/>
      <c r="H287" s="53"/>
      <c r="I287" s="53"/>
      <c r="J287" s="53"/>
      <c r="K287" s="52"/>
      <c r="L287" s="145" t="str">
        <f t="shared" si="8"/>
        <v/>
      </c>
      <c r="M2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7" s="54" t="str">
        <f>IFERROR(-(WHOLE_STRUCTURE[[#This Row],[D, bottom '[m']]]-WHOLE_STRUCTURE[[#This Row],[D, top '[m']]])/(WHOLE_STRUCTURE[[#This Row],[Bottom '[m']]]-WHOLE_STRUCTURE[[#This Row],[Top '[m']]]),"")</f>
        <v/>
      </c>
      <c r="O287" s="52" t="str">
        <f>IFERROR((WHOLE_STRUCTURE[[#This Row],[D, bottom '[m']]]+WHOLE_STRUCTURE[[#This Row],[D, top '[m']]])/(2*WHOLE_STRUCTURE[[#This Row],[t '[mm']]]/1000),"")</f>
        <v/>
      </c>
      <c r="S287" s="223"/>
      <c r="T287" s="223"/>
      <c r="V287" s="264"/>
      <c r="W287" s="265"/>
      <c r="X287" s="223"/>
      <c r="Y287" s="223"/>
    </row>
    <row r="288" spans="7:25">
      <c r="G288" s="53"/>
      <c r="H288" s="53"/>
      <c r="I288" s="53"/>
      <c r="J288" s="53"/>
      <c r="K288" s="52"/>
      <c r="L288" s="145" t="str">
        <f t="shared" si="8"/>
        <v/>
      </c>
      <c r="M2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8" s="54" t="str">
        <f>IFERROR(-(WHOLE_STRUCTURE[[#This Row],[D, bottom '[m']]]-WHOLE_STRUCTURE[[#This Row],[D, top '[m']]])/(WHOLE_STRUCTURE[[#This Row],[Bottom '[m']]]-WHOLE_STRUCTURE[[#This Row],[Top '[m']]]),"")</f>
        <v/>
      </c>
      <c r="O288" s="52" t="str">
        <f>IFERROR((WHOLE_STRUCTURE[[#This Row],[D, bottom '[m']]]+WHOLE_STRUCTURE[[#This Row],[D, top '[m']]])/(2*WHOLE_STRUCTURE[[#This Row],[t '[mm']]]/1000),"")</f>
        <v/>
      </c>
      <c r="S288" s="223"/>
      <c r="T288" s="223"/>
      <c r="V288" s="264"/>
      <c r="W288" s="265"/>
      <c r="X288" s="223"/>
      <c r="Y288" s="223"/>
    </row>
    <row r="289" spans="7:25">
      <c r="G289" s="53"/>
      <c r="H289" s="53"/>
      <c r="I289" s="53"/>
      <c r="J289" s="53"/>
      <c r="K289" s="52"/>
      <c r="L289" s="145" t="str">
        <f t="shared" si="8"/>
        <v/>
      </c>
      <c r="M2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9" s="54" t="str">
        <f>IFERROR(-(WHOLE_STRUCTURE[[#This Row],[D, bottom '[m']]]-WHOLE_STRUCTURE[[#This Row],[D, top '[m']]])/(WHOLE_STRUCTURE[[#This Row],[Bottom '[m']]]-WHOLE_STRUCTURE[[#This Row],[Top '[m']]]),"")</f>
        <v/>
      </c>
      <c r="O289" s="52" t="str">
        <f>IFERROR((WHOLE_STRUCTURE[[#This Row],[D, bottom '[m']]]+WHOLE_STRUCTURE[[#This Row],[D, top '[m']]])/(2*WHOLE_STRUCTURE[[#This Row],[t '[mm']]]/1000),"")</f>
        <v/>
      </c>
      <c r="S289" s="223"/>
      <c r="T289" s="223"/>
      <c r="V289" s="264"/>
      <c r="W289" s="265"/>
      <c r="X289" s="223"/>
      <c r="Y289" s="223"/>
    </row>
    <row r="290" spans="7:25">
      <c r="G290" s="53"/>
      <c r="H290" s="53"/>
      <c r="I290" s="53"/>
      <c r="J290" s="53"/>
      <c r="K290" s="52"/>
      <c r="L290" s="145" t="str">
        <f t="shared" si="8"/>
        <v/>
      </c>
      <c r="M2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0" s="54" t="str">
        <f>IFERROR(-(WHOLE_STRUCTURE[[#This Row],[D, bottom '[m']]]-WHOLE_STRUCTURE[[#This Row],[D, top '[m']]])/(WHOLE_STRUCTURE[[#This Row],[Bottom '[m']]]-WHOLE_STRUCTURE[[#This Row],[Top '[m']]]),"")</f>
        <v/>
      </c>
      <c r="O290" s="52" t="str">
        <f>IFERROR((WHOLE_STRUCTURE[[#This Row],[D, bottom '[m']]]+WHOLE_STRUCTURE[[#This Row],[D, top '[m']]])/(2*WHOLE_STRUCTURE[[#This Row],[t '[mm']]]/1000),"")</f>
        <v/>
      </c>
      <c r="S290" s="223"/>
      <c r="T290" s="223"/>
      <c r="V290" s="264"/>
      <c r="W290" s="265"/>
      <c r="X290" s="223"/>
      <c r="Y290" s="223"/>
    </row>
    <row r="291" spans="7:25">
      <c r="G291" s="53"/>
      <c r="H291" s="53"/>
      <c r="I291" s="53"/>
      <c r="J291" s="53"/>
      <c r="K291" s="52"/>
      <c r="L291" s="145" t="str">
        <f t="shared" si="8"/>
        <v/>
      </c>
      <c r="M2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1" s="54" t="str">
        <f>IFERROR(-(WHOLE_STRUCTURE[[#This Row],[D, bottom '[m']]]-WHOLE_STRUCTURE[[#This Row],[D, top '[m']]])/(WHOLE_STRUCTURE[[#This Row],[Bottom '[m']]]-WHOLE_STRUCTURE[[#This Row],[Top '[m']]]),"")</f>
        <v/>
      </c>
      <c r="O291" s="52" t="str">
        <f>IFERROR((WHOLE_STRUCTURE[[#This Row],[D, bottom '[m']]]+WHOLE_STRUCTURE[[#This Row],[D, top '[m']]])/(2*WHOLE_STRUCTURE[[#This Row],[t '[mm']]]/1000),"")</f>
        <v/>
      </c>
      <c r="S291" s="223"/>
      <c r="T291" s="223"/>
      <c r="V291" s="264"/>
      <c r="W291" s="265"/>
      <c r="X291" s="223"/>
      <c r="Y291" s="223"/>
    </row>
    <row r="292" spans="7:25">
      <c r="G292" s="53"/>
      <c r="H292" s="53"/>
      <c r="I292" s="53"/>
      <c r="J292" s="53"/>
      <c r="K292" s="52"/>
      <c r="L292" s="145" t="str">
        <f t="shared" si="8"/>
        <v/>
      </c>
      <c r="M2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2" s="54" t="str">
        <f>IFERROR(-(WHOLE_STRUCTURE[[#This Row],[D, bottom '[m']]]-WHOLE_STRUCTURE[[#This Row],[D, top '[m']]])/(WHOLE_STRUCTURE[[#This Row],[Bottom '[m']]]-WHOLE_STRUCTURE[[#This Row],[Top '[m']]]),"")</f>
        <v/>
      </c>
      <c r="O292" s="52" t="str">
        <f>IFERROR((WHOLE_STRUCTURE[[#This Row],[D, bottom '[m']]]+WHOLE_STRUCTURE[[#This Row],[D, top '[m']]])/(2*WHOLE_STRUCTURE[[#This Row],[t '[mm']]]/1000),"")</f>
        <v/>
      </c>
      <c r="S292" s="223"/>
      <c r="T292" s="223"/>
      <c r="V292" s="264"/>
      <c r="W292" s="265"/>
      <c r="X292" s="223"/>
      <c r="Y292" s="223"/>
    </row>
    <row r="293" spans="7:25">
      <c r="G293" s="53"/>
      <c r="H293" s="53"/>
      <c r="I293" s="53"/>
      <c r="J293" s="53"/>
      <c r="K293" s="52"/>
      <c r="L293" s="145" t="str">
        <f t="shared" si="8"/>
        <v/>
      </c>
      <c r="M2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3" s="54" t="str">
        <f>IFERROR(-(WHOLE_STRUCTURE[[#This Row],[D, bottom '[m']]]-WHOLE_STRUCTURE[[#This Row],[D, top '[m']]])/(WHOLE_STRUCTURE[[#This Row],[Bottom '[m']]]-WHOLE_STRUCTURE[[#This Row],[Top '[m']]]),"")</f>
        <v/>
      </c>
      <c r="O293" s="52" t="str">
        <f>IFERROR((WHOLE_STRUCTURE[[#This Row],[D, bottom '[m']]]+WHOLE_STRUCTURE[[#This Row],[D, top '[m']]])/(2*WHOLE_STRUCTURE[[#This Row],[t '[mm']]]/1000),"")</f>
        <v/>
      </c>
      <c r="S293" s="223"/>
      <c r="T293" s="223"/>
      <c r="V293" s="264"/>
      <c r="W293" s="265"/>
      <c r="X293" s="223"/>
      <c r="Y293" s="223"/>
    </row>
    <row r="294" spans="7:25">
      <c r="G294" s="53"/>
      <c r="H294" s="53"/>
      <c r="I294" s="53"/>
      <c r="J294" s="53"/>
      <c r="K294" s="52"/>
      <c r="L294" s="145" t="str">
        <f t="shared" si="8"/>
        <v/>
      </c>
      <c r="M2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4" s="54" t="str">
        <f>IFERROR(-(WHOLE_STRUCTURE[[#This Row],[D, bottom '[m']]]-WHOLE_STRUCTURE[[#This Row],[D, top '[m']]])/(WHOLE_STRUCTURE[[#This Row],[Bottom '[m']]]-WHOLE_STRUCTURE[[#This Row],[Top '[m']]]),"")</f>
        <v/>
      </c>
      <c r="O294" s="52" t="str">
        <f>IFERROR((WHOLE_STRUCTURE[[#This Row],[D, bottom '[m']]]+WHOLE_STRUCTURE[[#This Row],[D, top '[m']]])/(2*WHOLE_STRUCTURE[[#This Row],[t '[mm']]]/1000),"")</f>
        <v/>
      </c>
      <c r="S294" s="223"/>
      <c r="T294" s="223"/>
      <c r="V294" s="264"/>
      <c r="W294" s="265"/>
      <c r="X294" s="223"/>
      <c r="Y294" s="223"/>
    </row>
    <row r="295" spans="7:25">
      <c r="G295" s="53"/>
      <c r="H295" s="53"/>
      <c r="I295" s="53"/>
      <c r="J295" s="53"/>
      <c r="K295" s="52"/>
      <c r="L295" s="145" t="str">
        <f t="shared" si="8"/>
        <v/>
      </c>
      <c r="M2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5" s="54" t="str">
        <f>IFERROR(-(WHOLE_STRUCTURE[[#This Row],[D, bottom '[m']]]-WHOLE_STRUCTURE[[#This Row],[D, top '[m']]])/(WHOLE_STRUCTURE[[#This Row],[Bottom '[m']]]-WHOLE_STRUCTURE[[#This Row],[Top '[m']]]),"")</f>
        <v/>
      </c>
      <c r="O295" s="52" t="str">
        <f>IFERROR((WHOLE_STRUCTURE[[#This Row],[D, bottom '[m']]]+WHOLE_STRUCTURE[[#This Row],[D, top '[m']]])/(2*WHOLE_STRUCTURE[[#This Row],[t '[mm']]]/1000),"")</f>
        <v/>
      </c>
      <c r="S295" s="223"/>
      <c r="T295" s="223"/>
      <c r="V295" s="264"/>
      <c r="W295" s="265"/>
      <c r="X295" s="223"/>
      <c r="Y295" s="223"/>
    </row>
    <row r="296" spans="7:25">
      <c r="G296" s="53"/>
      <c r="H296" s="53"/>
      <c r="I296" s="53"/>
      <c r="J296" s="53"/>
      <c r="K296" s="52"/>
      <c r="L296" s="145" t="str">
        <f t="shared" si="8"/>
        <v/>
      </c>
      <c r="M2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6" s="54" t="str">
        <f>IFERROR(-(WHOLE_STRUCTURE[[#This Row],[D, bottom '[m']]]-WHOLE_STRUCTURE[[#This Row],[D, top '[m']]])/(WHOLE_STRUCTURE[[#This Row],[Bottom '[m']]]-WHOLE_STRUCTURE[[#This Row],[Top '[m']]]),"")</f>
        <v/>
      </c>
      <c r="O296" s="52" t="str">
        <f>IFERROR((WHOLE_STRUCTURE[[#This Row],[D, bottom '[m']]]+WHOLE_STRUCTURE[[#This Row],[D, top '[m']]])/(2*WHOLE_STRUCTURE[[#This Row],[t '[mm']]]/1000),"")</f>
        <v/>
      </c>
      <c r="S296" s="223"/>
      <c r="T296" s="223"/>
      <c r="V296" s="264"/>
      <c r="W296" s="265"/>
      <c r="X296" s="223"/>
      <c r="Y296" s="223"/>
    </row>
    <row r="297" spans="7:25">
      <c r="G297" s="53"/>
      <c r="H297" s="53"/>
      <c r="I297" s="53"/>
      <c r="J297" s="53"/>
      <c r="K297" s="52"/>
      <c r="L297" s="145" t="str">
        <f t="shared" si="8"/>
        <v/>
      </c>
      <c r="M2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7" s="54" t="str">
        <f>IFERROR(-(WHOLE_STRUCTURE[[#This Row],[D, bottom '[m']]]-WHOLE_STRUCTURE[[#This Row],[D, top '[m']]])/(WHOLE_STRUCTURE[[#This Row],[Bottom '[m']]]-WHOLE_STRUCTURE[[#This Row],[Top '[m']]]),"")</f>
        <v/>
      </c>
      <c r="O297" s="52" t="str">
        <f>IFERROR((WHOLE_STRUCTURE[[#This Row],[D, bottom '[m']]]+WHOLE_STRUCTURE[[#This Row],[D, top '[m']]])/(2*WHOLE_STRUCTURE[[#This Row],[t '[mm']]]/1000),"")</f>
        <v/>
      </c>
      <c r="S297" s="223"/>
      <c r="T297" s="223"/>
      <c r="V297" s="264"/>
      <c r="W297" s="265"/>
      <c r="X297" s="223"/>
      <c r="Y297" s="223"/>
    </row>
    <row r="298" spans="7:25">
      <c r="G298" s="53"/>
      <c r="H298" s="53"/>
      <c r="I298" s="53"/>
      <c r="J298" s="53"/>
      <c r="K298" s="52"/>
      <c r="L298" s="145" t="str">
        <f t="shared" si="8"/>
        <v/>
      </c>
      <c r="M2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8" s="54" t="str">
        <f>IFERROR(-(WHOLE_STRUCTURE[[#This Row],[D, bottom '[m']]]-WHOLE_STRUCTURE[[#This Row],[D, top '[m']]])/(WHOLE_STRUCTURE[[#This Row],[Bottom '[m']]]-WHOLE_STRUCTURE[[#This Row],[Top '[m']]]),"")</f>
        <v/>
      </c>
      <c r="O298" s="52" t="str">
        <f>IFERROR((WHOLE_STRUCTURE[[#This Row],[D, bottom '[m']]]+WHOLE_STRUCTURE[[#This Row],[D, top '[m']]])/(2*WHOLE_STRUCTURE[[#This Row],[t '[mm']]]/1000),"")</f>
        <v/>
      </c>
      <c r="S298" s="223"/>
      <c r="T298" s="223"/>
      <c r="V298" s="264"/>
      <c r="W298" s="265"/>
      <c r="X298" s="223"/>
      <c r="Y298" s="223"/>
    </row>
    <row r="299" spans="7:25">
      <c r="G299" s="53"/>
      <c r="H299" s="53"/>
      <c r="I299" s="53"/>
      <c r="J299" s="53"/>
      <c r="K299" s="52"/>
      <c r="L299" s="145" t="str">
        <f t="shared" si="8"/>
        <v/>
      </c>
      <c r="M2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9" s="54" t="str">
        <f>IFERROR(-(WHOLE_STRUCTURE[[#This Row],[D, bottom '[m']]]-WHOLE_STRUCTURE[[#This Row],[D, top '[m']]])/(WHOLE_STRUCTURE[[#This Row],[Bottom '[m']]]-WHOLE_STRUCTURE[[#This Row],[Top '[m']]]),"")</f>
        <v/>
      </c>
      <c r="O299" s="52" t="str">
        <f>IFERROR((WHOLE_STRUCTURE[[#This Row],[D, bottom '[m']]]+WHOLE_STRUCTURE[[#This Row],[D, top '[m']]])/(2*WHOLE_STRUCTURE[[#This Row],[t '[mm']]]/1000),"")</f>
        <v/>
      </c>
      <c r="S299" s="223"/>
      <c r="T299" s="223"/>
      <c r="V299" s="264"/>
      <c r="W299" s="265"/>
      <c r="X299" s="223"/>
      <c r="Y299" s="223"/>
    </row>
    <row r="300" spans="7:25">
      <c r="G300" s="53"/>
      <c r="H300" s="53"/>
      <c r="I300" s="53"/>
      <c r="J300" s="53"/>
      <c r="K300" s="52"/>
      <c r="L300" s="145" t="str">
        <f t="shared" si="8"/>
        <v/>
      </c>
      <c r="M3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0" s="54" t="str">
        <f>IFERROR(-(WHOLE_STRUCTURE[[#This Row],[D, bottom '[m']]]-WHOLE_STRUCTURE[[#This Row],[D, top '[m']]])/(WHOLE_STRUCTURE[[#This Row],[Bottom '[m']]]-WHOLE_STRUCTURE[[#This Row],[Top '[m']]]),"")</f>
        <v/>
      </c>
      <c r="O300" s="52" t="str">
        <f>IFERROR((WHOLE_STRUCTURE[[#This Row],[D, bottom '[m']]]+WHOLE_STRUCTURE[[#This Row],[D, top '[m']]])/(2*WHOLE_STRUCTURE[[#This Row],[t '[mm']]]/1000),"")</f>
        <v/>
      </c>
      <c r="S300" s="223"/>
      <c r="T300" s="223"/>
      <c r="V300" s="264"/>
      <c r="W300" s="265"/>
      <c r="X300" s="223"/>
      <c r="Y300" s="223"/>
    </row>
    <row r="301" spans="7:25">
      <c r="G301" s="53"/>
      <c r="H301" s="53"/>
      <c r="I301" s="53"/>
      <c r="J301" s="53"/>
      <c r="K301" s="52"/>
      <c r="L301" s="145" t="str">
        <f t="shared" si="8"/>
        <v/>
      </c>
      <c r="M3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1" s="54" t="str">
        <f>IFERROR(-(WHOLE_STRUCTURE[[#This Row],[D, bottom '[m']]]-WHOLE_STRUCTURE[[#This Row],[D, top '[m']]])/(WHOLE_STRUCTURE[[#This Row],[Bottom '[m']]]-WHOLE_STRUCTURE[[#This Row],[Top '[m']]]),"")</f>
        <v/>
      </c>
      <c r="O301" s="52" t="str">
        <f>IFERROR((WHOLE_STRUCTURE[[#This Row],[D, bottom '[m']]]+WHOLE_STRUCTURE[[#This Row],[D, top '[m']]])/(2*WHOLE_STRUCTURE[[#This Row],[t '[mm']]]/1000),"")</f>
        <v/>
      </c>
      <c r="S301" s="223"/>
      <c r="T301" s="223"/>
      <c r="V301" s="264"/>
      <c r="W301" s="265"/>
      <c r="X301" s="223"/>
      <c r="Y301" s="223"/>
    </row>
    <row r="302" spans="7:25">
      <c r="G302" s="53"/>
      <c r="H302" s="53"/>
      <c r="I302" s="53"/>
      <c r="J302" s="53"/>
      <c r="K302" s="52"/>
      <c r="L302" s="145" t="str">
        <f t="shared" si="8"/>
        <v/>
      </c>
      <c r="M3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2" s="54" t="str">
        <f>IFERROR(-(WHOLE_STRUCTURE[[#This Row],[D, bottom '[m']]]-WHOLE_STRUCTURE[[#This Row],[D, top '[m']]])/(WHOLE_STRUCTURE[[#This Row],[Bottom '[m']]]-WHOLE_STRUCTURE[[#This Row],[Top '[m']]]),"")</f>
        <v/>
      </c>
      <c r="O302" s="52" t="str">
        <f>IFERROR((WHOLE_STRUCTURE[[#This Row],[D, bottom '[m']]]+WHOLE_STRUCTURE[[#This Row],[D, top '[m']]])/(2*WHOLE_STRUCTURE[[#This Row],[t '[mm']]]/1000),"")</f>
        <v/>
      </c>
      <c r="S302" s="223"/>
      <c r="T302" s="223"/>
      <c r="V302" s="264"/>
      <c r="W302" s="265"/>
      <c r="X302" s="223"/>
      <c r="Y302" s="223"/>
    </row>
    <row r="303" spans="7:25">
      <c r="G303" s="53"/>
      <c r="H303" s="53"/>
      <c r="I303" s="53"/>
      <c r="J303" s="53"/>
      <c r="K303" s="52"/>
      <c r="L303" s="145" t="str">
        <f t="shared" si="8"/>
        <v/>
      </c>
      <c r="M3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3" s="54" t="str">
        <f>IFERROR(-(WHOLE_STRUCTURE[[#This Row],[D, bottom '[m']]]-WHOLE_STRUCTURE[[#This Row],[D, top '[m']]])/(WHOLE_STRUCTURE[[#This Row],[Bottom '[m']]]-WHOLE_STRUCTURE[[#This Row],[Top '[m']]]),"")</f>
        <v/>
      </c>
      <c r="O303" s="52" t="str">
        <f>IFERROR((WHOLE_STRUCTURE[[#This Row],[D, bottom '[m']]]+WHOLE_STRUCTURE[[#This Row],[D, top '[m']]])/(2*WHOLE_STRUCTURE[[#This Row],[t '[mm']]]/1000),"")</f>
        <v/>
      </c>
      <c r="S303" s="223"/>
      <c r="T303" s="223"/>
      <c r="V303" s="264"/>
      <c r="W303" s="265"/>
      <c r="X303" s="223"/>
      <c r="Y303" s="223"/>
    </row>
    <row r="304" spans="7:25">
      <c r="G304" s="53"/>
      <c r="H304" s="53"/>
      <c r="I304" s="53"/>
      <c r="J304" s="53"/>
      <c r="K304" s="52"/>
      <c r="L304" s="145" t="str">
        <f t="shared" si="8"/>
        <v/>
      </c>
      <c r="M3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4" s="54" t="str">
        <f>IFERROR(-(WHOLE_STRUCTURE[[#This Row],[D, bottom '[m']]]-WHOLE_STRUCTURE[[#This Row],[D, top '[m']]])/(WHOLE_STRUCTURE[[#This Row],[Bottom '[m']]]-WHOLE_STRUCTURE[[#This Row],[Top '[m']]]),"")</f>
        <v/>
      </c>
      <c r="O304" s="52" t="str">
        <f>IFERROR((WHOLE_STRUCTURE[[#This Row],[D, bottom '[m']]]+WHOLE_STRUCTURE[[#This Row],[D, top '[m']]])/(2*WHOLE_STRUCTURE[[#This Row],[t '[mm']]]/1000),"")</f>
        <v/>
      </c>
      <c r="S304" s="223"/>
      <c r="T304" s="223"/>
      <c r="V304" s="264"/>
      <c r="W304" s="265"/>
      <c r="X304" s="223"/>
      <c r="Y304" s="223"/>
    </row>
    <row r="305" spans="7:25">
      <c r="G305" s="53"/>
      <c r="H305" s="53"/>
      <c r="I305" s="53"/>
      <c r="J305" s="53"/>
      <c r="K305" s="52"/>
      <c r="L305" s="145" t="str">
        <f t="shared" si="8"/>
        <v/>
      </c>
      <c r="M3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5" s="54" t="str">
        <f>IFERROR(-(WHOLE_STRUCTURE[[#This Row],[D, bottom '[m']]]-WHOLE_STRUCTURE[[#This Row],[D, top '[m']]])/(WHOLE_STRUCTURE[[#This Row],[Bottom '[m']]]-WHOLE_STRUCTURE[[#This Row],[Top '[m']]]),"")</f>
        <v/>
      </c>
      <c r="O305" s="52" t="str">
        <f>IFERROR((WHOLE_STRUCTURE[[#This Row],[D, bottom '[m']]]+WHOLE_STRUCTURE[[#This Row],[D, top '[m']]])/(2*WHOLE_STRUCTURE[[#This Row],[t '[mm']]]/1000),"")</f>
        <v/>
      </c>
      <c r="S305" s="223"/>
      <c r="T305" s="223"/>
      <c r="V305" s="264"/>
      <c r="W305" s="265"/>
      <c r="X305" s="223"/>
      <c r="Y305" s="223"/>
    </row>
    <row r="306" spans="7:25">
      <c r="G306" s="53"/>
      <c r="H306" s="53"/>
      <c r="I306" s="53"/>
      <c r="J306" s="53"/>
      <c r="K306" s="52"/>
      <c r="L306" s="145" t="str">
        <f t="shared" si="8"/>
        <v/>
      </c>
      <c r="M3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6" s="54" t="str">
        <f>IFERROR(-(WHOLE_STRUCTURE[[#This Row],[D, bottom '[m']]]-WHOLE_STRUCTURE[[#This Row],[D, top '[m']]])/(WHOLE_STRUCTURE[[#This Row],[Bottom '[m']]]-WHOLE_STRUCTURE[[#This Row],[Top '[m']]]),"")</f>
        <v/>
      </c>
      <c r="O306" s="52" t="str">
        <f>IFERROR((WHOLE_STRUCTURE[[#This Row],[D, bottom '[m']]]+WHOLE_STRUCTURE[[#This Row],[D, top '[m']]])/(2*WHOLE_STRUCTURE[[#This Row],[t '[mm']]]/1000),"")</f>
        <v/>
      </c>
      <c r="S306" s="223"/>
      <c r="T306" s="223"/>
      <c r="V306" s="264"/>
      <c r="W306" s="265"/>
      <c r="X306" s="223"/>
      <c r="Y306" s="223"/>
    </row>
    <row r="307" spans="7:25">
      <c r="G307" s="53"/>
      <c r="H307" s="53"/>
      <c r="I307" s="53"/>
      <c r="J307" s="53"/>
      <c r="K307" s="52"/>
      <c r="L307" s="145" t="str">
        <f t="shared" si="8"/>
        <v/>
      </c>
      <c r="M3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7" s="54" t="str">
        <f>IFERROR(-(WHOLE_STRUCTURE[[#This Row],[D, bottom '[m']]]-WHOLE_STRUCTURE[[#This Row],[D, top '[m']]])/(WHOLE_STRUCTURE[[#This Row],[Bottom '[m']]]-WHOLE_STRUCTURE[[#This Row],[Top '[m']]]),"")</f>
        <v/>
      </c>
      <c r="O307" s="52" t="str">
        <f>IFERROR((WHOLE_STRUCTURE[[#This Row],[D, bottom '[m']]]+WHOLE_STRUCTURE[[#This Row],[D, top '[m']]])/(2*WHOLE_STRUCTURE[[#This Row],[t '[mm']]]/1000),"")</f>
        <v/>
      </c>
      <c r="S307" s="223"/>
      <c r="T307" s="223"/>
      <c r="V307" s="264"/>
      <c r="W307" s="265"/>
      <c r="X307" s="223"/>
      <c r="Y307" s="223"/>
    </row>
    <row r="308" spans="7:25">
      <c r="G308" s="53"/>
      <c r="H308" s="53"/>
      <c r="I308" s="53"/>
      <c r="J308" s="53"/>
      <c r="K308" s="52"/>
      <c r="L308" s="145" t="str">
        <f t="shared" si="8"/>
        <v/>
      </c>
      <c r="M3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8" s="54" t="str">
        <f>IFERROR(-(WHOLE_STRUCTURE[[#This Row],[D, bottom '[m']]]-WHOLE_STRUCTURE[[#This Row],[D, top '[m']]])/(WHOLE_STRUCTURE[[#This Row],[Bottom '[m']]]-WHOLE_STRUCTURE[[#This Row],[Top '[m']]]),"")</f>
        <v/>
      </c>
      <c r="O308" s="52" t="str">
        <f>IFERROR((WHOLE_STRUCTURE[[#This Row],[D, bottom '[m']]]+WHOLE_STRUCTURE[[#This Row],[D, top '[m']]])/(2*WHOLE_STRUCTURE[[#This Row],[t '[mm']]]/1000),"")</f>
        <v/>
      </c>
      <c r="S308" s="223"/>
      <c r="T308" s="223"/>
      <c r="V308" s="264"/>
      <c r="W308" s="265"/>
      <c r="X308" s="223"/>
      <c r="Y308" s="223"/>
    </row>
    <row r="309" spans="7:25">
      <c r="G309" s="53"/>
      <c r="H309" s="53"/>
      <c r="I309" s="53"/>
      <c r="J309" s="53"/>
      <c r="K309" s="52"/>
      <c r="L309" s="145" t="str">
        <f t="shared" si="8"/>
        <v/>
      </c>
      <c r="M3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9" s="54" t="str">
        <f>IFERROR(-(WHOLE_STRUCTURE[[#This Row],[D, bottom '[m']]]-WHOLE_STRUCTURE[[#This Row],[D, top '[m']]])/(WHOLE_STRUCTURE[[#This Row],[Bottom '[m']]]-WHOLE_STRUCTURE[[#This Row],[Top '[m']]]),"")</f>
        <v/>
      </c>
      <c r="O309" s="52" t="str">
        <f>IFERROR((WHOLE_STRUCTURE[[#This Row],[D, bottom '[m']]]+WHOLE_STRUCTURE[[#This Row],[D, top '[m']]])/(2*WHOLE_STRUCTURE[[#This Row],[t '[mm']]]/1000),"")</f>
        <v/>
      </c>
      <c r="S309" s="223"/>
      <c r="T309" s="223"/>
      <c r="V309" s="264"/>
      <c r="W309" s="265"/>
      <c r="X309" s="223"/>
      <c r="Y309" s="223"/>
    </row>
    <row r="310" spans="7:25">
      <c r="G310" s="53"/>
      <c r="H310" s="53"/>
      <c r="I310" s="53"/>
      <c r="J310" s="53"/>
      <c r="K310" s="52"/>
      <c r="L310" s="145" t="str">
        <f t="shared" si="8"/>
        <v/>
      </c>
      <c r="M3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0" s="54" t="str">
        <f>IFERROR(-(WHOLE_STRUCTURE[[#This Row],[D, bottom '[m']]]-WHOLE_STRUCTURE[[#This Row],[D, top '[m']]])/(WHOLE_STRUCTURE[[#This Row],[Bottom '[m']]]-WHOLE_STRUCTURE[[#This Row],[Top '[m']]]),"")</f>
        <v/>
      </c>
      <c r="O310" s="52" t="str">
        <f>IFERROR((WHOLE_STRUCTURE[[#This Row],[D, bottom '[m']]]+WHOLE_STRUCTURE[[#This Row],[D, top '[m']]])/(2*WHOLE_STRUCTURE[[#This Row],[t '[mm']]]/1000),"")</f>
        <v/>
      </c>
      <c r="S310" s="223"/>
      <c r="T310" s="223"/>
      <c r="V310" s="264"/>
      <c r="W310" s="265"/>
      <c r="X310" s="223"/>
      <c r="Y310" s="223"/>
    </row>
    <row r="311" spans="7:25">
      <c r="G311" s="53"/>
      <c r="H311" s="53"/>
      <c r="I311" s="53"/>
      <c r="J311" s="53"/>
      <c r="K311" s="52"/>
      <c r="L311" s="145" t="str">
        <f t="shared" si="8"/>
        <v/>
      </c>
      <c r="M3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1" s="54" t="str">
        <f>IFERROR(-(WHOLE_STRUCTURE[[#This Row],[D, bottom '[m']]]-WHOLE_STRUCTURE[[#This Row],[D, top '[m']]])/(WHOLE_STRUCTURE[[#This Row],[Bottom '[m']]]-WHOLE_STRUCTURE[[#This Row],[Top '[m']]]),"")</f>
        <v/>
      </c>
      <c r="O311" s="52" t="str">
        <f>IFERROR((WHOLE_STRUCTURE[[#This Row],[D, bottom '[m']]]+WHOLE_STRUCTURE[[#This Row],[D, top '[m']]])/(2*WHOLE_STRUCTURE[[#This Row],[t '[mm']]]/1000),"")</f>
        <v/>
      </c>
      <c r="S311" s="223"/>
      <c r="T311" s="223"/>
      <c r="V311" s="264"/>
      <c r="W311" s="265"/>
      <c r="X311" s="223"/>
      <c r="Y311" s="223"/>
    </row>
    <row r="312" spans="7:25">
      <c r="G312" s="53"/>
      <c r="H312" s="53"/>
      <c r="I312" s="53"/>
      <c r="J312" s="53"/>
      <c r="K312" s="52"/>
      <c r="L312" s="145" t="str">
        <f t="shared" si="8"/>
        <v/>
      </c>
      <c r="M3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2" s="54" t="str">
        <f>IFERROR(-(WHOLE_STRUCTURE[[#This Row],[D, bottom '[m']]]-WHOLE_STRUCTURE[[#This Row],[D, top '[m']]])/(WHOLE_STRUCTURE[[#This Row],[Bottom '[m']]]-WHOLE_STRUCTURE[[#This Row],[Top '[m']]]),"")</f>
        <v/>
      </c>
      <c r="O312" s="52" t="str">
        <f>IFERROR((WHOLE_STRUCTURE[[#This Row],[D, bottom '[m']]]+WHOLE_STRUCTURE[[#This Row],[D, top '[m']]])/(2*WHOLE_STRUCTURE[[#This Row],[t '[mm']]]/1000),"")</f>
        <v/>
      </c>
      <c r="S312" s="223"/>
      <c r="T312" s="223"/>
      <c r="V312" s="264"/>
      <c r="W312" s="265"/>
      <c r="X312" s="223"/>
      <c r="Y312" s="223"/>
    </row>
    <row r="313" spans="7:25">
      <c r="G313" s="53"/>
      <c r="H313" s="53"/>
      <c r="I313" s="53"/>
      <c r="J313" s="53"/>
      <c r="K313" s="52"/>
      <c r="L313" s="145" t="str">
        <f t="shared" si="8"/>
        <v/>
      </c>
      <c r="M3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3" s="54" t="str">
        <f>IFERROR(-(WHOLE_STRUCTURE[[#This Row],[D, bottom '[m']]]-WHOLE_STRUCTURE[[#This Row],[D, top '[m']]])/(WHOLE_STRUCTURE[[#This Row],[Bottom '[m']]]-WHOLE_STRUCTURE[[#This Row],[Top '[m']]]),"")</f>
        <v/>
      </c>
      <c r="O313" s="52" t="str">
        <f>IFERROR((WHOLE_STRUCTURE[[#This Row],[D, bottom '[m']]]+WHOLE_STRUCTURE[[#This Row],[D, top '[m']]])/(2*WHOLE_STRUCTURE[[#This Row],[t '[mm']]]/1000),"")</f>
        <v/>
      </c>
      <c r="S313" s="223"/>
      <c r="T313" s="223"/>
      <c r="V313" s="264"/>
      <c r="W313" s="265"/>
      <c r="X313" s="223"/>
      <c r="Y313" s="223"/>
    </row>
    <row r="314" spans="7:25">
      <c r="G314" s="53"/>
      <c r="H314" s="53"/>
      <c r="I314" s="53"/>
      <c r="J314" s="53"/>
      <c r="K314" s="52"/>
      <c r="L314" s="145" t="str">
        <f t="shared" si="8"/>
        <v/>
      </c>
      <c r="M3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4" s="54" t="str">
        <f>IFERROR(-(WHOLE_STRUCTURE[[#This Row],[D, bottom '[m']]]-WHOLE_STRUCTURE[[#This Row],[D, top '[m']]])/(WHOLE_STRUCTURE[[#This Row],[Bottom '[m']]]-WHOLE_STRUCTURE[[#This Row],[Top '[m']]]),"")</f>
        <v/>
      </c>
      <c r="O314" s="52" t="str">
        <f>IFERROR((WHOLE_STRUCTURE[[#This Row],[D, bottom '[m']]]+WHOLE_STRUCTURE[[#This Row],[D, top '[m']]])/(2*WHOLE_STRUCTURE[[#This Row],[t '[mm']]]/1000),"")</f>
        <v/>
      </c>
      <c r="S314" s="223"/>
      <c r="T314" s="223"/>
      <c r="V314" s="264"/>
      <c r="W314" s="265"/>
      <c r="X314" s="223"/>
      <c r="Y314" s="223"/>
    </row>
    <row r="315" spans="7:25">
      <c r="G315" s="53"/>
      <c r="H315" s="53"/>
      <c r="I315" s="53"/>
      <c r="J315" s="53"/>
      <c r="K315" s="52"/>
      <c r="L315" s="145" t="str">
        <f t="shared" si="8"/>
        <v/>
      </c>
      <c r="M3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5" s="54" t="str">
        <f>IFERROR(-(WHOLE_STRUCTURE[[#This Row],[D, bottom '[m']]]-WHOLE_STRUCTURE[[#This Row],[D, top '[m']]])/(WHOLE_STRUCTURE[[#This Row],[Bottom '[m']]]-WHOLE_STRUCTURE[[#This Row],[Top '[m']]]),"")</f>
        <v/>
      </c>
      <c r="O315" s="52" t="str">
        <f>IFERROR((WHOLE_STRUCTURE[[#This Row],[D, bottom '[m']]]+WHOLE_STRUCTURE[[#This Row],[D, top '[m']]])/(2*WHOLE_STRUCTURE[[#This Row],[t '[mm']]]/1000),"")</f>
        <v/>
      </c>
      <c r="S315" s="223"/>
      <c r="T315" s="223"/>
      <c r="V315" s="264"/>
      <c r="W315" s="265"/>
      <c r="X315" s="223"/>
      <c r="Y315" s="223"/>
    </row>
    <row r="316" spans="7:25">
      <c r="G316" s="53"/>
      <c r="H316" s="53"/>
      <c r="I316" s="53"/>
      <c r="J316" s="53"/>
      <c r="K316" s="52"/>
      <c r="L316" s="145" t="str">
        <f t="shared" si="8"/>
        <v/>
      </c>
      <c r="M3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6" s="54" t="str">
        <f>IFERROR(-(WHOLE_STRUCTURE[[#This Row],[D, bottom '[m']]]-WHOLE_STRUCTURE[[#This Row],[D, top '[m']]])/(WHOLE_STRUCTURE[[#This Row],[Bottom '[m']]]-WHOLE_STRUCTURE[[#This Row],[Top '[m']]]),"")</f>
        <v/>
      </c>
      <c r="O316" s="52" t="str">
        <f>IFERROR((WHOLE_STRUCTURE[[#This Row],[D, bottom '[m']]]+WHOLE_STRUCTURE[[#This Row],[D, top '[m']]])/(2*WHOLE_STRUCTURE[[#This Row],[t '[mm']]]/1000),"")</f>
        <v/>
      </c>
      <c r="S316" s="223"/>
      <c r="T316" s="223"/>
      <c r="V316" s="264"/>
      <c r="W316" s="265"/>
      <c r="X316" s="223"/>
      <c r="Y316" s="223"/>
    </row>
    <row r="317" spans="7:25">
      <c r="G317" s="53"/>
      <c r="H317" s="53"/>
      <c r="I317" s="53"/>
      <c r="J317" s="53"/>
      <c r="K317" s="52"/>
      <c r="L317" s="145" t="str">
        <f t="shared" si="8"/>
        <v/>
      </c>
      <c r="M3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7" s="54" t="str">
        <f>IFERROR(-(WHOLE_STRUCTURE[[#This Row],[D, bottom '[m']]]-WHOLE_STRUCTURE[[#This Row],[D, top '[m']]])/(WHOLE_STRUCTURE[[#This Row],[Bottom '[m']]]-WHOLE_STRUCTURE[[#This Row],[Top '[m']]]),"")</f>
        <v/>
      </c>
      <c r="O317" s="52" t="str">
        <f>IFERROR((WHOLE_STRUCTURE[[#This Row],[D, bottom '[m']]]+WHOLE_STRUCTURE[[#This Row],[D, top '[m']]])/(2*WHOLE_STRUCTURE[[#This Row],[t '[mm']]]/1000),"")</f>
        <v/>
      </c>
      <c r="S317" s="223"/>
      <c r="T317" s="223"/>
      <c r="V317" s="264"/>
      <c r="W317" s="265"/>
      <c r="X317" s="223"/>
      <c r="Y317" s="223"/>
    </row>
    <row r="318" spans="7:25">
      <c r="G318" s="53"/>
      <c r="H318" s="53"/>
      <c r="I318" s="53"/>
      <c r="J318" s="53"/>
      <c r="K318" s="52"/>
      <c r="L318" s="54" t="str">
        <f t="shared" si="8"/>
        <v/>
      </c>
      <c r="M3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8" s="54" t="str">
        <f>IFERROR(-(WHOLE_STRUCTURE[[#This Row],[D, bottom '[m']]]-WHOLE_STRUCTURE[[#This Row],[D, top '[m']]])/(WHOLE_STRUCTURE[[#This Row],[Bottom '[m']]]-WHOLE_STRUCTURE[[#This Row],[Top '[m']]]),"")</f>
        <v/>
      </c>
      <c r="O318" s="52" t="str">
        <f>IFERROR((WHOLE_STRUCTURE[[#This Row],[D, bottom '[m']]]+WHOLE_STRUCTURE[[#This Row],[D, top '[m']]])/(2*WHOLE_STRUCTURE[[#This Row],[t '[mm']]]/1000),"")</f>
        <v/>
      </c>
      <c r="S318" s="223"/>
      <c r="T318" s="223"/>
      <c r="V318" s="264"/>
      <c r="W318" s="265"/>
      <c r="X318" s="223"/>
      <c r="Y318" s="223"/>
    </row>
    <row r="319" spans="7:25">
      <c r="G319" s="53"/>
      <c r="H319" s="53"/>
      <c r="I319" s="53"/>
      <c r="J319" s="53"/>
      <c r="K319" s="52"/>
      <c r="L319" s="54" t="str">
        <f t="shared" si="8"/>
        <v/>
      </c>
      <c r="M3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9" s="54" t="str">
        <f>IFERROR(-(WHOLE_STRUCTURE[[#This Row],[D, bottom '[m']]]-WHOLE_STRUCTURE[[#This Row],[D, top '[m']]])/(WHOLE_STRUCTURE[[#This Row],[Bottom '[m']]]-WHOLE_STRUCTURE[[#This Row],[Top '[m']]]),"")</f>
        <v/>
      </c>
      <c r="O319" s="52" t="str">
        <f>IFERROR((WHOLE_STRUCTURE[[#This Row],[D, bottom '[m']]]+WHOLE_STRUCTURE[[#This Row],[D, top '[m']]])/(2*WHOLE_STRUCTURE[[#This Row],[t '[mm']]]/1000),"")</f>
        <v/>
      </c>
      <c r="S319" s="223"/>
      <c r="T319" s="223"/>
      <c r="V319" s="264"/>
      <c r="W319" s="265"/>
      <c r="X319" s="223"/>
      <c r="Y319" s="223"/>
    </row>
    <row r="320" spans="7:25">
      <c r="G320" s="53"/>
      <c r="H320" s="53"/>
      <c r="I320" s="53"/>
      <c r="J320" s="53"/>
      <c r="K320" s="52"/>
      <c r="L320" s="54" t="str">
        <f t="shared" si="8"/>
        <v/>
      </c>
      <c r="M3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0" s="54" t="str">
        <f>IFERROR(-(WHOLE_STRUCTURE[[#This Row],[D, bottom '[m']]]-WHOLE_STRUCTURE[[#This Row],[D, top '[m']]])/(WHOLE_STRUCTURE[[#This Row],[Bottom '[m']]]-WHOLE_STRUCTURE[[#This Row],[Top '[m']]]),"")</f>
        <v/>
      </c>
      <c r="O320" s="52" t="str">
        <f>IFERROR((WHOLE_STRUCTURE[[#This Row],[D, bottom '[m']]]+WHOLE_STRUCTURE[[#This Row],[D, top '[m']]])/(2*WHOLE_STRUCTURE[[#This Row],[t '[mm']]]/1000),"")</f>
        <v/>
      </c>
      <c r="S320" s="223"/>
      <c r="T320" s="223"/>
      <c r="V320" s="264"/>
      <c r="W320" s="265"/>
      <c r="X320" s="223"/>
      <c r="Y320" s="223"/>
    </row>
    <row r="321" spans="7:25">
      <c r="G321" s="53"/>
      <c r="H321" s="53"/>
      <c r="I321" s="53"/>
      <c r="J321" s="53"/>
      <c r="K321" s="52"/>
      <c r="L321" s="54" t="str">
        <f t="shared" si="8"/>
        <v/>
      </c>
      <c r="M3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1" s="54" t="str">
        <f>IFERROR(-(WHOLE_STRUCTURE[[#This Row],[D, bottom '[m']]]-WHOLE_STRUCTURE[[#This Row],[D, top '[m']]])/(WHOLE_STRUCTURE[[#This Row],[Bottom '[m']]]-WHOLE_STRUCTURE[[#This Row],[Top '[m']]]),"")</f>
        <v/>
      </c>
      <c r="O321" s="52" t="str">
        <f>IFERROR((WHOLE_STRUCTURE[[#This Row],[D, bottom '[m']]]+WHOLE_STRUCTURE[[#This Row],[D, top '[m']]])/(2*WHOLE_STRUCTURE[[#This Row],[t '[mm']]]/1000),"")</f>
        <v/>
      </c>
      <c r="S321" s="223"/>
      <c r="T321" s="223"/>
      <c r="V321" s="264"/>
      <c r="W321" s="265"/>
      <c r="X321" s="223"/>
      <c r="Y321" s="223"/>
    </row>
    <row r="322" spans="7:25">
      <c r="G322" s="53"/>
      <c r="H322" s="53"/>
      <c r="I322" s="53"/>
      <c r="J322" s="53"/>
      <c r="K322" s="52"/>
      <c r="L322" s="54" t="str">
        <f t="shared" si="8"/>
        <v/>
      </c>
      <c r="M3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2" s="54" t="str">
        <f>IFERROR(-(WHOLE_STRUCTURE[[#This Row],[D, bottom '[m']]]-WHOLE_STRUCTURE[[#This Row],[D, top '[m']]])/(WHOLE_STRUCTURE[[#This Row],[Bottom '[m']]]-WHOLE_STRUCTURE[[#This Row],[Top '[m']]]),"")</f>
        <v/>
      </c>
      <c r="O322" s="52" t="str">
        <f>IFERROR((WHOLE_STRUCTURE[[#This Row],[D, bottom '[m']]]+WHOLE_STRUCTURE[[#This Row],[D, top '[m']]])/(2*WHOLE_STRUCTURE[[#This Row],[t '[mm']]]/1000),"")</f>
        <v/>
      </c>
      <c r="S322" s="223"/>
      <c r="T322" s="223"/>
      <c r="V322" s="264"/>
      <c r="W322" s="265"/>
      <c r="X322" s="223"/>
      <c r="Y322" s="223"/>
    </row>
    <row r="323" spans="7:25">
      <c r="G323" s="53"/>
      <c r="H323" s="53"/>
      <c r="I323" s="53"/>
      <c r="J323" s="53"/>
      <c r="K323" s="52"/>
      <c r="L323" s="54" t="str">
        <f t="shared" si="8"/>
        <v/>
      </c>
      <c r="M3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3" s="54" t="str">
        <f>IFERROR(-(WHOLE_STRUCTURE[[#This Row],[D, bottom '[m']]]-WHOLE_STRUCTURE[[#This Row],[D, top '[m']]])/(WHOLE_STRUCTURE[[#This Row],[Bottom '[m']]]-WHOLE_STRUCTURE[[#This Row],[Top '[m']]]),"")</f>
        <v/>
      </c>
      <c r="O323" s="52" t="str">
        <f>IFERROR((WHOLE_STRUCTURE[[#This Row],[D, bottom '[m']]]+WHOLE_STRUCTURE[[#This Row],[D, top '[m']]])/(2*WHOLE_STRUCTURE[[#This Row],[t '[mm']]]/1000),"")</f>
        <v/>
      </c>
      <c r="S323" s="223"/>
      <c r="T323" s="223"/>
      <c r="V323" s="264"/>
      <c r="W323" s="265"/>
      <c r="X323" s="223"/>
      <c r="Y323" s="223"/>
    </row>
    <row r="324" spans="7:25">
      <c r="G324" s="53"/>
      <c r="H324" s="53"/>
      <c r="I324" s="53"/>
      <c r="J324" s="53"/>
      <c r="K324" s="52"/>
      <c r="L324" s="54" t="str">
        <f t="shared" si="8"/>
        <v/>
      </c>
      <c r="M3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4" s="54" t="str">
        <f>IFERROR(-(WHOLE_STRUCTURE[[#This Row],[D, bottom '[m']]]-WHOLE_STRUCTURE[[#This Row],[D, top '[m']]])/(WHOLE_STRUCTURE[[#This Row],[Bottom '[m']]]-WHOLE_STRUCTURE[[#This Row],[Top '[m']]]),"")</f>
        <v/>
      </c>
      <c r="O324" s="52" t="str">
        <f>IFERROR((WHOLE_STRUCTURE[[#This Row],[D, bottom '[m']]]+WHOLE_STRUCTURE[[#This Row],[D, top '[m']]])/(2*WHOLE_STRUCTURE[[#This Row],[t '[mm']]]/1000),"")</f>
        <v/>
      </c>
      <c r="S324" s="223"/>
      <c r="T324" s="223"/>
      <c r="V324" s="264"/>
      <c r="W324" s="265"/>
      <c r="X324" s="223"/>
      <c r="Y324" s="223"/>
    </row>
    <row r="325" spans="7:25">
      <c r="G325" s="53"/>
      <c r="H325" s="53"/>
      <c r="I325" s="53"/>
      <c r="J325" s="53"/>
      <c r="K325" s="52"/>
      <c r="L325" s="54" t="str">
        <f t="shared" ref="L325:L388" si="9">IF(7850/1000*(1/3)*PI()*ABS(G325-H325)*((I325/2)^2+(I325/2)*(J325/2)+(J325/2)^2-(I325/2-K325/1000)^2-(I325/2-K325/1000)*(J325/2-K325/1000)-(J325/2-K325/1000)^2)=0,"",7850/1000*(1/3)*PI()*ABS(G325-H325)*((I325/2)^2+(I325/2)*(J325/2)+(J325/2)^2-(I325/2-K325/1000)^2-(I325/2-K325/1000)*(J325/2-K325/1000)-(J325/2-K325/1000)^2))</f>
        <v/>
      </c>
      <c r="M3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5" s="54" t="str">
        <f>IFERROR(-(WHOLE_STRUCTURE[[#This Row],[D, bottom '[m']]]-WHOLE_STRUCTURE[[#This Row],[D, top '[m']]])/(WHOLE_STRUCTURE[[#This Row],[Bottom '[m']]]-WHOLE_STRUCTURE[[#This Row],[Top '[m']]]),"")</f>
        <v/>
      </c>
      <c r="O325" s="52" t="str">
        <f>IFERROR((WHOLE_STRUCTURE[[#This Row],[D, bottom '[m']]]+WHOLE_STRUCTURE[[#This Row],[D, top '[m']]])/(2*WHOLE_STRUCTURE[[#This Row],[t '[mm']]]/1000),"")</f>
        <v/>
      </c>
      <c r="S325" s="223"/>
      <c r="T325" s="223"/>
      <c r="V325" s="264"/>
      <c r="W325" s="265"/>
      <c r="X325" s="223"/>
      <c r="Y325" s="223"/>
    </row>
    <row r="326" spans="7:25">
      <c r="G326" s="53"/>
      <c r="H326" s="53"/>
      <c r="I326" s="53"/>
      <c r="J326" s="53"/>
      <c r="K326" s="52"/>
      <c r="L326" s="54" t="str">
        <f t="shared" si="9"/>
        <v/>
      </c>
      <c r="M3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6" s="54" t="str">
        <f>IFERROR(-(WHOLE_STRUCTURE[[#This Row],[D, bottom '[m']]]-WHOLE_STRUCTURE[[#This Row],[D, top '[m']]])/(WHOLE_STRUCTURE[[#This Row],[Bottom '[m']]]-WHOLE_STRUCTURE[[#This Row],[Top '[m']]]),"")</f>
        <v/>
      </c>
      <c r="O326" s="52" t="str">
        <f>IFERROR((WHOLE_STRUCTURE[[#This Row],[D, bottom '[m']]]+WHOLE_STRUCTURE[[#This Row],[D, top '[m']]])/(2*WHOLE_STRUCTURE[[#This Row],[t '[mm']]]/1000),"")</f>
        <v/>
      </c>
      <c r="S326" s="223"/>
      <c r="T326" s="223"/>
      <c r="V326" s="264"/>
      <c r="W326" s="265"/>
      <c r="X326" s="223"/>
      <c r="Y326" s="223"/>
    </row>
    <row r="327" spans="7:25">
      <c r="G327" s="53"/>
      <c r="H327" s="53"/>
      <c r="I327" s="53"/>
      <c r="J327" s="53"/>
      <c r="K327" s="52"/>
      <c r="L327" s="54" t="str">
        <f t="shared" si="9"/>
        <v/>
      </c>
      <c r="M3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7" s="54" t="str">
        <f>IFERROR(-(WHOLE_STRUCTURE[[#This Row],[D, bottom '[m']]]-WHOLE_STRUCTURE[[#This Row],[D, top '[m']]])/(WHOLE_STRUCTURE[[#This Row],[Bottom '[m']]]-WHOLE_STRUCTURE[[#This Row],[Top '[m']]]),"")</f>
        <v/>
      </c>
      <c r="O327" s="52" t="str">
        <f>IFERROR((WHOLE_STRUCTURE[[#This Row],[D, bottom '[m']]]+WHOLE_STRUCTURE[[#This Row],[D, top '[m']]])/(2*WHOLE_STRUCTURE[[#This Row],[t '[mm']]]/1000),"")</f>
        <v/>
      </c>
      <c r="S327" s="223"/>
      <c r="T327" s="223"/>
      <c r="V327" s="264"/>
      <c r="W327" s="265"/>
      <c r="X327" s="223"/>
      <c r="Y327" s="223"/>
    </row>
    <row r="328" spans="7:25">
      <c r="G328" s="53"/>
      <c r="H328" s="53"/>
      <c r="I328" s="53"/>
      <c r="J328" s="53"/>
      <c r="K328" s="52"/>
      <c r="L328" s="54" t="str">
        <f t="shared" si="9"/>
        <v/>
      </c>
      <c r="M3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8" s="54" t="str">
        <f>IFERROR(-(WHOLE_STRUCTURE[[#This Row],[D, bottom '[m']]]-WHOLE_STRUCTURE[[#This Row],[D, top '[m']]])/(WHOLE_STRUCTURE[[#This Row],[Bottom '[m']]]-WHOLE_STRUCTURE[[#This Row],[Top '[m']]]),"")</f>
        <v/>
      </c>
      <c r="O328" s="52" t="str">
        <f>IFERROR((WHOLE_STRUCTURE[[#This Row],[D, bottom '[m']]]+WHOLE_STRUCTURE[[#This Row],[D, top '[m']]])/(2*WHOLE_STRUCTURE[[#This Row],[t '[mm']]]/1000),"")</f>
        <v/>
      </c>
      <c r="S328" s="223"/>
      <c r="T328" s="223"/>
      <c r="V328" s="264"/>
      <c r="W328" s="265"/>
      <c r="X328" s="223"/>
      <c r="Y328" s="223"/>
    </row>
    <row r="329" spans="7:25">
      <c r="G329" s="53"/>
      <c r="H329" s="53"/>
      <c r="I329" s="53"/>
      <c r="J329" s="53"/>
      <c r="K329" s="52"/>
      <c r="L329" s="54" t="str">
        <f t="shared" si="9"/>
        <v/>
      </c>
      <c r="M3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9" s="54" t="str">
        <f>IFERROR(-(WHOLE_STRUCTURE[[#This Row],[D, bottom '[m']]]-WHOLE_STRUCTURE[[#This Row],[D, top '[m']]])/(WHOLE_STRUCTURE[[#This Row],[Bottom '[m']]]-WHOLE_STRUCTURE[[#This Row],[Top '[m']]]),"")</f>
        <v/>
      </c>
      <c r="O329" s="52" t="str">
        <f>IFERROR((WHOLE_STRUCTURE[[#This Row],[D, bottom '[m']]]+WHOLE_STRUCTURE[[#This Row],[D, top '[m']]])/(2*WHOLE_STRUCTURE[[#This Row],[t '[mm']]]/1000),"")</f>
        <v/>
      </c>
      <c r="S329" s="223"/>
      <c r="T329" s="223"/>
      <c r="V329" s="264"/>
      <c r="W329" s="265"/>
      <c r="X329" s="223"/>
      <c r="Y329" s="223"/>
    </row>
    <row r="330" spans="7:25">
      <c r="G330" s="53"/>
      <c r="H330" s="53"/>
      <c r="I330" s="53"/>
      <c r="J330" s="53"/>
      <c r="K330" s="52"/>
      <c r="L330" s="54" t="str">
        <f t="shared" si="9"/>
        <v/>
      </c>
      <c r="M3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0" s="54" t="str">
        <f>IFERROR(-(WHOLE_STRUCTURE[[#This Row],[D, bottom '[m']]]-WHOLE_STRUCTURE[[#This Row],[D, top '[m']]])/(WHOLE_STRUCTURE[[#This Row],[Bottom '[m']]]-WHOLE_STRUCTURE[[#This Row],[Top '[m']]]),"")</f>
        <v/>
      </c>
      <c r="O330" s="52" t="str">
        <f>IFERROR((WHOLE_STRUCTURE[[#This Row],[D, bottom '[m']]]+WHOLE_STRUCTURE[[#This Row],[D, top '[m']]])/(2*WHOLE_STRUCTURE[[#This Row],[t '[mm']]]/1000),"")</f>
        <v/>
      </c>
      <c r="S330" s="223"/>
      <c r="T330" s="223"/>
      <c r="V330" s="264"/>
      <c r="W330" s="265"/>
      <c r="X330" s="223"/>
      <c r="Y330" s="223"/>
    </row>
    <row r="331" spans="7:25">
      <c r="G331" s="53"/>
      <c r="H331" s="53"/>
      <c r="I331" s="53"/>
      <c r="J331" s="53"/>
      <c r="K331" s="52"/>
      <c r="L331" s="54" t="str">
        <f t="shared" si="9"/>
        <v/>
      </c>
      <c r="M3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1" s="54" t="str">
        <f>IFERROR(-(WHOLE_STRUCTURE[[#This Row],[D, bottom '[m']]]-WHOLE_STRUCTURE[[#This Row],[D, top '[m']]])/(WHOLE_STRUCTURE[[#This Row],[Bottom '[m']]]-WHOLE_STRUCTURE[[#This Row],[Top '[m']]]),"")</f>
        <v/>
      </c>
      <c r="O331" s="52" t="str">
        <f>IFERROR((WHOLE_STRUCTURE[[#This Row],[D, bottom '[m']]]+WHOLE_STRUCTURE[[#This Row],[D, top '[m']]])/(2*WHOLE_STRUCTURE[[#This Row],[t '[mm']]]/1000),"")</f>
        <v/>
      </c>
      <c r="S331" s="223"/>
      <c r="T331" s="223"/>
      <c r="V331" s="264"/>
      <c r="W331" s="265"/>
      <c r="X331" s="223"/>
      <c r="Y331" s="223"/>
    </row>
    <row r="332" spans="7:25">
      <c r="G332" s="53"/>
      <c r="H332" s="53"/>
      <c r="I332" s="53"/>
      <c r="J332" s="53"/>
      <c r="K332" s="52"/>
      <c r="L332" s="54" t="str">
        <f t="shared" si="9"/>
        <v/>
      </c>
      <c r="M3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2" s="54" t="str">
        <f>IFERROR(-(WHOLE_STRUCTURE[[#This Row],[D, bottom '[m']]]-WHOLE_STRUCTURE[[#This Row],[D, top '[m']]])/(WHOLE_STRUCTURE[[#This Row],[Bottom '[m']]]-WHOLE_STRUCTURE[[#This Row],[Top '[m']]]),"")</f>
        <v/>
      </c>
      <c r="O332" s="52" t="str">
        <f>IFERROR((WHOLE_STRUCTURE[[#This Row],[D, bottom '[m']]]+WHOLE_STRUCTURE[[#This Row],[D, top '[m']]])/(2*WHOLE_STRUCTURE[[#This Row],[t '[mm']]]/1000),"")</f>
        <v/>
      </c>
      <c r="S332" s="223"/>
      <c r="T332" s="223"/>
      <c r="V332" s="264"/>
      <c r="W332" s="265"/>
      <c r="X332" s="223"/>
      <c r="Y332" s="223"/>
    </row>
    <row r="333" spans="7:25">
      <c r="G333" s="53"/>
      <c r="H333" s="53"/>
      <c r="I333" s="53"/>
      <c r="J333" s="53"/>
      <c r="K333" s="52"/>
      <c r="L333" s="54" t="str">
        <f t="shared" si="9"/>
        <v/>
      </c>
      <c r="M3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3" s="54" t="str">
        <f>IFERROR(-(WHOLE_STRUCTURE[[#This Row],[D, bottom '[m']]]-WHOLE_STRUCTURE[[#This Row],[D, top '[m']]])/(WHOLE_STRUCTURE[[#This Row],[Bottom '[m']]]-WHOLE_STRUCTURE[[#This Row],[Top '[m']]]),"")</f>
        <v/>
      </c>
      <c r="O333" s="52" t="str">
        <f>IFERROR((WHOLE_STRUCTURE[[#This Row],[D, bottom '[m']]]+WHOLE_STRUCTURE[[#This Row],[D, top '[m']]])/(2*WHOLE_STRUCTURE[[#This Row],[t '[mm']]]/1000),"")</f>
        <v/>
      </c>
      <c r="S333" s="223"/>
      <c r="T333" s="223"/>
      <c r="V333" s="264"/>
      <c r="W333" s="265"/>
      <c r="X333" s="223"/>
      <c r="Y333" s="223"/>
    </row>
    <row r="334" spans="7:25">
      <c r="G334" s="53"/>
      <c r="H334" s="53"/>
      <c r="I334" s="53"/>
      <c r="J334" s="53"/>
      <c r="K334" s="52"/>
      <c r="L334" s="54" t="str">
        <f t="shared" si="9"/>
        <v/>
      </c>
      <c r="M3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4" s="54" t="str">
        <f>IFERROR(-(WHOLE_STRUCTURE[[#This Row],[D, bottom '[m']]]-WHOLE_STRUCTURE[[#This Row],[D, top '[m']]])/(WHOLE_STRUCTURE[[#This Row],[Bottom '[m']]]-WHOLE_STRUCTURE[[#This Row],[Top '[m']]]),"")</f>
        <v/>
      </c>
      <c r="O334" s="52" t="str">
        <f>IFERROR((WHOLE_STRUCTURE[[#This Row],[D, bottom '[m']]]+WHOLE_STRUCTURE[[#This Row],[D, top '[m']]])/(2*WHOLE_STRUCTURE[[#This Row],[t '[mm']]]/1000),"")</f>
        <v/>
      </c>
      <c r="S334" s="223"/>
      <c r="T334" s="223"/>
      <c r="V334" s="264"/>
      <c r="W334" s="265"/>
      <c r="X334" s="223"/>
      <c r="Y334" s="223"/>
    </row>
    <row r="335" spans="7:25">
      <c r="G335" s="53"/>
      <c r="H335" s="53"/>
      <c r="I335" s="53"/>
      <c r="J335" s="53"/>
      <c r="K335" s="52"/>
      <c r="L335" s="54" t="str">
        <f t="shared" si="9"/>
        <v/>
      </c>
      <c r="M3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5" s="54" t="str">
        <f>IFERROR(-(WHOLE_STRUCTURE[[#This Row],[D, bottom '[m']]]-WHOLE_STRUCTURE[[#This Row],[D, top '[m']]])/(WHOLE_STRUCTURE[[#This Row],[Bottom '[m']]]-WHOLE_STRUCTURE[[#This Row],[Top '[m']]]),"")</f>
        <v/>
      </c>
      <c r="O335" s="52" t="str">
        <f>IFERROR((WHOLE_STRUCTURE[[#This Row],[D, bottom '[m']]]+WHOLE_STRUCTURE[[#This Row],[D, top '[m']]])/(2*WHOLE_STRUCTURE[[#This Row],[t '[mm']]]/1000),"")</f>
        <v/>
      </c>
      <c r="S335" s="223"/>
      <c r="T335" s="223"/>
      <c r="V335" s="264"/>
      <c r="W335" s="265"/>
      <c r="X335" s="223"/>
      <c r="Y335" s="223"/>
    </row>
    <row r="336" spans="7:25">
      <c r="G336" s="53"/>
      <c r="H336" s="53"/>
      <c r="I336" s="53"/>
      <c r="J336" s="53"/>
      <c r="K336" s="52"/>
      <c r="L336" s="54" t="str">
        <f t="shared" si="9"/>
        <v/>
      </c>
      <c r="M3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6" s="54" t="str">
        <f>IFERROR(-(WHOLE_STRUCTURE[[#This Row],[D, bottom '[m']]]-WHOLE_STRUCTURE[[#This Row],[D, top '[m']]])/(WHOLE_STRUCTURE[[#This Row],[Bottom '[m']]]-WHOLE_STRUCTURE[[#This Row],[Top '[m']]]),"")</f>
        <v/>
      </c>
      <c r="O336" s="52" t="str">
        <f>IFERROR((WHOLE_STRUCTURE[[#This Row],[D, bottom '[m']]]+WHOLE_STRUCTURE[[#This Row],[D, top '[m']]])/(2*WHOLE_STRUCTURE[[#This Row],[t '[mm']]]/1000),"")</f>
        <v/>
      </c>
      <c r="S336" s="223"/>
      <c r="T336" s="223"/>
      <c r="V336" s="264"/>
      <c r="W336" s="265"/>
      <c r="X336" s="223"/>
      <c r="Y336" s="223"/>
    </row>
    <row r="337" spans="7:25">
      <c r="G337" s="53"/>
      <c r="H337" s="53"/>
      <c r="I337" s="53"/>
      <c r="J337" s="53"/>
      <c r="K337" s="52"/>
      <c r="L337" s="54" t="str">
        <f t="shared" si="9"/>
        <v/>
      </c>
      <c r="M3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7" s="54" t="str">
        <f>IFERROR(-(WHOLE_STRUCTURE[[#This Row],[D, bottom '[m']]]-WHOLE_STRUCTURE[[#This Row],[D, top '[m']]])/(WHOLE_STRUCTURE[[#This Row],[Bottom '[m']]]-WHOLE_STRUCTURE[[#This Row],[Top '[m']]]),"")</f>
        <v/>
      </c>
      <c r="O337" s="52" t="str">
        <f>IFERROR((WHOLE_STRUCTURE[[#This Row],[D, bottom '[m']]]+WHOLE_STRUCTURE[[#This Row],[D, top '[m']]])/(2*WHOLE_STRUCTURE[[#This Row],[t '[mm']]]/1000),"")</f>
        <v/>
      </c>
      <c r="S337" s="223"/>
      <c r="T337" s="223"/>
      <c r="V337" s="264"/>
      <c r="W337" s="265"/>
      <c r="X337" s="223"/>
      <c r="Y337" s="223"/>
    </row>
    <row r="338" spans="7:25">
      <c r="G338" s="53"/>
      <c r="H338" s="53"/>
      <c r="I338" s="53"/>
      <c r="J338" s="53"/>
      <c r="K338" s="52"/>
      <c r="L338" s="54" t="str">
        <f t="shared" si="9"/>
        <v/>
      </c>
      <c r="M3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8" s="54" t="str">
        <f>IFERROR(-(WHOLE_STRUCTURE[[#This Row],[D, bottom '[m']]]-WHOLE_STRUCTURE[[#This Row],[D, top '[m']]])/(WHOLE_STRUCTURE[[#This Row],[Bottom '[m']]]-WHOLE_STRUCTURE[[#This Row],[Top '[m']]]),"")</f>
        <v/>
      </c>
      <c r="O338" s="52" t="str">
        <f>IFERROR((WHOLE_STRUCTURE[[#This Row],[D, bottom '[m']]]+WHOLE_STRUCTURE[[#This Row],[D, top '[m']]])/(2*WHOLE_STRUCTURE[[#This Row],[t '[mm']]]/1000),"")</f>
        <v/>
      </c>
      <c r="S338" s="223"/>
      <c r="T338" s="223"/>
      <c r="V338" s="264"/>
      <c r="W338" s="265"/>
      <c r="X338" s="223"/>
      <c r="Y338" s="223"/>
    </row>
    <row r="339" spans="7:25">
      <c r="G339" s="53"/>
      <c r="H339" s="53"/>
      <c r="I339" s="53"/>
      <c r="J339" s="53"/>
      <c r="K339" s="52"/>
      <c r="L339" s="54" t="str">
        <f t="shared" si="9"/>
        <v/>
      </c>
      <c r="M3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9" s="54" t="str">
        <f>IFERROR(-(WHOLE_STRUCTURE[[#This Row],[D, bottom '[m']]]-WHOLE_STRUCTURE[[#This Row],[D, top '[m']]])/(WHOLE_STRUCTURE[[#This Row],[Bottom '[m']]]-WHOLE_STRUCTURE[[#This Row],[Top '[m']]]),"")</f>
        <v/>
      </c>
      <c r="O339" s="52" t="str">
        <f>IFERROR((WHOLE_STRUCTURE[[#This Row],[D, bottom '[m']]]+WHOLE_STRUCTURE[[#This Row],[D, top '[m']]])/(2*WHOLE_STRUCTURE[[#This Row],[t '[mm']]]/1000),"")</f>
        <v/>
      </c>
      <c r="S339" s="223"/>
      <c r="T339" s="223"/>
      <c r="V339" s="264"/>
      <c r="W339" s="265"/>
      <c r="X339" s="223"/>
      <c r="Y339" s="223"/>
    </row>
    <row r="340" spans="7:25">
      <c r="G340" s="53"/>
      <c r="H340" s="53"/>
      <c r="I340" s="53"/>
      <c r="J340" s="53"/>
      <c r="K340" s="52"/>
      <c r="L340" s="54" t="str">
        <f t="shared" si="9"/>
        <v/>
      </c>
      <c r="M3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0" s="54" t="str">
        <f>IFERROR(-(WHOLE_STRUCTURE[[#This Row],[D, bottom '[m']]]-WHOLE_STRUCTURE[[#This Row],[D, top '[m']]])/(WHOLE_STRUCTURE[[#This Row],[Bottom '[m']]]-WHOLE_STRUCTURE[[#This Row],[Top '[m']]]),"")</f>
        <v/>
      </c>
      <c r="O340" s="52" t="str">
        <f>IFERROR((WHOLE_STRUCTURE[[#This Row],[D, bottom '[m']]]+WHOLE_STRUCTURE[[#This Row],[D, top '[m']]])/(2*WHOLE_STRUCTURE[[#This Row],[t '[mm']]]/1000),"")</f>
        <v/>
      </c>
      <c r="S340" s="223"/>
      <c r="T340" s="223"/>
      <c r="V340" s="264"/>
      <c r="W340" s="265"/>
      <c r="X340" s="223"/>
      <c r="Y340" s="223"/>
    </row>
    <row r="341" spans="7:25">
      <c r="G341" s="53"/>
      <c r="H341" s="53"/>
      <c r="I341" s="53"/>
      <c r="J341" s="53"/>
      <c r="K341" s="52"/>
      <c r="L341" s="54" t="str">
        <f t="shared" si="9"/>
        <v/>
      </c>
      <c r="M3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1" s="54" t="str">
        <f>IFERROR(-(WHOLE_STRUCTURE[[#This Row],[D, bottom '[m']]]-WHOLE_STRUCTURE[[#This Row],[D, top '[m']]])/(WHOLE_STRUCTURE[[#This Row],[Bottom '[m']]]-WHOLE_STRUCTURE[[#This Row],[Top '[m']]]),"")</f>
        <v/>
      </c>
      <c r="O341" s="52" t="str">
        <f>IFERROR((WHOLE_STRUCTURE[[#This Row],[D, bottom '[m']]]+WHOLE_STRUCTURE[[#This Row],[D, top '[m']]])/(2*WHOLE_STRUCTURE[[#This Row],[t '[mm']]]/1000),"")</f>
        <v/>
      </c>
      <c r="S341" s="223"/>
      <c r="T341" s="223"/>
      <c r="V341" s="264"/>
      <c r="W341" s="265"/>
      <c r="X341" s="223"/>
      <c r="Y341" s="223"/>
    </row>
    <row r="342" spans="7:25">
      <c r="G342" s="53"/>
      <c r="H342" s="53"/>
      <c r="I342" s="53"/>
      <c r="J342" s="53"/>
      <c r="K342" s="52"/>
      <c r="L342" s="54" t="str">
        <f t="shared" si="9"/>
        <v/>
      </c>
      <c r="M3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2" s="54" t="str">
        <f>IFERROR(-(WHOLE_STRUCTURE[[#This Row],[D, bottom '[m']]]-WHOLE_STRUCTURE[[#This Row],[D, top '[m']]])/(WHOLE_STRUCTURE[[#This Row],[Bottom '[m']]]-WHOLE_STRUCTURE[[#This Row],[Top '[m']]]),"")</f>
        <v/>
      </c>
      <c r="O342" s="52" t="str">
        <f>IFERROR((WHOLE_STRUCTURE[[#This Row],[D, bottom '[m']]]+WHOLE_STRUCTURE[[#This Row],[D, top '[m']]])/(2*WHOLE_STRUCTURE[[#This Row],[t '[mm']]]/1000),"")</f>
        <v/>
      </c>
      <c r="S342" s="223"/>
      <c r="T342" s="223"/>
      <c r="V342" s="264"/>
      <c r="W342" s="265"/>
      <c r="X342" s="223"/>
      <c r="Y342" s="223"/>
    </row>
    <row r="343" spans="7:25">
      <c r="G343" s="53"/>
      <c r="H343" s="53"/>
      <c r="I343" s="53"/>
      <c r="J343" s="53"/>
      <c r="K343" s="52"/>
      <c r="L343" s="54" t="str">
        <f t="shared" si="9"/>
        <v/>
      </c>
      <c r="M3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3" s="54" t="str">
        <f>IFERROR(-(WHOLE_STRUCTURE[[#This Row],[D, bottom '[m']]]-WHOLE_STRUCTURE[[#This Row],[D, top '[m']]])/(WHOLE_STRUCTURE[[#This Row],[Bottom '[m']]]-WHOLE_STRUCTURE[[#This Row],[Top '[m']]]),"")</f>
        <v/>
      </c>
      <c r="O343" s="52" t="str">
        <f>IFERROR((WHOLE_STRUCTURE[[#This Row],[D, bottom '[m']]]+WHOLE_STRUCTURE[[#This Row],[D, top '[m']]])/(2*WHOLE_STRUCTURE[[#This Row],[t '[mm']]]/1000),"")</f>
        <v/>
      </c>
      <c r="S343" s="223"/>
      <c r="T343" s="223"/>
      <c r="V343" s="264"/>
      <c r="W343" s="265"/>
      <c r="X343" s="223"/>
      <c r="Y343" s="223"/>
    </row>
    <row r="344" spans="7:25">
      <c r="G344" s="53"/>
      <c r="H344" s="53"/>
      <c r="I344" s="53"/>
      <c r="J344" s="53"/>
      <c r="K344" s="52"/>
      <c r="L344" s="54" t="str">
        <f t="shared" si="9"/>
        <v/>
      </c>
      <c r="M3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4" s="54" t="str">
        <f>IFERROR(-(WHOLE_STRUCTURE[[#This Row],[D, bottom '[m']]]-WHOLE_STRUCTURE[[#This Row],[D, top '[m']]])/(WHOLE_STRUCTURE[[#This Row],[Bottom '[m']]]-WHOLE_STRUCTURE[[#This Row],[Top '[m']]]),"")</f>
        <v/>
      </c>
      <c r="O344" s="52" t="str">
        <f>IFERROR((WHOLE_STRUCTURE[[#This Row],[D, bottom '[m']]]+WHOLE_STRUCTURE[[#This Row],[D, top '[m']]])/(2*WHOLE_STRUCTURE[[#This Row],[t '[mm']]]/1000),"")</f>
        <v/>
      </c>
      <c r="S344" s="223"/>
      <c r="T344" s="223"/>
      <c r="V344" s="264"/>
      <c r="W344" s="265"/>
      <c r="X344" s="223"/>
      <c r="Y344" s="223"/>
    </row>
    <row r="345" spans="7:25">
      <c r="G345" s="53"/>
      <c r="H345" s="53"/>
      <c r="I345" s="53"/>
      <c r="J345" s="53"/>
      <c r="K345" s="52"/>
      <c r="L345" s="54" t="str">
        <f t="shared" si="9"/>
        <v/>
      </c>
      <c r="M3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5" s="54" t="str">
        <f>IFERROR(-(WHOLE_STRUCTURE[[#This Row],[D, bottom '[m']]]-WHOLE_STRUCTURE[[#This Row],[D, top '[m']]])/(WHOLE_STRUCTURE[[#This Row],[Bottom '[m']]]-WHOLE_STRUCTURE[[#This Row],[Top '[m']]]),"")</f>
        <v/>
      </c>
      <c r="O345" s="52" t="str">
        <f>IFERROR((WHOLE_STRUCTURE[[#This Row],[D, bottom '[m']]]+WHOLE_STRUCTURE[[#This Row],[D, top '[m']]])/(2*WHOLE_STRUCTURE[[#This Row],[t '[mm']]]/1000),"")</f>
        <v/>
      </c>
      <c r="S345" s="223"/>
      <c r="T345" s="223"/>
      <c r="V345" s="264"/>
      <c r="W345" s="265"/>
      <c r="X345" s="223"/>
      <c r="Y345" s="223"/>
    </row>
    <row r="346" spans="7:25">
      <c r="G346" s="53"/>
      <c r="H346" s="53"/>
      <c r="I346" s="53"/>
      <c r="J346" s="53"/>
      <c r="K346" s="52"/>
      <c r="L346" s="54" t="str">
        <f t="shared" si="9"/>
        <v/>
      </c>
      <c r="M3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6" s="54" t="str">
        <f>IFERROR(-(WHOLE_STRUCTURE[[#This Row],[D, bottom '[m']]]-WHOLE_STRUCTURE[[#This Row],[D, top '[m']]])/(WHOLE_STRUCTURE[[#This Row],[Bottom '[m']]]-WHOLE_STRUCTURE[[#This Row],[Top '[m']]]),"")</f>
        <v/>
      </c>
      <c r="O346" s="52" t="str">
        <f>IFERROR((WHOLE_STRUCTURE[[#This Row],[D, bottom '[m']]]+WHOLE_STRUCTURE[[#This Row],[D, top '[m']]])/(2*WHOLE_STRUCTURE[[#This Row],[t '[mm']]]/1000),"")</f>
        <v/>
      </c>
      <c r="S346" s="223"/>
      <c r="T346" s="223"/>
      <c r="V346" s="264"/>
      <c r="W346" s="265"/>
      <c r="X346" s="223"/>
      <c r="Y346" s="223"/>
    </row>
    <row r="347" spans="7:25">
      <c r="G347" s="53"/>
      <c r="H347" s="53"/>
      <c r="I347" s="53"/>
      <c r="J347" s="53"/>
      <c r="K347" s="52"/>
      <c r="L347" s="54" t="str">
        <f t="shared" si="9"/>
        <v/>
      </c>
      <c r="M3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7" s="54" t="str">
        <f>IFERROR(-(WHOLE_STRUCTURE[[#This Row],[D, bottom '[m']]]-WHOLE_STRUCTURE[[#This Row],[D, top '[m']]])/(WHOLE_STRUCTURE[[#This Row],[Bottom '[m']]]-WHOLE_STRUCTURE[[#This Row],[Top '[m']]]),"")</f>
        <v/>
      </c>
      <c r="O347" s="52" t="str">
        <f>IFERROR((WHOLE_STRUCTURE[[#This Row],[D, bottom '[m']]]+WHOLE_STRUCTURE[[#This Row],[D, top '[m']]])/(2*WHOLE_STRUCTURE[[#This Row],[t '[mm']]]/1000),"")</f>
        <v/>
      </c>
      <c r="S347" s="223"/>
      <c r="T347" s="223"/>
      <c r="V347" s="264"/>
      <c r="W347" s="265"/>
      <c r="X347" s="223"/>
      <c r="Y347" s="223"/>
    </row>
    <row r="348" spans="7:25">
      <c r="G348" s="53"/>
      <c r="H348" s="53"/>
      <c r="I348" s="53"/>
      <c r="J348" s="53"/>
      <c r="K348" s="52"/>
      <c r="L348" s="54" t="str">
        <f t="shared" si="9"/>
        <v/>
      </c>
      <c r="M3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8" s="54" t="str">
        <f>IFERROR(-(WHOLE_STRUCTURE[[#This Row],[D, bottom '[m']]]-WHOLE_STRUCTURE[[#This Row],[D, top '[m']]])/(WHOLE_STRUCTURE[[#This Row],[Bottom '[m']]]-WHOLE_STRUCTURE[[#This Row],[Top '[m']]]),"")</f>
        <v/>
      </c>
      <c r="O348" s="52" t="str">
        <f>IFERROR((WHOLE_STRUCTURE[[#This Row],[D, bottom '[m']]]+WHOLE_STRUCTURE[[#This Row],[D, top '[m']]])/(2*WHOLE_STRUCTURE[[#This Row],[t '[mm']]]/1000),"")</f>
        <v/>
      </c>
      <c r="S348" s="223"/>
      <c r="T348" s="223"/>
      <c r="V348" s="264"/>
      <c r="W348" s="265"/>
      <c r="X348" s="223"/>
      <c r="Y348" s="223"/>
    </row>
    <row r="349" spans="7:25">
      <c r="G349" s="53"/>
      <c r="H349" s="53"/>
      <c r="I349" s="53"/>
      <c r="J349" s="53"/>
      <c r="K349" s="52"/>
      <c r="L349" s="54" t="str">
        <f t="shared" si="9"/>
        <v/>
      </c>
      <c r="M3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9" s="54" t="str">
        <f>IFERROR(-(WHOLE_STRUCTURE[[#This Row],[D, bottom '[m']]]-WHOLE_STRUCTURE[[#This Row],[D, top '[m']]])/(WHOLE_STRUCTURE[[#This Row],[Bottom '[m']]]-WHOLE_STRUCTURE[[#This Row],[Top '[m']]]),"")</f>
        <v/>
      </c>
      <c r="O349" s="52" t="str">
        <f>IFERROR((WHOLE_STRUCTURE[[#This Row],[D, bottom '[m']]]+WHOLE_STRUCTURE[[#This Row],[D, top '[m']]])/(2*WHOLE_STRUCTURE[[#This Row],[t '[mm']]]/1000),"")</f>
        <v/>
      </c>
      <c r="S349" s="223"/>
      <c r="T349" s="223"/>
      <c r="V349" s="264"/>
      <c r="W349" s="265"/>
      <c r="X349" s="223"/>
      <c r="Y349" s="223"/>
    </row>
    <row r="350" spans="7:25">
      <c r="G350" s="53"/>
      <c r="H350" s="53"/>
      <c r="I350" s="53"/>
      <c r="J350" s="53"/>
      <c r="K350" s="52"/>
      <c r="L350" s="54" t="str">
        <f t="shared" si="9"/>
        <v/>
      </c>
      <c r="M3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0" s="54" t="str">
        <f>IFERROR(-(WHOLE_STRUCTURE[[#This Row],[D, bottom '[m']]]-WHOLE_STRUCTURE[[#This Row],[D, top '[m']]])/(WHOLE_STRUCTURE[[#This Row],[Bottom '[m']]]-WHOLE_STRUCTURE[[#This Row],[Top '[m']]]),"")</f>
        <v/>
      </c>
      <c r="O350" s="52" t="str">
        <f>IFERROR((WHOLE_STRUCTURE[[#This Row],[D, bottom '[m']]]+WHOLE_STRUCTURE[[#This Row],[D, top '[m']]])/(2*WHOLE_STRUCTURE[[#This Row],[t '[mm']]]/1000),"")</f>
        <v/>
      </c>
      <c r="S350" s="223"/>
      <c r="T350" s="223"/>
      <c r="V350" s="264"/>
      <c r="W350" s="265"/>
      <c r="X350" s="223"/>
      <c r="Y350" s="223"/>
    </row>
    <row r="351" spans="7:25">
      <c r="G351" s="53"/>
      <c r="H351" s="53"/>
      <c r="I351" s="53"/>
      <c r="J351" s="53"/>
      <c r="K351" s="52"/>
      <c r="L351" s="54" t="str">
        <f t="shared" si="9"/>
        <v/>
      </c>
      <c r="M3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1" s="54" t="str">
        <f>IFERROR(-(WHOLE_STRUCTURE[[#This Row],[D, bottom '[m']]]-WHOLE_STRUCTURE[[#This Row],[D, top '[m']]])/(WHOLE_STRUCTURE[[#This Row],[Bottom '[m']]]-WHOLE_STRUCTURE[[#This Row],[Top '[m']]]),"")</f>
        <v/>
      </c>
      <c r="O351" s="52" t="str">
        <f>IFERROR((WHOLE_STRUCTURE[[#This Row],[D, bottom '[m']]]+WHOLE_STRUCTURE[[#This Row],[D, top '[m']]])/(2*WHOLE_STRUCTURE[[#This Row],[t '[mm']]]/1000),"")</f>
        <v/>
      </c>
      <c r="S351" s="223"/>
      <c r="T351" s="223"/>
      <c r="V351" s="264"/>
      <c r="W351" s="265"/>
      <c r="X351" s="223"/>
      <c r="Y351" s="223"/>
    </row>
    <row r="352" spans="7:25">
      <c r="G352" s="53"/>
      <c r="H352" s="53"/>
      <c r="I352" s="53"/>
      <c r="J352" s="53"/>
      <c r="K352" s="52"/>
      <c r="L352" s="54" t="str">
        <f t="shared" si="9"/>
        <v/>
      </c>
      <c r="M3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2" s="54" t="str">
        <f>IFERROR(-(WHOLE_STRUCTURE[[#This Row],[D, bottom '[m']]]-WHOLE_STRUCTURE[[#This Row],[D, top '[m']]])/(WHOLE_STRUCTURE[[#This Row],[Bottom '[m']]]-WHOLE_STRUCTURE[[#This Row],[Top '[m']]]),"")</f>
        <v/>
      </c>
      <c r="O352" s="52" t="str">
        <f>IFERROR((WHOLE_STRUCTURE[[#This Row],[D, bottom '[m']]]+WHOLE_STRUCTURE[[#This Row],[D, top '[m']]])/(2*WHOLE_STRUCTURE[[#This Row],[t '[mm']]]/1000),"")</f>
        <v/>
      </c>
      <c r="S352" s="223"/>
      <c r="T352" s="223"/>
      <c r="V352" s="264"/>
      <c r="W352" s="265"/>
      <c r="X352" s="223"/>
      <c r="Y352" s="223"/>
    </row>
    <row r="353" spans="7:25">
      <c r="G353" s="53"/>
      <c r="H353" s="53"/>
      <c r="I353" s="53"/>
      <c r="J353" s="53"/>
      <c r="K353" s="52"/>
      <c r="L353" s="54" t="str">
        <f t="shared" si="9"/>
        <v/>
      </c>
      <c r="M3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3" s="54" t="str">
        <f>IFERROR(-(WHOLE_STRUCTURE[[#This Row],[D, bottom '[m']]]-WHOLE_STRUCTURE[[#This Row],[D, top '[m']]])/(WHOLE_STRUCTURE[[#This Row],[Bottom '[m']]]-WHOLE_STRUCTURE[[#This Row],[Top '[m']]]),"")</f>
        <v/>
      </c>
      <c r="O353" s="52" t="str">
        <f>IFERROR((WHOLE_STRUCTURE[[#This Row],[D, bottom '[m']]]+WHOLE_STRUCTURE[[#This Row],[D, top '[m']]])/(2*WHOLE_STRUCTURE[[#This Row],[t '[mm']]]/1000),"")</f>
        <v/>
      </c>
      <c r="S353" s="223"/>
      <c r="T353" s="223"/>
      <c r="V353" s="264"/>
      <c r="W353" s="265"/>
      <c r="X353" s="223"/>
      <c r="Y353" s="223"/>
    </row>
    <row r="354" spans="7:25">
      <c r="G354" s="53"/>
      <c r="H354" s="53"/>
      <c r="I354" s="53"/>
      <c r="J354" s="53"/>
      <c r="K354" s="52"/>
      <c r="L354" s="54" t="str">
        <f t="shared" si="9"/>
        <v/>
      </c>
      <c r="M3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4" s="54" t="str">
        <f>IFERROR(-(WHOLE_STRUCTURE[[#This Row],[D, bottom '[m']]]-WHOLE_STRUCTURE[[#This Row],[D, top '[m']]])/(WHOLE_STRUCTURE[[#This Row],[Bottom '[m']]]-WHOLE_STRUCTURE[[#This Row],[Top '[m']]]),"")</f>
        <v/>
      </c>
      <c r="O354" s="52" t="str">
        <f>IFERROR((WHOLE_STRUCTURE[[#This Row],[D, bottom '[m']]]+WHOLE_STRUCTURE[[#This Row],[D, top '[m']]])/(2*WHOLE_STRUCTURE[[#This Row],[t '[mm']]]/1000),"")</f>
        <v/>
      </c>
      <c r="S354" s="223"/>
      <c r="T354" s="223"/>
      <c r="V354" s="264"/>
      <c r="W354" s="265"/>
      <c r="X354" s="223"/>
      <c r="Y354" s="223"/>
    </row>
    <row r="355" spans="7:25">
      <c r="G355" s="53"/>
      <c r="H355" s="53"/>
      <c r="I355" s="53"/>
      <c r="J355" s="53"/>
      <c r="K355" s="52"/>
      <c r="L355" s="54" t="str">
        <f t="shared" si="9"/>
        <v/>
      </c>
      <c r="M3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5" s="54" t="str">
        <f>IFERROR(-(WHOLE_STRUCTURE[[#This Row],[D, bottom '[m']]]-WHOLE_STRUCTURE[[#This Row],[D, top '[m']]])/(WHOLE_STRUCTURE[[#This Row],[Bottom '[m']]]-WHOLE_STRUCTURE[[#This Row],[Top '[m']]]),"")</f>
        <v/>
      </c>
      <c r="O355" s="52" t="str">
        <f>IFERROR((WHOLE_STRUCTURE[[#This Row],[D, bottom '[m']]]+WHOLE_STRUCTURE[[#This Row],[D, top '[m']]])/(2*WHOLE_STRUCTURE[[#This Row],[t '[mm']]]/1000),"")</f>
        <v/>
      </c>
      <c r="S355" s="223"/>
      <c r="T355" s="223"/>
      <c r="V355" s="264"/>
      <c r="W355" s="265"/>
      <c r="X355" s="223"/>
      <c r="Y355" s="223"/>
    </row>
    <row r="356" spans="7:25">
      <c r="G356" s="53"/>
      <c r="H356" s="53"/>
      <c r="I356" s="53"/>
      <c r="J356" s="53"/>
      <c r="K356" s="52"/>
      <c r="L356" s="54" t="str">
        <f t="shared" si="9"/>
        <v/>
      </c>
      <c r="M3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6" s="54" t="str">
        <f>IFERROR(-(WHOLE_STRUCTURE[[#This Row],[D, bottom '[m']]]-WHOLE_STRUCTURE[[#This Row],[D, top '[m']]])/(WHOLE_STRUCTURE[[#This Row],[Bottom '[m']]]-WHOLE_STRUCTURE[[#This Row],[Top '[m']]]),"")</f>
        <v/>
      </c>
      <c r="O356" s="52" t="str">
        <f>IFERROR((WHOLE_STRUCTURE[[#This Row],[D, bottom '[m']]]+WHOLE_STRUCTURE[[#This Row],[D, top '[m']]])/(2*WHOLE_STRUCTURE[[#This Row],[t '[mm']]]/1000),"")</f>
        <v/>
      </c>
      <c r="S356" s="223"/>
      <c r="T356" s="223"/>
      <c r="V356" s="264"/>
      <c r="W356" s="265"/>
      <c r="X356" s="223"/>
      <c r="Y356" s="223"/>
    </row>
    <row r="357" spans="7:25">
      <c r="G357" s="53"/>
      <c r="H357" s="53"/>
      <c r="I357" s="53"/>
      <c r="J357" s="53"/>
      <c r="K357" s="52"/>
      <c r="L357" s="54" t="str">
        <f t="shared" si="9"/>
        <v/>
      </c>
      <c r="M3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7" s="54" t="str">
        <f>IFERROR(-(WHOLE_STRUCTURE[[#This Row],[D, bottom '[m']]]-WHOLE_STRUCTURE[[#This Row],[D, top '[m']]])/(WHOLE_STRUCTURE[[#This Row],[Bottom '[m']]]-WHOLE_STRUCTURE[[#This Row],[Top '[m']]]),"")</f>
        <v/>
      </c>
      <c r="O357" s="52" t="str">
        <f>IFERROR((WHOLE_STRUCTURE[[#This Row],[D, bottom '[m']]]+WHOLE_STRUCTURE[[#This Row],[D, top '[m']]])/(2*WHOLE_STRUCTURE[[#This Row],[t '[mm']]]/1000),"")</f>
        <v/>
      </c>
      <c r="S357" s="223"/>
      <c r="T357" s="223"/>
      <c r="V357" s="264"/>
      <c r="W357" s="265"/>
      <c r="X357" s="223"/>
      <c r="Y357" s="223"/>
    </row>
    <row r="358" spans="7:25">
      <c r="G358" s="53"/>
      <c r="H358" s="53"/>
      <c r="I358" s="53"/>
      <c r="J358" s="53"/>
      <c r="K358" s="52"/>
      <c r="L358" s="54" t="str">
        <f t="shared" si="9"/>
        <v/>
      </c>
      <c r="M3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8" s="54" t="str">
        <f>IFERROR(-(WHOLE_STRUCTURE[[#This Row],[D, bottom '[m']]]-WHOLE_STRUCTURE[[#This Row],[D, top '[m']]])/(WHOLE_STRUCTURE[[#This Row],[Bottom '[m']]]-WHOLE_STRUCTURE[[#This Row],[Top '[m']]]),"")</f>
        <v/>
      </c>
      <c r="O358" s="52" t="str">
        <f>IFERROR((WHOLE_STRUCTURE[[#This Row],[D, bottom '[m']]]+WHOLE_STRUCTURE[[#This Row],[D, top '[m']]])/(2*WHOLE_STRUCTURE[[#This Row],[t '[mm']]]/1000),"")</f>
        <v/>
      </c>
      <c r="S358" s="223"/>
      <c r="T358" s="223"/>
      <c r="V358" s="264"/>
      <c r="W358" s="265"/>
      <c r="X358" s="223"/>
      <c r="Y358" s="223"/>
    </row>
    <row r="359" spans="7:25">
      <c r="G359" s="53"/>
      <c r="H359" s="53"/>
      <c r="I359" s="53"/>
      <c r="J359" s="53"/>
      <c r="K359" s="52"/>
      <c r="L359" s="54" t="str">
        <f t="shared" si="9"/>
        <v/>
      </c>
      <c r="M3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9" s="54" t="str">
        <f>IFERROR(-(WHOLE_STRUCTURE[[#This Row],[D, bottom '[m']]]-WHOLE_STRUCTURE[[#This Row],[D, top '[m']]])/(WHOLE_STRUCTURE[[#This Row],[Bottom '[m']]]-WHOLE_STRUCTURE[[#This Row],[Top '[m']]]),"")</f>
        <v/>
      </c>
      <c r="O359" s="52" t="str">
        <f>IFERROR((WHOLE_STRUCTURE[[#This Row],[D, bottom '[m']]]+WHOLE_STRUCTURE[[#This Row],[D, top '[m']]])/(2*WHOLE_STRUCTURE[[#This Row],[t '[mm']]]/1000),"")</f>
        <v/>
      </c>
      <c r="S359" s="223"/>
      <c r="T359" s="223"/>
      <c r="V359" s="264"/>
      <c r="W359" s="265"/>
      <c r="X359" s="223"/>
      <c r="Y359" s="223"/>
    </row>
    <row r="360" spans="7:25">
      <c r="G360" s="53"/>
      <c r="H360" s="53"/>
      <c r="I360" s="53"/>
      <c r="J360" s="53"/>
      <c r="K360" s="52"/>
      <c r="L360" s="54" t="str">
        <f t="shared" si="9"/>
        <v/>
      </c>
      <c r="M3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0" s="54" t="str">
        <f>IFERROR(-(WHOLE_STRUCTURE[[#This Row],[D, bottom '[m']]]-WHOLE_STRUCTURE[[#This Row],[D, top '[m']]])/(WHOLE_STRUCTURE[[#This Row],[Bottom '[m']]]-WHOLE_STRUCTURE[[#This Row],[Top '[m']]]),"")</f>
        <v/>
      </c>
      <c r="O360" s="52" t="str">
        <f>IFERROR((WHOLE_STRUCTURE[[#This Row],[D, bottom '[m']]]+WHOLE_STRUCTURE[[#This Row],[D, top '[m']]])/(2*WHOLE_STRUCTURE[[#This Row],[t '[mm']]]/1000),"")</f>
        <v/>
      </c>
      <c r="S360" s="223"/>
      <c r="T360" s="223"/>
      <c r="V360" s="264"/>
      <c r="W360" s="265"/>
      <c r="X360" s="223"/>
      <c r="Y360" s="223"/>
    </row>
    <row r="361" spans="7:25">
      <c r="G361" s="53"/>
      <c r="H361" s="53"/>
      <c r="I361" s="53"/>
      <c r="J361" s="53"/>
      <c r="K361" s="52"/>
      <c r="L361" s="54" t="str">
        <f t="shared" si="9"/>
        <v/>
      </c>
      <c r="M3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1" s="54" t="str">
        <f>IFERROR(-(WHOLE_STRUCTURE[[#This Row],[D, bottom '[m']]]-WHOLE_STRUCTURE[[#This Row],[D, top '[m']]])/(WHOLE_STRUCTURE[[#This Row],[Bottom '[m']]]-WHOLE_STRUCTURE[[#This Row],[Top '[m']]]),"")</f>
        <v/>
      </c>
      <c r="O361" s="52" t="str">
        <f>IFERROR((WHOLE_STRUCTURE[[#This Row],[D, bottom '[m']]]+WHOLE_STRUCTURE[[#This Row],[D, top '[m']]])/(2*WHOLE_STRUCTURE[[#This Row],[t '[mm']]]/1000),"")</f>
        <v/>
      </c>
      <c r="S361" s="223"/>
      <c r="T361" s="223"/>
      <c r="V361" s="264"/>
      <c r="W361" s="265"/>
      <c r="X361" s="223"/>
      <c r="Y361" s="223"/>
    </row>
    <row r="362" spans="7:25">
      <c r="G362" s="53"/>
      <c r="H362" s="53"/>
      <c r="I362" s="53"/>
      <c r="J362" s="53"/>
      <c r="K362" s="52"/>
      <c r="L362" s="54" t="str">
        <f t="shared" si="9"/>
        <v/>
      </c>
      <c r="M3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2" s="54" t="str">
        <f>IFERROR(-(WHOLE_STRUCTURE[[#This Row],[D, bottom '[m']]]-WHOLE_STRUCTURE[[#This Row],[D, top '[m']]])/(WHOLE_STRUCTURE[[#This Row],[Bottom '[m']]]-WHOLE_STRUCTURE[[#This Row],[Top '[m']]]),"")</f>
        <v/>
      </c>
      <c r="O362" s="52" t="str">
        <f>IFERROR((WHOLE_STRUCTURE[[#This Row],[D, bottom '[m']]]+WHOLE_STRUCTURE[[#This Row],[D, top '[m']]])/(2*WHOLE_STRUCTURE[[#This Row],[t '[mm']]]/1000),"")</f>
        <v/>
      </c>
      <c r="S362" s="223"/>
      <c r="T362" s="223"/>
      <c r="V362" s="264"/>
      <c r="W362" s="265"/>
      <c r="X362" s="223"/>
      <c r="Y362" s="223"/>
    </row>
    <row r="363" spans="7:25">
      <c r="G363" s="53"/>
      <c r="H363" s="53"/>
      <c r="I363" s="53"/>
      <c r="J363" s="53"/>
      <c r="K363" s="52"/>
      <c r="L363" s="54" t="str">
        <f t="shared" si="9"/>
        <v/>
      </c>
      <c r="M3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3" s="54" t="str">
        <f>IFERROR(-(WHOLE_STRUCTURE[[#This Row],[D, bottom '[m']]]-WHOLE_STRUCTURE[[#This Row],[D, top '[m']]])/(WHOLE_STRUCTURE[[#This Row],[Bottom '[m']]]-WHOLE_STRUCTURE[[#This Row],[Top '[m']]]),"")</f>
        <v/>
      </c>
      <c r="O363" s="52" t="str">
        <f>IFERROR((WHOLE_STRUCTURE[[#This Row],[D, bottom '[m']]]+WHOLE_STRUCTURE[[#This Row],[D, top '[m']]])/(2*WHOLE_STRUCTURE[[#This Row],[t '[mm']]]/1000),"")</f>
        <v/>
      </c>
      <c r="S363" s="223"/>
      <c r="T363" s="223"/>
      <c r="V363" s="264"/>
      <c r="W363" s="265"/>
      <c r="X363" s="223"/>
      <c r="Y363" s="223"/>
    </row>
    <row r="364" spans="7:25">
      <c r="G364" s="53"/>
      <c r="H364" s="53"/>
      <c r="I364" s="53"/>
      <c r="J364" s="53"/>
      <c r="K364" s="52"/>
      <c r="L364" s="54" t="str">
        <f t="shared" si="9"/>
        <v/>
      </c>
      <c r="M3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4" s="54" t="str">
        <f>IFERROR(-(WHOLE_STRUCTURE[[#This Row],[D, bottom '[m']]]-WHOLE_STRUCTURE[[#This Row],[D, top '[m']]])/(WHOLE_STRUCTURE[[#This Row],[Bottom '[m']]]-WHOLE_STRUCTURE[[#This Row],[Top '[m']]]),"")</f>
        <v/>
      </c>
      <c r="O364" s="52" t="str">
        <f>IFERROR((WHOLE_STRUCTURE[[#This Row],[D, bottom '[m']]]+WHOLE_STRUCTURE[[#This Row],[D, top '[m']]])/(2*WHOLE_STRUCTURE[[#This Row],[t '[mm']]]/1000),"")</f>
        <v/>
      </c>
      <c r="S364" s="223"/>
      <c r="T364" s="223"/>
      <c r="V364" s="264"/>
      <c r="W364" s="265"/>
      <c r="X364" s="223"/>
      <c r="Y364" s="223"/>
    </row>
    <row r="365" spans="7:25">
      <c r="G365" s="53"/>
      <c r="H365" s="53"/>
      <c r="I365" s="53"/>
      <c r="J365" s="53"/>
      <c r="K365" s="52"/>
      <c r="L365" s="54" t="str">
        <f t="shared" si="9"/>
        <v/>
      </c>
      <c r="M3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5" s="54" t="str">
        <f>IFERROR(-(WHOLE_STRUCTURE[[#This Row],[D, bottom '[m']]]-WHOLE_STRUCTURE[[#This Row],[D, top '[m']]])/(WHOLE_STRUCTURE[[#This Row],[Bottom '[m']]]-WHOLE_STRUCTURE[[#This Row],[Top '[m']]]),"")</f>
        <v/>
      </c>
      <c r="O365" s="52" t="str">
        <f>IFERROR((WHOLE_STRUCTURE[[#This Row],[D, bottom '[m']]]+WHOLE_STRUCTURE[[#This Row],[D, top '[m']]])/(2*WHOLE_STRUCTURE[[#This Row],[t '[mm']]]/1000),"")</f>
        <v/>
      </c>
      <c r="S365" s="223"/>
      <c r="T365" s="223"/>
      <c r="V365" s="264"/>
      <c r="W365" s="265"/>
      <c r="X365" s="223"/>
      <c r="Y365" s="223"/>
    </row>
    <row r="366" spans="7:25">
      <c r="G366" s="53"/>
      <c r="H366" s="53"/>
      <c r="I366" s="53"/>
      <c r="J366" s="53"/>
      <c r="K366" s="52"/>
      <c r="L366" s="54" t="str">
        <f t="shared" si="9"/>
        <v/>
      </c>
      <c r="M3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6" s="54" t="str">
        <f>IFERROR(-(WHOLE_STRUCTURE[[#This Row],[D, bottom '[m']]]-WHOLE_STRUCTURE[[#This Row],[D, top '[m']]])/(WHOLE_STRUCTURE[[#This Row],[Bottom '[m']]]-WHOLE_STRUCTURE[[#This Row],[Top '[m']]]),"")</f>
        <v/>
      </c>
      <c r="O366" s="52" t="str">
        <f>IFERROR((WHOLE_STRUCTURE[[#This Row],[D, bottom '[m']]]+WHOLE_STRUCTURE[[#This Row],[D, top '[m']]])/(2*WHOLE_STRUCTURE[[#This Row],[t '[mm']]]/1000),"")</f>
        <v/>
      </c>
      <c r="S366" s="223"/>
      <c r="T366" s="223"/>
      <c r="V366" s="264"/>
      <c r="W366" s="265"/>
      <c r="X366" s="223"/>
      <c r="Y366" s="223"/>
    </row>
    <row r="367" spans="7:25">
      <c r="G367" s="53"/>
      <c r="H367" s="53"/>
      <c r="I367" s="53"/>
      <c r="J367" s="53"/>
      <c r="K367" s="52"/>
      <c r="L367" s="54" t="str">
        <f t="shared" si="9"/>
        <v/>
      </c>
      <c r="M3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7" s="54" t="str">
        <f>IFERROR(-(WHOLE_STRUCTURE[[#This Row],[D, bottom '[m']]]-WHOLE_STRUCTURE[[#This Row],[D, top '[m']]])/(WHOLE_STRUCTURE[[#This Row],[Bottom '[m']]]-WHOLE_STRUCTURE[[#This Row],[Top '[m']]]),"")</f>
        <v/>
      </c>
      <c r="O367" s="52" t="str">
        <f>IFERROR((WHOLE_STRUCTURE[[#This Row],[D, bottom '[m']]]+WHOLE_STRUCTURE[[#This Row],[D, top '[m']]])/(2*WHOLE_STRUCTURE[[#This Row],[t '[mm']]]/1000),"")</f>
        <v/>
      </c>
      <c r="S367" s="223"/>
      <c r="T367" s="223"/>
      <c r="V367" s="264"/>
      <c r="W367" s="265"/>
      <c r="X367" s="223"/>
      <c r="Y367" s="223"/>
    </row>
    <row r="368" spans="7:25">
      <c r="G368" s="53"/>
      <c r="H368" s="53"/>
      <c r="I368" s="53"/>
      <c r="J368" s="53"/>
      <c r="K368" s="52"/>
      <c r="L368" s="54" t="str">
        <f t="shared" si="9"/>
        <v/>
      </c>
      <c r="M3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8" s="54" t="str">
        <f>IFERROR(-(WHOLE_STRUCTURE[[#This Row],[D, bottom '[m']]]-WHOLE_STRUCTURE[[#This Row],[D, top '[m']]])/(WHOLE_STRUCTURE[[#This Row],[Bottom '[m']]]-WHOLE_STRUCTURE[[#This Row],[Top '[m']]]),"")</f>
        <v/>
      </c>
      <c r="O368" s="52" t="str">
        <f>IFERROR((WHOLE_STRUCTURE[[#This Row],[D, bottom '[m']]]+WHOLE_STRUCTURE[[#This Row],[D, top '[m']]])/(2*WHOLE_STRUCTURE[[#This Row],[t '[mm']]]/1000),"")</f>
        <v/>
      </c>
      <c r="S368" s="223"/>
      <c r="T368" s="223"/>
      <c r="V368" s="264"/>
      <c r="W368" s="265"/>
      <c r="X368" s="223"/>
      <c r="Y368" s="223"/>
    </row>
    <row r="369" spans="7:25">
      <c r="G369" s="53"/>
      <c r="H369" s="53"/>
      <c r="I369" s="53"/>
      <c r="J369" s="53"/>
      <c r="K369" s="52"/>
      <c r="L369" s="54" t="str">
        <f t="shared" si="9"/>
        <v/>
      </c>
      <c r="M3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9" s="54" t="str">
        <f>IFERROR(-(WHOLE_STRUCTURE[[#This Row],[D, bottom '[m']]]-WHOLE_STRUCTURE[[#This Row],[D, top '[m']]])/(WHOLE_STRUCTURE[[#This Row],[Bottom '[m']]]-WHOLE_STRUCTURE[[#This Row],[Top '[m']]]),"")</f>
        <v/>
      </c>
      <c r="O369" s="52" t="str">
        <f>IFERROR((WHOLE_STRUCTURE[[#This Row],[D, bottom '[m']]]+WHOLE_STRUCTURE[[#This Row],[D, top '[m']]])/(2*WHOLE_STRUCTURE[[#This Row],[t '[mm']]]/1000),"")</f>
        <v/>
      </c>
      <c r="S369" s="223"/>
      <c r="T369" s="223"/>
      <c r="V369" s="264"/>
      <c r="W369" s="265"/>
      <c r="X369" s="223"/>
      <c r="Y369" s="223"/>
    </row>
    <row r="370" spans="7:25">
      <c r="G370" s="53"/>
      <c r="H370" s="53"/>
      <c r="I370" s="53"/>
      <c r="J370" s="53"/>
      <c r="K370" s="52"/>
      <c r="L370" s="54" t="str">
        <f t="shared" si="9"/>
        <v/>
      </c>
      <c r="M3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0" s="54" t="str">
        <f>IFERROR(-(WHOLE_STRUCTURE[[#This Row],[D, bottom '[m']]]-WHOLE_STRUCTURE[[#This Row],[D, top '[m']]])/(WHOLE_STRUCTURE[[#This Row],[Bottom '[m']]]-WHOLE_STRUCTURE[[#This Row],[Top '[m']]]),"")</f>
        <v/>
      </c>
      <c r="O370" s="52" t="str">
        <f>IFERROR((WHOLE_STRUCTURE[[#This Row],[D, bottom '[m']]]+WHOLE_STRUCTURE[[#This Row],[D, top '[m']]])/(2*WHOLE_STRUCTURE[[#This Row],[t '[mm']]]/1000),"")</f>
        <v/>
      </c>
      <c r="S370" s="223"/>
      <c r="T370" s="223"/>
      <c r="V370" s="264"/>
      <c r="W370" s="265"/>
      <c r="X370" s="223"/>
      <c r="Y370" s="223"/>
    </row>
    <row r="371" spans="7:25">
      <c r="G371" s="53"/>
      <c r="H371" s="53"/>
      <c r="I371" s="53"/>
      <c r="J371" s="53"/>
      <c r="K371" s="52"/>
      <c r="L371" s="54" t="str">
        <f t="shared" si="9"/>
        <v/>
      </c>
      <c r="M3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1" s="54" t="str">
        <f>IFERROR(-(WHOLE_STRUCTURE[[#This Row],[D, bottom '[m']]]-WHOLE_STRUCTURE[[#This Row],[D, top '[m']]])/(WHOLE_STRUCTURE[[#This Row],[Bottom '[m']]]-WHOLE_STRUCTURE[[#This Row],[Top '[m']]]),"")</f>
        <v/>
      </c>
      <c r="O371" s="52" t="str">
        <f>IFERROR((WHOLE_STRUCTURE[[#This Row],[D, bottom '[m']]]+WHOLE_STRUCTURE[[#This Row],[D, top '[m']]])/(2*WHOLE_STRUCTURE[[#This Row],[t '[mm']]]/1000),"")</f>
        <v/>
      </c>
      <c r="S371" s="223"/>
      <c r="T371" s="223"/>
      <c r="V371" s="264"/>
      <c r="W371" s="265"/>
      <c r="X371" s="223"/>
      <c r="Y371" s="223"/>
    </row>
    <row r="372" spans="7:25">
      <c r="G372" s="53"/>
      <c r="H372" s="53"/>
      <c r="I372" s="53"/>
      <c r="J372" s="53"/>
      <c r="K372" s="52"/>
      <c r="L372" s="54" t="str">
        <f t="shared" si="9"/>
        <v/>
      </c>
      <c r="M3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2" s="54" t="str">
        <f>IFERROR(-(WHOLE_STRUCTURE[[#This Row],[D, bottom '[m']]]-WHOLE_STRUCTURE[[#This Row],[D, top '[m']]])/(WHOLE_STRUCTURE[[#This Row],[Bottom '[m']]]-WHOLE_STRUCTURE[[#This Row],[Top '[m']]]),"")</f>
        <v/>
      </c>
      <c r="O372" s="52" t="str">
        <f>IFERROR((WHOLE_STRUCTURE[[#This Row],[D, bottom '[m']]]+WHOLE_STRUCTURE[[#This Row],[D, top '[m']]])/(2*WHOLE_STRUCTURE[[#This Row],[t '[mm']]]/1000),"")</f>
        <v/>
      </c>
      <c r="S372" s="223"/>
      <c r="T372" s="223"/>
      <c r="V372" s="264"/>
      <c r="W372" s="265"/>
      <c r="X372" s="223"/>
      <c r="Y372" s="223"/>
    </row>
    <row r="373" spans="7:25">
      <c r="G373" s="53"/>
      <c r="H373" s="53"/>
      <c r="I373" s="53"/>
      <c r="J373" s="53"/>
      <c r="K373" s="52"/>
      <c r="L373" s="54" t="str">
        <f t="shared" si="9"/>
        <v/>
      </c>
      <c r="M3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3" s="54" t="str">
        <f>IFERROR(-(WHOLE_STRUCTURE[[#This Row],[D, bottom '[m']]]-WHOLE_STRUCTURE[[#This Row],[D, top '[m']]])/(WHOLE_STRUCTURE[[#This Row],[Bottom '[m']]]-WHOLE_STRUCTURE[[#This Row],[Top '[m']]]),"")</f>
        <v/>
      </c>
      <c r="O373" s="52" t="str">
        <f>IFERROR((WHOLE_STRUCTURE[[#This Row],[D, bottom '[m']]]+WHOLE_STRUCTURE[[#This Row],[D, top '[m']]])/(2*WHOLE_STRUCTURE[[#This Row],[t '[mm']]]/1000),"")</f>
        <v/>
      </c>
      <c r="S373" s="223"/>
      <c r="T373" s="223"/>
      <c r="V373" s="264"/>
      <c r="W373" s="265"/>
      <c r="X373" s="223"/>
      <c r="Y373" s="223"/>
    </row>
    <row r="374" spans="7:25">
      <c r="G374" s="53"/>
      <c r="H374" s="53"/>
      <c r="I374" s="53"/>
      <c r="J374" s="53"/>
      <c r="K374" s="52"/>
      <c r="L374" s="54" t="str">
        <f t="shared" si="9"/>
        <v/>
      </c>
      <c r="M3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4" s="54" t="str">
        <f>IFERROR(-(WHOLE_STRUCTURE[[#This Row],[D, bottom '[m']]]-WHOLE_STRUCTURE[[#This Row],[D, top '[m']]])/(WHOLE_STRUCTURE[[#This Row],[Bottom '[m']]]-WHOLE_STRUCTURE[[#This Row],[Top '[m']]]),"")</f>
        <v/>
      </c>
      <c r="O374" s="52" t="str">
        <f>IFERROR((WHOLE_STRUCTURE[[#This Row],[D, bottom '[m']]]+WHOLE_STRUCTURE[[#This Row],[D, top '[m']]])/(2*WHOLE_STRUCTURE[[#This Row],[t '[mm']]]/1000),"")</f>
        <v/>
      </c>
      <c r="S374" s="223"/>
      <c r="T374" s="223"/>
      <c r="V374" s="264"/>
      <c r="W374" s="265"/>
      <c r="X374" s="223"/>
      <c r="Y374" s="223"/>
    </row>
    <row r="375" spans="7:25">
      <c r="G375" s="53"/>
      <c r="H375" s="53"/>
      <c r="I375" s="53"/>
      <c r="J375" s="53"/>
      <c r="K375" s="52"/>
      <c r="L375" s="54" t="str">
        <f t="shared" si="9"/>
        <v/>
      </c>
      <c r="M3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5" s="54" t="str">
        <f>IFERROR(-(WHOLE_STRUCTURE[[#This Row],[D, bottom '[m']]]-WHOLE_STRUCTURE[[#This Row],[D, top '[m']]])/(WHOLE_STRUCTURE[[#This Row],[Bottom '[m']]]-WHOLE_STRUCTURE[[#This Row],[Top '[m']]]),"")</f>
        <v/>
      </c>
      <c r="O375" s="52" t="str">
        <f>IFERROR((WHOLE_STRUCTURE[[#This Row],[D, bottom '[m']]]+WHOLE_STRUCTURE[[#This Row],[D, top '[m']]])/(2*WHOLE_STRUCTURE[[#This Row],[t '[mm']]]/1000),"")</f>
        <v/>
      </c>
      <c r="S375" s="223"/>
      <c r="T375" s="223"/>
      <c r="V375" s="264"/>
      <c r="W375" s="265"/>
      <c r="X375" s="223"/>
      <c r="Y375" s="223"/>
    </row>
    <row r="376" spans="7:25">
      <c r="G376" s="53"/>
      <c r="H376" s="53"/>
      <c r="I376" s="53"/>
      <c r="J376" s="53"/>
      <c r="K376" s="52"/>
      <c r="L376" s="54" t="str">
        <f t="shared" si="9"/>
        <v/>
      </c>
      <c r="M3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6" s="54" t="str">
        <f>IFERROR(-(WHOLE_STRUCTURE[[#This Row],[D, bottom '[m']]]-WHOLE_STRUCTURE[[#This Row],[D, top '[m']]])/(WHOLE_STRUCTURE[[#This Row],[Bottom '[m']]]-WHOLE_STRUCTURE[[#This Row],[Top '[m']]]),"")</f>
        <v/>
      </c>
      <c r="O376" s="52" t="str">
        <f>IFERROR((WHOLE_STRUCTURE[[#This Row],[D, bottom '[m']]]+WHOLE_STRUCTURE[[#This Row],[D, top '[m']]])/(2*WHOLE_STRUCTURE[[#This Row],[t '[mm']]]/1000),"")</f>
        <v/>
      </c>
      <c r="S376" s="223"/>
      <c r="T376" s="223"/>
      <c r="V376" s="264"/>
      <c r="W376" s="265"/>
      <c r="X376" s="223"/>
      <c r="Y376" s="223"/>
    </row>
    <row r="377" spans="7:25">
      <c r="G377" s="53"/>
      <c r="H377" s="53"/>
      <c r="I377" s="53"/>
      <c r="J377" s="53"/>
      <c r="K377" s="52"/>
      <c r="L377" s="54" t="str">
        <f t="shared" si="9"/>
        <v/>
      </c>
      <c r="M3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7" s="54" t="str">
        <f>IFERROR(-(WHOLE_STRUCTURE[[#This Row],[D, bottom '[m']]]-WHOLE_STRUCTURE[[#This Row],[D, top '[m']]])/(WHOLE_STRUCTURE[[#This Row],[Bottom '[m']]]-WHOLE_STRUCTURE[[#This Row],[Top '[m']]]),"")</f>
        <v/>
      </c>
      <c r="O377" s="52" t="str">
        <f>IFERROR((WHOLE_STRUCTURE[[#This Row],[D, bottom '[m']]]+WHOLE_STRUCTURE[[#This Row],[D, top '[m']]])/(2*WHOLE_STRUCTURE[[#This Row],[t '[mm']]]/1000),"")</f>
        <v/>
      </c>
      <c r="S377" s="223"/>
      <c r="T377" s="223"/>
      <c r="V377" s="264"/>
      <c r="W377" s="265"/>
      <c r="X377" s="223"/>
      <c r="Y377" s="223"/>
    </row>
    <row r="378" spans="7:25">
      <c r="G378" s="53"/>
      <c r="H378" s="53"/>
      <c r="I378" s="53"/>
      <c r="J378" s="53"/>
      <c r="K378" s="52"/>
      <c r="L378" s="54" t="str">
        <f t="shared" si="9"/>
        <v/>
      </c>
      <c r="M3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8" s="54" t="str">
        <f>IFERROR(-(WHOLE_STRUCTURE[[#This Row],[D, bottom '[m']]]-WHOLE_STRUCTURE[[#This Row],[D, top '[m']]])/(WHOLE_STRUCTURE[[#This Row],[Bottom '[m']]]-WHOLE_STRUCTURE[[#This Row],[Top '[m']]]),"")</f>
        <v/>
      </c>
      <c r="O378" s="52" t="str">
        <f>IFERROR((WHOLE_STRUCTURE[[#This Row],[D, bottom '[m']]]+WHOLE_STRUCTURE[[#This Row],[D, top '[m']]])/(2*WHOLE_STRUCTURE[[#This Row],[t '[mm']]]/1000),"")</f>
        <v/>
      </c>
      <c r="S378" s="223"/>
      <c r="T378" s="223"/>
      <c r="V378" s="264"/>
      <c r="W378" s="265"/>
      <c r="X378" s="223"/>
      <c r="Y378" s="223"/>
    </row>
    <row r="379" spans="7:25">
      <c r="G379" s="53"/>
      <c r="H379" s="53"/>
      <c r="I379" s="53"/>
      <c r="J379" s="53"/>
      <c r="K379" s="52"/>
      <c r="L379" s="54" t="str">
        <f t="shared" si="9"/>
        <v/>
      </c>
      <c r="M3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9" s="54" t="str">
        <f>IFERROR(-(WHOLE_STRUCTURE[[#This Row],[D, bottom '[m']]]-WHOLE_STRUCTURE[[#This Row],[D, top '[m']]])/(WHOLE_STRUCTURE[[#This Row],[Bottom '[m']]]-WHOLE_STRUCTURE[[#This Row],[Top '[m']]]),"")</f>
        <v/>
      </c>
      <c r="O379" s="52" t="str">
        <f>IFERROR((WHOLE_STRUCTURE[[#This Row],[D, bottom '[m']]]+WHOLE_STRUCTURE[[#This Row],[D, top '[m']]])/(2*WHOLE_STRUCTURE[[#This Row],[t '[mm']]]/1000),"")</f>
        <v/>
      </c>
      <c r="S379" s="223"/>
      <c r="T379" s="223"/>
      <c r="V379" s="264"/>
      <c r="W379" s="265"/>
      <c r="X379" s="223"/>
      <c r="Y379" s="223"/>
    </row>
    <row r="380" spans="7:25">
      <c r="G380" s="53"/>
      <c r="H380" s="53"/>
      <c r="I380" s="53"/>
      <c r="J380" s="53"/>
      <c r="K380" s="52"/>
      <c r="L380" s="54" t="str">
        <f t="shared" si="9"/>
        <v/>
      </c>
      <c r="M3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0" s="54" t="str">
        <f>IFERROR(-(WHOLE_STRUCTURE[[#This Row],[D, bottom '[m']]]-WHOLE_STRUCTURE[[#This Row],[D, top '[m']]])/(WHOLE_STRUCTURE[[#This Row],[Bottom '[m']]]-WHOLE_STRUCTURE[[#This Row],[Top '[m']]]),"")</f>
        <v/>
      </c>
      <c r="O380" s="52" t="str">
        <f>IFERROR((WHOLE_STRUCTURE[[#This Row],[D, bottom '[m']]]+WHOLE_STRUCTURE[[#This Row],[D, top '[m']]])/(2*WHOLE_STRUCTURE[[#This Row],[t '[mm']]]/1000),"")</f>
        <v/>
      </c>
      <c r="S380" s="223"/>
      <c r="T380" s="223"/>
      <c r="V380" s="264"/>
      <c r="W380" s="265"/>
      <c r="X380" s="223"/>
      <c r="Y380" s="223"/>
    </row>
    <row r="381" spans="7:25">
      <c r="G381" s="53"/>
      <c r="H381" s="53"/>
      <c r="I381" s="53"/>
      <c r="J381" s="53"/>
      <c r="K381" s="52"/>
      <c r="L381" s="54" t="str">
        <f t="shared" si="9"/>
        <v/>
      </c>
      <c r="M3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1" s="54" t="str">
        <f>IFERROR(-(WHOLE_STRUCTURE[[#This Row],[D, bottom '[m']]]-WHOLE_STRUCTURE[[#This Row],[D, top '[m']]])/(WHOLE_STRUCTURE[[#This Row],[Bottom '[m']]]-WHOLE_STRUCTURE[[#This Row],[Top '[m']]]),"")</f>
        <v/>
      </c>
      <c r="O381" s="52" t="str">
        <f>IFERROR((WHOLE_STRUCTURE[[#This Row],[D, bottom '[m']]]+WHOLE_STRUCTURE[[#This Row],[D, top '[m']]])/(2*WHOLE_STRUCTURE[[#This Row],[t '[mm']]]/1000),"")</f>
        <v/>
      </c>
      <c r="S381" s="223"/>
      <c r="T381" s="223"/>
      <c r="V381" s="264"/>
      <c r="W381" s="265"/>
      <c r="X381" s="223"/>
      <c r="Y381" s="223"/>
    </row>
    <row r="382" spans="7:25">
      <c r="G382" s="53"/>
      <c r="H382" s="53"/>
      <c r="I382" s="53"/>
      <c r="J382" s="53"/>
      <c r="K382" s="52"/>
      <c r="L382" s="54" t="str">
        <f t="shared" si="9"/>
        <v/>
      </c>
      <c r="M3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2" s="54" t="str">
        <f>IFERROR(-(WHOLE_STRUCTURE[[#This Row],[D, bottom '[m']]]-WHOLE_STRUCTURE[[#This Row],[D, top '[m']]])/(WHOLE_STRUCTURE[[#This Row],[Bottom '[m']]]-WHOLE_STRUCTURE[[#This Row],[Top '[m']]]),"")</f>
        <v/>
      </c>
      <c r="O382" s="52" t="str">
        <f>IFERROR((WHOLE_STRUCTURE[[#This Row],[D, bottom '[m']]]+WHOLE_STRUCTURE[[#This Row],[D, top '[m']]])/(2*WHOLE_STRUCTURE[[#This Row],[t '[mm']]]/1000),"")</f>
        <v/>
      </c>
      <c r="S382" s="223"/>
      <c r="T382" s="223"/>
      <c r="V382" s="264"/>
      <c r="W382" s="265"/>
      <c r="X382" s="223"/>
      <c r="Y382" s="223"/>
    </row>
    <row r="383" spans="7:25">
      <c r="G383" s="53"/>
      <c r="H383" s="53"/>
      <c r="I383" s="53"/>
      <c r="J383" s="53"/>
      <c r="K383" s="52"/>
      <c r="L383" s="54" t="str">
        <f t="shared" si="9"/>
        <v/>
      </c>
      <c r="M3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3" s="54" t="str">
        <f>IFERROR(-(WHOLE_STRUCTURE[[#This Row],[D, bottom '[m']]]-WHOLE_STRUCTURE[[#This Row],[D, top '[m']]])/(WHOLE_STRUCTURE[[#This Row],[Bottom '[m']]]-WHOLE_STRUCTURE[[#This Row],[Top '[m']]]),"")</f>
        <v/>
      </c>
      <c r="O383" s="52" t="str">
        <f>IFERROR((WHOLE_STRUCTURE[[#This Row],[D, bottom '[m']]]+WHOLE_STRUCTURE[[#This Row],[D, top '[m']]])/(2*WHOLE_STRUCTURE[[#This Row],[t '[mm']]]/1000),"")</f>
        <v/>
      </c>
      <c r="S383" s="223"/>
      <c r="T383" s="223"/>
      <c r="V383" s="264"/>
      <c r="W383" s="265"/>
      <c r="X383" s="223"/>
      <c r="Y383" s="223"/>
    </row>
    <row r="384" spans="7:25">
      <c r="G384" s="53"/>
      <c r="H384" s="53"/>
      <c r="I384" s="53"/>
      <c r="J384" s="53"/>
      <c r="K384" s="52"/>
      <c r="L384" s="54" t="str">
        <f t="shared" si="9"/>
        <v/>
      </c>
      <c r="M3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4" s="54" t="str">
        <f>IFERROR(-(WHOLE_STRUCTURE[[#This Row],[D, bottom '[m']]]-WHOLE_STRUCTURE[[#This Row],[D, top '[m']]])/(WHOLE_STRUCTURE[[#This Row],[Bottom '[m']]]-WHOLE_STRUCTURE[[#This Row],[Top '[m']]]),"")</f>
        <v/>
      </c>
      <c r="O384" s="52" t="str">
        <f>IFERROR((WHOLE_STRUCTURE[[#This Row],[D, bottom '[m']]]+WHOLE_STRUCTURE[[#This Row],[D, top '[m']]])/(2*WHOLE_STRUCTURE[[#This Row],[t '[mm']]]/1000),"")</f>
        <v/>
      </c>
      <c r="S384" s="223"/>
      <c r="T384" s="223"/>
      <c r="V384" s="264"/>
      <c r="W384" s="265"/>
      <c r="X384" s="223"/>
      <c r="Y384" s="223"/>
    </row>
    <row r="385" spans="7:25">
      <c r="G385" s="53"/>
      <c r="H385" s="53"/>
      <c r="I385" s="53"/>
      <c r="J385" s="53"/>
      <c r="K385" s="52"/>
      <c r="L385" s="54" t="str">
        <f t="shared" si="9"/>
        <v/>
      </c>
      <c r="M3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5" s="54" t="str">
        <f>IFERROR(-(WHOLE_STRUCTURE[[#This Row],[D, bottom '[m']]]-WHOLE_STRUCTURE[[#This Row],[D, top '[m']]])/(WHOLE_STRUCTURE[[#This Row],[Bottom '[m']]]-WHOLE_STRUCTURE[[#This Row],[Top '[m']]]),"")</f>
        <v/>
      </c>
      <c r="O385" s="52" t="str">
        <f>IFERROR((WHOLE_STRUCTURE[[#This Row],[D, bottom '[m']]]+WHOLE_STRUCTURE[[#This Row],[D, top '[m']]])/(2*WHOLE_STRUCTURE[[#This Row],[t '[mm']]]/1000),"")</f>
        <v/>
      </c>
      <c r="S385" s="223"/>
      <c r="T385" s="223"/>
      <c r="V385" s="264"/>
      <c r="W385" s="265"/>
      <c r="X385" s="223"/>
      <c r="Y385" s="223"/>
    </row>
    <row r="386" spans="7:25">
      <c r="G386" s="53"/>
      <c r="H386" s="53"/>
      <c r="I386" s="53"/>
      <c r="J386" s="53"/>
      <c r="K386" s="52"/>
      <c r="L386" s="54" t="str">
        <f t="shared" si="9"/>
        <v/>
      </c>
      <c r="M3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6" s="54" t="str">
        <f>IFERROR(-(WHOLE_STRUCTURE[[#This Row],[D, bottom '[m']]]-WHOLE_STRUCTURE[[#This Row],[D, top '[m']]])/(WHOLE_STRUCTURE[[#This Row],[Bottom '[m']]]-WHOLE_STRUCTURE[[#This Row],[Top '[m']]]),"")</f>
        <v/>
      </c>
      <c r="O386" s="52" t="str">
        <f>IFERROR((WHOLE_STRUCTURE[[#This Row],[D, bottom '[m']]]+WHOLE_STRUCTURE[[#This Row],[D, top '[m']]])/(2*WHOLE_STRUCTURE[[#This Row],[t '[mm']]]/1000),"")</f>
        <v/>
      </c>
      <c r="S386" s="223"/>
      <c r="T386" s="223"/>
      <c r="V386" s="264"/>
      <c r="W386" s="265"/>
      <c r="X386" s="223"/>
      <c r="Y386" s="223"/>
    </row>
    <row r="387" spans="7:25">
      <c r="G387" s="53"/>
      <c r="H387" s="53"/>
      <c r="I387" s="53"/>
      <c r="J387" s="53"/>
      <c r="K387" s="52"/>
      <c r="L387" s="54" t="str">
        <f t="shared" si="9"/>
        <v/>
      </c>
      <c r="M3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7" s="54" t="str">
        <f>IFERROR(-(WHOLE_STRUCTURE[[#This Row],[D, bottom '[m']]]-WHOLE_STRUCTURE[[#This Row],[D, top '[m']]])/(WHOLE_STRUCTURE[[#This Row],[Bottom '[m']]]-WHOLE_STRUCTURE[[#This Row],[Top '[m']]]),"")</f>
        <v/>
      </c>
      <c r="O387" s="52" t="str">
        <f>IFERROR((WHOLE_STRUCTURE[[#This Row],[D, bottom '[m']]]+WHOLE_STRUCTURE[[#This Row],[D, top '[m']]])/(2*WHOLE_STRUCTURE[[#This Row],[t '[mm']]]/1000),"")</f>
        <v/>
      </c>
      <c r="S387" s="223"/>
      <c r="T387" s="223"/>
      <c r="V387" s="264"/>
      <c r="W387" s="265"/>
      <c r="X387" s="223"/>
      <c r="Y387" s="223"/>
    </row>
    <row r="388" spans="7:25">
      <c r="G388" s="53"/>
      <c r="H388" s="53"/>
      <c r="I388" s="53"/>
      <c r="J388" s="53"/>
      <c r="K388" s="52"/>
      <c r="L388" s="54" t="str">
        <f t="shared" si="9"/>
        <v/>
      </c>
      <c r="M3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8" s="54" t="str">
        <f>IFERROR(-(WHOLE_STRUCTURE[[#This Row],[D, bottom '[m']]]-WHOLE_STRUCTURE[[#This Row],[D, top '[m']]])/(WHOLE_STRUCTURE[[#This Row],[Bottom '[m']]]-WHOLE_STRUCTURE[[#This Row],[Top '[m']]]),"")</f>
        <v/>
      </c>
      <c r="O388" s="52" t="str">
        <f>IFERROR((WHOLE_STRUCTURE[[#This Row],[D, bottom '[m']]]+WHOLE_STRUCTURE[[#This Row],[D, top '[m']]])/(2*WHOLE_STRUCTURE[[#This Row],[t '[mm']]]/1000),"")</f>
        <v/>
      </c>
      <c r="S388" s="223"/>
      <c r="T388" s="223"/>
      <c r="V388" s="264"/>
      <c r="W388" s="265"/>
      <c r="X388" s="223"/>
      <c r="Y388" s="223"/>
    </row>
    <row r="389" spans="7:25">
      <c r="G389" s="53"/>
      <c r="H389" s="53"/>
      <c r="I389" s="53"/>
      <c r="J389" s="53"/>
      <c r="K389" s="52"/>
      <c r="L389" s="54" t="str">
        <f t="shared" ref="L389:L452" si="10">IF(7850/1000*(1/3)*PI()*ABS(G389-H389)*((I389/2)^2+(I389/2)*(J389/2)+(J389/2)^2-(I389/2-K389/1000)^2-(I389/2-K389/1000)*(J389/2-K389/1000)-(J389/2-K389/1000)^2)=0,"",7850/1000*(1/3)*PI()*ABS(G389-H389)*((I389/2)^2+(I389/2)*(J389/2)+(J389/2)^2-(I389/2-K389/1000)^2-(I389/2-K389/1000)*(J389/2-K389/1000)-(J389/2-K389/1000)^2))</f>
        <v/>
      </c>
      <c r="M3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9" s="54" t="str">
        <f>IFERROR(-(WHOLE_STRUCTURE[[#This Row],[D, bottom '[m']]]-WHOLE_STRUCTURE[[#This Row],[D, top '[m']]])/(WHOLE_STRUCTURE[[#This Row],[Bottom '[m']]]-WHOLE_STRUCTURE[[#This Row],[Top '[m']]]),"")</f>
        <v/>
      </c>
      <c r="O389" s="52" t="str">
        <f>IFERROR((WHOLE_STRUCTURE[[#This Row],[D, bottom '[m']]]+WHOLE_STRUCTURE[[#This Row],[D, top '[m']]])/(2*WHOLE_STRUCTURE[[#This Row],[t '[mm']]]/1000),"")</f>
        <v/>
      </c>
      <c r="S389" s="223"/>
      <c r="T389" s="223"/>
      <c r="V389" s="264"/>
      <c r="W389" s="265"/>
      <c r="X389" s="223"/>
      <c r="Y389" s="223"/>
    </row>
    <row r="390" spans="7:25">
      <c r="G390" s="53"/>
      <c r="H390" s="53"/>
      <c r="I390" s="53"/>
      <c r="J390" s="53"/>
      <c r="K390" s="52"/>
      <c r="L390" s="54" t="str">
        <f t="shared" si="10"/>
        <v/>
      </c>
      <c r="M3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0" s="54" t="str">
        <f>IFERROR(-(WHOLE_STRUCTURE[[#This Row],[D, bottom '[m']]]-WHOLE_STRUCTURE[[#This Row],[D, top '[m']]])/(WHOLE_STRUCTURE[[#This Row],[Bottom '[m']]]-WHOLE_STRUCTURE[[#This Row],[Top '[m']]]),"")</f>
        <v/>
      </c>
      <c r="O390" s="52" t="str">
        <f>IFERROR((WHOLE_STRUCTURE[[#This Row],[D, bottom '[m']]]+WHOLE_STRUCTURE[[#This Row],[D, top '[m']]])/(2*WHOLE_STRUCTURE[[#This Row],[t '[mm']]]/1000),"")</f>
        <v/>
      </c>
      <c r="S390" s="223"/>
      <c r="T390" s="223"/>
      <c r="V390" s="264"/>
      <c r="W390" s="265"/>
      <c r="X390" s="223"/>
      <c r="Y390" s="223"/>
    </row>
    <row r="391" spans="7:25">
      <c r="G391" s="53"/>
      <c r="H391" s="53"/>
      <c r="I391" s="53"/>
      <c r="J391" s="53"/>
      <c r="K391" s="52"/>
      <c r="L391" s="54" t="str">
        <f t="shared" si="10"/>
        <v/>
      </c>
      <c r="M3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1" s="54" t="str">
        <f>IFERROR(-(WHOLE_STRUCTURE[[#This Row],[D, bottom '[m']]]-WHOLE_STRUCTURE[[#This Row],[D, top '[m']]])/(WHOLE_STRUCTURE[[#This Row],[Bottom '[m']]]-WHOLE_STRUCTURE[[#This Row],[Top '[m']]]),"")</f>
        <v/>
      </c>
      <c r="O391" s="54" t="str">
        <f>IFERROR((WHOLE_STRUCTURE[[#This Row],[D, bottom '[m']]]+WHOLE_STRUCTURE[[#This Row],[D, top '[m']]])/(2*WHOLE_STRUCTURE[[#This Row],[t '[mm']]]/1000),"")</f>
        <v/>
      </c>
      <c r="S391" s="223"/>
      <c r="T391" s="223"/>
      <c r="V391" s="264"/>
      <c r="W391" s="265"/>
      <c r="X391" s="223"/>
      <c r="Y391" s="223"/>
    </row>
    <row r="392" spans="7:25">
      <c r="G392" s="53"/>
      <c r="H392" s="53"/>
      <c r="I392" s="53"/>
      <c r="J392" s="53"/>
      <c r="K392" s="52"/>
      <c r="L392" s="54" t="str">
        <f t="shared" si="10"/>
        <v/>
      </c>
      <c r="M3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2" s="54" t="str">
        <f>IFERROR(-(WHOLE_STRUCTURE[[#This Row],[D, bottom '[m']]]-WHOLE_STRUCTURE[[#This Row],[D, top '[m']]])/(WHOLE_STRUCTURE[[#This Row],[Bottom '[m']]]-WHOLE_STRUCTURE[[#This Row],[Top '[m']]]),"")</f>
        <v/>
      </c>
      <c r="O392" s="54" t="str">
        <f>IFERROR((WHOLE_STRUCTURE[[#This Row],[D, bottom '[m']]]+WHOLE_STRUCTURE[[#This Row],[D, top '[m']]])/(2*WHOLE_STRUCTURE[[#This Row],[t '[mm']]]/1000),"")</f>
        <v/>
      </c>
      <c r="S392" s="223"/>
      <c r="T392" s="223"/>
      <c r="V392" s="264"/>
      <c r="W392" s="265"/>
      <c r="X392" s="223"/>
      <c r="Y392" s="223"/>
    </row>
    <row r="393" spans="7:25">
      <c r="G393" s="53"/>
      <c r="H393" s="53"/>
      <c r="I393" s="53"/>
      <c r="J393" s="53"/>
      <c r="K393" s="52"/>
      <c r="L393" s="54" t="str">
        <f t="shared" si="10"/>
        <v/>
      </c>
      <c r="M3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3" s="54" t="str">
        <f>IFERROR(-(WHOLE_STRUCTURE[[#This Row],[D, bottom '[m']]]-WHOLE_STRUCTURE[[#This Row],[D, top '[m']]])/(WHOLE_STRUCTURE[[#This Row],[Bottom '[m']]]-WHOLE_STRUCTURE[[#This Row],[Top '[m']]]),"")</f>
        <v/>
      </c>
      <c r="O393" s="54" t="str">
        <f>IFERROR((WHOLE_STRUCTURE[[#This Row],[D, bottom '[m']]]+WHOLE_STRUCTURE[[#This Row],[D, top '[m']]])/(2*WHOLE_STRUCTURE[[#This Row],[t '[mm']]]/1000),"")</f>
        <v/>
      </c>
      <c r="S393" s="223"/>
      <c r="T393" s="223"/>
      <c r="V393" s="264"/>
      <c r="W393" s="265"/>
      <c r="X393" s="223"/>
      <c r="Y393" s="223"/>
    </row>
    <row r="394" spans="7:25">
      <c r="G394" s="53"/>
      <c r="H394" s="53"/>
      <c r="I394" s="53"/>
      <c r="J394" s="53"/>
      <c r="K394" s="52"/>
      <c r="L394" s="54" t="str">
        <f t="shared" si="10"/>
        <v/>
      </c>
      <c r="M3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4" s="54" t="str">
        <f>IFERROR(-(WHOLE_STRUCTURE[[#This Row],[D, bottom '[m']]]-WHOLE_STRUCTURE[[#This Row],[D, top '[m']]])/(WHOLE_STRUCTURE[[#This Row],[Bottom '[m']]]-WHOLE_STRUCTURE[[#This Row],[Top '[m']]]),"")</f>
        <v/>
      </c>
      <c r="O394" s="54" t="str">
        <f>IFERROR((WHOLE_STRUCTURE[[#This Row],[D, bottom '[m']]]+WHOLE_STRUCTURE[[#This Row],[D, top '[m']]])/(2*WHOLE_STRUCTURE[[#This Row],[t '[mm']]]/1000),"")</f>
        <v/>
      </c>
      <c r="S394" s="223"/>
      <c r="T394" s="223"/>
      <c r="V394" s="264"/>
      <c r="W394" s="265"/>
      <c r="X394" s="223"/>
      <c r="Y394" s="223"/>
    </row>
    <row r="395" spans="7:25">
      <c r="G395" s="53"/>
      <c r="H395" s="53"/>
      <c r="I395" s="53"/>
      <c r="J395" s="53"/>
      <c r="K395" s="52"/>
      <c r="L395" s="54" t="str">
        <f t="shared" si="10"/>
        <v/>
      </c>
      <c r="M3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5" s="54" t="str">
        <f>IFERROR(-(WHOLE_STRUCTURE[[#This Row],[D, bottom '[m']]]-WHOLE_STRUCTURE[[#This Row],[D, top '[m']]])/(WHOLE_STRUCTURE[[#This Row],[Bottom '[m']]]-WHOLE_STRUCTURE[[#This Row],[Top '[m']]]),"")</f>
        <v/>
      </c>
      <c r="O395" s="54" t="str">
        <f>IFERROR((WHOLE_STRUCTURE[[#This Row],[D, bottom '[m']]]+WHOLE_STRUCTURE[[#This Row],[D, top '[m']]])/(2*WHOLE_STRUCTURE[[#This Row],[t '[mm']]]/1000),"")</f>
        <v/>
      </c>
      <c r="S395" s="223"/>
      <c r="T395" s="223"/>
      <c r="V395" s="264"/>
      <c r="W395" s="265"/>
      <c r="X395" s="223"/>
      <c r="Y395" s="223"/>
    </row>
    <row r="396" spans="7:25">
      <c r="G396" s="53"/>
      <c r="H396" s="53"/>
      <c r="I396" s="53"/>
      <c r="J396" s="53"/>
      <c r="K396" s="52"/>
      <c r="L396" s="54" t="str">
        <f t="shared" si="10"/>
        <v/>
      </c>
      <c r="M3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6" s="54" t="str">
        <f>IFERROR(-(WHOLE_STRUCTURE[[#This Row],[D, bottom '[m']]]-WHOLE_STRUCTURE[[#This Row],[D, top '[m']]])/(WHOLE_STRUCTURE[[#This Row],[Bottom '[m']]]-WHOLE_STRUCTURE[[#This Row],[Top '[m']]]),"")</f>
        <v/>
      </c>
      <c r="O396" s="54" t="str">
        <f>IFERROR((WHOLE_STRUCTURE[[#This Row],[D, bottom '[m']]]+WHOLE_STRUCTURE[[#This Row],[D, top '[m']]])/(2*WHOLE_STRUCTURE[[#This Row],[t '[mm']]]/1000),"")</f>
        <v/>
      </c>
      <c r="S396" s="223"/>
      <c r="T396" s="223"/>
      <c r="V396" s="264"/>
      <c r="W396" s="265"/>
      <c r="X396" s="223"/>
      <c r="Y396" s="223"/>
    </row>
    <row r="397" spans="7:25">
      <c r="G397" s="53"/>
      <c r="H397" s="53"/>
      <c r="I397" s="53"/>
      <c r="J397" s="53"/>
      <c r="K397" s="52"/>
      <c r="L397" s="54" t="str">
        <f t="shared" si="10"/>
        <v/>
      </c>
      <c r="M3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7" s="54" t="str">
        <f>IFERROR(-(WHOLE_STRUCTURE[[#This Row],[D, bottom '[m']]]-WHOLE_STRUCTURE[[#This Row],[D, top '[m']]])/(WHOLE_STRUCTURE[[#This Row],[Bottom '[m']]]-WHOLE_STRUCTURE[[#This Row],[Top '[m']]]),"")</f>
        <v/>
      </c>
      <c r="O397" s="54" t="str">
        <f>IFERROR((WHOLE_STRUCTURE[[#This Row],[D, bottom '[m']]]+WHOLE_STRUCTURE[[#This Row],[D, top '[m']]])/(2*WHOLE_STRUCTURE[[#This Row],[t '[mm']]]/1000),"")</f>
        <v/>
      </c>
      <c r="S397" s="223"/>
      <c r="T397" s="223"/>
      <c r="V397" s="264"/>
      <c r="W397" s="265"/>
      <c r="X397" s="223"/>
      <c r="Y397" s="223"/>
    </row>
    <row r="398" spans="7:25">
      <c r="G398" s="53"/>
      <c r="H398" s="53"/>
      <c r="I398" s="53"/>
      <c r="J398" s="53"/>
      <c r="K398" s="52"/>
      <c r="L398" s="54" t="str">
        <f t="shared" si="10"/>
        <v/>
      </c>
      <c r="M3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8" s="54" t="str">
        <f>IFERROR(-(WHOLE_STRUCTURE[[#This Row],[D, bottom '[m']]]-WHOLE_STRUCTURE[[#This Row],[D, top '[m']]])/(WHOLE_STRUCTURE[[#This Row],[Bottom '[m']]]-WHOLE_STRUCTURE[[#This Row],[Top '[m']]]),"")</f>
        <v/>
      </c>
      <c r="O398" s="54" t="str">
        <f>IFERROR((WHOLE_STRUCTURE[[#This Row],[D, bottom '[m']]]+WHOLE_STRUCTURE[[#This Row],[D, top '[m']]])/(2*WHOLE_STRUCTURE[[#This Row],[t '[mm']]]/1000),"")</f>
        <v/>
      </c>
      <c r="S398" s="223"/>
      <c r="T398" s="223"/>
      <c r="V398" s="264"/>
      <c r="W398" s="265"/>
      <c r="X398" s="223"/>
      <c r="Y398" s="223"/>
    </row>
    <row r="399" spans="7:25">
      <c r="G399" s="53"/>
      <c r="H399" s="53"/>
      <c r="I399" s="53"/>
      <c r="J399" s="53"/>
      <c r="K399" s="52"/>
      <c r="L399" s="54" t="str">
        <f t="shared" si="10"/>
        <v/>
      </c>
      <c r="M3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9" s="54" t="str">
        <f>IFERROR(-(WHOLE_STRUCTURE[[#This Row],[D, bottom '[m']]]-WHOLE_STRUCTURE[[#This Row],[D, top '[m']]])/(WHOLE_STRUCTURE[[#This Row],[Bottom '[m']]]-WHOLE_STRUCTURE[[#This Row],[Top '[m']]]),"")</f>
        <v/>
      </c>
      <c r="O399" s="54" t="str">
        <f>IFERROR((WHOLE_STRUCTURE[[#This Row],[D, bottom '[m']]]+WHOLE_STRUCTURE[[#This Row],[D, top '[m']]])/(2*WHOLE_STRUCTURE[[#This Row],[t '[mm']]]/1000),"")</f>
        <v/>
      </c>
      <c r="S399" s="223"/>
      <c r="T399" s="223"/>
      <c r="V399" s="264"/>
      <c r="W399" s="265"/>
      <c r="X399" s="223"/>
      <c r="Y399" s="223"/>
    </row>
    <row r="400" spans="7:25">
      <c r="G400" s="53"/>
      <c r="H400" s="53"/>
      <c r="I400" s="53"/>
      <c r="J400" s="53"/>
      <c r="K400" s="52"/>
      <c r="L400" s="54" t="str">
        <f t="shared" si="10"/>
        <v/>
      </c>
      <c r="M4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0" s="54" t="str">
        <f>IFERROR(-(WHOLE_STRUCTURE[[#This Row],[D, bottom '[m']]]-WHOLE_STRUCTURE[[#This Row],[D, top '[m']]])/(WHOLE_STRUCTURE[[#This Row],[Bottom '[m']]]-WHOLE_STRUCTURE[[#This Row],[Top '[m']]]),"")</f>
        <v/>
      </c>
      <c r="O400" s="54" t="str">
        <f>IFERROR((WHOLE_STRUCTURE[[#This Row],[D, bottom '[m']]]+WHOLE_STRUCTURE[[#This Row],[D, top '[m']]])/(2*WHOLE_STRUCTURE[[#This Row],[t '[mm']]]/1000),"")</f>
        <v/>
      </c>
      <c r="S400" s="223"/>
      <c r="T400" s="223"/>
      <c r="V400" s="264"/>
      <c r="W400" s="265"/>
      <c r="X400" s="223"/>
      <c r="Y400" s="223"/>
    </row>
    <row r="401" spans="7:25">
      <c r="G401" s="53"/>
      <c r="H401" s="53"/>
      <c r="I401" s="53"/>
      <c r="J401" s="53"/>
      <c r="K401" s="52"/>
      <c r="L401" s="54" t="str">
        <f t="shared" si="10"/>
        <v/>
      </c>
      <c r="M4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1" s="54" t="str">
        <f>IFERROR(-(WHOLE_STRUCTURE[[#This Row],[D, bottom '[m']]]-WHOLE_STRUCTURE[[#This Row],[D, top '[m']]])/(WHOLE_STRUCTURE[[#This Row],[Bottom '[m']]]-WHOLE_STRUCTURE[[#This Row],[Top '[m']]]),"")</f>
        <v/>
      </c>
      <c r="O401" s="54" t="str">
        <f>IFERROR((WHOLE_STRUCTURE[[#This Row],[D, bottom '[m']]]+WHOLE_STRUCTURE[[#This Row],[D, top '[m']]])/(2*WHOLE_STRUCTURE[[#This Row],[t '[mm']]]/1000),"")</f>
        <v/>
      </c>
      <c r="S401" s="223"/>
      <c r="T401" s="223"/>
      <c r="V401" s="264"/>
      <c r="W401" s="265"/>
      <c r="X401" s="223"/>
      <c r="Y401" s="223"/>
    </row>
    <row r="402" spans="7:25">
      <c r="G402" s="53"/>
      <c r="H402" s="53"/>
      <c r="I402" s="53"/>
      <c r="J402" s="53"/>
      <c r="K402" s="52"/>
      <c r="L402" s="54" t="str">
        <f t="shared" si="10"/>
        <v/>
      </c>
      <c r="M4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2" s="54" t="str">
        <f>IFERROR(-(WHOLE_STRUCTURE[[#This Row],[D, bottom '[m']]]-WHOLE_STRUCTURE[[#This Row],[D, top '[m']]])/(WHOLE_STRUCTURE[[#This Row],[Bottom '[m']]]-WHOLE_STRUCTURE[[#This Row],[Top '[m']]]),"")</f>
        <v/>
      </c>
      <c r="O402" s="54" t="str">
        <f>IFERROR((WHOLE_STRUCTURE[[#This Row],[D, bottom '[m']]]+WHOLE_STRUCTURE[[#This Row],[D, top '[m']]])/(2*WHOLE_STRUCTURE[[#This Row],[t '[mm']]]/1000),"")</f>
        <v/>
      </c>
      <c r="S402" s="223"/>
      <c r="T402" s="223"/>
      <c r="V402" s="264"/>
      <c r="W402" s="265"/>
      <c r="X402" s="223"/>
      <c r="Y402" s="223"/>
    </row>
    <row r="403" spans="7:25">
      <c r="G403" s="53"/>
      <c r="H403" s="53"/>
      <c r="I403" s="53"/>
      <c r="J403" s="53"/>
      <c r="K403" s="52"/>
      <c r="L403" s="54" t="str">
        <f t="shared" si="10"/>
        <v/>
      </c>
      <c r="M4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3" s="54" t="str">
        <f>IFERROR(-(WHOLE_STRUCTURE[[#This Row],[D, bottom '[m']]]-WHOLE_STRUCTURE[[#This Row],[D, top '[m']]])/(WHOLE_STRUCTURE[[#This Row],[Bottom '[m']]]-WHOLE_STRUCTURE[[#This Row],[Top '[m']]]),"")</f>
        <v/>
      </c>
      <c r="O403" s="54" t="str">
        <f>IFERROR((WHOLE_STRUCTURE[[#This Row],[D, bottom '[m']]]+WHOLE_STRUCTURE[[#This Row],[D, top '[m']]])/(2*WHOLE_STRUCTURE[[#This Row],[t '[mm']]]/1000),"")</f>
        <v/>
      </c>
      <c r="S403" s="223"/>
      <c r="T403" s="223"/>
      <c r="V403" s="264"/>
      <c r="W403" s="265"/>
      <c r="X403" s="223"/>
      <c r="Y403" s="223"/>
    </row>
    <row r="404" spans="7:25">
      <c r="G404" s="53"/>
      <c r="H404" s="53"/>
      <c r="I404" s="53"/>
      <c r="J404" s="53"/>
      <c r="K404" s="52"/>
      <c r="L404" s="54" t="str">
        <f t="shared" si="10"/>
        <v/>
      </c>
      <c r="M4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4" s="54" t="str">
        <f>IFERROR(-(WHOLE_STRUCTURE[[#This Row],[D, bottom '[m']]]-WHOLE_STRUCTURE[[#This Row],[D, top '[m']]])/(WHOLE_STRUCTURE[[#This Row],[Bottom '[m']]]-WHOLE_STRUCTURE[[#This Row],[Top '[m']]]),"")</f>
        <v/>
      </c>
      <c r="O404" s="54" t="str">
        <f>IFERROR((WHOLE_STRUCTURE[[#This Row],[D, bottom '[m']]]+WHOLE_STRUCTURE[[#This Row],[D, top '[m']]])/(2*WHOLE_STRUCTURE[[#This Row],[t '[mm']]]/1000),"")</f>
        <v/>
      </c>
      <c r="S404" s="223"/>
      <c r="T404" s="223"/>
      <c r="V404" s="264"/>
      <c r="W404" s="265"/>
      <c r="X404" s="223"/>
      <c r="Y404" s="223"/>
    </row>
    <row r="405" spans="7:25">
      <c r="G405" s="53"/>
      <c r="H405" s="53"/>
      <c r="I405" s="53"/>
      <c r="J405" s="53"/>
      <c r="K405" s="52"/>
      <c r="L405" s="54" t="str">
        <f t="shared" si="10"/>
        <v/>
      </c>
      <c r="M4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5" s="54" t="str">
        <f>IFERROR(-(WHOLE_STRUCTURE[[#This Row],[D, bottom '[m']]]-WHOLE_STRUCTURE[[#This Row],[D, top '[m']]])/(WHOLE_STRUCTURE[[#This Row],[Bottom '[m']]]-WHOLE_STRUCTURE[[#This Row],[Top '[m']]]),"")</f>
        <v/>
      </c>
      <c r="O405" s="54" t="str">
        <f>IFERROR((WHOLE_STRUCTURE[[#This Row],[D, bottom '[m']]]+WHOLE_STRUCTURE[[#This Row],[D, top '[m']]])/(2*WHOLE_STRUCTURE[[#This Row],[t '[mm']]]/1000),"")</f>
        <v/>
      </c>
      <c r="S405" s="223"/>
      <c r="T405" s="223"/>
      <c r="V405" s="264"/>
      <c r="W405" s="265"/>
      <c r="X405" s="223"/>
      <c r="Y405" s="223"/>
    </row>
    <row r="406" spans="7:25">
      <c r="G406" s="53"/>
      <c r="H406" s="53"/>
      <c r="I406" s="53"/>
      <c r="J406" s="53"/>
      <c r="K406" s="52"/>
      <c r="L406" s="54" t="str">
        <f t="shared" si="10"/>
        <v/>
      </c>
      <c r="M4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6" s="54" t="str">
        <f>IFERROR(-(WHOLE_STRUCTURE[[#This Row],[D, bottom '[m']]]-WHOLE_STRUCTURE[[#This Row],[D, top '[m']]])/(WHOLE_STRUCTURE[[#This Row],[Bottom '[m']]]-WHOLE_STRUCTURE[[#This Row],[Top '[m']]]),"")</f>
        <v/>
      </c>
      <c r="O406" s="54" t="str">
        <f>IFERROR((WHOLE_STRUCTURE[[#This Row],[D, bottom '[m']]]+WHOLE_STRUCTURE[[#This Row],[D, top '[m']]])/(2*WHOLE_STRUCTURE[[#This Row],[t '[mm']]]/1000),"")</f>
        <v/>
      </c>
      <c r="S406" s="223"/>
      <c r="T406" s="223"/>
      <c r="V406" s="264"/>
      <c r="W406" s="265"/>
      <c r="X406" s="223"/>
      <c r="Y406" s="223"/>
    </row>
    <row r="407" spans="7:25">
      <c r="G407" s="53"/>
      <c r="H407" s="53"/>
      <c r="I407" s="53"/>
      <c r="J407" s="53"/>
      <c r="K407" s="52"/>
      <c r="L407" s="54" t="str">
        <f t="shared" si="10"/>
        <v/>
      </c>
      <c r="M4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7" s="54" t="str">
        <f>IFERROR(-(WHOLE_STRUCTURE[[#This Row],[D, bottom '[m']]]-WHOLE_STRUCTURE[[#This Row],[D, top '[m']]])/(WHOLE_STRUCTURE[[#This Row],[Bottom '[m']]]-WHOLE_STRUCTURE[[#This Row],[Top '[m']]]),"")</f>
        <v/>
      </c>
      <c r="O407" s="54" t="str">
        <f>IFERROR((WHOLE_STRUCTURE[[#This Row],[D, bottom '[m']]]+WHOLE_STRUCTURE[[#This Row],[D, top '[m']]])/(2*WHOLE_STRUCTURE[[#This Row],[t '[mm']]]/1000),"")</f>
        <v/>
      </c>
      <c r="S407" s="223"/>
      <c r="T407" s="223"/>
      <c r="V407" s="264"/>
      <c r="W407" s="265"/>
      <c r="X407" s="223"/>
      <c r="Y407" s="223"/>
    </row>
    <row r="408" spans="7:25">
      <c r="G408" s="53"/>
      <c r="H408" s="53"/>
      <c r="I408" s="53"/>
      <c r="J408" s="53"/>
      <c r="K408" s="52"/>
      <c r="L408" s="54" t="str">
        <f t="shared" si="10"/>
        <v/>
      </c>
      <c r="M4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8" s="54" t="str">
        <f>IFERROR(-(WHOLE_STRUCTURE[[#This Row],[D, bottom '[m']]]-WHOLE_STRUCTURE[[#This Row],[D, top '[m']]])/(WHOLE_STRUCTURE[[#This Row],[Bottom '[m']]]-WHOLE_STRUCTURE[[#This Row],[Top '[m']]]),"")</f>
        <v/>
      </c>
      <c r="O408" s="54" t="str">
        <f>IFERROR((WHOLE_STRUCTURE[[#This Row],[D, bottom '[m']]]+WHOLE_STRUCTURE[[#This Row],[D, top '[m']]])/(2*WHOLE_STRUCTURE[[#This Row],[t '[mm']]]/1000),"")</f>
        <v/>
      </c>
      <c r="S408" s="223"/>
      <c r="T408" s="223"/>
      <c r="V408" s="264"/>
      <c r="W408" s="265"/>
      <c r="X408" s="223"/>
      <c r="Y408" s="223"/>
    </row>
    <row r="409" spans="7:25">
      <c r="G409" s="53"/>
      <c r="H409" s="53"/>
      <c r="I409" s="53"/>
      <c r="J409" s="53"/>
      <c r="K409" s="52"/>
      <c r="L409" s="54" t="str">
        <f t="shared" si="10"/>
        <v/>
      </c>
      <c r="M4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9" s="54" t="str">
        <f>IFERROR(-(WHOLE_STRUCTURE[[#This Row],[D, bottom '[m']]]-WHOLE_STRUCTURE[[#This Row],[D, top '[m']]])/(WHOLE_STRUCTURE[[#This Row],[Bottom '[m']]]-WHOLE_STRUCTURE[[#This Row],[Top '[m']]]),"")</f>
        <v/>
      </c>
      <c r="O409" s="54" t="str">
        <f>IFERROR((WHOLE_STRUCTURE[[#This Row],[D, bottom '[m']]]+WHOLE_STRUCTURE[[#This Row],[D, top '[m']]])/(2*WHOLE_STRUCTURE[[#This Row],[t '[mm']]]/1000),"")</f>
        <v/>
      </c>
      <c r="S409" s="223"/>
      <c r="T409" s="223"/>
      <c r="V409" s="264"/>
      <c r="W409" s="265"/>
      <c r="X409" s="223"/>
      <c r="Y409" s="223"/>
    </row>
    <row r="410" spans="7:25">
      <c r="G410" s="53"/>
      <c r="H410" s="53"/>
      <c r="I410" s="53"/>
      <c r="J410" s="53"/>
      <c r="K410" s="52"/>
      <c r="L410" s="54" t="str">
        <f t="shared" si="10"/>
        <v/>
      </c>
      <c r="M4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0" s="54" t="str">
        <f>IFERROR(-(WHOLE_STRUCTURE[[#This Row],[D, bottom '[m']]]-WHOLE_STRUCTURE[[#This Row],[D, top '[m']]])/(WHOLE_STRUCTURE[[#This Row],[Bottom '[m']]]-WHOLE_STRUCTURE[[#This Row],[Top '[m']]]),"")</f>
        <v/>
      </c>
      <c r="O410" s="54" t="str">
        <f>IFERROR((WHOLE_STRUCTURE[[#This Row],[D, bottom '[m']]]+WHOLE_STRUCTURE[[#This Row],[D, top '[m']]])/(2*WHOLE_STRUCTURE[[#This Row],[t '[mm']]]/1000),"")</f>
        <v/>
      </c>
      <c r="S410" s="223"/>
      <c r="T410" s="223"/>
      <c r="V410" s="264"/>
      <c r="W410" s="265"/>
      <c r="X410" s="223"/>
      <c r="Y410" s="223"/>
    </row>
    <row r="411" spans="7:25">
      <c r="G411" s="53"/>
      <c r="H411" s="53"/>
      <c r="I411" s="53"/>
      <c r="J411" s="53"/>
      <c r="K411" s="52"/>
      <c r="L411" s="54" t="str">
        <f t="shared" si="10"/>
        <v/>
      </c>
      <c r="M4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1" s="54" t="str">
        <f>IFERROR(-(WHOLE_STRUCTURE[[#This Row],[D, bottom '[m']]]-WHOLE_STRUCTURE[[#This Row],[D, top '[m']]])/(WHOLE_STRUCTURE[[#This Row],[Bottom '[m']]]-WHOLE_STRUCTURE[[#This Row],[Top '[m']]]),"")</f>
        <v/>
      </c>
      <c r="O411" s="54" t="str">
        <f>IFERROR((WHOLE_STRUCTURE[[#This Row],[D, bottom '[m']]]+WHOLE_STRUCTURE[[#This Row],[D, top '[m']]])/(2*WHOLE_STRUCTURE[[#This Row],[t '[mm']]]/1000),"")</f>
        <v/>
      </c>
      <c r="S411" s="223"/>
      <c r="T411" s="223"/>
      <c r="V411" s="264"/>
      <c r="W411" s="265"/>
      <c r="X411" s="223"/>
      <c r="Y411" s="223"/>
    </row>
    <row r="412" spans="7:25">
      <c r="G412" s="53"/>
      <c r="H412" s="53"/>
      <c r="I412" s="53"/>
      <c r="J412" s="53"/>
      <c r="K412" s="52"/>
      <c r="L412" s="54" t="str">
        <f t="shared" si="10"/>
        <v/>
      </c>
      <c r="M4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2" s="54" t="str">
        <f>IFERROR(-(WHOLE_STRUCTURE[[#This Row],[D, bottom '[m']]]-WHOLE_STRUCTURE[[#This Row],[D, top '[m']]])/(WHOLE_STRUCTURE[[#This Row],[Bottom '[m']]]-WHOLE_STRUCTURE[[#This Row],[Top '[m']]]),"")</f>
        <v/>
      </c>
      <c r="O412" s="54" t="str">
        <f>IFERROR((WHOLE_STRUCTURE[[#This Row],[D, bottom '[m']]]+WHOLE_STRUCTURE[[#This Row],[D, top '[m']]])/(2*WHOLE_STRUCTURE[[#This Row],[t '[mm']]]/1000),"")</f>
        <v/>
      </c>
      <c r="S412" s="223"/>
      <c r="T412" s="223"/>
      <c r="V412" s="264"/>
      <c r="W412" s="265"/>
      <c r="X412" s="223"/>
      <c r="Y412" s="223"/>
    </row>
    <row r="413" spans="7:25">
      <c r="G413" s="53"/>
      <c r="H413" s="53"/>
      <c r="I413" s="53"/>
      <c r="J413" s="53"/>
      <c r="K413" s="52"/>
      <c r="L413" s="54" t="str">
        <f t="shared" si="10"/>
        <v/>
      </c>
      <c r="M4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3" s="54" t="str">
        <f>IFERROR(-(WHOLE_STRUCTURE[[#This Row],[D, bottom '[m']]]-WHOLE_STRUCTURE[[#This Row],[D, top '[m']]])/(WHOLE_STRUCTURE[[#This Row],[Bottom '[m']]]-WHOLE_STRUCTURE[[#This Row],[Top '[m']]]),"")</f>
        <v/>
      </c>
      <c r="O413" s="54" t="str">
        <f>IFERROR((WHOLE_STRUCTURE[[#This Row],[D, bottom '[m']]]+WHOLE_STRUCTURE[[#This Row],[D, top '[m']]])/(2*WHOLE_STRUCTURE[[#This Row],[t '[mm']]]/1000),"")</f>
        <v/>
      </c>
      <c r="S413" s="223"/>
      <c r="T413" s="223"/>
      <c r="V413" s="264"/>
      <c r="W413" s="265"/>
      <c r="X413" s="223"/>
      <c r="Y413" s="223"/>
    </row>
    <row r="414" spans="7:25">
      <c r="G414" s="53"/>
      <c r="H414" s="53"/>
      <c r="I414" s="53"/>
      <c r="J414" s="53"/>
      <c r="K414" s="52"/>
      <c r="L414" s="54" t="str">
        <f t="shared" si="10"/>
        <v/>
      </c>
      <c r="M4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4" s="54" t="str">
        <f>IFERROR(-(WHOLE_STRUCTURE[[#This Row],[D, bottom '[m']]]-WHOLE_STRUCTURE[[#This Row],[D, top '[m']]])/(WHOLE_STRUCTURE[[#This Row],[Bottom '[m']]]-WHOLE_STRUCTURE[[#This Row],[Top '[m']]]),"")</f>
        <v/>
      </c>
      <c r="O414" s="54" t="str">
        <f>IFERROR((WHOLE_STRUCTURE[[#This Row],[D, bottom '[m']]]+WHOLE_STRUCTURE[[#This Row],[D, top '[m']]])/(2*WHOLE_STRUCTURE[[#This Row],[t '[mm']]]/1000),"")</f>
        <v/>
      </c>
      <c r="S414" s="223"/>
      <c r="T414" s="223"/>
      <c r="V414" s="264"/>
      <c r="W414" s="265"/>
      <c r="X414" s="223"/>
      <c r="Y414" s="223"/>
    </row>
    <row r="415" spans="7:25">
      <c r="G415" s="53"/>
      <c r="H415" s="53"/>
      <c r="I415" s="53"/>
      <c r="J415" s="53"/>
      <c r="K415" s="52"/>
      <c r="L415" s="54" t="str">
        <f t="shared" si="10"/>
        <v/>
      </c>
      <c r="M4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5" s="54" t="str">
        <f>IFERROR(-(WHOLE_STRUCTURE[[#This Row],[D, bottom '[m']]]-WHOLE_STRUCTURE[[#This Row],[D, top '[m']]])/(WHOLE_STRUCTURE[[#This Row],[Bottom '[m']]]-WHOLE_STRUCTURE[[#This Row],[Top '[m']]]),"")</f>
        <v/>
      </c>
      <c r="O415" s="54" t="str">
        <f>IFERROR((WHOLE_STRUCTURE[[#This Row],[D, bottom '[m']]]+WHOLE_STRUCTURE[[#This Row],[D, top '[m']]])/(2*WHOLE_STRUCTURE[[#This Row],[t '[mm']]]/1000),"")</f>
        <v/>
      </c>
      <c r="S415" s="223"/>
      <c r="T415" s="223"/>
      <c r="V415" s="264"/>
      <c r="W415" s="265"/>
      <c r="X415" s="223"/>
      <c r="Y415" s="223"/>
    </row>
    <row r="416" spans="7:25">
      <c r="G416" s="53"/>
      <c r="H416" s="53"/>
      <c r="I416" s="53"/>
      <c r="J416" s="53"/>
      <c r="K416" s="52"/>
      <c r="L416" s="54" t="str">
        <f t="shared" si="10"/>
        <v/>
      </c>
      <c r="M4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6" s="54" t="str">
        <f>IFERROR(-(WHOLE_STRUCTURE[[#This Row],[D, bottom '[m']]]-WHOLE_STRUCTURE[[#This Row],[D, top '[m']]])/(WHOLE_STRUCTURE[[#This Row],[Bottom '[m']]]-WHOLE_STRUCTURE[[#This Row],[Top '[m']]]),"")</f>
        <v/>
      </c>
      <c r="O416" s="54" t="str">
        <f>IFERROR((WHOLE_STRUCTURE[[#This Row],[D, bottom '[m']]]+WHOLE_STRUCTURE[[#This Row],[D, top '[m']]])/(2*WHOLE_STRUCTURE[[#This Row],[t '[mm']]]/1000),"")</f>
        <v/>
      </c>
      <c r="S416" s="223"/>
      <c r="T416" s="223"/>
      <c r="V416" s="264"/>
      <c r="W416" s="265"/>
      <c r="X416" s="223"/>
      <c r="Y416" s="223"/>
    </row>
    <row r="417" spans="7:25">
      <c r="G417" s="53"/>
      <c r="H417" s="53"/>
      <c r="I417" s="53"/>
      <c r="J417" s="53"/>
      <c r="K417" s="52"/>
      <c r="L417" s="54" t="str">
        <f t="shared" si="10"/>
        <v/>
      </c>
      <c r="M4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7" s="54" t="str">
        <f>IFERROR(-(WHOLE_STRUCTURE[[#This Row],[D, bottom '[m']]]-WHOLE_STRUCTURE[[#This Row],[D, top '[m']]])/(WHOLE_STRUCTURE[[#This Row],[Bottom '[m']]]-WHOLE_STRUCTURE[[#This Row],[Top '[m']]]),"")</f>
        <v/>
      </c>
      <c r="O417" s="54" t="str">
        <f>IFERROR((WHOLE_STRUCTURE[[#This Row],[D, bottom '[m']]]+WHOLE_STRUCTURE[[#This Row],[D, top '[m']]])/(2*WHOLE_STRUCTURE[[#This Row],[t '[mm']]]/1000),"")</f>
        <v/>
      </c>
      <c r="S417" s="223"/>
      <c r="T417" s="223"/>
      <c r="V417" s="264"/>
      <c r="W417" s="265"/>
      <c r="X417" s="223"/>
      <c r="Y417" s="223"/>
    </row>
    <row r="418" spans="7:25">
      <c r="G418" s="53"/>
      <c r="H418" s="53"/>
      <c r="I418" s="53"/>
      <c r="J418" s="53"/>
      <c r="K418" s="52"/>
      <c r="L418" s="54" t="str">
        <f t="shared" si="10"/>
        <v/>
      </c>
      <c r="M4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8" s="54" t="str">
        <f>IFERROR(-(WHOLE_STRUCTURE[[#This Row],[D, bottom '[m']]]-WHOLE_STRUCTURE[[#This Row],[D, top '[m']]])/(WHOLE_STRUCTURE[[#This Row],[Bottom '[m']]]-WHOLE_STRUCTURE[[#This Row],[Top '[m']]]),"")</f>
        <v/>
      </c>
      <c r="O418" s="54" t="str">
        <f>IFERROR((WHOLE_STRUCTURE[[#This Row],[D, bottom '[m']]]+WHOLE_STRUCTURE[[#This Row],[D, top '[m']]])/(2*WHOLE_STRUCTURE[[#This Row],[t '[mm']]]/1000),"")</f>
        <v/>
      </c>
      <c r="S418" s="223"/>
      <c r="T418" s="223"/>
      <c r="V418" s="264"/>
      <c r="W418" s="265"/>
      <c r="X418" s="223"/>
      <c r="Y418" s="223"/>
    </row>
    <row r="419" spans="7:25">
      <c r="G419" s="53"/>
      <c r="H419" s="53"/>
      <c r="I419" s="53"/>
      <c r="J419" s="53"/>
      <c r="K419" s="52"/>
      <c r="L419" s="54" t="str">
        <f t="shared" si="10"/>
        <v/>
      </c>
      <c r="M4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9" s="54" t="str">
        <f>IFERROR(-(WHOLE_STRUCTURE[[#This Row],[D, bottom '[m']]]-WHOLE_STRUCTURE[[#This Row],[D, top '[m']]])/(WHOLE_STRUCTURE[[#This Row],[Bottom '[m']]]-WHOLE_STRUCTURE[[#This Row],[Top '[m']]]),"")</f>
        <v/>
      </c>
      <c r="O419" s="54" t="str">
        <f>IFERROR((WHOLE_STRUCTURE[[#This Row],[D, bottom '[m']]]+WHOLE_STRUCTURE[[#This Row],[D, top '[m']]])/(2*WHOLE_STRUCTURE[[#This Row],[t '[mm']]]/1000),"")</f>
        <v/>
      </c>
      <c r="S419" s="223"/>
      <c r="T419" s="223"/>
      <c r="V419" s="264"/>
      <c r="W419" s="265"/>
      <c r="X419" s="223"/>
      <c r="Y419" s="223"/>
    </row>
    <row r="420" spans="7:25">
      <c r="G420" s="53"/>
      <c r="H420" s="53"/>
      <c r="I420" s="53"/>
      <c r="J420" s="53"/>
      <c r="K420" s="52"/>
      <c r="L420" s="54" t="str">
        <f t="shared" si="10"/>
        <v/>
      </c>
      <c r="M4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0" s="54" t="str">
        <f>IFERROR(-(WHOLE_STRUCTURE[[#This Row],[D, bottom '[m']]]-WHOLE_STRUCTURE[[#This Row],[D, top '[m']]])/(WHOLE_STRUCTURE[[#This Row],[Bottom '[m']]]-WHOLE_STRUCTURE[[#This Row],[Top '[m']]]),"")</f>
        <v/>
      </c>
      <c r="O420" s="54" t="str">
        <f>IFERROR((WHOLE_STRUCTURE[[#This Row],[D, bottom '[m']]]+WHOLE_STRUCTURE[[#This Row],[D, top '[m']]])/(2*WHOLE_STRUCTURE[[#This Row],[t '[mm']]]/1000),"")</f>
        <v/>
      </c>
      <c r="S420" s="223"/>
      <c r="T420" s="223"/>
      <c r="V420" s="264"/>
      <c r="W420" s="265"/>
      <c r="X420" s="223"/>
      <c r="Y420" s="223"/>
    </row>
    <row r="421" spans="7:25">
      <c r="G421" s="53"/>
      <c r="H421" s="53"/>
      <c r="I421" s="53"/>
      <c r="J421" s="53"/>
      <c r="K421" s="52"/>
      <c r="L421" s="54" t="str">
        <f t="shared" si="10"/>
        <v/>
      </c>
      <c r="M4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1" s="54" t="str">
        <f>IFERROR(-(WHOLE_STRUCTURE[[#This Row],[D, bottom '[m']]]-WHOLE_STRUCTURE[[#This Row],[D, top '[m']]])/(WHOLE_STRUCTURE[[#This Row],[Bottom '[m']]]-WHOLE_STRUCTURE[[#This Row],[Top '[m']]]),"")</f>
        <v/>
      </c>
      <c r="O421" s="54" t="str">
        <f>IFERROR((WHOLE_STRUCTURE[[#This Row],[D, bottom '[m']]]+WHOLE_STRUCTURE[[#This Row],[D, top '[m']]])/(2*WHOLE_STRUCTURE[[#This Row],[t '[mm']]]/1000),"")</f>
        <v/>
      </c>
      <c r="S421" s="223"/>
      <c r="T421" s="223"/>
      <c r="V421" s="264"/>
      <c r="W421" s="265"/>
      <c r="X421" s="223"/>
      <c r="Y421" s="223"/>
    </row>
    <row r="422" spans="7:25">
      <c r="G422" s="53"/>
      <c r="H422" s="53"/>
      <c r="I422" s="53"/>
      <c r="J422" s="53"/>
      <c r="K422" s="52"/>
      <c r="L422" s="54" t="str">
        <f t="shared" si="10"/>
        <v/>
      </c>
      <c r="M4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2" s="54" t="str">
        <f>IFERROR(-(WHOLE_STRUCTURE[[#This Row],[D, bottom '[m']]]-WHOLE_STRUCTURE[[#This Row],[D, top '[m']]])/(WHOLE_STRUCTURE[[#This Row],[Bottom '[m']]]-WHOLE_STRUCTURE[[#This Row],[Top '[m']]]),"")</f>
        <v/>
      </c>
      <c r="O422" s="54" t="str">
        <f>IFERROR((WHOLE_STRUCTURE[[#This Row],[D, bottom '[m']]]+WHOLE_STRUCTURE[[#This Row],[D, top '[m']]])/(2*WHOLE_STRUCTURE[[#This Row],[t '[mm']]]/1000),"")</f>
        <v/>
      </c>
      <c r="S422" s="223"/>
      <c r="T422" s="223"/>
      <c r="V422" s="264"/>
      <c r="W422" s="265"/>
      <c r="X422" s="223"/>
      <c r="Y422" s="223"/>
    </row>
    <row r="423" spans="7:25">
      <c r="G423" s="53"/>
      <c r="H423" s="53"/>
      <c r="I423" s="53"/>
      <c r="J423" s="53"/>
      <c r="K423" s="52"/>
      <c r="L423" s="54" t="str">
        <f t="shared" si="10"/>
        <v/>
      </c>
      <c r="M4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3" s="54" t="str">
        <f>IFERROR(-(WHOLE_STRUCTURE[[#This Row],[D, bottom '[m']]]-WHOLE_STRUCTURE[[#This Row],[D, top '[m']]])/(WHOLE_STRUCTURE[[#This Row],[Bottom '[m']]]-WHOLE_STRUCTURE[[#This Row],[Top '[m']]]),"")</f>
        <v/>
      </c>
      <c r="O423" s="54" t="str">
        <f>IFERROR((WHOLE_STRUCTURE[[#This Row],[D, bottom '[m']]]+WHOLE_STRUCTURE[[#This Row],[D, top '[m']]])/(2*WHOLE_STRUCTURE[[#This Row],[t '[mm']]]/1000),"")</f>
        <v/>
      </c>
      <c r="S423" s="223"/>
      <c r="T423" s="223"/>
      <c r="V423" s="264"/>
      <c r="W423" s="265"/>
      <c r="X423" s="223"/>
      <c r="Y423" s="223"/>
    </row>
    <row r="424" spans="7:25">
      <c r="G424" s="53"/>
      <c r="H424" s="53"/>
      <c r="I424" s="53"/>
      <c r="J424" s="53"/>
      <c r="K424" s="52"/>
      <c r="L424" s="54" t="str">
        <f t="shared" si="10"/>
        <v/>
      </c>
      <c r="M4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4" s="54" t="str">
        <f>IFERROR(-(WHOLE_STRUCTURE[[#This Row],[D, bottom '[m']]]-WHOLE_STRUCTURE[[#This Row],[D, top '[m']]])/(WHOLE_STRUCTURE[[#This Row],[Bottom '[m']]]-WHOLE_STRUCTURE[[#This Row],[Top '[m']]]),"")</f>
        <v/>
      </c>
      <c r="O424" s="54" t="str">
        <f>IFERROR((WHOLE_STRUCTURE[[#This Row],[D, bottom '[m']]]+WHOLE_STRUCTURE[[#This Row],[D, top '[m']]])/(2*WHOLE_STRUCTURE[[#This Row],[t '[mm']]]/1000),"")</f>
        <v/>
      </c>
      <c r="S424" s="223"/>
      <c r="T424" s="223"/>
      <c r="V424" s="264"/>
      <c r="W424" s="265"/>
      <c r="X424" s="223"/>
      <c r="Y424" s="223"/>
    </row>
    <row r="425" spans="7:25">
      <c r="G425" s="53"/>
      <c r="H425" s="53"/>
      <c r="I425" s="53"/>
      <c r="J425" s="53"/>
      <c r="K425" s="52"/>
      <c r="L425" s="54" t="str">
        <f t="shared" si="10"/>
        <v/>
      </c>
      <c r="M4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5" s="54" t="str">
        <f>IFERROR(-(WHOLE_STRUCTURE[[#This Row],[D, bottom '[m']]]-WHOLE_STRUCTURE[[#This Row],[D, top '[m']]])/(WHOLE_STRUCTURE[[#This Row],[Bottom '[m']]]-WHOLE_STRUCTURE[[#This Row],[Top '[m']]]),"")</f>
        <v/>
      </c>
      <c r="O425" s="54" t="str">
        <f>IFERROR((WHOLE_STRUCTURE[[#This Row],[D, bottom '[m']]]+WHOLE_STRUCTURE[[#This Row],[D, top '[m']]])/(2*WHOLE_STRUCTURE[[#This Row],[t '[mm']]]/1000),"")</f>
        <v/>
      </c>
      <c r="S425" s="223"/>
      <c r="T425" s="223"/>
      <c r="V425" s="264"/>
      <c r="W425" s="265"/>
      <c r="X425" s="223"/>
      <c r="Y425" s="223"/>
    </row>
    <row r="426" spans="7:25">
      <c r="G426" s="53"/>
      <c r="H426" s="53"/>
      <c r="I426" s="53"/>
      <c r="J426" s="53"/>
      <c r="K426" s="52"/>
      <c r="L426" s="54" t="str">
        <f t="shared" si="10"/>
        <v/>
      </c>
      <c r="M4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6" s="54" t="str">
        <f>IFERROR(-(WHOLE_STRUCTURE[[#This Row],[D, bottom '[m']]]-WHOLE_STRUCTURE[[#This Row],[D, top '[m']]])/(WHOLE_STRUCTURE[[#This Row],[Bottom '[m']]]-WHOLE_STRUCTURE[[#This Row],[Top '[m']]]),"")</f>
        <v/>
      </c>
      <c r="O426" s="54" t="str">
        <f>IFERROR((WHOLE_STRUCTURE[[#This Row],[D, bottom '[m']]]+WHOLE_STRUCTURE[[#This Row],[D, top '[m']]])/(2*WHOLE_STRUCTURE[[#This Row],[t '[mm']]]/1000),"")</f>
        <v/>
      </c>
      <c r="S426" s="223"/>
      <c r="T426" s="223"/>
      <c r="V426" s="264"/>
      <c r="W426" s="265"/>
      <c r="X426" s="223"/>
      <c r="Y426" s="223"/>
    </row>
    <row r="427" spans="7:25">
      <c r="G427" s="53"/>
      <c r="H427" s="53"/>
      <c r="I427" s="53"/>
      <c r="J427" s="53"/>
      <c r="K427" s="52"/>
      <c r="L427" s="54" t="str">
        <f t="shared" si="10"/>
        <v/>
      </c>
      <c r="M4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7" s="54" t="str">
        <f>IFERROR(-(WHOLE_STRUCTURE[[#This Row],[D, bottom '[m']]]-WHOLE_STRUCTURE[[#This Row],[D, top '[m']]])/(WHOLE_STRUCTURE[[#This Row],[Bottom '[m']]]-WHOLE_STRUCTURE[[#This Row],[Top '[m']]]),"")</f>
        <v/>
      </c>
      <c r="O427" s="54" t="str">
        <f>IFERROR((WHOLE_STRUCTURE[[#This Row],[D, bottom '[m']]]+WHOLE_STRUCTURE[[#This Row],[D, top '[m']]])/(2*WHOLE_STRUCTURE[[#This Row],[t '[mm']]]/1000),"")</f>
        <v/>
      </c>
      <c r="S427" s="223"/>
      <c r="T427" s="223"/>
      <c r="V427" s="264"/>
      <c r="W427" s="265"/>
      <c r="X427" s="223"/>
      <c r="Y427" s="223"/>
    </row>
    <row r="428" spans="7:25">
      <c r="G428" s="53"/>
      <c r="H428" s="53"/>
      <c r="I428" s="53"/>
      <c r="J428" s="53"/>
      <c r="K428" s="52"/>
      <c r="L428" s="54" t="str">
        <f t="shared" si="10"/>
        <v/>
      </c>
      <c r="M4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8" s="54" t="str">
        <f>IFERROR(-(WHOLE_STRUCTURE[[#This Row],[D, bottom '[m']]]-WHOLE_STRUCTURE[[#This Row],[D, top '[m']]])/(WHOLE_STRUCTURE[[#This Row],[Bottom '[m']]]-WHOLE_STRUCTURE[[#This Row],[Top '[m']]]),"")</f>
        <v/>
      </c>
      <c r="O428" s="54" t="str">
        <f>IFERROR((WHOLE_STRUCTURE[[#This Row],[D, bottom '[m']]]+WHOLE_STRUCTURE[[#This Row],[D, top '[m']]])/(2*WHOLE_STRUCTURE[[#This Row],[t '[mm']]]/1000),"")</f>
        <v/>
      </c>
      <c r="S428" s="223"/>
      <c r="T428" s="223"/>
      <c r="V428" s="264"/>
      <c r="W428" s="265"/>
      <c r="X428" s="223"/>
      <c r="Y428" s="223"/>
    </row>
    <row r="429" spans="7:25">
      <c r="G429" s="53"/>
      <c r="H429" s="53"/>
      <c r="I429" s="53"/>
      <c r="J429" s="53"/>
      <c r="K429" s="52"/>
      <c r="L429" s="54" t="str">
        <f t="shared" si="10"/>
        <v/>
      </c>
      <c r="M4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9" s="54" t="str">
        <f>IFERROR(-(WHOLE_STRUCTURE[[#This Row],[D, bottom '[m']]]-WHOLE_STRUCTURE[[#This Row],[D, top '[m']]])/(WHOLE_STRUCTURE[[#This Row],[Bottom '[m']]]-WHOLE_STRUCTURE[[#This Row],[Top '[m']]]),"")</f>
        <v/>
      </c>
      <c r="O429" s="54" t="str">
        <f>IFERROR((WHOLE_STRUCTURE[[#This Row],[D, bottom '[m']]]+WHOLE_STRUCTURE[[#This Row],[D, top '[m']]])/(2*WHOLE_STRUCTURE[[#This Row],[t '[mm']]]/1000),"")</f>
        <v/>
      </c>
      <c r="S429" s="223"/>
      <c r="T429" s="223"/>
      <c r="V429" s="264"/>
      <c r="W429" s="265"/>
      <c r="X429" s="223"/>
      <c r="Y429" s="223"/>
    </row>
    <row r="430" spans="7:25">
      <c r="G430" s="53"/>
      <c r="H430" s="53"/>
      <c r="I430" s="53"/>
      <c r="J430" s="53"/>
      <c r="K430" s="52"/>
      <c r="L430" s="54" t="str">
        <f t="shared" si="10"/>
        <v/>
      </c>
      <c r="M4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0" s="54" t="str">
        <f>IFERROR(-(WHOLE_STRUCTURE[[#This Row],[D, bottom '[m']]]-WHOLE_STRUCTURE[[#This Row],[D, top '[m']]])/(WHOLE_STRUCTURE[[#This Row],[Bottom '[m']]]-WHOLE_STRUCTURE[[#This Row],[Top '[m']]]),"")</f>
        <v/>
      </c>
      <c r="O430" s="54" t="str">
        <f>IFERROR((WHOLE_STRUCTURE[[#This Row],[D, bottom '[m']]]+WHOLE_STRUCTURE[[#This Row],[D, top '[m']]])/(2*WHOLE_STRUCTURE[[#This Row],[t '[mm']]]/1000),"")</f>
        <v/>
      </c>
      <c r="S430" s="223"/>
      <c r="T430" s="223"/>
      <c r="V430" s="264"/>
      <c r="W430" s="265"/>
      <c r="X430" s="223"/>
      <c r="Y430" s="223"/>
    </row>
    <row r="431" spans="7:25">
      <c r="G431" s="53"/>
      <c r="H431" s="53"/>
      <c r="I431" s="53"/>
      <c r="J431" s="53"/>
      <c r="K431" s="52"/>
      <c r="L431" s="54" t="str">
        <f t="shared" si="10"/>
        <v/>
      </c>
      <c r="M4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1" s="54" t="str">
        <f>IFERROR(-(WHOLE_STRUCTURE[[#This Row],[D, bottom '[m']]]-WHOLE_STRUCTURE[[#This Row],[D, top '[m']]])/(WHOLE_STRUCTURE[[#This Row],[Bottom '[m']]]-WHOLE_STRUCTURE[[#This Row],[Top '[m']]]),"")</f>
        <v/>
      </c>
      <c r="O431" s="54" t="str">
        <f>IFERROR((WHOLE_STRUCTURE[[#This Row],[D, bottom '[m']]]+WHOLE_STRUCTURE[[#This Row],[D, top '[m']]])/(2*WHOLE_STRUCTURE[[#This Row],[t '[mm']]]/1000),"")</f>
        <v/>
      </c>
      <c r="S431" s="223"/>
      <c r="T431" s="223"/>
      <c r="V431" s="264"/>
      <c r="W431" s="265"/>
      <c r="X431" s="223"/>
      <c r="Y431" s="223"/>
    </row>
    <row r="432" spans="7:25">
      <c r="G432" s="53"/>
      <c r="H432" s="53"/>
      <c r="I432" s="53"/>
      <c r="J432" s="53"/>
      <c r="K432" s="52"/>
      <c r="L432" s="54" t="str">
        <f t="shared" si="10"/>
        <v/>
      </c>
      <c r="M4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2" s="54" t="str">
        <f>IFERROR(-(WHOLE_STRUCTURE[[#This Row],[D, bottom '[m']]]-WHOLE_STRUCTURE[[#This Row],[D, top '[m']]])/(WHOLE_STRUCTURE[[#This Row],[Bottom '[m']]]-WHOLE_STRUCTURE[[#This Row],[Top '[m']]]),"")</f>
        <v/>
      </c>
      <c r="O432" s="54" t="str">
        <f>IFERROR((WHOLE_STRUCTURE[[#This Row],[D, bottom '[m']]]+WHOLE_STRUCTURE[[#This Row],[D, top '[m']]])/(2*WHOLE_STRUCTURE[[#This Row],[t '[mm']]]/1000),"")</f>
        <v/>
      </c>
      <c r="S432" s="223"/>
      <c r="T432" s="223"/>
      <c r="V432" s="264"/>
      <c r="W432" s="265"/>
      <c r="X432" s="223"/>
      <c r="Y432" s="223"/>
    </row>
    <row r="433" spans="7:25">
      <c r="G433" s="53"/>
      <c r="H433" s="53"/>
      <c r="I433" s="53"/>
      <c r="J433" s="53"/>
      <c r="K433" s="52"/>
      <c r="L433" s="54" t="str">
        <f t="shared" si="10"/>
        <v/>
      </c>
      <c r="M4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3" s="54" t="str">
        <f>IFERROR(-(WHOLE_STRUCTURE[[#This Row],[D, bottom '[m']]]-WHOLE_STRUCTURE[[#This Row],[D, top '[m']]])/(WHOLE_STRUCTURE[[#This Row],[Bottom '[m']]]-WHOLE_STRUCTURE[[#This Row],[Top '[m']]]),"")</f>
        <v/>
      </c>
      <c r="O433" s="54" t="str">
        <f>IFERROR((WHOLE_STRUCTURE[[#This Row],[D, bottom '[m']]]+WHOLE_STRUCTURE[[#This Row],[D, top '[m']]])/(2*WHOLE_STRUCTURE[[#This Row],[t '[mm']]]/1000),"")</f>
        <v/>
      </c>
      <c r="S433" s="223"/>
      <c r="T433" s="223"/>
      <c r="V433" s="264"/>
      <c r="W433" s="265"/>
      <c r="X433" s="223"/>
      <c r="Y433" s="223"/>
    </row>
    <row r="434" spans="7:25">
      <c r="G434" s="53"/>
      <c r="H434" s="53"/>
      <c r="I434" s="53"/>
      <c r="J434" s="53"/>
      <c r="K434" s="52"/>
      <c r="L434" s="54" t="str">
        <f t="shared" si="10"/>
        <v/>
      </c>
      <c r="M4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4" s="54" t="str">
        <f>IFERROR(-(WHOLE_STRUCTURE[[#This Row],[D, bottom '[m']]]-WHOLE_STRUCTURE[[#This Row],[D, top '[m']]])/(WHOLE_STRUCTURE[[#This Row],[Bottom '[m']]]-WHOLE_STRUCTURE[[#This Row],[Top '[m']]]),"")</f>
        <v/>
      </c>
      <c r="O434" s="54" t="str">
        <f>IFERROR((WHOLE_STRUCTURE[[#This Row],[D, bottom '[m']]]+WHOLE_STRUCTURE[[#This Row],[D, top '[m']]])/(2*WHOLE_STRUCTURE[[#This Row],[t '[mm']]]/1000),"")</f>
        <v/>
      </c>
      <c r="S434" s="223"/>
      <c r="T434" s="223"/>
      <c r="V434" s="264"/>
      <c r="W434" s="265"/>
      <c r="X434" s="223"/>
      <c r="Y434" s="223"/>
    </row>
    <row r="435" spans="7:25">
      <c r="G435" s="53"/>
      <c r="H435" s="53"/>
      <c r="I435" s="53"/>
      <c r="J435" s="53"/>
      <c r="K435" s="52"/>
      <c r="L435" s="54" t="str">
        <f t="shared" si="10"/>
        <v/>
      </c>
      <c r="M4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5" s="54" t="str">
        <f>IFERROR(-(WHOLE_STRUCTURE[[#This Row],[D, bottom '[m']]]-WHOLE_STRUCTURE[[#This Row],[D, top '[m']]])/(WHOLE_STRUCTURE[[#This Row],[Bottom '[m']]]-WHOLE_STRUCTURE[[#This Row],[Top '[m']]]),"")</f>
        <v/>
      </c>
      <c r="O435" s="54" t="str">
        <f>IFERROR((WHOLE_STRUCTURE[[#This Row],[D, bottom '[m']]]+WHOLE_STRUCTURE[[#This Row],[D, top '[m']]])/(2*WHOLE_STRUCTURE[[#This Row],[t '[mm']]]/1000),"")</f>
        <v/>
      </c>
      <c r="S435" s="223"/>
      <c r="T435" s="223"/>
      <c r="V435" s="264"/>
      <c r="W435" s="265"/>
      <c r="X435" s="223"/>
      <c r="Y435" s="223"/>
    </row>
    <row r="436" spans="7:25">
      <c r="G436" s="53"/>
      <c r="H436" s="53"/>
      <c r="I436" s="53"/>
      <c r="J436" s="53"/>
      <c r="K436" s="52"/>
      <c r="L436" s="54" t="str">
        <f t="shared" si="10"/>
        <v/>
      </c>
      <c r="M4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6" s="54" t="str">
        <f>IFERROR(-(WHOLE_STRUCTURE[[#This Row],[D, bottom '[m']]]-WHOLE_STRUCTURE[[#This Row],[D, top '[m']]])/(WHOLE_STRUCTURE[[#This Row],[Bottom '[m']]]-WHOLE_STRUCTURE[[#This Row],[Top '[m']]]),"")</f>
        <v/>
      </c>
      <c r="O436" s="54" t="str">
        <f>IFERROR((WHOLE_STRUCTURE[[#This Row],[D, bottom '[m']]]+WHOLE_STRUCTURE[[#This Row],[D, top '[m']]])/(2*WHOLE_STRUCTURE[[#This Row],[t '[mm']]]/1000),"")</f>
        <v/>
      </c>
      <c r="S436" s="223"/>
      <c r="T436" s="223"/>
      <c r="V436" s="264"/>
      <c r="W436" s="265"/>
      <c r="X436" s="223"/>
      <c r="Y436" s="223"/>
    </row>
    <row r="437" spans="7:25">
      <c r="G437" s="53"/>
      <c r="H437" s="53"/>
      <c r="I437" s="53"/>
      <c r="J437" s="53"/>
      <c r="K437" s="52"/>
      <c r="L437" s="54" t="str">
        <f t="shared" si="10"/>
        <v/>
      </c>
      <c r="M4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7" s="54" t="str">
        <f>IFERROR(-(WHOLE_STRUCTURE[[#This Row],[D, bottom '[m']]]-WHOLE_STRUCTURE[[#This Row],[D, top '[m']]])/(WHOLE_STRUCTURE[[#This Row],[Bottom '[m']]]-WHOLE_STRUCTURE[[#This Row],[Top '[m']]]),"")</f>
        <v/>
      </c>
      <c r="O437" s="54" t="str">
        <f>IFERROR((WHOLE_STRUCTURE[[#This Row],[D, bottom '[m']]]+WHOLE_STRUCTURE[[#This Row],[D, top '[m']]])/(2*WHOLE_STRUCTURE[[#This Row],[t '[mm']]]/1000),"")</f>
        <v/>
      </c>
      <c r="S437" s="223"/>
      <c r="T437" s="223"/>
      <c r="V437" s="264"/>
      <c r="W437" s="265"/>
      <c r="X437" s="223"/>
      <c r="Y437" s="223"/>
    </row>
    <row r="438" spans="7:25">
      <c r="G438" s="53"/>
      <c r="H438" s="53"/>
      <c r="I438" s="53"/>
      <c r="J438" s="53"/>
      <c r="K438" s="52"/>
      <c r="L438" s="54" t="str">
        <f t="shared" si="10"/>
        <v/>
      </c>
      <c r="M4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8" s="54" t="str">
        <f>IFERROR(-(WHOLE_STRUCTURE[[#This Row],[D, bottom '[m']]]-WHOLE_STRUCTURE[[#This Row],[D, top '[m']]])/(WHOLE_STRUCTURE[[#This Row],[Bottom '[m']]]-WHOLE_STRUCTURE[[#This Row],[Top '[m']]]),"")</f>
        <v/>
      </c>
      <c r="O438" s="54" t="str">
        <f>IFERROR((WHOLE_STRUCTURE[[#This Row],[D, bottom '[m']]]+WHOLE_STRUCTURE[[#This Row],[D, top '[m']]])/(2*WHOLE_STRUCTURE[[#This Row],[t '[mm']]]/1000),"")</f>
        <v/>
      </c>
      <c r="S438" s="223"/>
      <c r="T438" s="223"/>
      <c r="V438" s="264"/>
      <c r="W438" s="265"/>
      <c r="X438" s="223"/>
      <c r="Y438" s="223"/>
    </row>
    <row r="439" spans="7:25">
      <c r="G439" s="53"/>
      <c r="H439" s="53"/>
      <c r="I439" s="53"/>
      <c r="J439" s="53"/>
      <c r="K439" s="52"/>
      <c r="L439" s="54" t="str">
        <f t="shared" si="10"/>
        <v/>
      </c>
      <c r="M4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9" s="54" t="str">
        <f>IFERROR(-(WHOLE_STRUCTURE[[#This Row],[D, bottom '[m']]]-WHOLE_STRUCTURE[[#This Row],[D, top '[m']]])/(WHOLE_STRUCTURE[[#This Row],[Bottom '[m']]]-WHOLE_STRUCTURE[[#This Row],[Top '[m']]]),"")</f>
        <v/>
      </c>
      <c r="O439" s="54" t="str">
        <f>IFERROR((WHOLE_STRUCTURE[[#This Row],[D, bottom '[m']]]+WHOLE_STRUCTURE[[#This Row],[D, top '[m']]])/(2*WHOLE_STRUCTURE[[#This Row],[t '[mm']]]/1000),"")</f>
        <v/>
      </c>
      <c r="S439" s="223"/>
      <c r="T439" s="223"/>
      <c r="V439" s="264"/>
      <c r="W439" s="265"/>
      <c r="X439" s="223"/>
      <c r="Y439" s="223"/>
    </row>
    <row r="440" spans="7:25">
      <c r="G440" s="53"/>
      <c r="H440" s="53"/>
      <c r="I440" s="53"/>
      <c r="J440" s="53"/>
      <c r="K440" s="52"/>
      <c r="L440" s="54" t="str">
        <f t="shared" si="10"/>
        <v/>
      </c>
      <c r="M4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0" s="54" t="str">
        <f>IFERROR(-(WHOLE_STRUCTURE[[#This Row],[D, bottom '[m']]]-WHOLE_STRUCTURE[[#This Row],[D, top '[m']]])/(WHOLE_STRUCTURE[[#This Row],[Bottom '[m']]]-WHOLE_STRUCTURE[[#This Row],[Top '[m']]]),"")</f>
        <v/>
      </c>
      <c r="O440" s="54" t="str">
        <f>IFERROR((WHOLE_STRUCTURE[[#This Row],[D, bottom '[m']]]+WHOLE_STRUCTURE[[#This Row],[D, top '[m']]])/(2*WHOLE_STRUCTURE[[#This Row],[t '[mm']]]/1000),"")</f>
        <v/>
      </c>
      <c r="S440" s="223"/>
      <c r="T440" s="223"/>
      <c r="V440" s="264"/>
      <c r="W440" s="265"/>
      <c r="X440" s="223"/>
      <c r="Y440" s="223"/>
    </row>
    <row r="441" spans="7:25">
      <c r="G441" s="53"/>
      <c r="H441" s="53"/>
      <c r="I441" s="53"/>
      <c r="J441" s="53"/>
      <c r="K441" s="52"/>
      <c r="L441" s="54" t="str">
        <f t="shared" si="10"/>
        <v/>
      </c>
      <c r="M4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1" s="54" t="str">
        <f>IFERROR(-(WHOLE_STRUCTURE[[#This Row],[D, bottom '[m']]]-WHOLE_STRUCTURE[[#This Row],[D, top '[m']]])/(WHOLE_STRUCTURE[[#This Row],[Bottom '[m']]]-WHOLE_STRUCTURE[[#This Row],[Top '[m']]]),"")</f>
        <v/>
      </c>
      <c r="O441" s="54" t="str">
        <f>IFERROR((WHOLE_STRUCTURE[[#This Row],[D, bottom '[m']]]+WHOLE_STRUCTURE[[#This Row],[D, top '[m']]])/(2*WHOLE_STRUCTURE[[#This Row],[t '[mm']]]/1000),"")</f>
        <v/>
      </c>
      <c r="S441" s="223"/>
      <c r="T441" s="223"/>
      <c r="V441" s="264"/>
      <c r="W441" s="265"/>
      <c r="X441" s="223"/>
      <c r="Y441" s="223"/>
    </row>
    <row r="442" spans="7:25">
      <c r="G442" s="53"/>
      <c r="H442" s="53"/>
      <c r="I442" s="53"/>
      <c r="J442" s="53"/>
      <c r="K442" s="52"/>
      <c r="L442" s="54" t="str">
        <f t="shared" si="10"/>
        <v/>
      </c>
      <c r="M4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2" s="54" t="str">
        <f>IFERROR(-(WHOLE_STRUCTURE[[#This Row],[D, bottom '[m']]]-WHOLE_STRUCTURE[[#This Row],[D, top '[m']]])/(WHOLE_STRUCTURE[[#This Row],[Bottom '[m']]]-WHOLE_STRUCTURE[[#This Row],[Top '[m']]]),"")</f>
        <v/>
      </c>
      <c r="O442" s="54" t="str">
        <f>IFERROR((WHOLE_STRUCTURE[[#This Row],[D, bottom '[m']]]+WHOLE_STRUCTURE[[#This Row],[D, top '[m']]])/(2*WHOLE_STRUCTURE[[#This Row],[t '[mm']]]/1000),"")</f>
        <v/>
      </c>
      <c r="S442" s="223"/>
      <c r="T442" s="223"/>
      <c r="V442" s="264"/>
      <c r="W442" s="265"/>
      <c r="X442" s="223"/>
      <c r="Y442" s="223"/>
    </row>
    <row r="443" spans="7:25">
      <c r="G443" s="53"/>
      <c r="H443" s="53"/>
      <c r="I443" s="53"/>
      <c r="J443" s="53"/>
      <c r="K443" s="52"/>
      <c r="L443" s="54" t="str">
        <f t="shared" si="10"/>
        <v/>
      </c>
      <c r="M4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3" s="54" t="str">
        <f>IFERROR(-(WHOLE_STRUCTURE[[#This Row],[D, bottom '[m']]]-WHOLE_STRUCTURE[[#This Row],[D, top '[m']]])/(WHOLE_STRUCTURE[[#This Row],[Bottom '[m']]]-WHOLE_STRUCTURE[[#This Row],[Top '[m']]]),"")</f>
        <v/>
      </c>
      <c r="O443" s="54" t="str">
        <f>IFERROR((WHOLE_STRUCTURE[[#This Row],[D, bottom '[m']]]+WHOLE_STRUCTURE[[#This Row],[D, top '[m']]])/(2*WHOLE_STRUCTURE[[#This Row],[t '[mm']]]/1000),"")</f>
        <v/>
      </c>
      <c r="S443" s="223"/>
      <c r="T443" s="223"/>
      <c r="V443" s="264"/>
      <c r="W443" s="265"/>
      <c r="X443" s="223"/>
      <c r="Y443" s="223"/>
    </row>
    <row r="444" spans="7:25">
      <c r="G444" s="53"/>
      <c r="H444" s="53"/>
      <c r="I444" s="53"/>
      <c r="J444" s="53"/>
      <c r="K444" s="52"/>
      <c r="L444" s="54" t="str">
        <f t="shared" si="10"/>
        <v/>
      </c>
      <c r="M4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4" s="54" t="str">
        <f>IFERROR(-(WHOLE_STRUCTURE[[#This Row],[D, bottom '[m']]]-WHOLE_STRUCTURE[[#This Row],[D, top '[m']]])/(WHOLE_STRUCTURE[[#This Row],[Bottom '[m']]]-WHOLE_STRUCTURE[[#This Row],[Top '[m']]]),"")</f>
        <v/>
      </c>
      <c r="O444" s="54" t="str">
        <f>IFERROR((WHOLE_STRUCTURE[[#This Row],[D, bottom '[m']]]+WHOLE_STRUCTURE[[#This Row],[D, top '[m']]])/(2*WHOLE_STRUCTURE[[#This Row],[t '[mm']]]/1000),"")</f>
        <v/>
      </c>
      <c r="S444" s="223"/>
      <c r="T444" s="223"/>
      <c r="V444" s="264"/>
      <c r="W444" s="265"/>
      <c r="X444" s="223"/>
      <c r="Y444" s="223"/>
    </row>
    <row r="445" spans="7:25">
      <c r="G445" s="53"/>
      <c r="H445" s="53"/>
      <c r="I445" s="53"/>
      <c r="J445" s="53"/>
      <c r="K445" s="52"/>
      <c r="L445" s="54" t="str">
        <f t="shared" si="10"/>
        <v/>
      </c>
      <c r="M4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5" s="54" t="str">
        <f>IFERROR(-(WHOLE_STRUCTURE[[#This Row],[D, bottom '[m']]]-WHOLE_STRUCTURE[[#This Row],[D, top '[m']]])/(WHOLE_STRUCTURE[[#This Row],[Bottom '[m']]]-WHOLE_STRUCTURE[[#This Row],[Top '[m']]]),"")</f>
        <v/>
      </c>
      <c r="O445" s="54" t="str">
        <f>IFERROR((WHOLE_STRUCTURE[[#This Row],[D, bottom '[m']]]+WHOLE_STRUCTURE[[#This Row],[D, top '[m']]])/(2*WHOLE_STRUCTURE[[#This Row],[t '[mm']]]/1000),"")</f>
        <v/>
      </c>
      <c r="S445" s="223"/>
      <c r="T445" s="223"/>
      <c r="V445" s="264"/>
      <c r="W445" s="265"/>
      <c r="X445" s="223"/>
      <c r="Y445" s="223"/>
    </row>
    <row r="446" spans="7:25">
      <c r="G446" s="53"/>
      <c r="H446" s="53"/>
      <c r="I446" s="53"/>
      <c r="J446" s="53"/>
      <c r="K446" s="52"/>
      <c r="L446" s="54" t="str">
        <f t="shared" si="10"/>
        <v/>
      </c>
      <c r="M4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6" s="54" t="str">
        <f>IFERROR(-(WHOLE_STRUCTURE[[#This Row],[D, bottom '[m']]]-WHOLE_STRUCTURE[[#This Row],[D, top '[m']]])/(WHOLE_STRUCTURE[[#This Row],[Bottom '[m']]]-WHOLE_STRUCTURE[[#This Row],[Top '[m']]]),"")</f>
        <v/>
      </c>
      <c r="O446" s="54" t="str">
        <f>IFERROR((WHOLE_STRUCTURE[[#This Row],[D, bottom '[m']]]+WHOLE_STRUCTURE[[#This Row],[D, top '[m']]])/(2*WHOLE_STRUCTURE[[#This Row],[t '[mm']]]/1000),"")</f>
        <v/>
      </c>
      <c r="S446" s="223"/>
      <c r="T446" s="223"/>
      <c r="V446" s="264"/>
      <c r="W446" s="265"/>
      <c r="X446" s="223"/>
      <c r="Y446" s="223"/>
    </row>
    <row r="447" spans="7:25">
      <c r="G447" s="53"/>
      <c r="H447" s="53"/>
      <c r="I447" s="53"/>
      <c r="J447" s="53"/>
      <c r="K447" s="52"/>
      <c r="L447" s="54" t="str">
        <f t="shared" si="10"/>
        <v/>
      </c>
      <c r="M4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7" s="54" t="str">
        <f>IFERROR(-(WHOLE_STRUCTURE[[#This Row],[D, bottom '[m']]]-WHOLE_STRUCTURE[[#This Row],[D, top '[m']]])/(WHOLE_STRUCTURE[[#This Row],[Bottom '[m']]]-WHOLE_STRUCTURE[[#This Row],[Top '[m']]]),"")</f>
        <v/>
      </c>
      <c r="O447" s="54" t="str">
        <f>IFERROR((WHOLE_STRUCTURE[[#This Row],[D, bottom '[m']]]+WHOLE_STRUCTURE[[#This Row],[D, top '[m']]])/(2*WHOLE_STRUCTURE[[#This Row],[t '[mm']]]/1000),"")</f>
        <v/>
      </c>
      <c r="S447" s="223"/>
      <c r="T447" s="223"/>
      <c r="V447" s="264"/>
      <c r="W447" s="265"/>
      <c r="X447" s="223"/>
      <c r="Y447" s="223"/>
    </row>
    <row r="448" spans="7:25">
      <c r="G448" s="53"/>
      <c r="H448" s="53"/>
      <c r="I448" s="53"/>
      <c r="J448" s="53"/>
      <c r="K448" s="52"/>
      <c r="L448" s="54" t="str">
        <f t="shared" si="10"/>
        <v/>
      </c>
      <c r="M4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8" s="54" t="str">
        <f>IFERROR(-(WHOLE_STRUCTURE[[#This Row],[D, bottom '[m']]]-WHOLE_STRUCTURE[[#This Row],[D, top '[m']]])/(WHOLE_STRUCTURE[[#This Row],[Bottom '[m']]]-WHOLE_STRUCTURE[[#This Row],[Top '[m']]]),"")</f>
        <v/>
      </c>
      <c r="O448" s="54" t="str">
        <f>IFERROR((WHOLE_STRUCTURE[[#This Row],[D, bottom '[m']]]+WHOLE_STRUCTURE[[#This Row],[D, top '[m']]])/(2*WHOLE_STRUCTURE[[#This Row],[t '[mm']]]/1000),"")</f>
        <v/>
      </c>
      <c r="S448" s="223"/>
      <c r="T448" s="223"/>
      <c r="V448" s="264"/>
      <c r="W448" s="265"/>
      <c r="X448" s="223"/>
      <c r="Y448" s="223"/>
    </row>
    <row r="449" spans="7:25">
      <c r="G449" s="53"/>
      <c r="H449" s="53"/>
      <c r="I449" s="53"/>
      <c r="J449" s="53"/>
      <c r="K449" s="52"/>
      <c r="L449" s="54" t="str">
        <f t="shared" si="10"/>
        <v/>
      </c>
      <c r="M4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9" s="54" t="str">
        <f>IFERROR(-(WHOLE_STRUCTURE[[#This Row],[D, bottom '[m']]]-WHOLE_STRUCTURE[[#This Row],[D, top '[m']]])/(WHOLE_STRUCTURE[[#This Row],[Bottom '[m']]]-WHOLE_STRUCTURE[[#This Row],[Top '[m']]]),"")</f>
        <v/>
      </c>
      <c r="O449" s="54" t="str">
        <f>IFERROR((WHOLE_STRUCTURE[[#This Row],[D, bottom '[m']]]+WHOLE_STRUCTURE[[#This Row],[D, top '[m']]])/(2*WHOLE_STRUCTURE[[#This Row],[t '[mm']]]/1000),"")</f>
        <v/>
      </c>
      <c r="S449" s="223"/>
      <c r="T449" s="223"/>
      <c r="V449" s="264"/>
      <c r="W449" s="265"/>
      <c r="X449" s="223"/>
      <c r="Y449" s="223"/>
    </row>
    <row r="450" spans="7:25">
      <c r="K450" s="52"/>
      <c r="L450" s="54" t="str">
        <f t="shared" si="10"/>
        <v/>
      </c>
      <c r="M4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0" s="54" t="str">
        <f>IFERROR(-(WHOLE_STRUCTURE[[#This Row],[D, bottom '[m']]]-WHOLE_STRUCTURE[[#This Row],[D, top '[m']]])/(WHOLE_STRUCTURE[[#This Row],[Bottom '[m']]]-WHOLE_STRUCTURE[[#This Row],[Top '[m']]]),"")</f>
        <v/>
      </c>
      <c r="O450" s="54" t="str">
        <f>IFERROR((WHOLE_STRUCTURE[[#This Row],[D, bottom '[m']]]+WHOLE_STRUCTURE[[#This Row],[D, top '[m']]])/(2*WHOLE_STRUCTURE[[#This Row],[t '[mm']]]/1000),"")</f>
        <v/>
      </c>
      <c r="S450" s="223"/>
      <c r="T450" s="223"/>
      <c r="V450" s="264"/>
      <c r="W450" s="265"/>
      <c r="X450" s="223"/>
      <c r="Y450" s="223"/>
    </row>
    <row r="451" spans="7:25">
      <c r="K451" s="52"/>
      <c r="L451" s="54" t="str">
        <f t="shared" si="10"/>
        <v/>
      </c>
      <c r="M4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1" s="54" t="str">
        <f>IFERROR(-(WHOLE_STRUCTURE[[#This Row],[D, bottom '[m']]]-WHOLE_STRUCTURE[[#This Row],[D, top '[m']]])/(WHOLE_STRUCTURE[[#This Row],[Bottom '[m']]]-WHOLE_STRUCTURE[[#This Row],[Top '[m']]]),"")</f>
        <v/>
      </c>
      <c r="O451" s="54" t="str">
        <f>IFERROR((WHOLE_STRUCTURE[[#This Row],[D, bottom '[m']]]+WHOLE_STRUCTURE[[#This Row],[D, top '[m']]])/(2*WHOLE_STRUCTURE[[#This Row],[t '[mm']]]/1000),"")</f>
        <v/>
      </c>
      <c r="S451" s="223"/>
      <c r="T451" s="223"/>
      <c r="V451" s="264"/>
      <c r="W451" s="265"/>
      <c r="X451" s="223"/>
      <c r="Y451" s="223"/>
    </row>
    <row r="452" spans="7:25">
      <c r="K452" s="52"/>
      <c r="L452" s="54" t="str">
        <f t="shared" si="10"/>
        <v/>
      </c>
      <c r="M4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2" s="54" t="str">
        <f>IFERROR(-(WHOLE_STRUCTURE[[#This Row],[D, bottom '[m']]]-WHOLE_STRUCTURE[[#This Row],[D, top '[m']]])/(WHOLE_STRUCTURE[[#This Row],[Bottom '[m']]]-WHOLE_STRUCTURE[[#This Row],[Top '[m']]]),"")</f>
        <v/>
      </c>
      <c r="O452" s="54" t="str">
        <f>IFERROR((WHOLE_STRUCTURE[[#This Row],[D, bottom '[m']]]+WHOLE_STRUCTURE[[#This Row],[D, top '[m']]])/(2*WHOLE_STRUCTURE[[#This Row],[t '[mm']]]/1000),"")</f>
        <v/>
      </c>
      <c r="S452" s="223"/>
      <c r="T452" s="223"/>
      <c r="V452" s="264"/>
      <c r="W452" s="265"/>
      <c r="X452" s="223"/>
      <c r="Y452" s="223"/>
    </row>
    <row r="453" spans="7:25">
      <c r="K453" s="52"/>
      <c r="L453" s="54" t="str">
        <f t="shared" ref="L453:L454" si="11">IF(7850/1000*(1/3)*PI()*ABS(G453-H453)*((I453/2)^2+(I453/2)*(J453/2)+(J453/2)^2-(I453/2-K453/1000)^2-(I453/2-K453/1000)*(J453/2-K453/1000)-(J453/2-K453/1000)^2)=0,"",7850/1000*(1/3)*PI()*ABS(G453-H453)*((I453/2)^2+(I453/2)*(J453/2)+(J453/2)^2-(I453/2-K453/1000)^2-(I453/2-K453/1000)*(J453/2-K453/1000)-(J453/2-K453/1000)^2))</f>
        <v/>
      </c>
      <c r="M4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3" s="54" t="str">
        <f>IFERROR(-(WHOLE_STRUCTURE[[#This Row],[D, bottom '[m']]]-WHOLE_STRUCTURE[[#This Row],[D, top '[m']]])/(WHOLE_STRUCTURE[[#This Row],[Bottom '[m']]]-WHOLE_STRUCTURE[[#This Row],[Top '[m']]]),"")</f>
        <v/>
      </c>
      <c r="O453" s="54" t="str">
        <f>IFERROR((WHOLE_STRUCTURE[[#This Row],[D, bottom '[m']]]+WHOLE_STRUCTURE[[#This Row],[D, top '[m']]])/(2*WHOLE_STRUCTURE[[#This Row],[t '[mm']]]/1000),"")</f>
        <v/>
      </c>
      <c r="S453" s="223"/>
      <c r="T453" s="223"/>
      <c r="V453" s="264"/>
      <c r="W453" s="265"/>
      <c r="X453" s="223"/>
      <c r="Y453" s="223"/>
    </row>
    <row r="454" spans="7:25">
      <c r="K454" s="52"/>
      <c r="L454" s="54" t="str">
        <f t="shared" si="11"/>
        <v/>
      </c>
      <c r="M4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4" s="54" t="str">
        <f>IFERROR(-(WHOLE_STRUCTURE[[#This Row],[D, bottom '[m']]]-WHOLE_STRUCTURE[[#This Row],[D, top '[m']]])/(WHOLE_STRUCTURE[[#This Row],[Bottom '[m']]]-WHOLE_STRUCTURE[[#This Row],[Top '[m']]]),"")</f>
        <v/>
      </c>
      <c r="O454" s="54" t="str">
        <f>IFERROR((WHOLE_STRUCTURE[[#This Row],[D, bottom '[m']]]+WHOLE_STRUCTURE[[#This Row],[D, top '[m']]])/(2*WHOLE_STRUCTURE[[#This Row],[t '[mm']]]/1000),"")</f>
        <v/>
      </c>
      <c r="S454" s="223"/>
      <c r="T454" s="223"/>
      <c r="V454" s="264"/>
      <c r="W454" s="265"/>
      <c r="X454" s="223"/>
      <c r="Y454" s="223"/>
    </row>
    <row r="455" spans="7:25">
      <c r="K455" s="52"/>
      <c r="M4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S455" s="223"/>
      <c r="T455" s="223"/>
      <c r="V455" s="264"/>
      <c r="W455" s="265"/>
      <c r="X455" s="223"/>
      <c r="Y455" s="223"/>
    </row>
    <row r="456" spans="7:25">
      <c r="S456" s="223"/>
      <c r="T456" s="223"/>
      <c r="V456" s="264"/>
      <c r="W456" s="265"/>
      <c r="X456" s="223"/>
      <c r="Y456" s="223"/>
    </row>
    <row r="457" spans="7:25">
      <c r="S457" s="223"/>
      <c r="T457" s="223"/>
      <c r="V457" s="264"/>
      <c r="W457" s="265"/>
      <c r="X457" s="223"/>
      <c r="Y457" s="223"/>
    </row>
    <row r="458" spans="7:25">
      <c r="S458" s="223"/>
      <c r="T458" s="223"/>
      <c r="V458" s="264"/>
      <c r="W458" s="265"/>
      <c r="X458" s="223"/>
      <c r="Y458" s="223"/>
    </row>
    <row r="459" spans="7:25">
      <c r="S459" s="223"/>
      <c r="T459" s="223"/>
      <c r="V459" s="264"/>
      <c r="W459" s="265"/>
      <c r="X459" s="223"/>
      <c r="Y459" s="223"/>
    </row>
    <row r="460" spans="7:25">
      <c r="S460" s="223"/>
      <c r="T460" s="223"/>
      <c r="V460" s="264"/>
      <c r="W460" s="265"/>
      <c r="X460" s="223"/>
      <c r="Y460" s="223"/>
    </row>
    <row r="461" spans="7:25">
      <c r="S461" s="223"/>
      <c r="T461" s="223"/>
      <c r="V461" s="264"/>
      <c r="W461" s="265"/>
      <c r="X461" s="223"/>
      <c r="Y461" s="223"/>
    </row>
    <row r="462" spans="7:25">
      <c r="S462" s="223"/>
      <c r="T462" s="223"/>
      <c r="V462" s="264"/>
      <c r="W462" s="265"/>
      <c r="X462" s="223"/>
      <c r="Y462" s="223"/>
    </row>
    <row r="463" spans="7:25">
      <c r="S463" s="223"/>
      <c r="T463" s="223"/>
      <c r="V463" s="264"/>
      <c r="W463" s="265"/>
      <c r="X463" s="223"/>
      <c r="Y463" s="223"/>
    </row>
    <row r="464" spans="7:25">
      <c r="S464" s="223"/>
      <c r="T464" s="223"/>
      <c r="V464" s="264"/>
      <c r="W464" s="265"/>
      <c r="X464" s="223"/>
      <c r="Y464" s="223"/>
    </row>
    <row r="465" spans="19:25">
      <c r="S465" s="223"/>
      <c r="T465" s="223"/>
      <c r="V465" s="264"/>
      <c r="W465" s="265"/>
      <c r="X465" s="223"/>
      <c r="Y465" s="223"/>
    </row>
    <row r="466" spans="19:25">
      <c r="S466" s="223"/>
      <c r="T466" s="223"/>
      <c r="V466" s="264"/>
      <c r="W466" s="265"/>
      <c r="X466" s="223"/>
      <c r="Y466" s="223"/>
    </row>
    <row r="467" spans="19:25">
      <c r="S467" s="223"/>
      <c r="T467" s="223"/>
      <c r="V467" s="264"/>
      <c r="W467" s="265"/>
      <c r="X467" s="223"/>
      <c r="Y467" s="223"/>
    </row>
    <row r="468" spans="19:25">
      <c r="S468" s="223"/>
      <c r="T468" s="223"/>
      <c r="V468" s="264"/>
      <c r="W468" s="265"/>
      <c r="X468" s="223"/>
      <c r="Y468" s="223"/>
    </row>
    <row r="469" spans="19:25">
      <c r="S469" s="223"/>
      <c r="T469" s="223"/>
      <c r="V469" s="264"/>
      <c r="W469" s="265"/>
      <c r="X469" s="223"/>
      <c r="Y469" s="223"/>
    </row>
    <row r="470" spans="19:25">
      <c r="S470" s="223"/>
      <c r="T470" s="223"/>
      <c r="V470" s="264"/>
      <c r="W470" s="265"/>
      <c r="X470" s="223"/>
      <c r="Y470" s="223"/>
    </row>
    <row r="471" spans="19:25">
      <c r="S471" s="223"/>
      <c r="T471" s="223"/>
      <c r="V471" s="264"/>
      <c r="W471" s="265"/>
      <c r="X471" s="223"/>
      <c r="Y471" s="223"/>
    </row>
    <row r="472" spans="19:25">
      <c r="S472" s="223"/>
      <c r="T472" s="223"/>
      <c r="V472" s="264"/>
      <c r="W472" s="265"/>
      <c r="X472" s="223"/>
      <c r="Y472" s="223"/>
    </row>
    <row r="473" spans="19:25">
      <c r="S473" s="223"/>
      <c r="T473" s="223"/>
      <c r="V473" s="264"/>
      <c r="W473" s="265"/>
      <c r="X473" s="223"/>
      <c r="Y473" s="223"/>
    </row>
    <row r="474" spans="19:25">
      <c r="S474" s="223"/>
      <c r="T474" s="223"/>
      <c r="V474" s="264"/>
      <c r="W474" s="265"/>
      <c r="X474" s="223"/>
      <c r="Y474" s="223"/>
    </row>
    <row r="475" spans="19:25">
      <c r="S475" s="223"/>
      <c r="T475" s="223"/>
      <c r="V475" s="264"/>
      <c r="W475" s="265"/>
      <c r="X475" s="223"/>
      <c r="Y475" s="223"/>
    </row>
    <row r="476" spans="19:25">
      <c r="S476" s="223"/>
      <c r="T476" s="223"/>
      <c r="V476" s="264"/>
      <c r="W476" s="265"/>
      <c r="X476" s="223"/>
      <c r="Y476" s="223"/>
    </row>
    <row r="477" spans="19:25">
      <c r="S477" s="223"/>
      <c r="T477" s="223"/>
      <c r="V477" s="264"/>
      <c r="W477" s="265"/>
      <c r="X477" s="223"/>
      <c r="Y477" s="223"/>
    </row>
    <row r="478" spans="19:25">
      <c r="S478" s="223"/>
      <c r="T478" s="223"/>
      <c r="V478" s="264"/>
      <c r="W478" s="265"/>
      <c r="X478" s="223"/>
      <c r="Y478" s="223"/>
    </row>
    <row r="479" spans="19:25">
      <c r="S479" s="223"/>
      <c r="T479" s="223"/>
      <c r="V479" s="264"/>
      <c r="W479" s="265"/>
      <c r="X479" s="223"/>
      <c r="Y479" s="223"/>
    </row>
    <row r="480" spans="19:25">
      <c r="S480" s="223"/>
      <c r="T480" s="223"/>
      <c r="V480" s="264"/>
      <c r="W480" s="265"/>
      <c r="X480" s="223"/>
      <c r="Y480" s="223"/>
    </row>
    <row r="481" spans="19:25">
      <c r="S481" s="223"/>
      <c r="T481" s="223"/>
      <c r="V481" s="264"/>
      <c r="W481" s="265"/>
      <c r="X481" s="223"/>
      <c r="Y481" s="223"/>
    </row>
    <row r="482" spans="19:25">
      <c r="S482" s="223"/>
      <c r="T482" s="223"/>
      <c r="V482" s="264"/>
      <c r="W482" s="265"/>
      <c r="X482" s="223"/>
      <c r="Y482" s="223"/>
    </row>
    <row r="483" spans="19:25">
      <c r="S483" s="223"/>
      <c r="T483" s="223"/>
      <c r="V483" s="264"/>
      <c r="W483" s="265"/>
      <c r="X483" s="223"/>
      <c r="Y483" s="223"/>
    </row>
    <row r="484" spans="19:25">
      <c r="S484" s="223"/>
      <c r="T484" s="223"/>
      <c r="V484" s="264"/>
      <c r="W484" s="265"/>
      <c r="X484" s="223"/>
      <c r="Y484" s="223"/>
    </row>
    <row r="485" spans="19:25">
      <c r="S485" s="223"/>
      <c r="T485" s="223"/>
      <c r="V485" s="264"/>
      <c r="W485" s="265"/>
      <c r="X485" s="223"/>
      <c r="Y485" s="223"/>
    </row>
    <row r="486" spans="19:25">
      <c r="S486" s="223"/>
      <c r="T486" s="223"/>
      <c r="V486" s="264"/>
      <c r="W486" s="265"/>
      <c r="X486" s="223"/>
      <c r="Y486" s="223"/>
    </row>
    <row r="487" spans="19:25">
      <c r="S487" s="223"/>
      <c r="T487" s="223"/>
      <c r="V487" s="264"/>
      <c r="W487" s="265"/>
      <c r="X487" s="223"/>
      <c r="Y487" s="223"/>
    </row>
    <row r="488" spans="19:25">
      <c r="S488" s="223"/>
      <c r="T488" s="223"/>
      <c r="V488" s="264"/>
      <c r="W488" s="265"/>
      <c r="X488" s="223"/>
      <c r="Y488" s="223"/>
    </row>
    <row r="489" spans="19:25">
      <c r="S489" s="223"/>
      <c r="T489" s="223"/>
      <c r="V489" s="264"/>
      <c r="W489" s="265"/>
      <c r="X489" s="223"/>
      <c r="Y489" s="223"/>
    </row>
    <row r="490" spans="19:25">
      <c r="S490" s="223"/>
      <c r="T490" s="223"/>
      <c r="V490" s="264"/>
      <c r="W490" s="265"/>
      <c r="X490" s="223"/>
      <c r="Y490" s="223"/>
    </row>
    <row r="491" spans="19:25">
      <c r="S491" s="223"/>
      <c r="T491" s="223"/>
      <c r="V491" s="264"/>
      <c r="W491" s="265"/>
      <c r="X491" s="223"/>
      <c r="Y491" s="223"/>
    </row>
    <row r="492" spans="19:25">
      <c r="S492" s="223"/>
      <c r="T492" s="223"/>
      <c r="V492" s="264"/>
      <c r="W492" s="265"/>
      <c r="X492" s="223"/>
      <c r="Y492" s="223"/>
    </row>
    <row r="493" spans="19:25">
      <c r="S493" s="223"/>
      <c r="T493" s="223"/>
      <c r="V493" s="264"/>
      <c r="W493" s="265"/>
      <c r="X493" s="223"/>
      <c r="Y493" s="223"/>
    </row>
    <row r="494" spans="19:25">
      <c r="S494" s="223"/>
      <c r="T494" s="223"/>
      <c r="V494" s="264"/>
      <c r="W494" s="265"/>
      <c r="X494" s="223"/>
      <c r="Y494" s="223"/>
    </row>
    <row r="495" spans="19:25">
      <c r="S495" s="223"/>
      <c r="T495" s="223"/>
      <c r="V495" s="264"/>
      <c r="W495" s="265"/>
      <c r="X495" s="223"/>
      <c r="Y495" s="223"/>
    </row>
    <row r="496" spans="19:25">
      <c r="S496" s="223"/>
      <c r="T496" s="223"/>
      <c r="V496" s="264"/>
      <c r="W496" s="265"/>
      <c r="X496" s="223"/>
      <c r="Y496" s="223"/>
    </row>
    <row r="497" spans="19:25">
      <c r="S497" s="223"/>
      <c r="T497" s="223"/>
      <c r="V497" s="264"/>
      <c r="W497" s="265"/>
      <c r="X497" s="223"/>
      <c r="Y497" s="223"/>
    </row>
    <row r="498" spans="19:25">
      <c r="S498" s="223"/>
      <c r="T498" s="223"/>
      <c r="V498" s="264"/>
      <c r="W498" s="265"/>
      <c r="X498" s="223"/>
      <c r="Y498" s="223"/>
    </row>
    <row r="499" spans="19:25">
      <c r="S499" s="223"/>
      <c r="T499" s="223"/>
      <c r="V499" s="264"/>
      <c r="W499" s="265"/>
      <c r="X499" s="223"/>
      <c r="Y499" s="223"/>
    </row>
    <row r="500" spans="19:25">
      <c r="S500" s="223"/>
      <c r="T500" s="223"/>
      <c r="V500" s="264"/>
      <c r="W500" s="265"/>
      <c r="X500" s="223"/>
      <c r="Y500" s="223"/>
    </row>
    <row r="501" spans="19:25">
      <c r="S501" s="223"/>
      <c r="T501" s="223"/>
      <c r="V501" s="264"/>
      <c r="W501" s="265"/>
      <c r="X501" s="223"/>
      <c r="Y501" s="223"/>
    </row>
    <row r="502" spans="19:25">
      <c r="S502" s="223"/>
      <c r="T502" s="223"/>
      <c r="V502" s="264"/>
      <c r="W502" s="265"/>
      <c r="X502" s="223"/>
      <c r="Y502" s="223"/>
    </row>
    <row r="503" spans="19:25">
      <c r="S503" s="223"/>
      <c r="T503" s="223"/>
      <c r="V503" s="264"/>
      <c r="W503" s="265"/>
      <c r="X503" s="223"/>
      <c r="Y503" s="223"/>
    </row>
    <row r="504" spans="19:25">
      <c r="S504" s="223"/>
      <c r="T504" s="223"/>
      <c r="V504" s="264"/>
      <c r="W504" s="265"/>
      <c r="X504" s="223"/>
      <c r="Y504" s="223"/>
    </row>
    <row r="505" spans="19:25">
      <c r="S505" s="223"/>
      <c r="T505" s="223"/>
      <c r="V505" s="264"/>
      <c r="W505" s="265"/>
      <c r="X505" s="223"/>
      <c r="Y505" s="223"/>
    </row>
    <row r="506" spans="19:25">
      <c r="S506" s="223"/>
      <c r="T506" s="223"/>
      <c r="V506" s="264"/>
      <c r="W506" s="265"/>
      <c r="X506" s="223"/>
      <c r="Y506" s="223"/>
    </row>
    <row r="507" spans="19:25">
      <c r="S507" s="223"/>
      <c r="T507" s="223"/>
      <c r="V507" s="264"/>
      <c r="W507" s="265"/>
      <c r="X507" s="223"/>
      <c r="Y507" s="223"/>
    </row>
    <row r="508" spans="19:25">
      <c r="S508" s="223"/>
      <c r="T508" s="223"/>
      <c r="V508" s="264"/>
      <c r="W508" s="265"/>
      <c r="X508" s="223"/>
      <c r="Y508" s="223"/>
    </row>
    <row r="509" spans="19:25">
      <c r="S509" s="223"/>
      <c r="T509" s="223"/>
      <c r="V509" s="264"/>
      <c r="W509" s="265"/>
      <c r="X509" s="223"/>
      <c r="Y509" s="223"/>
    </row>
    <row r="510" spans="19:25">
      <c r="S510" s="223"/>
      <c r="T510" s="223"/>
      <c r="V510" s="264"/>
      <c r="W510" s="265"/>
      <c r="X510" s="223"/>
      <c r="Y510" s="223"/>
    </row>
    <row r="511" spans="19:25">
      <c r="S511" s="223"/>
      <c r="T511" s="223"/>
      <c r="V511" s="264"/>
      <c r="W511" s="265"/>
      <c r="X511" s="223"/>
      <c r="Y511" s="223"/>
    </row>
    <row r="512" spans="19:25">
      <c r="S512" s="223"/>
      <c r="T512" s="223"/>
      <c r="V512" s="264"/>
      <c r="W512" s="265"/>
      <c r="X512" s="223"/>
      <c r="Y512" s="223"/>
    </row>
    <row r="513" spans="19:25">
      <c r="S513" s="223"/>
      <c r="T513" s="223"/>
      <c r="V513" s="264"/>
      <c r="W513" s="265"/>
      <c r="X513" s="223"/>
      <c r="Y513" s="223"/>
    </row>
    <row r="514" spans="19:25">
      <c r="S514" s="223"/>
      <c r="T514" s="223"/>
      <c r="V514" s="264"/>
      <c r="W514" s="265"/>
      <c r="X514" s="223"/>
      <c r="Y514" s="223"/>
    </row>
    <row r="515" spans="19:25">
      <c r="S515" s="223"/>
      <c r="T515" s="223"/>
      <c r="V515" s="264"/>
      <c r="W515" s="265"/>
      <c r="X515" s="223"/>
      <c r="Y515" s="223"/>
    </row>
    <row r="516" spans="19:25">
      <c r="S516" s="223"/>
      <c r="T516" s="223"/>
      <c r="V516" s="264"/>
      <c r="W516" s="265"/>
      <c r="X516" s="223"/>
      <c r="Y516" s="223"/>
    </row>
    <row r="517" spans="19:25">
      <c r="S517" s="223"/>
      <c r="T517" s="223"/>
      <c r="V517" s="264"/>
      <c r="W517" s="265"/>
      <c r="X517" s="223"/>
      <c r="Y517" s="223"/>
    </row>
    <row r="518" spans="19:25">
      <c r="S518" s="223"/>
      <c r="T518" s="223"/>
      <c r="V518" s="264"/>
      <c r="W518" s="265"/>
      <c r="X518" s="223"/>
      <c r="Y518" s="223"/>
    </row>
    <row r="519" spans="19:25">
      <c r="S519" s="223"/>
      <c r="T519" s="223"/>
      <c r="V519" s="264"/>
      <c r="W519" s="265"/>
      <c r="X519" s="223"/>
      <c r="Y519" s="223"/>
    </row>
    <row r="520" spans="19:25">
      <c r="S520" s="223"/>
      <c r="T520" s="223"/>
      <c r="V520" s="264"/>
      <c r="W520" s="265"/>
      <c r="X520" s="223"/>
      <c r="Y520" s="223"/>
    </row>
    <row r="521" spans="19:25">
      <c r="S521" s="223"/>
      <c r="T521" s="223"/>
      <c r="V521" s="264"/>
      <c r="W521" s="265"/>
      <c r="X521" s="223"/>
      <c r="Y521" s="223"/>
    </row>
    <row r="522" spans="19:25">
      <c r="S522" s="223"/>
      <c r="T522" s="223"/>
      <c r="V522" s="264"/>
      <c r="W522" s="265"/>
      <c r="X522" s="223"/>
      <c r="Y522" s="223"/>
    </row>
    <row r="523" spans="19:25">
      <c r="S523" s="223"/>
      <c r="T523" s="223"/>
      <c r="V523" s="264"/>
      <c r="W523" s="265"/>
      <c r="X523" s="223"/>
      <c r="Y523" s="223"/>
    </row>
    <row r="524" spans="19:25">
      <c r="S524" s="223"/>
      <c r="T524" s="223"/>
      <c r="V524" s="264"/>
      <c r="W524" s="265"/>
      <c r="X524" s="223"/>
      <c r="Y524" s="223"/>
    </row>
    <row r="525" spans="19:25">
      <c r="S525" s="223"/>
      <c r="T525" s="223"/>
      <c r="V525" s="264"/>
      <c r="W525" s="265"/>
      <c r="X525" s="223"/>
      <c r="Y525" s="223"/>
    </row>
    <row r="526" spans="19:25">
      <c r="S526" s="223"/>
      <c r="T526" s="223"/>
      <c r="V526" s="264"/>
      <c r="W526" s="265"/>
      <c r="X526" s="223"/>
      <c r="Y526" s="223"/>
    </row>
    <row r="527" spans="19:25">
      <c r="S527" s="223"/>
      <c r="T527" s="223"/>
      <c r="V527" s="264"/>
      <c r="W527" s="265"/>
      <c r="X527" s="223"/>
      <c r="Y527" s="223"/>
    </row>
    <row r="528" spans="19:25">
      <c r="S528" s="223"/>
      <c r="T528" s="223"/>
      <c r="V528" s="264"/>
      <c r="W528" s="265"/>
      <c r="X528" s="223"/>
      <c r="Y528" s="223"/>
    </row>
    <row r="529" spans="19:25">
      <c r="S529" s="223"/>
      <c r="T529" s="223"/>
      <c r="V529" s="264"/>
      <c r="W529" s="265"/>
      <c r="X529" s="223"/>
      <c r="Y529" s="223"/>
    </row>
    <row r="530" spans="19:25">
      <c r="S530" s="223"/>
      <c r="T530" s="223"/>
      <c r="V530" s="264"/>
      <c r="W530" s="265"/>
      <c r="X530" s="223"/>
      <c r="Y530" s="223"/>
    </row>
    <row r="531" spans="19:25">
      <c r="S531" s="223"/>
      <c r="T531" s="223"/>
      <c r="V531" s="264"/>
      <c r="W531" s="265"/>
      <c r="X531" s="223"/>
      <c r="Y531" s="223"/>
    </row>
    <row r="532" spans="19:25">
      <c r="S532" s="223"/>
      <c r="T532" s="223"/>
      <c r="V532" s="264"/>
      <c r="W532" s="265"/>
      <c r="X532" s="223"/>
      <c r="Y532" s="223"/>
    </row>
    <row r="533" spans="19:25">
      <c r="S533" s="223"/>
      <c r="T533" s="223"/>
      <c r="V533" s="264"/>
      <c r="W533" s="265"/>
      <c r="X533" s="223"/>
      <c r="Y533" s="223"/>
    </row>
    <row r="534" spans="19:25">
      <c r="S534" s="223"/>
      <c r="T534" s="223"/>
      <c r="V534" s="264"/>
      <c r="W534" s="265"/>
      <c r="X534" s="223"/>
      <c r="Y534" s="223"/>
    </row>
    <row r="535" spans="19:25">
      <c r="S535" s="223"/>
      <c r="T535" s="223"/>
      <c r="V535" s="264"/>
      <c r="W535" s="265"/>
      <c r="X535" s="223"/>
      <c r="Y535" s="223"/>
    </row>
    <row r="536" spans="19:25">
      <c r="S536" s="223"/>
      <c r="T536" s="223"/>
      <c r="V536" s="264"/>
      <c r="W536" s="265"/>
      <c r="X536" s="223"/>
      <c r="Y536" s="223"/>
    </row>
    <row r="537" spans="19:25">
      <c r="S537" s="223"/>
      <c r="T537" s="223"/>
      <c r="V537" s="264"/>
      <c r="W537" s="265"/>
      <c r="X537" s="223"/>
      <c r="Y537" s="223"/>
    </row>
    <row r="538" spans="19:25">
      <c r="S538" s="223"/>
      <c r="T538" s="223"/>
      <c r="V538" s="264"/>
      <c r="W538" s="265"/>
      <c r="X538" s="223"/>
      <c r="Y538" s="223"/>
    </row>
    <row r="539" spans="19:25">
      <c r="S539" s="223"/>
      <c r="T539" s="223"/>
      <c r="V539" s="264"/>
      <c r="W539" s="265"/>
      <c r="X539" s="223"/>
      <c r="Y539" s="223"/>
    </row>
    <row r="540" spans="19:25">
      <c r="S540" s="223"/>
      <c r="T540" s="223"/>
      <c r="V540" s="264"/>
      <c r="W540" s="265"/>
      <c r="X540" s="223"/>
      <c r="Y540" s="223"/>
    </row>
    <row r="541" spans="19:25">
      <c r="S541" s="223"/>
      <c r="T541" s="223"/>
      <c r="V541" s="264"/>
      <c r="W541" s="265"/>
      <c r="X541" s="223"/>
      <c r="Y541" s="223"/>
    </row>
    <row r="542" spans="19:25">
      <c r="S542" s="223"/>
      <c r="T542" s="223"/>
      <c r="V542" s="264"/>
      <c r="W542" s="265"/>
      <c r="X542" s="223"/>
      <c r="Y542" s="223"/>
    </row>
    <row r="543" spans="19:25">
      <c r="S543" s="223"/>
      <c r="T543" s="223"/>
      <c r="V543" s="264"/>
      <c r="W543" s="265"/>
      <c r="X543" s="223"/>
      <c r="Y543" s="223"/>
    </row>
    <row r="544" spans="19:25">
      <c r="S544" s="223"/>
      <c r="T544" s="223"/>
      <c r="V544" s="264"/>
      <c r="W544" s="265"/>
      <c r="X544" s="223"/>
      <c r="Y544" s="223"/>
    </row>
    <row r="545" spans="19:25">
      <c r="S545" s="223"/>
      <c r="T545" s="223"/>
      <c r="V545" s="264"/>
      <c r="W545" s="265"/>
      <c r="X545" s="223"/>
      <c r="Y545" s="223"/>
    </row>
    <row r="546" spans="19:25">
      <c r="S546" s="223"/>
      <c r="T546" s="223"/>
      <c r="V546" s="264"/>
      <c r="W546" s="265"/>
      <c r="X546" s="223"/>
      <c r="Y546" s="223"/>
    </row>
    <row r="547" spans="19:25">
      <c r="S547" s="223"/>
      <c r="T547" s="223"/>
      <c r="V547" s="264"/>
      <c r="W547" s="265"/>
      <c r="X547" s="223"/>
      <c r="Y547" s="223"/>
    </row>
    <row r="548" spans="19:25">
      <c r="S548" s="223"/>
      <c r="T548" s="223"/>
      <c r="V548" s="264"/>
      <c r="W548" s="265"/>
      <c r="X548" s="223"/>
      <c r="Y548" s="223"/>
    </row>
    <row r="549" spans="19:25">
      <c r="S549" s="223"/>
      <c r="T549" s="223"/>
      <c r="V549" s="264"/>
      <c r="W549" s="265"/>
      <c r="X549" s="223"/>
      <c r="Y549" s="223"/>
    </row>
    <row r="550" spans="19:25">
      <c r="S550" s="223"/>
      <c r="T550" s="223"/>
      <c r="V550" s="264"/>
      <c r="W550" s="265"/>
      <c r="X550" s="223"/>
      <c r="Y550" s="223"/>
    </row>
    <row r="551" spans="19:25">
      <c r="S551" s="223"/>
      <c r="T551" s="223"/>
      <c r="V551" s="264"/>
      <c r="W551" s="265"/>
      <c r="X551" s="223"/>
      <c r="Y551" s="223"/>
    </row>
    <row r="552" spans="19:25">
      <c r="S552" s="223"/>
      <c r="T552" s="223"/>
      <c r="V552" s="264"/>
      <c r="W552" s="265"/>
      <c r="X552" s="223"/>
      <c r="Y552" s="223"/>
    </row>
    <row r="553" spans="19:25">
      <c r="S553" s="223"/>
      <c r="T553" s="223"/>
      <c r="V553" s="264"/>
      <c r="W553" s="265"/>
      <c r="X553" s="223"/>
      <c r="Y553" s="223"/>
    </row>
    <row r="554" spans="19:25">
      <c r="S554" s="223"/>
      <c r="T554" s="223"/>
      <c r="V554" s="264"/>
      <c r="W554" s="265"/>
      <c r="X554" s="223"/>
      <c r="Y554" s="223"/>
    </row>
    <row r="555" spans="19:25">
      <c r="S555" s="223"/>
      <c r="T555" s="223"/>
      <c r="V555" s="264"/>
      <c r="W555" s="265"/>
      <c r="X555" s="223"/>
      <c r="Y555" s="223"/>
    </row>
    <row r="556" spans="19:25">
      <c r="S556" s="223"/>
      <c r="T556" s="223"/>
      <c r="V556" s="264"/>
      <c r="W556" s="265"/>
      <c r="X556" s="223"/>
      <c r="Y556" s="223"/>
    </row>
    <row r="557" spans="19:25">
      <c r="S557" s="223"/>
      <c r="T557" s="223"/>
      <c r="V557" s="264"/>
      <c r="W557" s="265"/>
      <c r="X557" s="223"/>
      <c r="Y557" s="223"/>
    </row>
    <row r="558" spans="19:25">
      <c r="S558" s="223"/>
      <c r="T558" s="223"/>
      <c r="V558" s="264"/>
      <c r="W558" s="265"/>
      <c r="X558" s="223"/>
      <c r="Y558" s="223"/>
    </row>
    <row r="559" spans="19:25">
      <c r="S559" s="223"/>
      <c r="T559" s="223"/>
      <c r="V559" s="264"/>
      <c r="W559" s="265"/>
      <c r="X559" s="223"/>
      <c r="Y559" s="223"/>
    </row>
    <row r="560" spans="19:25">
      <c r="S560" s="223"/>
      <c r="T560" s="223"/>
      <c r="V560" s="264"/>
      <c r="W560" s="265"/>
      <c r="X560" s="223"/>
      <c r="Y560" s="223"/>
    </row>
    <row r="561" spans="19:25">
      <c r="S561" s="223"/>
      <c r="T561" s="223"/>
      <c r="V561" s="264"/>
      <c r="W561" s="265"/>
      <c r="X561" s="223"/>
      <c r="Y561" s="223"/>
    </row>
    <row r="562" spans="19:25">
      <c r="S562" s="223"/>
      <c r="T562" s="223"/>
      <c r="V562" s="264"/>
      <c r="W562" s="265"/>
      <c r="X562" s="223"/>
      <c r="Y562" s="223"/>
    </row>
    <row r="563" spans="19:25">
      <c r="S563" s="223"/>
      <c r="T563" s="223"/>
      <c r="V563" s="264"/>
      <c r="W563" s="265"/>
      <c r="X563" s="223"/>
      <c r="Y563" s="223"/>
    </row>
    <row r="564" spans="19:25">
      <c r="S564" s="223"/>
      <c r="T564" s="223"/>
      <c r="V564" s="264"/>
      <c r="W564" s="265"/>
      <c r="X564" s="223"/>
      <c r="Y564" s="223"/>
    </row>
    <row r="565" spans="19:25">
      <c r="S565" s="223"/>
      <c r="T565" s="223"/>
      <c r="V565" s="264"/>
      <c r="W565" s="265"/>
      <c r="X565" s="223"/>
      <c r="Y565" s="223"/>
    </row>
    <row r="566" spans="19:25">
      <c r="S566" s="223"/>
      <c r="T566" s="223"/>
      <c r="V566" s="264"/>
      <c r="W566" s="265"/>
      <c r="X566" s="223"/>
      <c r="Y566" s="223"/>
    </row>
    <row r="567" spans="19:25">
      <c r="S567" s="223"/>
      <c r="T567" s="223"/>
      <c r="V567" s="264"/>
      <c r="W567" s="265"/>
      <c r="X567" s="223"/>
      <c r="Y567" s="223"/>
    </row>
    <row r="568" spans="19:25">
      <c r="S568" s="223"/>
      <c r="T568" s="223"/>
      <c r="V568" s="264"/>
      <c r="W568" s="265"/>
      <c r="X568" s="223"/>
      <c r="Y568" s="223"/>
    </row>
    <row r="569" spans="19:25">
      <c r="S569" s="223"/>
      <c r="T569" s="223"/>
      <c r="V569" s="264"/>
      <c r="W569" s="265"/>
      <c r="X569" s="223"/>
      <c r="Y569" s="223"/>
    </row>
    <row r="570" spans="19:25">
      <c r="S570" s="223"/>
      <c r="T570" s="223"/>
      <c r="V570" s="264"/>
      <c r="W570" s="265"/>
      <c r="X570" s="223"/>
      <c r="Y570" s="223"/>
    </row>
    <row r="571" spans="19:25">
      <c r="S571" s="223"/>
      <c r="T571" s="223"/>
      <c r="V571" s="264"/>
      <c r="W571" s="265"/>
      <c r="X571" s="223"/>
      <c r="Y571" s="223"/>
    </row>
    <row r="572" spans="19:25">
      <c r="S572" s="223"/>
      <c r="T572" s="223"/>
      <c r="V572" s="264"/>
      <c r="W572" s="265"/>
      <c r="X572" s="223"/>
      <c r="Y572" s="223"/>
    </row>
    <row r="573" spans="19:25">
      <c r="S573" s="223"/>
      <c r="T573" s="223"/>
      <c r="V573" s="264"/>
      <c r="W573" s="265"/>
      <c r="X573" s="223"/>
      <c r="Y573" s="223"/>
    </row>
    <row r="574" spans="19:25">
      <c r="S574" s="223"/>
      <c r="T574" s="223"/>
      <c r="V574" s="264"/>
      <c r="W574" s="265"/>
      <c r="X574" s="223"/>
      <c r="Y574" s="223"/>
    </row>
    <row r="575" spans="19:25">
      <c r="S575" s="223"/>
      <c r="T575" s="223"/>
      <c r="V575" s="264"/>
      <c r="W575" s="265"/>
      <c r="X575" s="223"/>
      <c r="Y575" s="223"/>
    </row>
    <row r="576" spans="19:25">
      <c r="S576" s="223"/>
      <c r="T576" s="223"/>
      <c r="V576" s="264"/>
      <c r="W576" s="265"/>
      <c r="X576" s="223"/>
      <c r="Y576" s="223"/>
    </row>
    <row r="577" spans="19:25">
      <c r="S577" s="223"/>
      <c r="T577" s="223"/>
      <c r="V577" s="264"/>
      <c r="W577" s="265"/>
      <c r="X577" s="223"/>
      <c r="Y577" s="223"/>
    </row>
    <row r="578" spans="19:25">
      <c r="S578" s="223"/>
      <c r="T578" s="223"/>
      <c r="V578" s="264"/>
      <c r="W578" s="265"/>
      <c r="X578" s="223"/>
      <c r="Y578" s="223"/>
    </row>
    <row r="579" spans="19:25">
      <c r="S579" s="223"/>
      <c r="T579" s="223"/>
      <c r="V579" s="264"/>
      <c r="W579" s="265"/>
      <c r="X579" s="223"/>
      <c r="Y579" s="223"/>
    </row>
    <row r="580" spans="19:25">
      <c r="S580" s="223"/>
      <c r="T580" s="223"/>
      <c r="V580" s="264"/>
      <c r="W580" s="265"/>
      <c r="X580" s="223"/>
      <c r="Y580" s="223"/>
    </row>
    <row r="581" spans="19:25">
      <c r="S581" s="223"/>
      <c r="T581" s="223"/>
      <c r="V581" s="264"/>
      <c r="W581" s="265"/>
      <c r="X581" s="223"/>
      <c r="Y581" s="223"/>
    </row>
    <row r="582" spans="19:25">
      <c r="S582" s="223"/>
      <c r="T582" s="223"/>
      <c r="V582" s="264"/>
      <c r="W582" s="265"/>
      <c r="X582" s="223"/>
      <c r="Y582" s="223"/>
    </row>
    <row r="583" spans="19:25">
      <c r="S583" s="223"/>
      <c r="T583" s="223"/>
      <c r="V583" s="264"/>
      <c r="W583" s="265"/>
      <c r="X583" s="223"/>
      <c r="Y583" s="223"/>
    </row>
    <row r="584" spans="19:25">
      <c r="S584" s="223"/>
      <c r="T584" s="223"/>
      <c r="V584" s="264"/>
      <c r="W584" s="265"/>
      <c r="X584" s="223"/>
      <c r="Y584" s="223"/>
    </row>
    <row r="585" spans="19:25">
      <c r="S585" s="223"/>
      <c r="T585" s="223"/>
      <c r="V585" s="264"/>
      <c r="W585" s="265"/>
      <c r="X585" s="223"/>
      <c r="Y585" s="223"/>
    </row>
    <row r="586" spans="19:25">
      <c r="S586" s="223"/>
      <c r="T586" s="223"/>
      <c r="V586" s="264"/>
      <c r="W586" s="265"/>
      <c r="X586" s="223"/>
      <c r="Y586" s="223"/>
    </row>
    <row r="587" spans="19:25">
      <c r="S587" s="223"/>
      <c r="T587" s="223"/>
      <c r="V587" s="264"/>
      <c r="W587" s="265"/>
      <c r="X587" s="223"/>
      <c r="Y587" s="223"/>
    </row>
    <row r="588" spans="19:25">
      <c r="S588" s="223"/>
      <c r="T588" s="223"/>
      <c r="V588" s="264"/>
      <c r="W588" s="265"/>
      <c r="X588" s="223"/>
      <c r="Y588" s="223"/>
    </row>
    <row r="589" spans="19:25">
      <c r="S589" s="223"/>
      <c r="T589" s="223"/>
      <c r="V589" s="264"/>
      <c r="W589" s="265"/>
      <c r="X589" s="223"/>
      <c r="Y589" s="223"/>
    </row>
    <row r="590" spans="19:25">
      <c r="S590" s="223"/>
      <c r="T590" s="223"/>
      <c r="V590" s="264"/>
      <c r="W590" s="265"/>
      <c r="X590" s="223"/>
      <c r="Y590" s="223"/>
    </row>
    <row r="591" spans="19:25">
      <c r="S591" s="223"/>
      <c r="T591" s="223"/>
      <c r="V591" s="264"/>
      <c r="W591" s="265"/>
      <c r="X591" s="223"/>
      <c r="Y591" s="223"/>
    </row>
    <row r="592" spans="19:25">
      <c r="S592" s="223"/>
      <c r="T592" s="223"/>
      <c r="V592" s="264"/>
      <c r="W592" s="265"/>
      <c r="X592" s="223"/>
      <c r="Y592" s="223"/>
    </row>
    <row r="593" spans="19:25">
      <c r="S593" s="223"/>
      <c r="T593" s="223"/>
      <c r="V593" s="264"/>
      <c r="W593" s="265"/>
      <c r="X593" s="223"/>
      <c r="Y593" s="223"/>
    </row>
    <row r="594" spans="19:25">
      <c r="S594" s="223"/>
      <c r="T594" s="223"/>
      <c r="V594" s="264"/>
      <c r="W594" s="265"/>
      <c r="X594" s="223"/>
      <c r="Y594" s="223"/>
    </row>
    <row r="595" spans="19:25">
      <c r="S595" s="223"/>
      <c r="T595" s="223"/>
      <c r="V595" s="264"/>
      <c r="W595" s="265"/>
      <c r="X595" s="223"/>
      <c r="Y595" s="223"/>
    </row>
    <row r="596" spans="19:25">
      <c r="S596" s="223"/>
      <c r="T596" s="223"/>
      <c r="V596" s="264"/>
      <c r="W596" s="265"/>
      <c r="X596" s="223"/>
      <c r="Y596" s="223"/>
    </row>
    <row r="597" spans="19:25">
      <c r="S597" s="223"/>
      <c r="T597" s="223"/>
      <c r="V597" s="264"/>
      <c r="W597" s="265"/>
      <c r="X597" s="223"/>
      <c r="Y597" s="223"/>
    </row>
    <row r="598" spans="19:25">
      <c r="S598" s="223"/>
      <c r="T598" s="223"/>
      <c r="V598" s="264"/>
      <c r="W598" s="265"/>
      <c r="X598" s="223"/>
      <c r="Y598" s="223"/>
    </row>
    <row r="599" spans="19:25">
      <c r="S599" s="223"/>
      <c r="T599" s="223"/>
      <c r="V599" s="264"/>
      <c r="W599" s="265"/>
      <c r="X599" s="223"/>
      <c r="Y599" s="223"/>
    </row>
    <row r="600" spans="19:25">
      <c r="S600" s="223"/>
      <c r="T600" s="223"/>
      <c r="V600" s="264"/>
      <c r="W600" s="265"/>
      <c r="X600" s="223"/>
      <c r="Y600" s="223"/>
    </row>
    <row r="601" spans="19:25">
      <c r="S601" s="223"/>
      <c r="T601" s="223"/>
      <c r="V601" s="264"/>
      <c r="W601" s="265"/>
      <c r="X601" s="223"/>
      <c r="Y601" s="223"/>
    </row>
    <row r="602" spans="19:25">
      <c r="S602" s="223"/>
      <c r="T602" s="223"/>
      <c r="V602" s="264"/>
      <c r="W602" s="265"/>
      <c r="X602" s="223"/>
      <c r="Y602" s="223"/>
    </row>
    <row r="603" spans="19:25">
      <c r="S603" s="223"/>
      <c r="T603" s="223"/>
      <c r="V603" s="264"/>
      <c r="W603" s="265"/>
      <c r="X603" s="223"/>
      <c r="Y603" s="223"/>
    </row>
    <row r="604" spans="19:25">
      <c r="S604" s="223"/>
      <c r="T604" s="223"/>
      <c r="V604" s="264"/>
      <c r="W604" s="265"/>
      <c r="X604" s="223"/>
      <c r="Y604" s="223"/>
    </row>
    <row r="605" spans="19:25">
      <c r="S605" s="223"/>
      <c r="T605" s="223"/>
      <c r="V605" s="264"/>
      <c r="W605" s="265"/>
      <c r="X605" s="223"/>
      <c r="Y605" s="223"/>
    </row>
    <row r="606" spans="19:25">
      <c r="S606" s="223"/>
      <c r="T606" s="223"/>
      <c r="V606" s="264"/>
      <c r="W606" s="265"/>
      <c r="X606" s="223"/>
      <c r="Y606" s="223"/>
    </row>
    <row r="607" spans="19:25">
      <c r="S607" s="223"/>
      <c r="T607" s="223"/>
      <c r="V607" s="264"/>
      <c r="W607" s="265"/>
      <c r="X607" s="223"/>
      <c r="Y607" s="223"/>
    </row>
    <row r="608" spans="19:25">
      <c r="S608" s="223"/>
      <c r="T608" s="223"/>
      <c r="V608" s="264"/>
      <c r="W608" s="265"/>
      <c r="X608" s="223"/>
      <c r="Y608" s="223"/>
    </row>
    <row r="609" spans="19:25">
      <c r="S609" s="223"/>
      <c r="T609" s="223"/>
      <c r="V609" s="264"/>
      <c r="W609" s="265"/>
      <c r="X609" s="223"/>
      <c r="Y609" s="223"/>
    </row>
    <row r="610" spans="19:25">
      <c r="S610" s="223"/>
      <c r="T610" s="223"/>
      <c r="V610" s="264"/>
      <c r="W610" s="265"/>
      <c r="X610" s="223"/>
      <c r="Y610" s="223"/>
    </row>
    <row r="611" spans="19:25">
      <c r="S611" s="223"/>
      <c r="T611" s="223"/>
      <c r="V611" s="264"/>
      <c r="W611" s="265"/>
      <c r="X611" s="223"/>
      <c r="Y611" s="223"/>
    </row>
    <row r="612" spans="19:25">
      <c r="S612" s="223"/>
      <c r="T612" s="223"/>
      <c r="V612" s="264"/>
      <c r="W612" s="265"/>
      <c r="X612" s="223"/>
      <c r="Y612" s="223"/>
    </row>
    <row r="613" spans="19:25">
      <c r="S613" s="223"/>
      <c r="T613" s="223"/>
      <c r="V613" s="264"/>
      <c r="W613" s="265"/>
      <c r="X613" s="223"/>
      <c r="Y613" s="223"/>
    </row>
    <row r="614" spans="19:25">
      <c r="S614" s="223"/>
      <c r="T614" s="223"/>
      <c r="V614" s="264"/>
      <c r="W614" s="265"/>
      <c r="X614" s="223"/>
      <c r="Y614" s="223"/>
    </row>
    <row r="615" spans="19:25">
      <c r="S615" s="223"/>
      <c r="T615" s="223"/>
      <c r="V615" s="264"/>
      <c r="W615" s="265"/>
      <c r="X615" s="223"/>
      <c r="Y615" s="223"/>
    </row>
    <row r="616" spans="19:25">
      <c r="S616" s="223"/>
      <c r="T616" s="223"/>
      <c r="V616" s="264"/>
      <c r="W616" s="265"/>
      <c r="X616" s="223"/>
      <c r="Y616" s="223"/>
    </row>
    <row r="617" spans="19:25">
      <c r="S617" s="223"/>
      <c r="T617" s="223"/>
      <c r="V617" s="264"/>
      <c r="W617" s="265"/>
      <c r="X617" s="223"/>
      <c r="Y617" s="223"/>
    </row>
    <row r="618" spans="19:25">
      <c r="S618" s="223"/>
      <c r="T618" s="223"/>
      <c r="V618" s="264"/>
      <c r="W618" s="265"/>
      <c r="X618" s="223"/>
      <c r="Y618" s="223"/>
    </row>
    <row r="619" spans="19:25">
      <c r="S619" s="223"/>
      <c r="T619" s="223"/>
      <c r="V619" s="264"/>
      <c r="W619" s="265"/>
      <c r="X619" s="223"/>
      <c r="Y619" s="223"/>
    </row>
    <row r="620" spans="19:25">
      <c r="S620" s="223"/>
      <c r="T620" s="223"/>
      <c r="V620" s="264"/>
      <c r="W620" s="265"/>
      <c r="X620" s="223"/>
      <c r="Y620" s="223"/>
    </row>
    <row r="621" spans="19:25">
      <c r="S621" s="223"/>
      <c r="T621" s="223"/>
      <c r="V621" s="264"/>
      <c r="W621" s="265"/>
      <c r="X621" s="223"/>
      <c r="Y621" s="223"/>
    </row>
    <row r="622" spans="19:25">
      <c r="S622" s="223"/>
      <c r="T622" s="223"/>
      <c r="V622" s="264"/>
      <c r="W622" s="265"/>
      <c r="X622" s="223"/>
      <c r="Y622" s="223"/>
    </row>
    <row r="623" spans="19:25">
      <c r="S623" s="223"/>
      <c r="T623" s="223"/>
      <c r="V623" s="264"/>
      <c r="W623" s="265"/>
      <c r="X623" s="223"/>
      <c r="Y623" s="223"/>
    </row>
    <row r="624" spans="19:25">
      <c r="S624" s="223"/>
      <c r="T624" s="223"/>
      <c r="V624" s="264"/>
      <c r="W624" s="265"/>
      <c r="X624" s="223"/>
      <c r="Y624" s="223"/>
    </row>
    <row r="625" spans="19:25">
      <c r="S625" s="223"/>
      <c r="T625" s="223"/>
      <c r="V625" s="264"/>
      <c r="W625" s="265"/>
      <c r="X625" s="223"/>
      <c r="Y625" s="223"/>
    </row>
    <row r="626" spans="19:25">
      <c r="S626" s="223"/>
      <c r="T626" s="223"/>
      <c r="V626" s="264"/>
      <c r="W626" s="265"/>
      <c r="X626" s="223"/>
      <c r="Y626" s="223"/>
    </row>
    <row r="627" spans="19:25">
      <c r="S627" s="223"/>
      <c r="T627" s="223"/>
      <c r="V627" s="264"/>
      <c r="W627" s="265"/>
      <c r="X627" s="223"/>
      <c r="Y627" s="223"/>
    </row>
    <row r="628" spans="19:25">
      <c r="S628" s="223"/>
      <c r="T628" s="223"/>
      <c r="V628" s="264"/>
      <c r="W628" s="265"/>
      <c r="X628" s="223"/>
      <c r="Y628" s="223"/>
    </row>
    <row r="629" spans="19:25">
      <c r="S629" s="223"/>
      <c r="T629" s="223"/>
      <c r="V629" s="264"/>
      <c r="W629" s="265"/>
      <c r="X629" s="223"/>
      <c r="Y629" s="223"/>
    </row>
    <row r="630" spans="19:25">
      <c r="S630" s="223"/>
      <c r="T630" s="223"/>
      <c r="V630" s="264"/>
      <c r="W630" s="265"/>
      <c r="X630" s="223"/>
      <c r="Y630" s="223"/>
    </row>
    <row r="631" spans="19:25">
      <c r="S631" s="223"/>
      <c r="T631" s="223"/>
      <c r="V631" s="264"/>
      <c r="W631" s="265"/>
      <c r="X631" s="223"/>
      <c r="Y631" s="223"/>
    </row>
    <row r="632" spans="19:25">
      <c r="S632" s="223"/>
      <c r="T632" s="223"/>
      <c r="V632" s="264"/>
      <c r="W632" s="265"/>
      <c r="X632" s="223"/>
      <c r="Y632" s="223"/>
    </row>
    <row r="633" spans="19:25">
      <c r="S633" s="223"/>
      <c r="T633" s="223"/>
      <c r="V633" s="264"/>
      <c r="W633" s="265"/>
      <c r="X633" s="223"/>
      <c r="Y633" s="223"/>
    </row>
    <row r="634" spans="19:25">
      <c r="S634" s="223"/>
      <c r="T634" s="223"/>
      <c r="V634" s="264"/>
      <c r="W634" s="265"/>
      <c r="X634" s="223"/>
      <c r="Y634" s="223"/>
    </row>
    <row r="635" spans="19:25">
      <c r="S635" s="223"/>
      <c r="T635" s="223"/>
      <c r="V635" s="264"/>
      <c r="W635" s="265"/>
      <c r="X635" s="223"/>
      <c r="Y635" s="223"/>
    </row>
    <row r="636" spans="19:25">
      <c r="S636" s="223"/>
      <c r="T636" s="223"/>
      <c r="V636" s="264"/>
      <c r="W636" s="265"/>
      <c r="X636" s="223"/>
      <c r="Y636" s="223"/>
    </row>
    <row r="637" spans="19:25">
      <c r="S637" s="223"/>
      <c r="T637" s="223"/>
      <c r="V637" s="264"/>
      <c r="W637" s="265"/>
      <c r="X637" s="223"/>
      <c r="Y637" s="223"/>
    </row>
    <row r="638" spans="19:25">
      <c r="S638" s="223"/>
      <c r="T638" s="223"/>
      <c r="V638" s="264"/>
      <c r="W638" s="265"/>
      <c r="X638" s="223"/>
      <c r="Y638" s="223"/>
    </row>
    <row r="639" spans="19:25">
      <c r="S639" s="223"/>
      <c r="T639" s="223"/>
      <c r="V639" s="264"/>
      <c r="W639" s="265"/>
      <c r="X639" s="223"/>
      <c r="Y639" s="223"/>
    </row>
    <row r="640" spans="19:25">
      <c r="S640" s="223"/>
      <c r="T640" s="223"/>
      <c r="V640" s="264"/>
      <c r="W640" s="265"/>
      <c r="X640" s="223"/>
      <c r="Y640" s="223"/>
    </row>
    <row r="641" spans="19:25">
      <c r="S641" s="223"/>
      <c r="T641" s="223"/>
      <c r="V641" s="264"/>
      <c r="W641" s="265"/>
      <c r="X641" s="223"/>
      <c r="Y641" s="223"/>
    </row>
    <row r="642" spans="19:25">
      <c r="S642" s="223"/>
      <c r="T642" s="223"/>
      <c r="V642" s="264"/>
      <c r="W642" s="265"/>
      <c r="X642" s="223"/>
      <c r="Y642" s="223"/>
    </row>
    <row r="643" spans="19:25">
      <c r="S643" s="223"/>
      <c r="T643" s="223"/>
      <c r="V643" s="264"/>
      <c r="W643" s="265"/>
      <c r="X643" s="223"/>
      <c r="Y643" s="223"/>
    </row>
    <row r="644" spans="19:25">
      <c r="S644" s="223"/>
      <c r="T644" s="223"/>
      <c r="V644" s="264"/>
      <c r="W644" s="265"/>
      <c r="X644" s="223"/>
      <c r="Y644" s="223"/>
    </row>
    <row r="645" spans="19:25">
      <c r="S645" s="223"/>
      <c r="T645" s="223"/>
      <c r="V645" s="264"/>
      <c r="W645" s="265"/>
      <c r="X645" s="223"/>
      <c r="Y645" s="223"/>
    </row>
    <row r="646" spans="19:25">
      <c r="S646" s="223"/>
      <c r="T646" s="223"/>
      <c r="V646" s="264"/>
      <c r="W646" s="265"/>
      <c r="X646" s="223"/>
      <c r="Y646" s="223"/>
    </row>
    <row r="647" spans="19:25">
      <c r="S647" s="223"/>
      <c r="T647" s="223"/>
      <c r="V647" s="264"/>
      <c r="W647" s="265"/>
      <c r="X647" s="223"/>
      <c r="Y647" s="223"/>
    </row>
    <row r="648" spans="19:25">
      <c r="S648" s="223"/>
      <c r="T648" s="223"/>
      <c r="V648" s="264"/>
      <c r="W648" s="265"/>
      <c r="X648" s="223"/>
      <c r="Y648" s="223"/>
    </row>
    <row r="649" spans="19:25">
      <c r="S649" s="223"/>
      <c r="T649" s="223"/>
      <c r="V649" s="264"/>
      <c r="W649" s="265"/>
      <c r="X649" s="223"/>
      <c r="Y649" s="223"/>
    </row>
    <row r="650" spans="19:25">
      <c r="S650" s="223"/>
      <c r="T650" s="223"/>
      <c r="V650" s="264"/>
      <c r="W650" s="265"/>
      <c r="X650" s="223"/>
      <c r="Y650" s="223"/>
    </row>
    <row r="651" spans="19:25">
      <c r="S651" s="223"/>
      <c r="T651" s="223"/>
      <c r="V651" s="264"/>
      <c r="W651" s="265"/>
      <c r="X651" s="223"/>
      <c r="Y651" s="223"/>
    </row>
    <row r="652" spans="19:25">
      <c r="S652" s="223"/>
      <c r="T652" s="223"/>
      <c r="V652" s="264"/>
      <c r="W652" s="265"/>
      <c r="X652" s="223"/>
      <c r="Y652" s="223"/>
    </row>
    <row r="653" spans="19:25">
      <c r="S653" s="223"/>
      <c r="T653" s="223"/>
      <c r="V653" s="264"/>
      <c r="W653" s="265"/>
      <c r="X653" s="223"/>
      <c r="Y653" s="223"/>
    </row>
    <row r="654" spans="19:25">
      <c r="S654" s="223"/>
      <c r="T654" s="223"/>
      <c r="V654" s="264"/>
      <c r="W654" s="265"/>
      <c r="X654" s="223"/>
      <c r="Y654" s="223"/>
    </row>
    <row r="655" spans="19:25">
      <c r="S655" s="223"/>
      <c r="T655" s="223"/>
      <c r="V655" s="264"/>
      <c r="W655" s="265"/>
      <c r="X655" s="223"/>
      <c r="Y655" s="223"/>
    </row>
    <row r="656" spans="19:25">
      <c r="S656" s="223"/>
      <c r="T656" s="223"/>
      <c r="V656" s="264"/>
      <c r="W656" s="265"/>
      <c r="X656" s="223"/>
      <c r="Y656" s="223"/>
    </row>
    <row r="657" spans="19:25">
      <c r="S657" s="223"/>
      <c r="T657" s="223"/>
      <c r="V657" s="264"/>
      <c r="W657" s="265"/>
      <c r="X657" s="223"/>
      <c r="Y657" s="223"/>
    </row>
    <row r="658" spans="19:25">
      <c r="S658" s="223"/>
      <c r="T658" s="223"/>
      <c r="V658" s="264"/>
      <c r="W658" s="265"/>
      <c r="X658" s="223"/>
      <c r="Y658" s="223"/>
    </row>
    <row r="659" spans="19:25">
      <c r="S659" s="223"/>
      <c r="T659" s="223"/>
      <c r="V659" s="264"/>
      <c r="W659" s="265"/>
      <c r="X659" s="223"/>
      <c r="Y659" s="223"/>
    </row>
    <row r="660" spans="19:25">
      <c r="S660" s="223"/>
      <c r="T660" s="223"/>
      <c r="V660" s="264"/>
      <c r="W660" s="265"/>
      <c r="X660" s="223"/>
      <c r="Y660" s="223"/>
    </row>
    <row r="661" spans="19:25">
      <c r="S661" s="223"/>
      <c r="T661" s="223"/>
      <c r="V661" s="264"/>
      <c r="W661" s="265"/>
      <c r="X661" s="223"/>
      <c r="Y661" s="223"/>
    </row>
    <row r="662" spans="19:25">
      <c r="S662" s="223"/>
      <c r="T662" s="223"/>
      <c r="V662" s="264"/>
      <c r="W662" s="265"/>
      <c r="X662" s="223"/>
      <c r="Y662" s="223"/>
    </row>
    <row r="663" spans="19:25">
      <c r="S663" s="223"/>
      <c r="T663" s="223"/>
      <c r="V663" s="264"/>
      <c r="W663" s="265"/>
      <c r="X663" s="223"/>
      <c r="Y663" s="223"/>
    </row>
    <row r="664" spans="19:25">
      <c r="S664" s="223"/>
      <c r="T664" s="223"/>
      <c r="V664" s="264"/>
      <c r="W664" s="265"/>
      <c r="X664" s="223"/>
      <c r="Y664" s="223"/>
    </row>
    <row r="665" spans="19:25">
      <c r="S665" s="223"/>
      <c r="T665" s="223"/>
      <c r="V665" s="264"/>
      <c r="W665" s="265"/>
      <c r="X665" s="223"/>
      <c r="Y665" s="223"/>
    </row>
    <row r="666" spans="19:25">
      <c r="S666" s="223"/>
      <c r="T666" s="223"/>
      <c r="V666" s="264"/>
      <c r="W666" s="265"/>
      <c r="X666" s="223"/>
      <c r="Y666" s="223"/>
    </row>
    <row r="667" spans="19:25">
      <c r="S667" s="223"/>
      <c r="T667" s="223"/>
      <c r="V667" s="264"/>
      <c r="W667" s="265"/>
      <c r="X667" s="223"/>
      <c r="Y667" s="223"/>
    </row>
    <row r="668" spans="19:25">
      <c r="S668" s="223"/>
      <c r="T668" s="223"/>
      <c r="V668" s="264"/>
      <c r="W668" s="265"/>
      <c r="X668" s="223"/>
      <c r="Y668" s="223"/>
    </row>
    <row r="669" spans="19:25">
      <c r="S669" s="223"/>
      <c r="T669" s="223"/>
      <c r="V669" s="264"/>
      <c r="W669" s="265"/>
      <c r="X669" s="223"/>
      <c r="Y669" s="223"/>
    </row>
    <row r="670" spans="19:25">
      <c r="S670" s="223"/>
      <c r="T670" s="223"/>
      <c r="V670" s="264"/>
      <c r="W670" s="265"/>
      <c r="X670" s="223"/>
      <c r="Y670" s="223"/>
    </row>
    <row r="671" spans="19:25">
      <c r="S671" s="223"/>
      <c r="T671" s="223"/>
      <c r="V671" s="264"/>
      <c r="W671" s="265"/>
      <c r="X671" s="223"/>
      <c r="Y671" s="223"/>
    </row>
    <row r="672" spans="19:25">
      <c r="S672" s="223"/>
      <c r="T672" s="223"/>
      <c r="V672" s="264"/>
      <c r="W672" s="265"/>
      <c r="X672" s="223"/>
      <c r="Y672" s="223"/>
    </row>
    <row r="673" spans="19:25">
      <c r="S673" s="223"/>
      <c r="T673" s="223"/>
      <c r="V673" s="264"/>
      <c r="W673" s="265"/>
      <c r="X673" s="223"/>
      <c r="Y673" s="223"/>
    </row>
    <row r="674" spans="19:25">
      <c r="S674" s="223"/>
      <c r="T674" s="223"/>
      <c r="V674" s="264"/>
      <c r="W674" s="265"/>
      <c r="X674" s="223"/>
      <c r="Y674" s="223"/>
    </row>
    <row r="675" spans="19:25">
      <c r="S675" s="223"/>
      <c r="T675" s="223"/>
      <c r="V675" s="264"/>
      <c r="W675" s="265"/>
      <c r="X675" s="223"/>
      <c r="Y675" s="223"/>
    </row>
    <row r="676" spans="19:25">
      <c r="S676" s="223"/>
      <c r="T676" s="223"/>
      <c r="V676" s="264"/>
      <c r="W676" s="265"/>
      <c r="X676" s="223"/>
      <c r="Y676" s="223"/>
    </row>
    <row r="677" spans="19:25">
      <c r="S677" s="223"/>
      <c r="T677" s="223"/>
      <c r="V677" s="264"/>
      <c r="W677" s="265"/>
      <c r="X677" s="223"/>
      <c r="Y677" s="223"/>
    </row>
    <row r="678" spans="19:25">
      <c r="S678" s="223"/>
      <c r="T678" s="223"/>
      <c r="V678" s="264"/>
      <c r="W678" s="265"/>
      <c r="X678" s="223"/>
      <c r="Y678" s="223"/>
    </row>
    <row r="679" spans="19:25">
      <c r="S679" s="223"/>
      <c r="T679" s="223"/>
      <c r="V679" s="264"/>
      <c r="W679" s="265"/>
      <c r="X679" s="223"/>
      <c r="Y679" s="223"/>
    </row>
    <row r="680" spans="19:25">
      <c r="S680" s="223"/>
      <c r="T680" s="223"/>
      <c r="V680" s="264"/>
      <c r="W680" s="265"/>
      <c r="X680" s="223"/>
      <c r="Y680" s="223"/>
    </row>
    <row r="681" spans="19:25">
      <c r="S681" s="223"/>
      <c r="T681" s="223"/>
      <c r="V681" s="264"/>
      <c r="W681" s="265"/>
      <c r="X681" s="223"/>
      <c r="Y681" s="223"/>
    </row>
    <row r="682" spans="19:25">
      <c r="S682" s="223"/>
      <c r="T682" s="223"/>
      <c r="V682" s="264"/>
      <c r="W682" s="265"/>
      <c r="X682" s="223"/>
      <c r="Y682" s="223"/>
    </row>
    <row r="683" spans="19:25">
      <c r="S683" s="223"/>
      <c r="T683" s="223"/>
      <c r="V683" s="264"/>
      <c r="W683" s="265"/>
      <c r="X683" s="223"/>
      <c r="Y683" s="223"/>
    </row>
    <row r="684" spans="19:25">
      <c r="S684" s="223"/>
      <c r="T684" s="223"/>
      <c r="V684" s="264"/>
      <c r="W684" s="265"/>
      <c r="X684" s="223"/>
      <c r="Y684" s="223"/>
    </row>
    <row r="685" spans="19:25">
      <c r="S685" s="223"/>
      <c r="T685" s="223"/>
      <c r="V685" s="264"/>
      <c r="W685" s="265"/>
      <c r="X685" s="223"/>
      <c r="Y685" s="223"/>
    </row>
    <row r="686" spans="19:25">
      <c r="S686" s="223"/>
      <c r="T686" s="223"/>
      <c r="V686" s="264"/>
      <c r="W686" s="265"/>
      <c r="X686" s="223"/>
      <c r="Y686" s="223"/>
    </row>
    <row r="687" spans="19:25">
      <c r="S687" s="223"/>
      <c r="T687" s="223"/>
      <c r="V687" s="264"/>
      <c r="W687" s="265"/>
      <c r="X687" s="223"/>
      <c r="Y687" s="223"/>
    </row>
    <row r="688" spans="19:25">
      <c r="S688" s="223"/>
      <c r="T688" s="223"/>
      <c r="V688" s="264"/>
      <c r="W688" s="265"/>
      <c r="X688" s="223"/>
      <c r="Y688" s="223"/>
    </row>
    <row r="689" spans="19:25">
      <c r="S689" s="223"/>
      <c r="T689" s="223"/>
      <c r="V689" s="264"/>
      <c r="W689" s="265"/>
      <c r="X689" s="223"/>
      <c r="Y689" s="223"/>
    </row>
    <row r="690" spans="19:25">
      <c r="S690" s="223"/>
      <c r="T690" s="223"/>
      <c r="V690" s="264"/>
      <c r="W690" s="265"/>
      <c r="X690" s="223"/>
      <c r="Y690" s="223"/>
    </row>
    <row r="691" spans="19:25">
      <c r="S691" s="223"/>
      <c r="T691" s="223"/>
      <c r="V691" s="264"/>
      <c r="W691" s="265"/>
      <c r="X691" s="223"/>
      <c r="Y691" s="223"/>
    </row>
    <row r="692" spans="19:25">
      <c r="S692" s="223"/>
      <c r="T692" s="223"/>
      <c r="V692" s="264"/>
      <c r="W692" s="265"/>
      <c r="X692" s="223"/>
      <c r="Y692" s="223"/>
    </row>
    <row r="693" spans="19:25">
      <c r="S693" s="223"/>
      <c r="T693" s="223"/>
      <c r="V693" s="264"/>
      <c r="W693" s="265"/>
      <c r="X693" s="223"/>
      <c r="Y693" s="223"/>
    </row>
    <row r="694" spans="19:25">
      <c r="S694" s="223"/>
      <c r="T694" s="223"/>
      <c r="V694" s="264"/>
      <c r="W694" s="265"/>
      <c r="X694" s="223"/>
      <c r="Y694" s="223"/>
    </row>
    <row r="695" spans="19:25">
      <c r="S695" s="223"/>
      <c r="T695" s="223"/>
      <c r="V695" s="264"/>
      <c r="W695" s="265"/>
      <c r="X695" s="223"/>
      <c r="Y695" s="223"/>
    </row>
    <row r="696" spans="19:25">
      <c r="S696" s="223"/>
      <c r="T696" s="223"/>
      <c r="V696" s="264"/>
      <c r="W696" s="265"/>
      <c r="X696" s="223"/>
      <c r="Y696" s="223"/>
    </row>
    <row r="697" spans="19:25">
      <c r="S697" s="223"/>
      <c r="T697" s="223"/>
      <c r="V697" s="264"/>
      <c r="W697" s="265"/>
      <c r="X697" s="223"/>
      <c r="Y697" s="223"/>
    </row>
    <row r="698" spans="19:25">
      <c r="S698" s="223"/>
      <c r="T698" s="223"/>
      <c r="V698" s="264"/>
      <c r="W698" s="265"/>
      <c r="X698" s="223"/>
      <c r="Y698" s="223"/>
    </row>
    <row r="699" spans="19:25">
      <c r="S699" s="223"/>
      <c r="T699" s="223"/>
      <c r="V699" s="264"/>
      <c r="W699" s="265"/>
      <c r="X699" s="223"/>
      <c r="Y699" s="223"/>
    </row>
    <row r="700" spans="19:25">
      <c r="S700" s="223"/>
      <c r="T700" s="223"/>
      <c r="V700" s="264"/>
      <c r="W700" s="265"/>
      <c r="X700" s="223"/>
      <c r="Y700" s="223"/>
    </row>
    <row r="701" spans="19:25">
      <c r="S701" s="223"/>
      <c r="T701" s="223"/>
      <c r="V701" s="264"/>
      <c r="W701" s="265"/>
      <c r="X701" s="223"/>
      <c r="Y701" s="223"/>
    </row>
    <row r="702" spans="19:25">
      <c r="S702" s="223"/>
      <c r="T702" s="223"/>
      <c r="V702" s="264"/>
      <c r="W702" s="265"/>
      <c r="X702" s="223"/>
      <c r="Y702" s="223"/>
    </row>
    <row r="703" spans="19:25">
      <c r="S703" s="223"/>
      <c r="T703" s="223"/>
      <c r="V703" s="264"/>
      <c r="W703" s="265"/>
      <c r="X703" s="223"/>
      <c r="Y703" s="223"/>
    </row>
    <row r="704" spans="19:25">
      <c r="S704" s="223"/>
      <c r="T704" s="223"/>
      <c r="V704" s="264"/>
      <c r="W704" s="265"/>
      <c r="X704" s="223"/>
      <c r="Y704" s="223"/>
    </row>
    <row r="705" spans="19:25">
      <c r="S705" s="223"/>
      <c r="T705" s="223"/>
      <c r="V705" s="264"/>
      <c r="W705" s="265"/>
      <c r="X705" s="223"/>
      <c r="Y705" s="223"/>
    </row>
    <row r="706" spans="19:25">
      <c r="S706" s="223"/>
      <c r="T706" s="223"/>
      <c r="W706" s="265"/>
      <c r="X706" s="223"/>
      <c r="Y706" s="223"/>
    </row>
    <row r="707" spans="19:25">
      <c r="S707" s="223"/>
      <c r="T707" s="223"/>
      <c r="W707" s="265"/>
      <c r="X707" s="223"/>
      <c r="Y707" s="223"/>
    </row>
    <row r="708" spans="19:25">
      <c r="S708" s="223"/>
      <c r="T708" s="223"/>
      <c r="W708" s="265"/>
      <c r="X708" s="223"/>
      <c r="Y708" s="223"/>
    </row>
    <row r="709" spans="19:25">
      <c r="S709" s="223"/>
      <c r="T709" s="223"/>
      <c r="W709" s="265"/>
      <c r="X709" s="223"/>
      <c r="Y709" s="223"/>
    </row>
    <row r="710" spans="19:25">
      <c r="S710" s="223"/>
      <c r="T710" s="223"/>
      <c r="W710" s="265"/>
      <c r="X710" s="223"/>
      <c r="Y710" s="223"/>
    </row>
    <row r="711" spans="19:25">
      <c r="S711" s="223"/>
      <c r="T711" s="223"/>
      <c r="W711" s="265"/>
      <c r="X711" s="223"/>
      <c r="Y711" s="223"/>
    </row>
    <row r="712" spans="19:25">
      <c r="S712" s="223"/>
      <c r="T712" s="223"/>
      <c r="W712" s="265"/>
      <c r="X712" s="223"/>
      <c r="Y712" s="223"/>
    </row>
    <row r="713" spans="19:25">
      <c r="S713" s="223"/>
      <c r="T713" s="223"/>
      <c r="W713" s="265"/>
      <c r="X713" s="223"/>
      <c r="Y713" s="223"/>
    </row>
    <row r="714" spans="19:25">
      <c r="S714" s="223"/>
      <c r="T714" s="223"/>
      <c r="W714" s="265"/>
      <c r="X714" s="223"/>
      <c r="Y714" s="223"/>
    </row>
    <row r="715" spans="19:25">
      <c r="S715" s="223"/>
      <c r="T715" s="223"/>
      <c r="W715" s="265"/>
      <c r="X715" s="223"/>
      <c r="Y715" s="223"/>
    </row>
    <row r="716" spans="19:25">
      <c r="S716" s="223"/>
      <c r="T716" s="223"/>
      <c r="W716" s="265"/>
      <c r="X716" s="223"/>
      <c r="Y716" s="223"/>
    </row>
    <row r="717" spans="19:25">
      <c r="S717" s="223"/>
      <c r="T717" s="223"/>
      <c r="W717" s="265"/>
      <c r="X717" s="223"/>
      <c r="Y717" s="223"/>
    </row>
    <row r="718" spans="19:25">
      <c r="S718" s="223"/>
      <c r="T718" s="223"/>
      <c r="W718" s="265"/>
      <c r="X718" s="223"/>
      <c r="Y718" s="223"/>
    </row>
    <row r="719" spans="19:25">
      <c r="S719" s="223"/>
      <c r="T719" s="223"/>
      <c r="W719" s="265"/>
      <c r="X719" s="223"/>
      <c r="Y719" s="223"/>
    </row>
    <row r="720" spans="19:25">
      <c r="S720" s="223"/>
      <c r="T720" s="223"/>
      <c r="W720" s="265"/>
      <c r="X720" s="223"/>
      <c r="Y720" s="223"/>
    </row>
    <row r="721" spans="19:25">
      <c r="S721" s="223"/>
      <c r="T721" s="223"/>
      <c r="W721" s="265"/>
      <c r="X721" s="223"/>
      <c r="Y721" s="223"/>
    </row>
    <row r="722" spans="19:25">
      <c r="S722" s="223"/>
      <c r="T722" s="223"/>
      <c r="W722" s="265"/>
      <c r="X722" s="223"/>
      <c r="Y722" s="223"/>
    </row>
    <row r="723" spans="19:25">
      <c r="S723" s="223"/>
      <c r="T723" s="223"/>
      <c r="W723" s="265"/>
      <c r="X723" s="223"/>
      <c r="Y723" s="223"/>
    </row>
    <row r="724" spans="19:25">
      <c r="S724" s="223"/>
      <c r="T724" s="223"/>
      <c r="W724" s="265"/>
      <c r="X724" s="223"/>
      <c r="Y724" s="223"/>
    </row>
    <row r="725" spans="19:25">
      <c r="S725" s="223"/>
      <c r="T725" s="223"/>
      <c r="W725" s="265"/>
      <c r="X725" s="223"/>
      <c r="Y725" s="223"/>
    </row>
    <row r="726" spans="19:25">
      <c r="S726" s="223"/>
      <c r="T726" s="223"/>
      <c r="W726" s="265"/>
      <c r="X726" s="223"/>
      <c r="Y726" s="223"/>
    </row>
    <row r="727" spans="19:25">
      <c r="S727" s="223"/>
      <c r="T727" s="223"/>
      <c r="W727" s="265"/>
      <c r="X727" s="223"/>
      <c r="Y727" s="223"/>
    </row>
    <row r="728" spans="19:25">
      <c r="S728" s="223"/>
      <c r="T728" s="223"/>
      <c r="W728" s="265"/>
      <c r="X728" s="223"/>
      <c r="Y728" s="223"/>
    </row>
    <row r="729" spans="19:25">
      <c r="S729" s="223"/>
      <c r="T729" s="223"/>
      <c r="W729" s="265"/>
      <c r="X729" s="223"/>
      <c r="Y729" s="223"/>
    </row>
    <row r="730" spans="19:25">
      <c r="S730" s="223"/>
      <c r="T730" s="223"/>
      <c r="W730" s="265"/>
      <c r="X730" s="223"/>
      <c r="Y730" s="223"/>
    </row>
    <row r="731" spans="19:25">
      <c r="S731" s="223"/>
      <c r="T731" s="223"/>
      <c r="W731" s="265"/>
      <c r="X731" s="223"/>
      <c r="Y731" s="223"/>
    </row>
    <row r="732" spans="19:25">
      <c r="S732" s="223"/>
      <c r="T732" s="223"/>
      <c r="W732" s="265"/>
      <c r="X732" s="223"/>
      <c r="Y732" s="223"/>
    </row>
    <row r="733" spans="19:25">
      <c r="S733" s="223"/>
      <c r="T733" s="223"/>
      <c r="W733" s="265"/>
      <c r="X733" s="223"/>
      <c r="Y733" s="223"/>
    </row>
    <row r="734" spans="19:25">
      <c r="S734" s="223"/>
      <c r="T734" s="223"/>
      <c r="W734" s="265"/>
      <c r="X734" s="223"/>
      <c r="Y734" s="223"/>
    </row>
    <row r="735" spans="19:25">
      <c r="S735" s="223"/>
      <c r="T735" s="223"/>
      <c r="W735" s="265"/>
      <c r="X735" s="223"/>
      <c r="Y735" s="223"/>
    </row>
    <row r="736" spans="19:25">
      <c r="S736" s="223"/>
      <c r="T736" s="223"/>
      <c r="W736" s="265"/>
      <c r="X736" s="223"/>
      <c r="Y736" s="223"/>
    </row>
    <row r="737" spans="19:25">
      <c r="S737" s="223"/>
      <c r="T737" s="223"/>
      <c r="W737" s="265"/>
      <c r="X737" s="223"/>
      <c r="Y737" s="223"/>
    </row>
    <row r="738" spans="19:25">
      <c r="S738" s="223"/>
      <c r="T738" s="223"/>
      <c r="W738" s="265"/>
      <c r="X738" s="223"/>
      <c r="Y738" s="223"/>
    </row>
    <row r="739" spans="19:25">
      <c r="S739" s="223"/>
      <c r="T739" s="223"/>
      <c r="W739" s="265"/>
      <c r="X739" s="223"/>
      <c r="Y739" s="223"/>
    </row>
    <row r="740" spans="19:25">
      <c r="S740" s="223"/>
      <c r="T740" s="223"/>
      <c r="W740" s="265"/>
      <c r="X740" s="223"/>
      <c r="Y740" s="223"/>
    </row>
    <row r="741" spans="19:25">
      <c r="S741" s="223"/>
      <c r="T741" s="223"/>
      <c r="W741" s="265"/>
      <c r="X741" s="223"/>
      <c r="Y741" s="223"/>
    </row>
    <row r="742" spans="19:25">
      <c r="S742" s="223"/>
      <c r="T742" s="223"/>
      <c r="W742" s="265"/>
      <c r="X742" s="223"/>
      <c r="Y742" s="223"/>
    </row>
    <row r="743" spans="19:25">
      <c r="S743" s="223"/>
      <c r="T743" s="223"/>
      <c r="W743" s="265"/>
      <c r="X743" s="223"/>
      <c r="Y743" s="223"/>
    </row>
    <row r="744" spans="19:25">
      <c r="S744" s="223"/>
      <c r="T744" s="223"/>
      <c r="W744" s="265"/>
      <c r="X744" s="223"/>
      <c r="Y744" s="223"/>
    </row>
    <row r="745" spans="19:25">
      <c r="S745" s="223"/>
      <c r="T745" s="223"/>
      <c r="W745" s="265"/>
      <c r="X745" s="223"/>
      <c r="Y745" s="223"/>
    </row>
    <row r="746" spans="19:25">
      <c r="S746" s="223"/>
      <c r="T746" s="223"/>
      <c r="W746" s="265"/>
      <c r="X746" s="223"/>
      <c r="Y746" s="223"/>
    </row>
    <row r="747" spans="19:25">
      <c r="S747" s="223"/>
      <c r="T747" s="223"/>
      <c r="W747" s="265"/>
      <c r="X747" s="223"/>
      <c r="Y747" s="223"/>
    </row>
    <row r="748" spans="19:25">
      <c r="S748" s="223"/>
      <c r="T748" s="223"/>
      <c r="W748" s="265"/>
      <c r="X748" s="223"/>
      <c r="Y748" s="223"/>
    </row>
    <row r="749" spans="19:25">
      <c r="S749" s="223"/>
      <c r="T749" s="223"/>
      <c r="W749" s="265"/>
      <c r="X749" s="223"/>
      <c r="Y749" s="223"/>
    </row>
    <row r="750" spans="19:25">
      <c r="S750" s="223"/>
      <c r="T750" s="223"/>
      <c r="W750" s="265"/>
      <c r="X750" s="223"/>
      <c r="Y750" s="223"/>
    </row>
    <row r="751" spans="19:25">
      <c r="S751" s="223"/>
      <c r="T751" s="223"/>
      <c r="W751" s="265"/>
      <c r="X751" s="223"/>
      <c r="Y751" s="223"/>
    </row>
    <row r="752" spans="19:25">
      <c r="S752" s="223"/>
      <c r="T752" s="223"/>
      <c r="W752" s="265"/>
      <c r="X752" s="223"/>
      <c r="Y752" s="223"/>
    </row>
    <row r="753" spans="19:25">
      <c r="S753" s="223"/>
      <c r="T753" s="223"/>
      <c r="W753" s="265"/>
      <c r="X753" s="223"/>
      <c r="Y753" s="223"/>
    </row>
    <row r="754" spans="19:25">
      <c r="S754" s="223"/>
      <c r="T754" s="223"/>
      <c r="W754" s="265"/>
      <c r="X754" s="223"/>
      <c r="Y754" s="223"/>
    </row>
    <row r="755" spans="19:25">
      <c r="S755" s="223"/>
      <c r="T755" s="223"/>
      <c r="W755" s="265"/>
      <c r="X755" s="223"/>
      <c r="Y755" s="223"/>
    </row>
    <row r="756" spans="19:25">
      <c r="S756" s="223"/>
      <c r="T756" s="223"/>
      <c r="W756" s="265"/>
      <c r="X756" s="223"/>
      <c r="Y756" s="223"/>
    </row>
    <row r="757" spans="19:25">
      <c r="S757" s="223"/>
      <c r="T757" s="223"/>
      <c r="W757" s="265"/>
      <c r="X757" s="223"/>
      <c r="Y757" s="223"/>
    </row>
    <row r="758" spans="19:25">
      <c r="S758" s="223"/>
      <c r="T758" s="223"/>
      <c r="W758" s="265"/>
      <c r="X758" s="223"/>
      <c r="Y758" s="223"/>
    </row>
    <row r="759" spans="19:25">
      <c r="S759" s="223"/>
      <c r="T759" s="223"/>
      <c r="W759" s="265"/>
      <c r="X759" s="223"/>
      <c r="Y759" s="223"/>
    </row>
    <row r="760" spans="19:25">
      <c r="S760" s="223"/>
      <c r="T760" s="223"/>
      <c r="W760" s="265"/>
      <c r="X760" s="223"/>
      <c r="Y760" s="223"/>
    </row>
    <row r="761" spans="19:25">
      <c r="S761" s="223"/>
      <c r="T761" s="223"/>
      <c r="W761" s="265"/>
      <c r="X761" s="223"/>
      <c r="Y761" s="223"/>
    </row>
    <row r="762" spans="19:25">
      <c r="S762" s="223"/>
      <c r="T762" s="223"/>
      <c r="W762" s="265"/>
      <c r="X762" s="223"/>
      <c r="Y762" s="223"/>
    </row>
    <row r="763" spans="19:25">
      <c r="S763" s="223"/>
      <c r="T763" s="223"/>
      <c r="W763" s="265"/>
      <c r="X763" s="223"/>
      <c r="Y763" s="223"/>
    </row>
    <row r="764" spans="19:25">
      <c r="S764" s="223"/>
      <c r="T764" s="223"/>
      <c r="W764" s="265"/>
      <c r="X764" s="223"/>
      <c r="Y764" s="223"/>
    </row>
    <row r="765" spans="19:25">
      <c r="S765" s="223"/>
      <c r="T765" s="223"/>
      <c r="W765" s="265"/>
      <c r="X765" s="223"/>
      <c r="Y765" s="223"/>
    </row>
    <row r="766" spans="19:25">
      <c r="S766" s="223"/>
      <c r="T766" s="223"/>
      <c r="W766" s="265"/>
      <c r="X766" s="223"/>
      <c r="Y766" s="223"/>
    </row>
    <row r="767" spans="19:25">
      <c r="S767" s="223"/>
      <c r="T767" s="223"/>
      <c r="W767" s="265"/>
      <c r="X767" s="223"/>
      <c r="Y767" s="223"/>
    </row>
    <row r="768" spans="19:25">
      <c r="S768" s="223"/>
      <c r="T768" s="223"/>
      <c r="W768" s="265"/>
      <c r="X768" s="223"/>
      <c r="Y768" s="223"/>
    </row>
    <row r="769" spans="19:25">
      <c r="S769" s="223"/>
      <c r="T769" s="223"/>
      <c r="W769" s="265"/>
      <c r="X769" s="223"/>
      <c r="Y769" s="223"/>
    </row>
    <row r="770" spans="19:25">
      <c r="S770" s="223"/>
      <c r="T770" s="223"/>
      <c r="W770" s="265"/>
      <c r="X770" s="223"/>
      <c r="Y770" s="223"/>
    </row>
    <row r="771" spans="19:25">
      <c r="S771" s="223"/>
      <c r="T771" s="223"/>
      <c r="W771" s="265"/>
      <c r="X771" s="223"/>
      <c r="Y771" s="223"/>
    </row>
    <row r="772" spans="19:25">
      <c r="S772" s="223"/>
      <c r="T772" s="223"/>
      <c r="W772" s="265"/>
      <c r="X772" s="223"/>
      <c r="Y772" s="223"/>
    </row>
    <row r="773" spans="19:25">
      <c r="S773" s="223"/>
      <c r="T773" s="223"/>
      <c r="W773" s="265"/>
      <c r="X773" s="223"/>
      <c r="Y773" s="223"/>
    </row>
    <row r="774" spans="19:25">
      <c r="S774" s="223"/>
      <c r="T774" s="223"/>
      <c r="W774" s="265"/>
      <c r="X774" s="223"/>
      <c r="Y774" s="223"/>
    </row>
    <row r="775" spans="19:25">
      <c r="S775" s="223"/>
      <c r="T775" s="223"/>
      <c r="W775" s="265"/>
      <c r="X775" s="223"/>
      <c r="Y775" s="223"/>
    </row>
    <row r="776" spans="19:25">
      <c r="S776" s="223"/>
      <c r="T776" s="223"/>
      <c r="W776" s="265"/>
      <c r="X776" s="223"/>
      <c r="Y776" s="223"/>
    </row>
    <row r="777" spans="19:25">
      <c r="S777" s="223"/>
      <c r="T777" s="223"/>
      <c r="W777" s="265"/>
      <c r="X777" s="223"/>
      <c r="Y777" s="223"/>
    </row>
    <row r="778" spans="19:25">
      <c r="S778" s="223"/>
      <c r="T778" s="223"/>
      <c r="W778" s="265"/>
      <c r="X778" s="223"/>
      <c r="Y778" s="223"/>
    </row>
    <row r="779" spans="19:25">
      <c r="S779" s="223"/>
      <c r="T779" s="223"/>
      <c r="W779" s="265"/>
      <c r="X779" s="223"/>
      <c r="Y779" s="223"/>
    </row>
    <row r="780" spans="19:25">
      <c r="S780" s="223"/>
      <c r="T780" s="223"/>
      <c r="W780" s="265"/>
      <c r="X780" s="223"/>
      <c r="Y780" s="223"/>
    </row>
    <row r="781" spans="19:25">
      <c r="S781" s="223"/>
      <c r="T781" s="223"/>
      <c r="W781" s="265"/>
      <c r="X781" s="223"/>
      <c r="Y781" s="223"/>
    </row>
    <row r="782" spans="19:25">
      <c r="S782" s="223"/>
      <c r="T782" s="223"/>
      <c r="W782" s="265"/>
      <c r="X782" s="223"/>
      <c r="Y782" s="223"/>
    </row>
    <row r="783" spans="19:25">
      <c r="S783" s="223"/>
      <c r="T783" s="223"/>
      <c r="W783" s="265"/>
      <c r="X783" s="223"/>
      <c r="Y783" s="223"/>
    </row>
    <row r="784" spans="19:25">
      <c r="S784" s="223"/>
      <c r="T784" s="223"/>
      <c r="W784" s="265"/>
      <c r="X784" s="223"/>
      <c r="Y784" s="223"/>
    </row>
    <row r="785" spans="19:25">
      <c r="S785" s="223"/>
      <c r="T785" s="223"/>
      <c r="W785" s="265"/>
      <c r="X785" s="223"/>
      <c r="Y785" s="223"/>
    </row>
    <row r="786" spans="19:25">
      <c r="S786" s="223"/>
      <c r="T786" s="223"/>
      <c r="W786" s="265"/>
      <c r="X786" s="223"/>
      <c r="Y786" s="223"/>
    </row>
    <row r="787" spans="19:25">
      <c r="S787" s="223"/>
      <c r="T787" s="223"/>
      <c r="W787" s="265"/>
      <c r="X787" s="223"/>
      <c r="Y787" s="223"/>
    </row>
    <row r="788" spans="19:25">
      <c r="S788" s="223"/>
      <c r="T788" s="223"/>
      <c r="W788" s="265"/>
      <c r="X788" s="223"/>
      <c r="Y788" s="223"/>
    </row>
    <row r="789" spans="19:25">
      <c r="S789" s="223"/>
      <c r="T789" s="223"/>
      <c r="W789" s="265"/>
      <c r="X789" s="223"/>
      <c r="Y789" s="223"/>
    </row>
    <row r="790" spans="19:25">
      <c r="S790" s="223"/>
      <c r="T790" s="223"/>
      <c r="W790" s="265"/>
      <c r="X790" s="223"/>
      <c r="Y790" s="223"/>
    </row>
    <row r="791" spans="19:25">
      <c r="S791" s="223"/>
      <c r="T791" s="223"/>
      <c r="W791" s="265"/>
      <c r="X791" s="223"/>
      <c r="Y791" s="223"/>
    </row>
    <row r="792" spans="19:25">
      <c r="S792" s="223"/>
      <c r="T792" s="223"/>
      <c r="W792" s="265"/>
      <c r="X792" s="223"/>
      <c r="Y792" s="223"/>
    </row>
    <row r="793" spans="19:25">
      <c r="S793" s="223"/>
      <c r="T793" s="223"/>
      <c r="W793" s="265"/>
      <c r="X793" s="223"/>
      <c r="Y793" s="223"/>
    </row>
    <row r="794" spans="19:25">
      <c r="S794" s="223"/>
      <c r="T794" s="223"/>
      <c r="W794" s="265"/>
      <c r="X794" s="223"/>
      <c r="Y794" s="223"/>
    </row>
    <row r="795" spans="19:25">
      <c r="S795" s="223"/>
      <c r="T795" s="223"/>
      <c r="W795" s="265"/>
      <c r="X795" s="223"/>
      <c r="Y795" s="223"/>
    </row>
    <row r="796" spans="19:25">
      <c r="S796" s="223"/>
      <c r="T796" s="223"/>
      <c r="W796" s="265"/>
      <c r="X796" s="223"/>
      <c r="Y796" s="223"/>
    </row>
    <row r="797" spans="19:25">
      <c r="S797" s="223"/>
      <c r="T797" s="223"/>
      <c r="W797" s="265"/>
      <c r="X797" s="223"/>
      <c r="Y797" s="223"/>
    </row>
    <row r="798" spans="19:25">
      <c r="S798" s="223"/>
      <c r="T798" s="223"/>
      <c r="W798" s="265"/>
      <c r="X798" s="223"/>
      <c r="Y798" s="223"/>
    </row>
    <row r="799" spans="19:25">
      <c r="S799" s="223"/>
      <c r="T799" s="223"/>
      <c r="W799" s="265"/>
      <c r="X799" s="223"/>
      <c r="Y799" s="223"/>
    </row>
    <row r="800" spans="19:25">
      <c r="S800" s="223"/>
      <c r="T800" s="223"/>
      <c r="W800" s="265"/>
      <c r="X800" s="223"/>
      <c r="Y800" s="223"/>
    </row>
    <row r="801" spans="19:25">
      <c r="S801" s="223"/>
      <c r="T801" s="223"/>
      <c r="W801" s="265"/>
      <c r="X801" s="223"/>
      <c r="Y801" s="223"/>
    </row>
    <row r="802" spans="19:25">
      <c r="S802" s="223"/>
      <c r="T802" s="223"/>
      <c r="W802" s="265"/>
      <c r="X802" s="223"/>
      <c r="Y802" s="223"/>
    </row>
    <row r="803" spans="19:25">
      <c r="S803" s="223"/>
      <c r="T803" s="223"/>
      <c r="W803" s="265"/>
      <c r="X803" s="223"/>
      <c r="Y803" s="223"/>
    </row>
    <row r="804" spans="19:25">
      <c r="S804" s="223"/>
      <c r="T804" s="223"/>
      <c r="W804" s="265"/>
      <c r="X804" s="223"/>
      <c r="Y804" s="223"/>
    </row>
    <row r="805" spans="19:25">
      <c r="S805" s="223"/>
      <c r="T805" s="223"/>
      <c r="W805" s="265"/>
      <c r="X805" s="223"/>
      <c r="Y805" s="223"/>
    </row>
    <row r="806" spans="19:25">
      <c r="S806" s="223"/>
      <c r="T806" s="223"/>
      <c r="W806" s="265"/>
      <c r="X806" s="223"/>
      <c r="Y806" s="223"/>
    </row>
    <row r="807" spans="19:25">
      <c r="S807" s="223"/>
      <c r="T807" s="223"/>
      <c r="W807" s="265"/>
      <c r="X807" s="223"/>
      <c r="Y807" s="223"/>
    </row>
    <row r="808" spans="19:25">
      <c r="S808" s="223"/>
      <c r="T808" s="223"/>
      <c r="W808" s="265"/>
      <c r="X808" s="223"/>
      <c r="Y808" s="223"/>
    </row>
    <row r="809" spans="19:25">
      <c r="S809" s="223"/>
      <c r="T809" s="223"/>
      <c r="W809" s="265"/>
      <c r="X809" s="223"/>
      <c r="Y809" s="223"/>
    </row>
    <row r="810" spans="19:25">
      <c r="S810" s="223"/>
      <c r="T810" s="223"/>
      <c r="W810" s="265"/>
      <c r="X810" s="223"/>
      <c r="Y810" s="223"/>
    </row>
    <row r="811" spans="19:25">
      <c r="S811" s="223"/>
      <c r="T811" s="223"/>
      <c r="W811" s="265"/>
      <c r="X811" s="223"/>
      <c r="Y811" s="223"/>
    </row>
    <row r="812" spans="19:25">
      <c r="S812" s="223"/>
      <c r="T812" s="223"/>
      <c r="W812" s="265"/>
      <c r="X812" s="223"/>
      <c r="Y812" s="223"/>
    </row>
    <row r="813" spans="19:25">
      <c r="S813" s="223"/>
      <c r="T813" s="223"/>
      <c r="W813" s="265"/>
      <c r="X813" s="223"/>
      <c r="Y813" s="223"/>
    </row>
    <row r="814" spans="19:25">
      <c r="S814" s="223"/>
      <c r="T814" s="223"/>
      <c r="W814" s="265"/>
      <c r="X814" s="223"/>
      <c r="Y814" s="223"/>
    </row>
    <row r="815" spans="19:25">
      <c r="S815" s="223"/>
      <c r="T815" s="223"/>
      <c r="W815" s="265"/>
      <c r="X815" s="223"/>
      <c r="Y815" s="223"/>
    </row>
    <row r="816" spans="19:25">
      <c r="S816" s="223"/>
      <c r="T816" s="223"/>
      <c r="W816" s="265"/>
      <c r="X816" s="223"/>
      <c r="Y816" s="223"/>
    </row>
    <row r="817" spans="19:25">
      <c r="S817" s="223"/>
      <c r="T817" s="223"/>
      <c r="W817" s="265"/>
      <c r="X817" s="223"/>
      <c r="Y817" s="223"/>
    </row>
    <row r="818" spans="19:25">
      <c r="S818" s="223"/>
      <c r="T818" s="223"/>
      <c r="W818" s="265"/>
      <c r="X818" s="223"/>
      <c r="Y818" s="223"/>
    </row>
    <row r="819" spans="19:25">
      <c r="S819" s="223"/>
      <c r="T819" s="223"/>
      <c r="W819" s="265"/>
      <c r="X819" s="223"/>
      <c r="Y819" s="223"/>
    </row>
    <row r="820" spans="19:25">
      <c r="S820" s="223"/>
      <c r="T820" s="223"/>
      <c r="W820" s="265"/>
      <c r="X820" s="223"/>
      <c r="Y820" s="223"/>
    </row>
    <row r="821" spans="19:25">
      <c r="S821" s="223"/>
      <c r="T821" s="223"/>
      <c r="W821" s="265"/>
      <c r="X821" s="223"/>
      <c r="Y821" s="223"/>
    </row>
    <row r="822" spans="19:25">
      <c r="S822" s="223"/>
      <c r="T822" s="223"/>
      <c r="W822" s="265"/>
      <c r="X822" s="223"/>
      <c r="Y822" s="223"/>
    </row>
    <row r="823" spans="19:25">
      <c r="S823" s="223"/>
      <c r="T823" s="223"/>
      <c r="W823" s="265"/>
      <c r="X823" s="223"/>
      <c r="Y823" s="223"/>
    </row>
    <row r="824" spans="19:25">
      <c r="S824" s="223"/>
      <c r="T824" s="223"/>
      <c r="W824" s="265"/>
      <c r="X824" s="223"/>
      <c r="Y824" s="223"/>
    </row>
    <row r="825" spans="19:25">
      <c r="S825" s="223"/>
      <c r="T825" s="223"/>
      <c r="W825" s="265"/>
      <c r="X825" s="223"/>
      <c r="Y825" s="223"/>
    </row>
    <row r="826" spans="19:25">
      <c r="S826" s="223"/>
      <c r="T826" s="223"/>
      <c r="W826" s="265"/>
      <c r="X826" s="223"/>
      <c r="Y826" s="223"/>
    </row>
    <row r="827" spans="19:25">
      <c r="S827" s="223"/>
      <c r="T827" s="223"/>
      <c r="W827" s="265"/>
      <c r="X827" s="223"/>
      <c r="Y827" s="223"/>
    </row>
    <row r="828" spans="19:25">
      <c r="S828" s="223"/>
      <c r="T828" s="223"/>
      <c r="W828" s="265"/>
      <c r="X828" s="223"/>
      <c r="Y828" s="223"/>
    </row>
    <row r="829" spans="19:25">
      <c r="S829" s="223"/>
      <c r="T829" s="223"/>
      <c r="W829" s="265"/>
      <c r="X829" s="223"/>
      <c r="Y829" s="223"/>
    </row>
    <row r="830" spans="19:25">
      <c r="S830" s="223"/>
      <c r="T830" s="223"/>
      <c r="W830" s="265"/>
      <c r="X830" s="223"/>
      <c r="Y830" s="223"/>
    </row>
    <row r="831" spans="19:25">
      <c r="S831" s="223"/>
      <c r="T831" s="223"/>
      <c r="W831" s="265"/>
      <c r="X831" s="223"/>
      <c r="Y831" s="223"/>
    </row>
    <row r="832" spans="19:25">
      <c r="S832" s="223"/>
      <c r="T832" s="223"/>
      <c r="W832" s="265"/>
      <c r="X832" s="223"/>
      <c r="Y832" s="223"/>
    </row>
    <row r="833" spans="19:25">
      <c r="S833" s="223"/>
      <c r="T833" s="223"/>
      <c r="W833" s="265"/>
      <c r="X833" s="223"/>
      <c r="Y833" s="223"/>
    </row>
    <row r="834" spans="19:25">
      <c r="S834" s="223"/>
      <c r="T834" s="223"/>
      <c r="W834" s="265"/>
      <c r="X834" s="223"/>
      <c r="Y834" s="223"/>
    </row>
    <row r="835" spans="19:25">
      <c r="S835" s="223"/>
      <c r="T835" s="223"/>
      <c r="W835" s="265"/>
      <c r="X835" s="223"/>
      <c r="Y835" s="223"/>
    </row>
    <row r="836" spans="19:25">
      <c r="S836" s="223"/>
      <c r="T836" s="223"/>
      <c r="W836" s="265"/>
      <c r="X836" s="223"/>
      <c r="Y836" s="223"/>
    </row>
    <row r="837" spans="19:25">
      <c r="S837" s="223"/>
      <c r="T837" s="223"/>
      <c r="W837" s="265"/>
      <c r="X837" s="223"/>
      <c r="Y837" s="223"/>
    </row>
    <row r="838" spans="19:25">
      <c r="S838" s="223"/>
      <c r="T838" s="223"/>
      <c r="W838" s="265"/>
      <c r="X838" s="223"/>
      <c r="Y838" s="223"/>
    </row>
    <row r="839" spans="19:25">
      <c r="S839" s="223"/>
      <c r="T839" s="223"/>
      <c r="W839" s="265"/>
      <c r="X839" s="223"/>
      <c r="Y839" s="223"/>
    </row>
    <row r="840" spans="19:25">
      <c r="S840" s="223"/>
      <c r="T840" s="223"/>
      <c r="W840" s="265"/>
      <c r="X840" s="223"/>
      <c r="Y840" s="223"/>
    </row>
    <row r="841" spans="19:25">
      <c r="S841" s="223"/>
      <c r="T841" s="223"/>
      <c r="W841" s="265"/>
      <c r="X841" s="223"/>
      <c r="Y841" s="223"/>
    </row>
    <row r="842" spans="19:25">
      <c r="S842" s="223"/>
      <c r="T842" s="223"/>
      <c r="W842" s="265"/>
      <c r="X842" s="223"/>
      <c r="Y842" s="223"/>
    </row>
    <row r="843" spans="19:25">
      <c r="S843" s="223"/>
      <c r="T843" s="223"/>
      <c r="W843" s="265"/>
      <c r="X843" s="223"/>
      <c r="Y843" s="223"/>
    </row>
    <row r="844" spans="19:25">
      <c r="S844" s="223"/>
      <c r="T844" s="223"/>
      <c r="W844" s="265"/>
      <c r="X844" s="223"/>
      <c r="Y844" s="223"/>
    </row>
    <row r="845" spans="19:25">
      <c r="S845" s="223"/>
      <c r="T845" s="223"/>
      <c r="W845" s="265"/>
      <c r="X845" s="223"/>
      <c r="Y845" s="223"/>
    </row>
    <row r="846" spans="19:25">
      <c r="S846" s="223"/>
      <c r="T846" s="223"/>
      <c r="W846" s="265"/>
      <c r="X846" s="223"/>
      <c r="Y846" s="223"/>
    </row>
    <row r="847" spans="19:25">
      <c r="S847" s="223"/>
      <c r="T847" s="223"/>
      <c r="W847" s="265"/>
      <c r="X847" s="223"/>
      <c r="Y847" s="223"/>
    </row>
    <row r="848" spans="19:25">
      <c r="S848" s="223"/>
      <c r="T848" s="223"/>
      <c r="W848" s="265"/>
      <c r="X848" s="223"/>
      <c r="Y848" s="223"/>
    </row>
    <row r="849" spans="19:25">
      <c r="S849" s="223"/>
      <c r="T849" s="223"/>
      <c r="W849" s="265"/>
      <c r="X849" s="223"/>
      <c r="Y849" s="223"/>
    </row>
    <row r="850" spans="19:25">
      <c r="S850" s="223"/>
      <c r="T850" s="223"/>
      <c r="W850" s="265"/>
      <c r="X850" s="223"/>
      <c r="Y850" s="223"/>
    </row>
    <row r="851" spans="19:25">
      <c r="S851" s="223"/>
      <c r="T851" s="223"/>
      <c r="W851" s="265"/>
      <c r="X851" s="223"/>
      <c r="Y851" s="223"/>
    </row>
    <row r="852" spans="19:25">
      <c r="S852" s="223"/>
      <c r="T852" s="223"/>
      <c r="W852" s="265"/>
      <c r="X852" s="223"/>
      <c r="Y852" s="223"/>
    </row>
    <row r="853" spans="19:25">
      <c r="S853" s="223"/>
      <c r="T853" s="223"/>
      <c r="W853" s="265"/>
      <c r="X853" s="223"/>
      <c r="Y853" s="223"/>
    </row>
    <row r="854" spans="19:25">
      <c r="S854" s="223"/>
      <c r="T854" s="223"/>
      <c r="W854" s="265"/>
      <c r="X854" s="223"/>
      <c r="Y854" s="223"/>
    </row>
    <row r="855" spans="19:25">
      <c r="S855" s="223"/>
      <c r="T855" s="223"/>
      <c r="W855" s="265"/>
      <c r="X855" s="223"/>
      <c r="Y855" s="223"/>
    </row>
    <row r="856" spans="19:25">
      <c r="S856" s="223"/>
      <c r="T856" s="223"/>
      <c r="W856" s="265"/>
      <c r="X856" s="223"/>
      <c r="Y856" s="223"/>
    </row>
    <row r="857" spans="19:25">
      <c r="S857" s="223"/>
      <c r="T857" s="223"/>
      <c r="W857" s="265"/>
      <c r="X857" s="223"/>
      <c r="Y857" s="223"/>
    </row>
    <row r="858" spans="19:25">
      <c r="S858" s="223"/>
      <c r="T858" s="223"/>
      <c r="W858" s="265"/>
      <c r="X858" s="223"/>
      <c r="Y858" s="223"/>
    </row>
    <row r="859" spans="19:25">
      <c r="S859" s="223"/>
      <c r="T859" s="223"/>
      <c r="W859" s="265"/>
      <c r="X859" s="223"/>
      <c r="Y859" s="223"/>
    </row>
    <row r="860" spans="19:25">
      <c r="S860" s="223"/>
      <c r="T860" s="223"/>
      <c r="W860" s="265"/>
      <c r="X860" s="223"/>
      <c r="Y860" s="223"/>
    </row>
    <row r="861" spans="19:25">
      <c r="S861" s="223"/>
      <c r="T861" s="223"/>
      <c r="W861" s="265"/>
      <c r="X861" s="223"/>
      <c r="Y861" s="223"/>
    </row>
    <row r="862" spans="19:25">
      <c r="S862" s="223"/>
      <c r="T862" s="223"/>
      <c r="W862" s="265"/>
      <c r="X862" s="223"/>
      <c r="Y862" s="223"/>
    </row>
    <row r="863" spans="19:25">
      <c r="S863" s="223"/>
      <c r="T863" s="223"/>
      <c r="W863" s="265"/>
      <c r="X863" s="223"/>
      <c r="Y863" s="223"/>
    </row>
    <row r="864" spans="19:25">
      <c r="S864" s="223"/>
      <c r="T864" s="223"/>
      <c r="W864" s="265"/>
      <c r="X864" s="223"/>
      <c r="Y864" s="223"/>
    </row>
    <row r="865" spans="19:25">
      <c r="S865" s="223"/>
      <c r="T865" s="223"/>
      <c r="W865" s="265"/>
      <c r="X865" s="223"/>
      <c r="Y865" s="223"/>
    </row>
    <row r="866" spans="19:25">
      <c r="S866" s="223"/>
      <c r="T866" s="223"/>
      <c r="W866" s="265"/>
      <c r="X866" s="223"/>
      <c r="Y866" s="223"/>
    </row>
    <row r="867" spans="19:25">
      <c r="S867" s="223"/>
      <c r="T867" s="223"/>
      <c r="W867" s="265"/>
      <c r="X867" s="223"/>
      <c r="Y867" s="223"/>
    </row>
    <row r="868" spans="19:25">
      <c r="S868" s="223"/>
      <c r="T868" s="223"/>
      <c r="W868" s="265"/>
      <c r="X868" s="223"/>
      <c r="Y868" s="223"/>
    </row>
    <row r="869" spans="19:25">
      <c r="S869" s="223"/>
      <c r="T869" s="223"/>
      <c r="W869" s="265"/>
      <c r="X869" s="223"/>
      <c r="Y869" s="223"/>
    </row>
    <row r="870" spans="19:25">
      <c r="S870" s="223"/>
      <c r="T870" s="223"/>
      <c r="W870" s="265"/>
      <c r="X870" s="223"/>
      <c r="Y870" s="223"/>
    </row>
    <row r="871" spans="19:25">
      <c r="S871" s="223"/>
      <c r="T871" s="223"/>
      <c r="W871" s="265"/>
      <c r="X871" s="223"/>
      <c r="Y871" s="223"/>
    </row>
    <row r="872" spans="19:25">
      <c r="S872" s="223"/>
      <c r="T872" s="223"/>
      <c r="W872" s="265"/>
      <c r="X872" s="223"/>
      <c r="Y872" s="223"/>
    </row>
    <row r="873" spans="19:25">
      <c r="S873" s="223"/>
      <c r="T873" s="223"/>
      <c r="W873" s="265"/>
      <c r="X873" s="223"/>
      <c r="Y873" s="223"/>
    </row>
    <row r="874" spans="19:25">
      <c r="S874" s="223"/>
      <c r="T874" s="223"/>
      <c r="W874" s="265"/>
      <c r="X874" s="223"/>
      <c r="Y874" s="223"/>
    </row>
    <row r="875" spans="19:25">
      <c r="S875" s="223"/>
      <c r="T875" s="223"/>
      <c r="W875" s="265"/>
      <c r="X875" s="223"/>
      <c r="Y875" s="223"/>
    </row>
    <row r="876" spans="19:25">
      <c r="S876" s="223"/>
      <c r="T876" s="223"/>
      <c r="W876" s="265"/>
      <c r="X876" s="223"/>
      <c r="Y876" s="223"/>
    </row>
    <row r="877" spans="19:25">
      <c r="S877" s="223"/>
      <c r="T877" s="223"/>
      <c r="W877" s="265"/>
      <c r="X877" s="223"/>
      <c r="Y877" s="223"/>
    </row>
    <row r="878" spans="19:25">
      <c r="S878" s="223"/>
      <c r="T878" s="223"/>
      <c r="W878" s="265"/>
      <c r="X878" s="223"/>
      <c r="Y878" s="223"/>
    </row>
    <row r="879" spans="19:25">
      <c r="S879" s="223"/>
      <c r="T879" s="223"/>
      <c r="W879" s="265"/>
      <c r="X879" s="223"/>
      <c r="Y879" s="223"/>
    </row>
    <row r="880" spans="19:25">
      <c r="S880" s="223"/>
      <c r="T880" s="223"/>
      <c r="W880" s="265"/>
      <c r="X880" s="223"/>
      <c r="Y880" s="223"/>
    </row>
    <row r="881" spans="19:25">
      <c r="S881" s="223"/>
      <c r="T881" s="223"/>
      <c r="W881" s="265"/>
      <c r="X881" s="223"/>
      <c r="Y881" s="223"/>
    </row>
    <row r="882" spans="19:25">
      <c r="S882" s="223"/>
      <c r="T882" s="223"/>
      <c r="W882" s="265"/>
      <c r="X882" s="223"/>
      <c r="Y882" s="223"/>
    </row>
    <row r="883" spans="19:25">
      <c r="S883" s="223"/>
      <c r="T883" s="223"/>
      <c r="W883" s="265"/>
      <c r="X883" s="223"/>
      <c r="Y883" s="223"/>
    </row>
    <row r="884" spans="19:25">
      <c r="S884" s="223"/>
      <c r="T884" s="223"/>
      <c r="W884" s="265"/>
      <c r="X884" s="223"/>
      <c r="Y884" s="223"/>
    </row>
    <row r="885" spans="19:25">
      <c r="S885" s="223"/>
      <c r="T885" s="223"/>
      <c r="W885" s="265"/>
      <c r="X885" s="223"/>
      <c r="Y885" s="223"/>
    </row>
    <row r="886" spans="19:25">
      <c r="S886" s="223"/>
      <c r="T886" s="223"/>
      <c r="W886" s="265"/>
      <c r="X886" s="223"/>
      <c r="Y886" s="223"/>
    </row>
    <row r="887" spans="19:25">
      <c r="S887" s="223"/>
      <c r="T887" s="223"/>
      <c r="W887" s="265"/>
      <c r="X887" s="223"/>
      <c r="Y887" s="223"/>
    </row>
    <row r="888" spans="19:25">
      <c r="S888" s="223"/>
      <c r="T888" s="223"/>
      <c r="W888" s="265"/>
      <c r="X888" s="223"/>
      <c r="Y888" s="223"/>
    </row>
    <row r="889" spans="19:25">
      <c r="S889" s="223"/>
      <c r="T889" s="223"/>
      <c r="W889" s="265"/>
      <c r="X889" s="223"/>
      <c r="Y889" s="223"/>
    </row>
    <row r="890" spans="19:25">
      <c r="S890" s="223"/>
      <c r="T890" s="223"/>
      <c r="W890" s="265"/>
      <c r="X890" s="223"/>
      <c r="Y890" s="223"/>
    </row>
    <row r="891" spans="19:25">
      <c r="S891" s="223"/>
      <c r="T891" s="223"/>
      <c r="W891" s="265"/>
      <c r="X891" s="223"/>
      <c r="Y891" s="223"/>
    </row>
    <row r="892" spans="19:25">
      <c r="S892" s="223"/>
      <c r="T892" s="223"/>
      <c r="W892" s="265"/>
      <c r="X892" s="223"/>
      <c r="Y892" s="223"/>
    </row>
    <row r="893" spans="19:25">
      <c r="S893" s="223"/>
      <c r="T893" s="223"/>
      <c r="W893" s="265"/>
      <c r="X893" s="223"/>
      <c r="Y893" s="223"/>
    </row>
    <row r="894" spans="19:25">
      <c r="S894" s="223"/>
      <c r="T894" s="223"/>
      <c r="W894" s="265"/>
      <c r="X894" s="223"/>
      <c r="Y894" s="223"/>
    </row>
    <row r="895" spans="19:25">
      <c r="S895" s="223"/>
      <c r="T895" s="223"/>
      <c r="W895" s="265"/>
      <c r="X895" s="223"/>
      <c r="Y895" s="223"/>
    </row>
    <row r="896" spans="19:25">
      <c r="S896" s="223"/>
      <c r="T896" s="223"/>
      <c r="W896" s="265"/>
      <c r="X896" s="223"/>
      <c r="Y896" s="223"/>
    </row>
    <row r="897" spans="19:25">
      <c r="S897" s="223"/>
      <c r="T897" s="223"/>
      <c r="W897" s="265"/>
      <c r="X897" s="223"/>
      <c r="Y897" s="223"/>
    </row>
    <row r="898" spans="19:25">
      <c r="S898" s="223"/>
      <c r="T898" s="223"/>
      <c r="W898" s="265"/>
      <c r="X898" s="223"/>
      <c r="Y898" s="223"/>
    </row>
    <row r="899" spans="19:25">
      <c r="S899" s="223"/>
      <c r="T899" s="223"/>
      <c r="W899" s="265"/>
      <c r="X899" s="223"/>
      <c r="Y899" s="223"/>
    </row>
    <row r="900" spans="19:25">
      <c r="S900" s="223"/>
      <c r="T900" s="223"/>
      <c r="W900" s="265"/>
      <c r="X900" s="223"/>
      <c r="Y900" s="223"/>
    </row>
    <row r="901" spans="19:25">
      <c r="S901" s="223"/>
      <c r="T901" s="223"/>
      <c r="W901" s="265"/>
      <c r="X901" s="223"/>
      <c r="Y901" s="223"/>
    </row>
    <row r="902" spans="19:25">
      <c r="S902" s="223"/>
      <c r="T902" s="223"/>
      <c r="W902" s="265"/>
      <c r="X902" s="223"/>
      <c r="Y902" s="223"/>
    </row>
    <row r="903" spans="19:25">
      <c r="S903" s="223"/>
      <c r="T903" s="223"/>
      <c r="W903" s="265"/>
      <c r="X903" s="223"/>
      <c r="Y903" s="223"/>
    </row>
    <row r="904" spans="19:25">
      <c r="S904" s="223"/>
      <c r="T904" s="223"/>
      <c r="W904" s="265"/>
      <c r="X904" s="223"/>
      <c r="Y904" s="223"/>
    </row>
    <row r="905" spans="19:25">
      <c r="S905" s="223"/>
      <c r="T905" s="223"/>
      <c r="W905" s="265"/>
      <c r="X905" s="223"/>
      <c r="Y905" s="223"/>
    </row>
    <row r="906" spans="19:25">
      <c r="S906" s="223"/>
      <c r="T906" s="223"/>
      <c r="W906" s="265"/>
      <c r="X906" s="223"/>
      <c r="Y906" s="223"/>
    </row>
    <row r="907" spans="19:25">
      <c r="S907" s="223"/>
      <c r="T907" s="223"/>
      <c r="W907" s="265"/>
      <c r="X907" s="223"/>
      <c r="Y907" s="223"/>
    </row>
    <row r="908" spans="19:25">
      <c r="S908" s="223"/>
      <c r="T908" s="223"/>
      <c r="W908" s="265"/>
      <c r="X908" s="223"/>
      <c r="Y908" s="223"/>
    </row>
    <row r="909" spans="19:25">
      <c r="S909" s="223"/>
      <c r="T909" s="223"/>
      <c r="W909" s="265"/>
      <c r="X909" s="223"/>
      <c r="Y909" s="223"/>
    </row>
    <row r="910" spans="19:25">
      <c r="S910" s="223"/>
      <c r="T910" s="223"/>
      <c r="W910" s="265"/>
      <c r="X910" s="223"/>
      <c r="Y910" s="223"/>
    </row>
    <row r="911" spans="19:25">
      <c r="S911" s="223"/>
      <c r="T911" s="223"/>
      <c r="W911" s="265"/>
      <c r="X911" s="223"/>
      <c r="Y911" s="223"/>
    </row>
    <row r="912" spans="19:25">
      <c r="S912" s="223"/>
      <c r="T912" s="223"/>
      <c r="W912" s="265"/>
      <c r="X912" s="223"/>
      <c r="Y912" s="223"/>
    </row>
    <row r="913" spans="19:25">
      <c r="S913" s="223"/>
      <c r="T913" s="223"/>
      <c r="W913" s="265"/>
      <c r="X913" s="223"/>
      <c r="Y913" s="223"/>
    </row>
    <row r="914" spans="19:25">
      <c r="S914" s="223"/>
      <c r="T914" s="223"/>
      <c r="W914" s="265"/>
      <c r="X914" s="223"/>
      <c r="Y914" s="223"/>
    </row>
    <row r="915" spans="19:25">
      <c r="S915" s="223"/>
      <c r="T915" s="223"/>
      <c r="W915" s="265"/>
      <c r="X915" s="223"/>
      <c r="Y915" s="223"/>
    </row>
    <row r="916" spans="19:25">
      <c r="S916" s="223"/>
      <c r="T916" s="223"/>
      <c r="W916" s="265"/>
      <c r="X916" s="223"/>
      <c r="Y916" s="223"/>
    </row>
    <row r="917" spans="19:25">
      <c r="S917" s="223"/>
      <c r="T917" s="223"/>
      <c r="W917" s="265"/>
      <c r="X917" s="223"/>
      <c r="Y917" s="223"/>
    </row>
    <row r="918" spans="19:25">
      <c r="S918" s="223"/>
      <c r="T918" s="223"/>
      <c r="W918" s="265"/>
      <c r="X918" s="223"/>
      <c r="Y918" s="223"/>
    </row>
    <row r="919" spans="19:25">
      <c r="S919" s="223"/>
      <c r="T919" s="223"/>
      <c r="W919" s="265"/>
      <c r="X919" s="223"/>
      <c r="Y919" s="223"/>
    </row>
    <row r="920" spans="19:25">
      <c r="S920" s="223"/>
      <c r="T920" s="223"/>
      <c r="W920" s="265"/>
      <c r="X920" s="223"/>
      <c r="Y920" s="223"/>
    </row>
    <row r="921" spans="19:25">
      <c r="S921" s="223"/>
      <c r="T921" s="223"/>
      <c r="W921" s="265"/>
      <c r="X921" s="223"/>
      <c r="Y921" s="223"/>
    </row>
    <row r="922" spans="19:25">
      <c r="S922" s="223"/>
      <c r="T922" s="223"/>
      <c r="W922" s="265"/>
      <c r="X922" s="223"/>
      <c r="Y922" s="223"/>
    </row>
    <row r="923" spans="19:25">
      <c r="S923" s="223"/>
      <c r="T923" s="223"/>
      <c r="W923" s="265"/>
      <c r="X923" s="223"/>
      <c r="Y923" s="223"/>
    </row>
    <row r="924" spans="19:25">
      <c r="S924" s="223"/>
      <c r="T924" s="223"/>
      <c r="W924" s="265"/>
      <c r="X924" s="223"/>
      <c r="Y924" s="223"/>
    </row>
    <row r="925" spans="19:25">
      <c r="S925" s="223"/>
      <c r="T925" s="223"/>
      <c r="W925" s="265"/>
      <c r="X925" s="223"/>
      <c r="Y925" s="223"/>
    </row>
    <row r="926" spans="19:25">
      <c r="S926" s="223"/>
      <c r="T926" s="223"/>
      <c r="W926" s="265"/>
      <c r="X926" s="223"/>
      <c r="Y926" s="223"/>
    </row>
    <row r="927" spans="19:25">
      <c r="S927" s="223"/>
      <c r="T927" s="223"/>
      <c r="W927" s="265"/>
      <c r="X927" s="223"/>
      <c r="Y927" s="223"/>
    </row>
    <row r="928" spans="19:25">
      <c r="S928" s="223"/>
      <c r="T928" s="223"/>
      <c r="W928" s="265"/>
      <c r="X928" s="223"/>
      <c r="Y928" s="223"/>
    </row>
    <row r="929" spans="19:25">
      <c r="S929" s="223"/>
      <c r="T929" s="223"/>
      <c r="W929" s="265"/>
      <c r="X929" s="223"/>
      <c r="Y929" s="223"/>
    </row>
    <row r="930" spans="19:25">
      <c r="S930" s="223"/>
      <c r="T930" s="223"/>
      <c r="W930" s="265"/>
      <c r="X930" s="223"/>
      <c r="Y930" s="223"/>
    </row>
    <row r="931" spans="19:25">
      <c r="S931" s="223"/>
      <c r="T931" s="223"/>
      <c r="W931" s="265"/>
      <c r="X931" s="223"/>
      <c r="Y931" s="223"/>
    </row>
    <row r="932" spans="19:25">
      <c r="S932" s="223"/>
      <c r="T932" s="223"/>
      <c r="W932" s="265"/>
      <c r="X932" s="223"/>
      <c r="Y932" s="223"/>
    </row>
    <row r="933" spans="19:25">
      <c r="S933" s="223"/>
      <c r="T933" s="223"/>
      <c r="W933" s="265"/>
      <c r="X933" s="223"/>
      <c r="Y933" s="223"/>
    </row>
    <row r="934" spans="19:25">
      <c r="S934" s="223"/>
      <c r="T934" s="223"/>
      <c r="W934" s="265"/>
      <c r="X934" s="223"/>
      <c r="Y934" s="223"/>
    </row>
    <row r="935" spans="19:25">
      <c r="S935" s="223"/>
      <c r="T935" s="223"/>
      <c r="W935" s="265"/>
      <c r="X935" s="223"/>
      <c r="Y935" s="223"/>
    </row>
    <row r="936" spans="19:25">
      <c r="S936" s="223"/>
      <c r="T936" s="223"/>
      <c r="W936" s="265"/>
      <c r="X936" s="223"/>
      <c r="Y936" s="223"/>
    </row>
    <row r="937" spans="19:25">
      <c r="S937" s="223"/>
      <c r="T937" s="223"/>
      <c r="W937" s="265"/>
      <c r="X937" s="223"/>
      <c r="Y937" s="223"/>
    </row>
    <row r="938" spans="19:25">
      <c r="S938" s="223"/>
      <c r="T938" s="223"/>
      <c r="W938" s="265"/>
      <c r="X938" s="223"/>
      <c r="Y938" s="223"/>
    </row>
    <row r="939" spans="19:25">
      <c r="S939" s="223"/>
      <c r="T939" s="223"/>
      <c r="W939" s="265"/>
      <c r="X939" s="223"/>
      <c r="Y939" s="223"/>
    </row>
    <row r="940" spans="19:25">
      <c r="S940" s="223"/>
      <c r="T940" s="223"/>
      <c r="W940" s="265"/>
      <c r="X940" s="223"/>
      <c r="Y940" s="223"/>
    </row>
    <row r="941" spans="19:25">
      <c r="S941" s="223"/>
      <c r="T941" s="223"/>
      <c r="W941" s="265"/>
      <c r="X941" s="223"/>
      <c r="Y941" s="223"/>
    </row>
    <row r="942" spans="19:25">
      <c r="S942" s="223"/>
      <c r="T942" s="223"/>
      <c r="W942" s="265"/>
      <c r="X942" s="223"/>
      <c r="Y942" s="223"/>
    </row>
    <row r="943" spans="19:25">
      <c r="S943" s="223"/>
      <c r="T943" s="223"/>
      <c r="W943" s="265"/>
      <c r="X943" s="223"/>
      <c r="Y943" s="223"/>
    </row>
    <row r="944" spans="19:25">
      <c r="S944" s="223"/>
      <c r="T944" s="223"/>
      <c r="W944" s="265"/>
      <c r="X944" s="223"/>
      <c r="Y944" s="223"/>
    </row>
    <row r="945" spans="19:25">
      <c r="S945" s="223"/>
      <c r="T945" s="223"/>
      <c r="W945" s="265"/>
      <c r="X945" s="223"/>
      <c r="Y945" s="223"/>
    </row>
    <row r="946" spans="19:25">
      <c r="S946" s="223"/>
      <c r="T946" s="223"/>
      <c r="W946" s="265"/>
      <c r="X946" s="223"/>
      <c r="Y946" s="223"/>
    </row>
    <row r="947" spans="19:25">
      <c r="S947" s="223"/>
      <c r="T947" s="223"/>
      <c r="W947" s="265"/>
      <c r="X947" s="223"/>
      <c r="Y947" s="223"/>
    </row>
    <row r="948" spans="19:25">
      <c r="S948" s="223"/>
      <c r="T948" s="223"/>
      <c r="W948" s="265"/>
      <c r="X948" s="223"/>
      <c r="Y948" s="223"/>
    </row>
    <row r="949" spans="19:25">
      <c r="S949" s="223"/>
      <c r="T949" s="223"/>
      <c r="W949" s="265"/>
      <c r="X949" s="223"/>
      <c r="Y949" s="223"/>
    </row>
    <row r="950" spans="19:25">
      <c r="S950" s="223"/>
      <c r="T950" s="223"/>
      <c r="W950" s="265"/>
      <c r="X950" s="223"/>
      <c r="Y950" s="223"/>
    </row>
    <row r="951" spans="19:25">
      <c r="S951" s="223"/>
      <c r="T951" s="223"/>
      <c r="W951" s="265"/>
      <c r="X951" s="223"/>
      <c r="Y951" s="223"/>
    </row>
    <row r="952" spans="19:25">
      <c r="S952" s="223"/>
      <c r="T952" s="223"/>
      <c r="W952" s="265"/>
      <c r="X952" s="223"/>
      <c r="Y952" s="223"/>
    </row>
    <row r="953" spans="19:25">
      <c r="S953" s="223"/>
      <c r="T953" s="223"/>
      <c r="W953" s="265"/>
      <c r="X953" s="223"/>
      <c r="Y953" s="223"/>
    </row>
    <row r="954" spans="19:25">
      <c r="S954" s="223"/>
      <c r="T954" s="223"/>
      <c r="W954" s="265"/>
      <c r="X954" s="223"/>
      <c r="Y954" s="223"/>
    </row>
    <row r="955" spans="19:25">
      <c r="S955" s="223"/>
      <c r="T955" s="223"/>
      <c r="W955" s="265"/>
      <c r="X955" s="223"/>
      <c r="Y955" s="223"/>
    </row>
    <row r="956" spans="19:25">
      <c r="S956" s="223"/>
      <c r="T956" s="223"/>
      <c r="W956" s="265"/>
      <c r="X956" s="223"/>
      <c r="Y956" s="223"/>
    </row>
    <row r="957" spans="19:25">
      <c r="S957" s="223"/>
      <c r="T957" s="223"/>
      <c r="W957" s="265"/>
      <c r="X957" s="223"/>
      <c r="Y957" s="223"/>
    </row>
    <row r="958" spans="19:25">
      <c r="S958" s="223"/>
      <c r="T958" s="223"/>
      <c r="W958" s="265"/>
      <c r="X958" s="223"/>
      <c r="Y958" s="223"/>
    </row>
    <row r="959" spans="19:25">
      <c r="S959" s="223"/>
      <c r="T959" s="223"/>
      <c r="W959" s="265"/>
      <c r="X959" s="223"/>
      <c r="Y959" s="223"/>
    </row>
    <row r="960" spans="19:25">
      <c r="S960" s="223"/>
      <c r="T960" s="223"/>
      <c r="W960" s="265"/>
      <c r="X960" s="223"/>
      <c r="Y960" s="223"/>
    </row>
    <row r="961" spans="19:25">
      <c r="S961" s="223"/>
      <c r="T961" s="223"/>
      <c r="W961" s="265"/>
      <c r="X961" s="223"/>
      <c r="Y961" s="223"/>
    </row>
    <row r="962" spans="19:25">
      <c r="S962" s="223"/>
      <c r="T962" s="223"/>
      <c r="W962" s="265"/>
      <c r="X962" s="223"/>
      <c r="Y962" s="223"/>
    </row>
    <row r="963" spans="19:25">
      <c r="S963" s="223"/>
      <c r="T963" s="223"/>
      <c r="W963" s="265"/>
      <c r="X963" s="223"/>
      <c r="Y963" s="223"/>
    </row>
    <row r="964" spans="19:25">
      <c r="S964" s="223"/>
      <c r="T964" s="223"/>
      <c r="W964" s="265"/>
      <c r="X964" s="223"/>
      <c r="Y964" s="223"/>
    </row>
    <row r="965" spans="19:25">
      <c r="S965" s="223"/>
      <c r="T965" s="223"/>
      <c r="W965" s="265"/>
      <c r="X965" s="223"/>
      <c r="Y965" s="223"/>
    </row>
    <row r="966" spans="19:25">
      <c r="S966" s="223"/>
      <c r="T966" s="223"/>
      <c r="W966" s="265"/>
      <c r="X966" s="223"/>
      <c r="Y966" s="223"/>
    </row>
    <row r="967" spans="19:25">
      <c r="S967" s="223"/>
      <c r="T967" s="223"/>
      <c r="W967" s="265"/>
      <c r="X967" s="223"/>
      <c r="Y967" s="223"/>
    </row>
    <row r="968" spans="19:25">
      <c r="S968" s="223"/>
      <c r="T968" s="223"/>
      <c r="W968" s="265"/>
      <c r="X968" s="223"/>
      <c r="Y968" s="223"/>
    </row>
    <row r="969" spans="19:25">
      <c r="S969" s="223"/>
      <c r="T969" s="223"/>
      <c r="W969" s="265"/>
      <c r="X969" s="223"/>
      <c r="Y969" s="223"/>
    </row>
    <row r="970" spans="19:25">
      <c r="S970" s="223"/>
      <c r="T970" s="223"/>
      <c r="W970" s="265"/>
      <c r="X970" s="223"/>
      <c r="Y970" s="223"/>
    </row>
    <row r="971" spans="19:25">
      <c r="S971" s="223"/>
      <c r="T971" s="223"/>
      <c r="W971" s="265"/>
      <c r="X971" s="223"/>
      <c r="Y971" s="223"/>
    </row>
    <row r="972" spans="19:25">
      <c r="S972" s="223"/>
      <c r="T972" s="223"/>
      <c r="W972" s="265"/>
      <c r="X972" s="223"/>
      <c r="Y972" s="223"/>
    </row>
    <row r="973" spans="19:25">
      <c r="S973" s="223"/>
      <c r="T973" s="223"/>
      <c r="W973" s="265"/>
      <c r="X973" s="223"/>
      <c r="Y973" s="223"/>
    </row>
    <row r="974" spans="19:25">
      <c r="S974" s="223"/>
      <c r="T974" s="223"/>
      <c r="W974" s="265"/>
      <c r="X974" s="223"/>
      <c r="Y974" s="223"/>
    </row>
    <row r="975" spans="19:25">
      <c r="S975" s="223"/>
      <c r="T975" s="223"/>
      <c r="W975" s="265"/>
      <c r="X975" s="223"/>
      <c r="Y975" s="223"/>
    </row>
    <row r="976" spans="19:25">
      <c r="S976" s="223"/>
      <c r="T976" s="223"/>
      <c r="W976" s="265"/>
      <c r="X976" s="223"/>
      <c r="Y976" s="223"/>
    </row>
    <row r="977" spans="19:25">
      <c r="S977" s="223"/>
      <c r="T977" s="223"/>
      <c r="W977" s="265"/>
      <c r="X977" s="223"/>
      <c r="Y977" s="223"/>
    </row>
    <row r="978" spans="19:25">
      <c r="S978" s="223"/>
      <c r="T978" s="223"/>
      <c r="W978" s="265"/>
      <c r="X978" s="223"/>
      <c r="Y978" s="223"/>
    </row>
    <row r="979" spans="19:25">
      <c r="S979" s="223"/>
      <c r="T979" s="223"/>
      <c r="W979" s="265"/>
      <c r="X979" s="223"/>
      <c r="Y979" s="223"/>
    </row>
    <row r="980" spans="19:25">
      <c r="S980" s="223"/>
      <c r="T980" s="223"/>
      <c r="W980" s="265"/>
      <c r="X980" s="223"/>
      <c r="Y980" s="223"/>
    </row>
    <row r="981" spans="19:25">
      <c r="S981" s="223"/>
      <c r="T981" s="223"/>
      <c r="W981" s="265"/>
      <c r="X981" s="223"/>
      <c r="Y981" s="223"/>
    </row>
    <row r="982" spans="19:25">
      <c r="S982" s="223"/>
      <c r="T982" s="223"/>
      <c r="W982" s="265"/>
      <c r="X982" s="223"/>
      <c r="Y982" s="223"/>
    </row>
    <row r="983" spans="19:25">
      <c r="S983" s="223"/>
      <c r="T983" s="223"/>
      <c r="W983" s="265"/>
      <c r="X983" s="223"/>
      <c r="Y983" s="223"/>
    </row>
    <row r="984" spans="19:25">
      <c r="S984" s="223"/>
      <c r="T984" s="223"/>
      <c r="W984" s="265"/>
      <c r="X984" s="223"/>
      <c r="Y984" s="223"/>
    </row>
    <row r="985" spans="19:25">
      <c r="S985" s="223"/>
      <c r="T985" s="223"/>
      <c r="W985" s="265"/>
      <c r="X985" s="223"/>
      <c r="Y985" s="223"/>
    </row>
    <row r="986" spans="19:25">
      <c r="S986" s="223"/>
      <c r="T986" s="223"/>
      <c r="W986" s="265"/>
      <c r="X986" s="223"/>
      <c r="Y986" s="223"/>
    </row>
    <row r="987" spans="19:25">
      <c r="S987" s="223"/>
      <c r="T987" s="223"/>
      <c r="W987" s="265"/>
      <c r="X987" s="223"/>
      <c r="Y987" s="223"/>
    </row>
    <row r="988" spans="19:25">
      <c r="S988" s="223"/>
      <c r="T988" s="223"/>
      <c r="W988" s="265"/>
      <c r="X988" s="223"/>
      <c r="Y988" s="223"/>
    </row>
    <row r="989" spans="19:25">
      <c r="S989" s="223"/>
      <c r="T989" s="223"/>
      <c r="W989" s="265"/>
      <c r="X989" s="223"/>
      <c r="Y989" s="223"/>
    </row>
    <row r="990" spans="19:25">
      <c r="S990" s="223"/>
      <c r="T990" s="223"/>
      <c r="W990" s="265"/>
      <c r="X990" s="223"/>
      <c r="Y990" s="223"/>
    </row>
    <row r="991" spans="19:25">
      <c r="S991" s="223"/>
      <c r="T991" s="223"/>
      <c r="W991" s="265"/>
      <c r="X991" s="223"/>
      <c r="Y991" s="223"/>
    </row>
    <row r="992" spans="19:25">
      <c r="S992" s="223"/>
      <c r="T992" s="223"/>
      <c r="W992" s="265"/>
      <c r="X992" s="223"/>
      <c r="Y992" s="223"/>
    </row>
    <row r="993" spans="19:25">
      <c r="S993" s="223"/>
      <c r="T993" s="223"/>
      <c r="W993" s="265"/>
      <c r="X993" s="223"/>
      <c r="Y993" s="223"/>
    </row>
    <row r="994" spans="19:25">
      <c r="S994" s="223"/>
      <c r="T994" s="223"/>
      <c r="W994" s="265"/>
      <c r="X994" s="223"/>
      <c r="Y994" s="223"/>
    </row>
    <row r="995" spans="19:25">
      <c r="S995" s="223"/>
      <c r="T995" s="223"/>
      <c r="W995" s="265"/>
      <c r="X995" s="223"/>
      <c r="Y995" s="223"/>
    </row>
    <row r="996" spans="19:25">
      <c r="S996" s="223"/>
      <c r="T996" s="223"/>
      <c r="W996" s="265"/>
      <c r="X996" s="223"/>
      <c r="Y996" s="223"/>
    </row>
    <row r="997" spans="19:25">
      <c r="S997" s="223"/>
      <c r="T997" s="223"/>
      <c r="W997" s="265"/>
      <c r="X997" s="223"/>
      <c r="Y997" s="223"/>
    </row>
    <row r="998" spans="19:25">
      <c r="S998" s="223"/>
      <c r="T998" s="223"/>
      <c r="W998" s="265"/>
      <c r="X998" s="223"/>
      <c r="Y998" s="223"/>
    </row>
    <row r="999" spans="19:25">
      <c r="S999" s="223"/>
      <c r="T999" s="223"/>
      <c r="W999" s="265"/>
      <c r="X999" s="223"/>
      <c r="Y999" s="223"/>
    </row>
    <row r="1000" spans="19:25">
      <c r="S1000" s="223"/>
      <c r="T1000" s="223"/>
      <c r="W1000" s="265"/>
      <c r="X1000" s="223"/>
      <c r="Y1000" s="223"/>
    </row>
    <row r="1001" spans="19:25">
      <c r="S1001" s="223"/>
      <c r="T1001" s="223"/>
      <c r="W1001" s="265"/>
      <c r="X1001" s="223"/>
      <c r="Y1001" s="223"/>
    </row>
    <row r="1002" spans="19:25">
      <c r="S1002" s="223"/>
      <c r="T1002" s="223"/>
      <c r="W1002" s="265"/>
      <c r="X1002" s="223"/>
      <c r="Y1002" s="223"/>
    </row>
    <row r="1003" spans="19:25">
      <c r="S1003" s="223"/>
      <c r="T1003" s="223"/>
      <c r="W1003" s="265"/>
      <c r="X1003" s="223"/>
      <c r="Y1003" s="223"/>
    </row>
    <row r="1004" spans="19:25">
      <c r="S1004" s="223"/>
      <c r="T1004" s="223"/>
      <c r="W1004" s="265"/>
      <c r="X1004" s="223"/>
      <c r="Y1004" s="223"/>
    </row>
    <row r="1005" spans="19:25">
      <c r="S1005" s="223"/>
      <c r="T1005" s="223"/>
      <c r="W1005" s="265"/>
      <c r="X1005" s="223"/>
      <c r="Y1005" s="223"/>
    </row>
    <row r="1006" spans="19:25">
      <c r="S1006" s="223"/>
      <c r="T1006" s="223"/>
      <c r="W1006" s="265"/>
      <c r="X1006" s="223"/>
      <c r="Y1006" s="223"/>
    </row>
    <row r="1007" spans="19:25">
      <c r="S1007" s="223"/>
      <c r="T1007" s="223"/>
      <c r="W1007" s="265"/>
      <c r="X1007" s="223"/>
      <c r="Y1007" s="223"/>
    </row>
    <row r="1008" spans="19:25">
      <c r="S1008" s="223"/>
      <c r="T1008" s="223"/>
      <c r="W1008" s="265"/>
      <c r="X1008" s="223"/>
      <c r="Y1008" s="223"/>
    </row>
    <row r="1009" spans="19:25">
      <c r="S1009" s="223"/>
      <c r="T1009" s="223"/>
      <c r="W1009" s="265"/>
      <c r="X1009" s="223"/>
      <c r="Y1009" s="223"/>
    </row>
    <row r="1010" spans="19:25">
      <c r="S1010" s="223"/>
      <c r="T1010" s="223"/>
      <c r="W1010" s="265"/>
      <c r="X1010" s="223"/>
      <c r="Y1010" s="223"/>
    </row>
    <row r="1011" spans="19:25">
      <c r="S1011" s="223"/>
      <c r="T1011" s="223"/>
      <c r="W1011" s="265"/>
      <c r="X1011" s="223"/>
      <c r="Y1011" s="223"/>
    </row>
    <row r="1012" spans="19:25">
      <c r="S1012" s="223"/>
      <c r="T1012" s="223"/>
      <c r="W1012" s="265"/>
      <c r="X1012" s="223"/>
      <c r="Y1012" s="223"/>
    </row>
    <row r="1013" spans="19:25">
      <c r="S1013" s="223"/>
      <c r="T1013" s="223"/>
      <c r="W1013" s="265"/>
      <c r="X1013" s="223"/>
      <c r="Y1013" s="223"/>
    </row>
    <row r="1014" spans="19:25">
      <c r="S1014" s="223"/>
      <c r="T1014" s="223"/>
      <c r="W1014" s="265"/>
      <c r="X1014" s="223"/>
      <c r="Y1014" s="223"/>
    </row>
    <row r="1015" spans="19:25">
      <c r="S1015" s="223"/>
      <c r="T1015" s="223"/>
      <c r="W1015" s="265"/>
      <c r="X1015" s="223"/>
      <c r="Y1015" s="223"/>
    </row>
    <row r="1016" spans="19:25">
      <c r="S1016" s="223"/>
      <c r="T1016" s="223"/>
      <c r="W1016" s="265"/>
      <c r="X1016" s="223"/>
      <c r="Y1016" s="223"/>
    </row>
    <row r="1017" spans="19:25">
      <c r="S1017" s="223"/>
      <c r="T1017" s="223"/>
      <c r="W1017" s="265"/>
      <c r="X1017" s="223"/>
      <c r="Y1017" s="223"/>
    </row>
    <row r="1018" spans="19:25">
      <c r="S1018" s="223"/>
      <c r="T1018" s="223"/>
      <c r="W1018" s="265"/>
      <c r="X1018" s="223"/>
      <c r="Y1018" s="223"/>
    </row>
    <row r="1019" spans="19:25">
      <c r="S1019" s="223"/>
      <c r="T1019" s="223"/>
      <c r="W1019" s="265"/>
      <c r="X1019" s="223"/>
      <c r="Y1019" s="223"/>
    </row>
    <row r="1020" spans="19:25">
      <c r="S1020" s="223"/>
      <c r="T1020" s="223"/>
      <c r="W1020" s="265"/>
      <c r="X1020" s="223"/>
      <c r="Y1020" s="223"/>
    </row>
    <row r="1021" spans="19:25">
      <c r="S1021" s="223"/>
      <c r="T1021" s="223"/>
      <c r="W1021" s="265"/>
      <c r="X1021" s="223"/>
      <c r="Y1021" s="223"/>
    </row>
    <row r="1022" spans="19:25">
      <c r="S1022" s="223"/>
      <c r="T1022" s="223"/>
      <c r="W1022" s="265"/>
      <c r="X1022" s="223"/>
      <c r="Y1022" s="223"/>
    </row>
    <row r="1023" spans="19:25">
      <c r="S1023" s="223"/>
      <c r="T1023" s="223"/>
      <c r="W1023" s="265"/>
      <c r="X1023" s="223"/>
      <c r="Y1023" s="223"/>
    </row>
    <row r="1024" spans="19:25">
      <c r="S1024" s="223"/>
      <c r="T1024" s="223"/>
      <c r="W1024" s="265"/>
      <c r="X1024" s="223"/>
      <c r="Y1024" s="223"/>
    </row>
    <row r="1025" spans="19:25">
      <c r="S1025" s="223"/>
      <c r="T1025" s="223"/>
      <c r="W1025" s="265"/>
      <c r="X1025" s="223"/>
      <c r="Y1025" s="223"/>
    </row>
    <row r="1026" spans="19:25">
      <c r="S1026" s="223"/>
      <c r="T1026" s="223"/>
      <c r="W1026" s="265"/>
      <c r="X1026" s="223"/>
      <c r="Y1026" s="223"/>
    </row>
    <row r="1027" spans="19:25">
      <c r="S1027" s="223"/>
      <c r="T1027" s="223"/>
      <c r="W1027" s="265"/>
      <c r="X1027" s="223"/>
      <c r="Y1027" s="223"/>
    </row>
    <row r="1028" spans="19:25">
      <c r="S1028" s="223"/>
      <c r="T1028" s="223"/>
      <c r="W1028" s="265"/>
      <c r="X1028" s="223"/>
      <c r="Y1028" s="223"/>
    </row>
    <row r="1029" spans="19:25">
      <c r="S1029" s="223"/>
      <c r="T1029" s="223"/>
      <c r="W1029" s="265"/>
      <c r="X1029" s="223"/>
      <c r="Y1029" s="223"/>
    </row>
    <row r="1030" spans="19:25">
      <c r="S1030" s="223"/>
      <c r="T1030" s="223"/>
      <c r="W1030" s="265"/>
      <c r="X1030" s="223"/>
      <c r="Y1030" s="223"/>
    </row>
    <row r="1031" spans="19:25">
      <c r="S1031" s="223"/>
      <c r="T1031" s="223"/>
      <c r="W1031" s="265"/>
      <c r="X1031" s="223"/>
      <c r="Y1031" s="223"/>
    </row>
    <row r="1032" spans="19:25">
      <c r="S1032" s="223"/>
      <c r="T1032" s="223"/>
      <c r="W1032" s="265"/>
      <c r="X1032" s="223"/>
      <c r="Y1032" s="223"/>
    </row>
    <row r="1033" spans="19:25">
      <c r="S1033" s="223"/>
      <c r="T1033" s="223"/>
      <c r="W1033" s="265"/>
      <c r="X1033" s="223"/>
      <c r="Y1033" s="223"/>
    </row>
    <row r="1034" spans="19:25">
      <c r="S1034" s="223"/>
      <c r="T1034" s="223"/>
      <c r="W1034" s="265"/>
      <c r="X1034" s="223"/>
      <c r="Y1034" s="223"/>
    </row>
    <row r="1035" spans="19:25">
      <c r="S1035" s="223"/>
      <c r="T1035" s="223"/>
      <c r="W1035" s="265"/>
      <c r="X1035" s="223"/>
      <c r="Y1035" s="223"/>
    </row>
    <row r="1036" spans="19:25">
      <c r="S1036" s="223"/>
      <c r="T1036" s="223"/>
      <c r="W1036" s="265"/>
      <c r="X1036" s="223"/>
      <c r="Y1036" s="223"/>
    </row>
    <row r="1037" spans="19:25">
      <c r="S1037" s="223"/>
      <c r="T1037" s="223"/>
      <c r="W1037" s="265"/>
      <c r="X1037" s="223"/>
      <c r="Y1037" s="223"/>
    </row>
    <row r="1038" spans="19:25">
      <c r="S1038" s="223"/>
      <c r="T1038" s="223"/>
      <c r="W1038" s="265"/>
      <c r="X1038" s="223"/>
      <c r="Y1038" s="223"/>
    </row>
    <row r="1039" spans="19:25">
      <c r="S1039" s="223"/>
      <c r="T1039" s="223"/>
      <c r="W1039" s="265"/>
      <c r="X1039" s="223"/>
      <c r="Y1039" s="223"/>
    </row>
    <row r="1040" spans="19:25">
      <c r="S1040" s="223"/>
      <c r="T1040" s="223"/>
      <c r="W1040" s="265"/>
      <c r="X1040" s="223"/>
      <c r="Y1040" s="223"/>
    </row>
    <row r="1041" spans="19:25">
      <c r="S1041" s="223"/>
      <c r="T1041" s="223"/>
      <c r="W1041" s="265"/>
      <c r="X1041" s="223"/>
      <c r="Y1041" s="223"/>
    </row>
    <row r="1042" spans="19:25">
      <c r="S1042" s="223"/>
      <c r="T1042" s="223"/>
      <c r="W1042" s="265"/>
      <c r="X1042" s="223"/>
      <c r="Y1042" s="223"/>
    </row>
    <row r="1043" spans="19:25">
      <c r="S1043" s="223"/>
      <c r="T1043" s="223"/>
      <c r="W1043" s="265"/>
      <c r="X1043" s="223"/>
      <c r="Y1043" s="223"/>
    </row>
    <row r="1044" spans="19:25">
      <c r="S1044" s="223"/>
      <c r="T1044" s="223"/>
      <c r="W1044" s="265"/>
      <c r="X1044" s="223"/>
      <c r="Y1044" s="223"/>
    </row>
    <row r="1045" spans="19:25">
      <c r="S1045" s="223"/>
      <c r="T1045" s="223"/>
      <c r="W1045" s="265"/>
      <c r="X1045" s="223"/>
      <c r="Y1045" s="223"/>
    </row>
    <row r="1046" spans="19:25">
      <c r="S1046" s="223"/>
      <c r="T1046" s="223"/>
      <c r="W1046" s="265"/>
      <c r="X1046" s="223"/>
      <c r="Y1046" s="223"/>
    </row>
    <row r="1047" spans="19:25">
      <c r="S1047" s="223"/>
      <c r="T1047" s="223"/>
      <c r="W1047" s="265"/>
      <c r="X1047" s="223"/>
      <c r="Y1047" s="223"/>
    </row>
    <row r="1048" spans="19:25">
      <c r="S1048" s="223"/>
      <c r="T1048" s="223"/>
      <c r="W1048" s="265"/>
      <c r="X1048" s="223"/>
      <c r="Y1048" s="223"/>
    </row>
    <row r="1049" spans="19:25">
      <c r="S1049" s="223"/>
      <c r="T1049" s="223"/>
      <c r="W1049" s="265"/>
      <c r="X1049" s="223"/>
      <c r="Y1049" s="223"/>
    </row>
    <row r="1050" spans="19:25">
      <c r="S1050" s="223"/>
      <c r="T1050" s="223"/>
      <c r="W1050" s="265"/>
      <c r="X1050" s="223"/>
      <c r="Y1050" s="223"/>
    </row>
    <row r="1051" spans="19:25">
      <c r="S1051" s="223"/>
      <c r="T1051" s="223"/>
      <c r="W1051" s="265"/>
      <c r="X1051" s="223"/>
      <c r="Y1051" s="223"/>
    </row>
    <row r="1052" spans="19:25">
      <c r="S1052" s="223"/>
      <c r="T1052" s="223"/>
      <c r="W1052" s="265"/>
      <c r="X1052" s="223"/>
      <c r="Y1052" s="223"/>
    </row>
    <row r="1053" spans="19:25">
      <c r="S1053" s="223"/>
      <c r="T1053" s="223"/>
      <c r="W1053" s="265"/>
      <c r="X1053" s="223"/>
      <c r="Y1053" s="223"/>
    </row>
    <row r="1054" spans="19:25">
      <c r="S1054" s="223"/>
      <c r="T1054" s="223"/>
      <c r="W1054" s="265"/>
      <c r="X1054" s="223"/>
      <c r="Y1054" s="223"/>
    </row>
    <row r="1055" spans="19:25">
      <c r="S1055" s="223"/>
      <c r="T1055" s="223"/>
      <c r="W1055" s="265"/>
      <c r="X1055" s="223"/>
      <c r="Y1055" s="223"/>
    </row>
    <row r="1056" spans="19:25">
      <c r="S1056" s="223"/>
      <c r="T1056" s="223"/>
      <c r="W1056" s="265"/>
      <c r="X1056" s="223"/>
      <c r="Y1056" s="223"/>
    </row>
    <row r="1057" spans="19:25">
      <c r="S1057" s="223"/>
      <c r="T1057" s="223"/>
      <c r="W1057" s="265"/>
      <c r="X1057" s="223"/>
      <c r="Y1057" s="223"/>
    </row>
    <row r="1058" spans="19:25">
      <c r="S1058" s="223"/>
      <c r="T1058" s="223"/>
      <c r="W1058" s="265"/>
      <c r="X1058" s="223"/>
      <c r="Y1058" s="223"/>
    </row>
    <row r="1059" spans="19:25">
      <c r="S1059" s="223"/>
      <c r="T1059" s="223"/>
      <c r="W1059" s="265"/>
      <c r="X1059" s="223"/>
      <c r="Y1059" s="223"/>
    </row>
    <row r="1060" spans="19:25">
      <c r="S1060" s="223"/>
      <c r="T1060" s="223"/>
      <c r="W1060" s="265"/>
      <c r="X1060" s="223"/>
      <c r="Y1060" s="223"/>
    </row>
    <row r="1061" spans="19:25">
      <c r="S1061" s="223"/>
      <c r="T1061" s="223"/>
      <c r="W1061" s="265"/>
      <c r="X1061" s="223"/>
      <c r="Y1061" s="223"/>
    </row>
    <row r="1062" spans="19:25">
      <c r="S1062" s="223"/>
      <c r="T1062" s="223"/>
      <c r="W1062" s="265"/>
      <c r="X1062" s="223"/>
      <c r="Y1062" s="223"/>
    </row>
    <row r="1063" spans="19:25">
      <c r="S1063" s="223"/>
      <c r="T1063" s="223"/>
      <c r="W1063" s="265"/>
      <c r="X1063" s="223"/>
      <c r="Y1063" s="223"/>
    </row>
    <row r="1064" spans="19:25">
      <c r="S1064" s="223"/>
      <c r="T1064" s="223"/>
      <c r="W1064" s="265"/>
      <c r="X1064" s="223"/>
      <c r="Y1064" s="223"/>
    </row>
    <row r="1065" spans="19:25">
      <c r="S1065" s="223"/>
      <c r="T1065" s="223"/>
      <c r="W1065" s="265"/>
      <c r="X1065" s="223"/>
      <c r="Y1065" s="223"/>
    </row>
    <row r="1066" spans="19:25">
      <c r="S1066" s="223"/>
      <c r="T1066" s="223"/>
      <c r="W1066" s="265"/>
      <c r="X1066" s="223"/>
      <c r="Y1066" s="223"/>
    </row>
    <row r="1067" spans="19:25">
      <c r="S1067" s="223"/>
      <c r="T1067" s="223"/>
      <c r="W1067" s="265"/>
      <c r="X1067" s="223"/>
      <c r="Y1067" s="223"/>
    </row>
    <row r="1068" spans="19:25">
      <c r="S1068" s="223"/>
      <c r="T1068" s="223"/>
      <c r="W1068" s="265"/>
      <c r="X1068" s="223"/>
      <c r="Y1068" s="223"/>
    </row>
    <row r="1069" spans="19:25">
      <c r="S1069" s="223"/>
      <c r="T1069" s="223"/>
      <c r="W1069" s="265"/>
      <c r="X1069" s="223"/>
      <c r="Y1069" s="223"/>
    </row>
    <row r="1070" spans="19:25">
      <c r="S1070" s="223"/>
      <c r="T1070" s="223"/>
      <c r="W1070" s="265"/>
      <c r="X1070" s="223"/>
      <c r="Y1070" s="223"/>
    </row>
    <row r="1071" spans="19:25">
      <c r="S1071" s="223"/>
      <c r="T1071" s="223"/>
      <c r="W1071" s="265"/>
      <c r="X1071" s="223"/>
      <c r="Y1071" s="223"/>
    </row>
    <row r="1072" spans="19:25">
      <c r="S1072" s="223"/>
      <c r="T1072" s="223"/>
      <c r="W1072" s="265"/>
      <c r="X1072" s="223"/>
      <c r="Y1072" s="223"/>
    </row>
    <row r="1073" spans="19:25">
      <c r="S1073" s="223"/>
      <c r="T1073" s="223"/>
      <c r="W1073" s="265"/>
      <c r="X1073" s="223"/>
      <c r="Y1073" s="223"/>
    </row>
    <row r="1074" spans="19:25">
      <c r="S1074" s="223"/>
      <c r="T1074" s="223"/>
      <c r="W1074" s="265"/>
      <c r="X1074" s="223"/>
      <c r="Y1074" s="223"/>
    </row>
    <row r="1075" spans="19:25">
      <c r="S1075" s="223"/>
      <c r="T1075" s="223"/>
      <c r="W1075" s="265"/>
      <c r="X1075" s="223"/>
      <c r="Y1075" s="223"/>
    </row>
    <row r="1076" spans="19:25">
      <c r="S1076" s="223"/>
      <c r="T1076" s="223"/>
      <c r="W1076" s="265"/>
      <c r="X1076" s="223"/>
      <c r="Y1076" s="223"/>
    </row>
    <row r="1077" spans="19:25">
      <c r="S1077" s="223"/>
      <c r="T1077" s="223"/>
      <c r="W1077" s="265"/>
      <c r="X1077" s="223"/>
      <c r="Y1077" s="223"/>
    </row>
    <row r="1078" spans="19:25">
      <c r="S1078" s="223"/>
      <c r="T1078" s="223"/>
      <c r="W1078" s="265"/>
      <c r="X1078" s="223"/>
      <c r="Y1078" s="223"/>
    </row>
    <row r="1079" spans="19:25">
      <c r="S1079" s="223"/>
      <c r="T1079" s="223"/>
      <c r="W1079" s="265"/>
      <c r="X1079" s="223"/>
      <c r="Y1079" s="223"/>
    </row>
    <row r="1080" spans="19:25">
      <c r="S1080" s="223"/>
      <c r="T1080" s="223"/>
      <c r="W1080" s="265"/>
      <c r="X1080" s="223"/>
      <c r="Y1080" s="223"/>
    </row>
    <row r="1081" spans="19:25">
      <c r="S1081" s="223"/>
      <c r="T1081" s="223"/>
      <c r="W1081" s="265"/>
      <c r="X1081" s="223"/>
      <c r="Y1081" s="223"/>
    </row>
    <row r="1082" spans="19:25">
      <c r="S1082" s="223"/>
      <c r="T1082" s="223"/>
      <c r="W1082" s="265"/>
      <c r="X1082" s="223"/>
      <c r="Y1082" s="223"/>
    </row>
    <row r="1083" spans="19:25">
      <c r="S1083" s="223"/>
      <c r="T1083" s="223"/>
      <c r="W1083" s="265"/>
      <c r="X1083" s="223"/>
      <c r="Y1083" s="223"/>
    </row>
    <row r="1084" spans="19:25">
      <c r="S1084" s="223"/>
      <c r="T1084" s="223"/>
      <c r="W1084" s="265"/>
      <c r="X1084" s="223"/>
      <c r="Y1084" s="223"/>
    </row>
    <row r="1085" spans="19:25">
      <c r="S1085" s="223"/>
      <c r="T1085" s="223"/>
      <c r="W1085" s="265"/>
      <c r="X1085" s="223"/>
      <c r="Y1085" s="223"/>
    </row>
    <row r="1086" spans="19:25">
      <c r="S1086" s="223"/>
      <c r="T1086" s="223"/>
      <c r="W1086" s="265"/>
      <c r="X1086" s="223"/>
      <c r="Y1086" s="223"/>
    </row>
    <row r="1087" spans="19:25">
      <c r="S1087" s="223"/>
      <c r="T1087" s="223"/>
      <c r="W1087" s="265"/>
      <c r="X1087" s="223"/>
      <c r="Y1087" s="223"/>
    </row>
    <row r="1088" spans="19:25">
      <c r="S1088" s="223"/>
      <c r="T1088" s="223"/>
      <c r="W1088" s="265"/>
      <c r="X1088" s="223"/>
      <c r="Y1088" s="223"/>
    </row>
    <row r="1089" spans="19:25">
      <c r="S1089" s="223"/>
      <c r="T1089" s="223"/>
      <c r="W1089" s="265"/>
      <c r="X1089" s="223"/>
      <c r="Y1089" s="223"/>
    </row>
    <row r="1090" spans="19:25">
      <c r="S1090" s="223"/>
      <c r="T1090" s="223"/>
      <c r="W1090" s="265"/>
      <c r="X1090" s="223"/>
      <c r="Y1090" s="223"/>
    </row>
    <row r="1091" spans="19:25">
      <c r="S1091" s="223"/>
      <c r="T1091" s="223"/>
      <c r="W1091" s="265"/>
      <c r="X1091" s="223"/>
      <c r="Y1091" s="223"/>
    </row>
    <row r="1092" spans="19:25">
      <c r="S1092" s="223"/>
      <c r="T1092" s="223"/>
      <c r="W1092" s="265"/>
      <c r="X1092" s="223"/>
      <c r="Y1092" s="223"/>
    </row>
    <row r="1093" spans="19:25">
      <c r="S1093" s="223"/>
      <c r="T1093" s="223"/>
      <c r="W1093" s="265"/>
      <c r="X1093" s="223"/>
      <c r="Y1093" s="223"/>
    </row>
    <row r="1094" spans="19:25">
      <c r="S1094" s="223"/>
      <c r="T1094" s="223"/>
      <c r="W1094" s="265"/>
      <c r="X1094" s="223"/>
      <c r="Y1094" s="223"/>
    </row>
    <row r="1095" spans="19:25">
      <c r="S1095" s="223"/>
      <c r="T1095" s="223"/>
      <c r="W1095" s="265"/>
      <c r="X1095" s="223"/>
      <c r="Y1095" s="223"/>
    </row>
    <row r="1096" spans="19:25">
      <c r="S1096" s="223"/>
      <c r="T1096" s="223"/>
      <c r="W1096" s="265"/>
      <c r="X1096" s="223"/>
      <c r="Y1096" s="223"/>
    </row>
    <row r="1097" spans="19:25">
      <c r="S1097" s="223"/>
      <c r="T1097" s="223"/>
      <c r="W1097" s="265"/>
      <c r="X1097" s="223"/>
      <c r="Y1097" s="223"/>
    </row>
    <row r="1098" spans="19:25">
      <c r="S1098" s="223"/>
      <c r="T1098" s="223"/>
      <c r="W1098" s="265"/>
      <c r="X1098" s="223"/>
      <c r="Y1098" s="223"/>
    </row>
    <row r="1099" spans="19:25">
      <c r="S1099" s="223"/>
      <c r="T1099" s="223"/>
      <c r="W1099" s="265"/>
      <c r="X1099" s="223"/>
      <c r="Y1099" s="223"/>
    </row>
    <row r="1100" spans="19:25">
      <c r="S1100" s="223"/>
      <c r="T1100" s="223"/>
      <c r="W1100" s="265"/>
      <c r="X1100" s="223"/>
      <c r="Y1100" s="223"/>
    </row>
    <row r="1101" spans="19:25">
      <c r="S1101" s="223"/>
      <c r="T1101" s="223"/>
      <c r="W1101" s="265"/>
      <c r="X1101" s="223"/>
      <c r="Y1101" s="223"/>
    </row>
    <row r="1102" spans="19:25">
      <c r="S1102" s="223"/>
      <c r="T1102" s="223"/>
      <c r="W1102" s="265"/>
      <c r="X1102" s="223"/>
      <c r="Y1102" s="223"/>
    </row>
    <row r="1103" spans="19:25">
      <c r="S1103" s="223"/>
      <c r="T1103" s="223"/>
      <c r="W1103" s="265"/>
      <c r="X1103" s="223"/>
      <c r="Y1103" s="223"/>
    </row>
    <row r="1104" spans="19:25">
      <c r="S1104" s="223"/>
      <c r="T1104" s="223"/>
      <c r="W1104" s="265"/>
      <c r="X1104" s="223"/>
      <c r="Y1104" s="223"/>
    </row>
    <row r="1105" spans="19:25">
      <c r="S1105" s="223"/>
      <c r="T1105" s="223"/>
      <c r="W1105" s="265"/>
      <c r="X1105" s="223"/>
      <c r="Y1105" s="223"/>
    </row>
    <row r="1106" spans="19:25">
      <c r="S1106" s="223"/>
      <c r="T1106" s="223"/>
      <c r="W1106" s="265"/>
      <c r="X1106" s="223"/>
      <c r="Y1106" s="223"/>
    </row>
    <row r="1107" spans="19:25">
      <c r="S1107" s="223"/>
      <c r="T1107" s="223"/>
      <c r="W1107" s="265"/>
      <c r="X1107" s="223"/>
      <c r="Y1107" s="223"/>
    </row>
    <row r="1108" spans="19:25">
      <c r="S1108" s="223"/>
      <c r="T1108" s="223"/>
      <c r="W1108" s="265"/>
      <c r="X1108" s="223"/>
      <c r="Y1108" s="223"/>
    </row>
    <row r="1109" spans="19:25">
      <c r="S1109" s="223"/>
      <c r="T1109" s="223"/>
      <c r="W1109" s="265"/>
      <c r="X1109" s="223"/>
      <c r="Y1109" s="223"/>
    </row>
    <row r="1110" spans="19:25">
      <c r="S1110" s="223"/>
      <c r="T1110" s="223"/>
      <c r="W1110" s="265"/>
      <c r="X1110" s="223"/>
      <c r="Y1110" s="223"/>
    </row>
    <row r="1111" spans="19:25">
      <c r="S1111" s="223"/>
      <c r="T1111" s="223"/>
      <c r="W1111" s="265"/>
      <c r="X1111" s="223"/>
      <c r="Y1111" s="223"/>
    </row>
    <row r="1112" spans="19:25">
      <c r="S1112" s="223"/>
      <c r="T1112" s="223"/>
      <c r="W1112" s="265"/>
      <c r="X1112" s="223"/>
      <c r="Y1112" s="223"/>
    </row>
    <row r="1113" spans="19:25">
      <c r="S1113" s="223"/>
      <c r="T1113" s="223"/>
      <c r="W1113" s="265"/>
      <c r="X1113" s="223"/>
      <c r="Y1113" s="223"/>
    </row>
    <row r="1114" spans="19:25">
      <c r="S1114" s="223"/>
      <c r="T1114" s="223"/>
      <c r="W1114" s="265"/>
      <c r="X1114" s="223"/>
      <c r="Y1114" s="223"/>
    </row>
    <row r="1115" spans="19:25">
      <c r="S1115" s="223"/>
      <c r="T1115" s="223"/>
      <c r="W1115" s="265"/>
      <c r="X1115" s="223"/>
      <c r="Y1115" s="223"/>
    </row>
    <row r="1116" spans="19:25">
      <c r="S1116" s="223"/>
      <c r="T1116" s="223"/>
      <c r="W1116" s="265"/>
      <c r="X1116" s="223"/>
      <c r="Y1116" s="223"/>
    </row>
    <row r="1117" spans="19:25">
      <c r="S1117" s="223"/>
      <c r="T1117" s="223"/>
      <c r="W1117" s="265"/>
      <c r="X1117" s="223"/>
      <c r="Y1117" s="223"/>
    </row>
    <row r="1118" spans="19:25">
      <c r="S1118" s="223"/>
      <c r="T1118" s="223"/>
      <c r="W1118" s="265"/>
      <c r="X1118" s="223"/>
      <c r="Y1118" s="223"/>
    </row>
    <row r="1119" spans="19:25">
      <c r="S1119" s="223"/>
      <c r="T1119" s="223"/>
      <c r="W1119" s="265"/>
      <c r="X1119" s="223"/>
      <c r="Y1119" s="223"/>
    </row>
    <row r="1120" spans="19:25">
      <c r="S1120" s="223"/>
      <c r="T1120" s="223"/>
      <c r="W1120" s="265"/>
      <c r="X1120" s="223"/>
      <c r="Y1120" s="223"/>
    </row>
    <row r="1121" spans="19:25">
      <c r="S1121" s="223"/>
      <c r="T1121" s="223"/>
      <c r="W1121" s="265"/>
      <c r="X1121" s="223"/>
      <c r="Y1121" s="223"/>
    </row>
    <row r="1122" spans="19:25">
      <c r="S1122" s="223"/>
      <c r="T1122" s="223"/>
      <c r="W1122" s="265"/>
      <c r="X1122" s="223"/>
      <c r="Y1122" s="223"/>
    </row>
    <row r="1123" spans="19:25">
      <c r="S1123" s="223"/>
      <c r="T1123" s="223"/>
      <c r="W1123" s="265"/>
      <c r="X1123" s="223"/>
      <c r="Y1123" s="223"/>
    </row>
    <row r="1124" spans="19:25">
      <c r="S1124" s="223"/>
      <c r="T1124" s="223"/>
      <c r="W1124" s="265"/>
      <c r="X1124" s="223"/>
      <c r="Y1124" s="223"/>
    </row>
    <row r="1125" spans="19:25">
      <c r="S1125" s="223"/>
      <c r="T1125" s="223"/>
      <c r="W1125" s="265"/>
      <c r="X1125" s="223"/>
      <c r="Y1125" s="223"/>
    </row>
    <row r="1126" spans="19:25">
      <c r="S1126" s="223"/>
      <c r="T1126" s="223"/>
      <c r="W1126" s="265"/>
      <c r="X1126" s="223"/>
      <c r="Y1126" s="223"/>
    </row>
    <row r="1127" spans="19:25">
      <c r="S1127" s="223"/>
      <c r="T1127" s="223"/>
      <c r="W1127" s="265"/>
      <c r="X1127" s="223"/>
      <c r="Y1127" s="223"/>
    </row>
    <row r="1128" spans="19:25">
      <c r="S1128" s="223"/>
      <c r="T1128" s="223"/>
      <c r="W1128" s="265"/>
      <c r="X1128" s="223"/>
      <c r="Y1128" s="223"/>
    </row>
    <row r="1129" spans="19:25">
      <c r="S1129" s="223"/>
      <c r="T1129" s="223"/>
      <c r="W1129" s="265"/>
      <c r="X1129" s="223"/>
      <c r="Y1129" s="223"/>
    </row>
    <row r="1130" spans="19:25">
      <c r="S1130" s="223"/>
      <c r="T1130" s="223"/>
      <c r="W1130" s="265"/>
      <c r="X1130" s="223"/>
      <c r="Y1130" s="223"/>
    </row>
    <row r="1131" spans="19:25">
      <c r="S1131" s="223"/>
      <c r="T1131" s="223"/>
      <c r="W1131" s="265"/>
      <c r="X1131" s="223"/>
      <c r="Y1131" s="223"/>
    </row>
    <row r="1132" spans="19:25">
      <c r="S1132" s="223"/>
      <c r="T1132" s="223"/>
      <c r="W1132" s="265"/>
      <c r="X1132" s="223"/>
      <c r="Y1132" s="223"/>
    </row>
    <row r="1133" spans="19:25">
      <c r="S1133" s="223"/>
      <c r="T1133" s="223"/>
      <c r="W1133" s="265"/>
      <c r="X1133" s="223"/>
      <c r="Y1133" s="223"/>
    </row>
    <row r="1134" spans="19:25">
      <c r="S1134" s="223"/>
      <c r="T1134" s="223"/>
      <c r="W1134" s="265"/>
      <c r="X1134" s="223"/>
      <c r="Y1134" s="223"/>
    </row>
    <row r="1135" spans="19:25">
      <c r="S1135" s="223"/>
      <c r="T1135" s="223"/>
      <c r="W1135" s="265"/>
      <c r="X1135" s="223"/>
      <c r="Y1135" s="223"/>
    </row>
    <row r="1136" spans="19:25">
      <c r="S1136" s="223"/>
      <c r="T1136" s="223"/>
      <c r="W1136" s="265"/>
      <c r="X1136" s="223"/>
      <c r="Y1136" s="223"/>
    </row>
    <row r="1137" spans="19:25">
      <c r="S1137" s="223"/>
      <c r="T1137" s="223"/>
      <c r="W1137" s="265"/>
      <c r="X1137" s="223"/>
      <c r="Y1137" s="223"/>
    </row>
    <row r="1138" spans="19:25">
      <c r="S1138" s="223"/>
      <c r="T1138" s="223"/>
      <c r="W1138" s="265"/>
      <c r="X1138" s="223"/>
      <c r="Y1138" s="223"/>
    </row>
    <row r="1139" spans="19:25">
      <c r="S1139" s="223"/>
      <c r="T1139" s="223"/>
      <c r="W1139" s="265"/>
      <c r="X1139" s="223"/>
      <c r="Y1139" s="223"/>
    </row>
    <row r="1140" spans="19:25">
      <c r="S1140" s="223"/>
      <c r="T1140" s="223"/>
      <c r="W1140" s="265"/>
      <c r="X1140" s="223"/>
      <c r="Y1140" s="223"/>
    </row>
    <row r="1141" spans="19:25">
      <c r="S1141" s="223"/>
      <c r="T1141" s="223"/>
      <c r="W1141" s="265"/>
      <c r="X1141" s="223"/>
      <c r="Y1141" s="223"/>
    </row>
    <row r="1142" spans="19:25">
      <c r="S1142" s="223"/>
      <c r="T1142" s="223"/>
      <c r="W1142" s="265"/>
      <c r="X1142" s="223"/>
      <c r="Y1142" s="223"/>
    </row>
    <row r="1143" spans="19:25">
      <c r="S1143" s="223"/>
      <c r="T1143" s="223"/>
      <c r="W1143" s="265"/>
      <c r="X1143" s="223"/>
      <c r="Y1143" s="223"/>
    </row>
    <row r="1144" spans="19:25">
      <c r="S1144" s="223"/>
      <c r="T1144" s="223"/>
      <c r="W1144" s="265"/>
      <c r="X1144" s="223"/>
      <c r="Y1144" s="223"/>
    </row>
    <row r="1145" spans="19:25">
      <c r="S1145" s="223"/>
      <c r="T1145" s="223"/>
      <c r="W1145" s="265"/>
      <c r="X1145" s="223"/>
      <c r="Y1145" s="223"/>
    </row>
    <row r="1146" spans="19:25">
      <c r="S1146" s="223"/>
      <c r="T1146" s="223"/>
      <c r="W1146" s="265"/>
      <c r="X1146" s="223"/>
      <c r="Y1146" s="223"/>
    </row>
    <row r="1147" spans="19:25">
      <c r="S1147" s="223"/>
      <c r="T1147" s="223"/>
      <c r="W1147" s="265"/>
      <c r="X1147" s="223"/>
      <c r="Y1147" s="223"/>
    </row>
    <row r="1148" spans="19:25">
      <c r="S1148" s="223"/>
      <c r="T1148" s="223"/>
      <c r="W1148" s="265"/>
      <c r="X1148" s="223"/>
      <c r="Y1148" s="223"/>
    </row>
    <row r="1149" spans="19:25">
      <c r="S1149" s="223"/>
      <c r="T1149" s="223"/>
      <c r="W1149" s="265"/>
      <c r="X1149" s="223"/>
      <c r="Y1149" s="223"/>
    </row>
    <row r="1150" spans="19:25">
      <c r="S1150" s="223"/>
      <c r="T1150" s="223"/>
      <c r="W1150" s="265"/>
      <c r="X1150" s="223"/>
      <c r="Y1150" s="223"/>
    </row>
    <row r="1151" spans="19:25">
      <c r="S1151" s="223"/>
      <c r="T1151" s="223"/>
      <c r="W1151" s="265"/>
      <c r="X1151" s="223"/>
      <c r="Y1151" s="223"/>
    </row>
    <row r="1152" spans="19:25">
      <c r="S1152" s="223"/>
      <c r="T1152" s="223"/>
      <c r="W1152" s="265"/>
      <c r="X1152" s="223"/>
      <c r="Y1152" s="223"/>
    </row>
    <row r="1153" spans="19:25">
      <c r="S1153" s="223"/>
      <c r="T1153" s="223"/>
      <c r="W1153" s="265"/>
      <c r="X1153" s="223"/>
      <c r="Y1153" s="223"/>
    </row>
    <row r="1154" spans="19:25">
      <c r="S1154" s="223"/>
      <c r="T1154" s="223"/>
      <c r="W1154" s="265"/>
      <c r="X1154" s="223"/>
      <c r="Y1154" s="223"/>
    </row>
    <row r="1155" spans="19:25">
      <c r="S1155" s="223"/>
      <c r="T1155" s="223"/>
      <c r="W1155" s="265"/>
      <c r="X1155" s="223"/>
      <c r="Y1155" s="223"/>
    </row>
    <row r="1156" spans="19:25">
      <c r="S1156" s="223"/>
      <c r="T1156" s="223"/>
      <c r="W1156" s="265"/>
      <c r="X1156" s="223"/>
      <c r="Y1156" s="223"/>
    </row>
    <row r="1157" spans="19:25">
      <c r="S1157" s="223"/>
      <c r="T1157" s="223"/>
      <c r="W1157" s="265"/>
      <c r="X1157" s="223"/>
      <c r="Y1157" s="223"/>
    </row>
    <row r="1158" spans="19:25">
      <c r="S1158" s="223"/>
      <c r="T1158" s="223"/>
      <c r="W1158" s="265"/>
      <c r="X1158" s="223"/>
      <c r="Y1158" s="223"/>
    </row>
    <row r="1159" spans="19:25">
      <c r="S1159" s="223"/>
      <c r="T1159" s="223"/>
      <c r="W1159" s="265"/>
      <c r="X1159" s="223"/>
      <c r="Y1159" s="223"/>
    </row>
    <row r="1160" spans="19:25">
      <c r="S1160" s="223"/>
      <c r="T1160" s="223"/>
      <c r="W1160" s="265"/>
      <c r="X1160" s="223"/>
      <c r="Y1160" s="223"/>
    </row>
    <row r="1161" spans="19:25">
      <c r="S1161" s="223"/>
      <c r="T1161" s="223"/>
      <c r="W1161" s="265"/>
      <c r="X1161" s="223"/>
      <c r="Y1161" s="223"/>
    </row>
    <row r="1162" spans="19:25">
      <c r="S1162" s="223"/>
      <c r="T1162" s="223"/>
      <c r="W1162" s="265"/>
      <c r="X1162" s="223"/>
      <c r="Y1162" s="223"/>
    </row>
    <row r="1163" spans="19:25">
      <c r="S1163" s="223"/>
      <c r="T1163" s="223"/>
      <c r="W1163" s="265"/>
      <c r="X1163" s="223"/>
      <c r="Y1163" s="223"/>
    </row>
    <row r="1164" spans="19:25">
      <c r="S1164" s="223"/>
      <c r="T1164" s="223"/>
      <c r="W1164" s="265"/>
      <c r="X1164" s="223"/>
      <c r="Y1164" s="223"/>
    </row>
    <row r="1165" spans="19:25">
      <c r="S1165" s="223"/>
      <c r="T1165" s="223"/>
      <c r="W1165" s="265"/>
      <c r="X1165" s="223"/>
      <c r="Y1165" s="223"/>
    </row>
    <row r="1166" spans="19:25">
      <c r="S1166" s="223"/>
      <c r="T1166" s="223"/>
      <c r="W1166" s="265"/>
      <c r="X1166" s="223"/>
      <c r="Y1166" s="223"/>
    </row>
    <row r="1167" spans="19:25">
      <c r="S1167" s="223"/>
      <c r="T1167" s="223"/>
      <c r="W1167" s="265"/>
      <c r="X1167" s="223"/>
      <c r="Y1167" s="223"/>
    </row>
    <row r="1168" spans="19:25">
      <c r="S1168" s="223"/>
      <c r="T1168" s="223"/>
      <c r="W1168" s="265"/>
      <c r="X1168" s="223"/>
      <c r="Y1168" s="223"/>
    </row>
    <row r="1169" spans="19:25">
      <c r="S1169" s="223"/>
      <c r="T1169" s="223"/>
      <c r="W1169" s="265"/>
      <c r="X1169" s="223"/>
      <c r="Y1169" s="223"/>
    </row>
    <row r="1170" spans="19:25">
      <c r="S1170" s="223"/>
      <c r="T1170" s="223"/>
      <c r="W1170" s="265"/>
      <c r="X1170" s="223"/>
      <c r="Y1170" s="223"/>
    </row>
    <row r="1171" spans="19:25">
      <c r="S1171" s="223"/>
      <c r="T1171" s="223"/>
      <c r="W1171" s="265"/>
      <c r="X1171" s="223"/>
      <c r="Y1171" s="223"/>
    </row>
    <row r="1172" spans="19:25">
      <c r="S1172" s="223"/>
      <c r="T1172" s="223"/>
      <c r="W1172" s="265"/>
      <c r="X1172" s="223"/>
      <c r="Y1172" s="223"/>
    </row>
    <row r="1173" spans="19:25">
      <c r="S1173" s="223"/>
      <c r="T1173" s="223"/>
      <c r="W1173" s="265"/>
      <c r="X1173" s="223"/>
      <c r="Y1173" s="223"/>
    </row>
    <row r="1174" spans="19:25">
      <c r="S1174" s="223"/>
      <c r="T1174" s="223"/>
      <c r="W1174" s="265"/>
      <c r="X1174" s="223"/>
      <c r="Y1174" s="223"/>
    </row>
    <row r="1175" spans="19:25">
      <c r="S1175" s="223"/>
      <c r="T1175" s="223"/>
      <c r="W1175" s="265"/>
      <c r="X1175" s="223"/>
      <c r="Y1175" s="223"/>
    </row>
    <row r="1176" spans="19:25">
      <c r="S1176" s="223"/>
      <c r="T1176" s="223"/>
      <c r="W1176" s="265"/>
      <c r="X1176" s="223"/>
      <c r="Y1176" s="223"/>
    </row>
    <row r="1177" spans="19:25">
      <c r="S1177" s="223"/>
      <c r="T1177" s="223"/>
      <c r="W1177" s="265"/>
      <c r="X1177" s="223"/>
      <c r="Y1177" s="223"/>
    </row>
    <row r="1178" spans="19:25">
      <c r="S1178" s="223"/>
      <c r="T1178" s="223"/>
      <c r="W1178" s="265"/>
      <c r="X1178" s="223"/>
      <c r="Y1178" s="223"/>
    </row>
    <row r="1179" spans="19:25">
      <c r="S1179" s="223"/>
      <c r="T1179" s="223"/>
      <c r="W1179" s="265"/>
      <c r="X1179" s="223"/>
      <c r="Y1179" s="223"/>
    </row>
    <row r="1180" spans="19:25">
      <c r="S1180" s="223"/>
      <c r="T1180" s="223"/>
      <c r="W1180" s="265"/>
      <c r="X1180" s="223"/>
      <c r="Y1180" s="223"/>
    </row>
    <row r="1181" spans="19:25">
      <c r="S1181" s="223"/>
      <c r="T1181" s="223"/>
      <c r="W1181" s="265"/>
      <c r="X1181" s="223"/>
      <c r="Y1181" s="223"/>
    </row>
    <row r="1182" spans="19:25">
      <c r="S1182" s="223"/>
      <c r="T1182" s="223"/>
      <c r="W1182" s="265"/>
      <c r="X1182" s="223"/>
      <c r="Y1182" s="223"/>
    </row>
    <row r="1183" spans="19:25">
      <c r="S1183" s="223"/>
      <c r="T1183" s="223"/>
      <c r="W1183" s="265"/>
      <c r="X1183" s="223"/>
      <c r="Y1183" s="223"/>
    </row>
    <row r="1184" spans="19:25">
      <c r="S1184" s="223"/>
      <c r="T1184" s="223"/>
      <c r="W1184" s="265"/>
      <c r="X1184" s="223"/>
      <c r="Y1184" s="223"/>
    </row>
    <row r="1185" spans="19:25">
      <c r="S1185" s="223"/>
      <c r="T1185" s="223"/>
      <c r="W1185" s="265"/>
      <c r="X1185" s="223"/>
      <c r="Y1185" s="223"/>
    </row>
    <row r="1186" spans="19:25">
      <c r="S1186" s="223"/>
      <c r="T1186" s="223"/>
      <c r="W1186" s="265"/>
      <c r="X1186" s="223"/>
      <c r="Y1186" s="223"/>
    </row>
    <row r="1187" spans="19:25">
      <c r="S1187" s="223"/>
      <c r="T1187" s="223"/>
      <c r="W1187" s="265"/>
      <c r="X1187" s="223"/>
      <c r="Y1187" s="223"/>
    </row>
    <row r="1188" spans="19:25">
      <c r="S1188" s="223"/>
      <c r="T1188" s="223"/>
      <c r="W1188" s="265"/>
      <c r="X1188" s="223"/>
      <c r="Y1188" s="223"/>
    </row>
    <row r="1189" spans="19:25">
      <c r="S1189" s="223"/>
      <c r="T1189" s="223"/>
      <c r="W1189" s="265"/>
      <c r="X1189" s="223"/>
      <c r="Y1189" s="223"/>
    </row>
    <row r="1190" spans="19:25">
      <c r="S1190" s="223"/>
      <c r="T1190" s="223"/>
      <c r="W1190" s="265"/>
      <c r="X1190" s="223"/>
      <c r="Y1190" s="223"/>
    </row>
    <row r="1191" spans="19:25">
      <c r="S1191" s="223"/>
      <c r="T1191" s="223"/>
      <c r="W1191" s="265"/>
      <c r="X1191" s="223"/>
      <c r="Y1191" s="223"/>
    </row>
    <row r="1192" spans="19:25">
      <c r="S1192" s="223"/>
      <c r="T1192" s="223"/>
      <c r="W1192" s="265"/>
      <c r="X1192" s="223"/>
      <c r="Y1192" s="223"/>
    </row>
    <row r="1193" spans="19:25">
      <c r="S1193" s="223"/>
      <c r="T1193" s="223"/>
      <c r="W1193" s="265"/>
      <c r="X1193" s="223"/>
      <c r="Y1193" s="223"/>
    </row>
    <row r="1194" spans="19:25">
      <c r="S1194" s="223"/>
      <c r="T1194" s="223"/>
      <c r="W1194" s="265"/>
      <c r="X1194" s="223"/>
      <c r="Y1194" s="223"/>
    </row>
    <row r="1195" spans="19:25">
      <c r="S1195" s="223"/>
      <c r="T1195" s="223"/>
      <c r="W1195" s="265"/>
      <c r="X1195" s="223"/>
      <c r="Y1195" s="223"/>
    </row>
    <row r="1196" spans="19:25">
      <c r="S1196" s="223"/>
      <c r="T1196" s="223"/>
      <c r="W1196" s="265"/>
      <c r="X1196" s="223"/>
      <c r="Y1196" s="223"/>
    </row>
    <row r="1197" spans="19:25">
      <c r="S1197" s="223"/>
      <c r="T1197" s="223"/>
      <c r="W1197" s="265"/>
      <c r="X1197" s="223"/>
      <c r="Y1197" s="223"/>
    </row>
    <row r="1198" spans="19:25">
      <c r="S1198" s="223"/>
      <c r="T1198" s="223"/>
      <c r="W1198" s="265"/>
      <c r="X1198" s="223"/>
      <c r="Y1198" s="223"/>
    </row>
    <row r="1199" spans="19:25">
      <c r="S1199" s="223"/>
      <c r="T1199" s="223"/>
      <c r="W1199" s="265"/>
      <c r="X1199" s="223"/>
      <c r="Y1199" s="223"/>
    </row>
    <row r="1200" spans="19:25">
      <c r="S1200" s="223"/>
      <c r="T1200" s="223"/>
      <c r="W1200" s="265"/>
      <c r="X1200" s="223"/>
      <c r="Y1200" s="223"/>
    </row>
    <row r="1201" spans="19:25">
      <c r="S1201" s="223"/>
      <c r="T1201" s="223"/>
      <c r="W1201" s="265"/>
      <c r="X1201" s="223"/>
      <c r="Y1201" s="223"/>
    </row>
    <row r="1202" spans="19:25">
      <c r="S1202" s="223"/>
      <c r="T1202" s="223"/>
      <c r="W1202" s="265"/>
      <c r="X1202" s="223"/>
      <c r="Y1202" s="223"/>
    </row>
    <row r="1203" spans="19:25">
      <c r="S1203" s="223"/>
      <c r="T1203" s="223"/>
      <c r="W1203" s="265"/>
      <c r="X1203" s="223"/>
      <c r="Y1203" s="223"/>
    </row>
    <row r="1204" spans="19:25">
      <c r="S1204" s="223"/>
      <c r="T1204" s="223"/>
      <c r="W1204" s="265"/>
      <c r="X1204" s="223"/>
      <c r="Y1204" s="223"/>
    </row>
    <row r="1205" spans="19:25">
      <c r="S1205" s="223"/>
      <c r="T1205" s="223"/>
      <c r="W1205" s="265"/>
      <c r="X1205" s="223"/>
      <c r="Y1205" s="223"/>
    </row>
    <row r="1206" spans="19:25">
      <c r="S1206" s="223"/>
      <c r="T1206" s="223"/>
      <c r="W1206" s="265"/>
      <c r="X1206" s="223"/>
      <c r="Y1206" s="223"/>
    </row>
    <row r="1207" spans="19:25">
      <c r="S1207" s="223"/>
      <c r="T1207" s="223"/>
      <c r="W1207" s="265"/>
      <c r="X1207" s="223"/>
      <c r="Y1207" s="223"/>
    </row>
    <row r="1208" spans="19:25">
      <c r="S1208" s="223"/>
      <c r="T1208" s="223"/>
      <c r="W1208" s="265"/>
      <c r="X1208" s="223"/>
      <c r="Y1208" s="223"/>
    </row>
    <row r="1209" spans="19:25">
      <c r="S1209" s="223"/>
      <c r="T1209" s="223"/>
      <c r="W1209" s="265"/>
      <c r="X1209" s="223"/>
      <c r="Y1209" s="223"/>
    </row>
    <row r="1210" spans="19:25">
      <c r="S1210" s="223"/>
      <c r="T1210" s="223"/>
      <c r="W1210" s="265"/>
      <c r="X1210" s="223"/>
      <c r="Y1210" s="223"/>
    </row>
    <row r="1211" spans="19:25">
      <c r="S1211" s="223"/>
      <c r="T1211" s="223"/>
      <c r="W1211" s="265"/>
      <c r="X1211" s="223"/>
      <c r="Y1211" s="223"/>
    </row>
    <row r="1212" spans="19:25">
      <c r="S1212" s="223"/>
      <c r="T1212" s="223"/>
      <c r="W1212" s="265"/>
      <c r="X1212" s="223"/>
      <c r="Y1212" s="223"/>
    </row>
    <row r="1213" spans="19:25">
      <c r="S1213" s="223"/>
      <c r="T1213" s="223"/>
      <c r="W1213" s="265"/>
      <c r="X1213" s="223"/>
      <c r="Y1213" s="223"/>
    </row>
    <row r="1214" spans="19:25">
      <c r="S1214" s="223"/>
      <c r="T1214" s="223"/>
      <c r="W1214" s="265"/>
      <c r="X1214" s="223"/>
      <c r="Y1214" s="223"/>
    </row>
    <row r="1215" spans="19:25">
      <c r="S1215" s="223"/>
      <c r="T1215" s="223"/>
      <c r="W1215" s="265"/>
      <c r="X1215" s="223"/>
      <c r="Y1215" s="223"/>
    </row>
    <row r="1216" spans="19:25">
      <c r="S1216" s="223"/>
      <c r="T1216" s="223"/>
      <c r="W1216" s="265"/>
      <c r="X1216" s="223"/>
      <c r="Y1216" s="223"/>
    </row>
    <row r="1217" spans="19:25">
      <c r="S1217" s="223"/>
      <c r="T1217" s="223"/>
      <c r="W1217" s="265"/>
      <c r="X1217" s="223"/>
      <c r="Y1217" s="223"/>
    </row>
    <row r="1218" spans="19:25">
      <c r="S1218" s="223"/>
      <c r="T1218" s="223"/>
      <c r="W1218" s="265"/>
      <c r="X1218" s="223"/>
      <c r="Y1218" s="223"/>
    </row>
    <row r="1219" spans="19:25">
      <c r="S1219" s="223"/>
      <c r="T1219" s="223"/>
      <c r="W1219" s="265"/>
      <c r="X1219" s="223"/>
      <c r="Y1219" s="223"/>
    </row>
    <row r="1220" spans="19:25">
      <c r="S1220" s="223"/>
      <c r="T1220" s="223"/>
      <c r="W1220" s="265"/>
      <c r="X1220" s="223"/>
      <c r="Y1220" s="223"/>
    </row>
    <row r="1221" spans="19:25">
      <c r="S1221" s="223"/>
      <c r="T1221" s="223"/>
      <c r="W1221" s="265"/>
      <c r="X1221" s="223"/>
      <c r="Y1221" s="223"/>
    </row>
    <row r="1222" spans="19:25">
      <c r="S1222" s="223"/>
      <c r="T1222" s="223"/>
      <c r="W1222" s="265"/>
      <c r="X1222" s="223"/>
      <c r="Y1222" s="223"/>
    </row>
    <row r="1223" spans="19:25">
      <c r="S1223" s="223"/>
      <c r="T1223" s="223"/>
      <c r="W1223" s="265"/>
      <c r="X1223" s="223"/>
      <c r="Y1223" s="223"/>
    </row>
    <row r="1224" spans="19:25">
      <c r="S1224" s="223"/>
      <c r="T1224" s="223"/>
      <c r="W1224" s="265"/>
      <c r="X1224" s="223"/>
      <c r="Y1224" s="223"/>
    </row>
    <row r="1225" spans="19:25">
      <c r="S1225" s="223"/>
      <c r="T1225" s="223"/>
      <c r="W1225" s="265"/>
      <c r="X1225" s="223"/>
      <c r="Y1225" s="223"/>
    </row>
    <row r="1226" spans="19:25">
      <c r="S1226" s="223"/>
      <c r="T1226" s="223"/>
      <c r="W1226" s="265"/>
      <c r="X1226" s="223"/>
      <c r="Y1226" s="223"/>
    </row>
    <row r="1227" spans="19:25">
      <c r="S1227" s="223"/>
      <c r="T1227" s="223"/>
      <c r="W1227" s="265"/>
      <c r="X1227" s="223"/>
      <c r="Y1227" s="223"/>
    </row>
    <row r="1228" spans="19:25">
      <c r="S1228" s="223"/>
      <c r="T1228" s="223"/>
      <c r="W1228" s="265"/>
      <c r="X1228" s="223"/>
      <c r="Y1228" s="223"/>
    </row>
    <row r="1229" spans="19:25">
      <c r="S1229" s="223"/>
      <c r="T1229" s="223"/>
      <c r="W1229" s="265"/>
      <c r="X1229" s="223"/>
      <c r="Y1229" s="223"/>
    </row>
    <row r="1230" spans="19:25">
      <c r="S1230" s="223"/>
      <c r="T1230" s="223"/>
      <c r="W1230" s="265"/>
      <c r="X1230" s="223"/>
      <c r="Y1230" s="223"/>
    </row>
    <row r="1231" spans="19:25">
      <c r="S1231" s="223"/>
      <c r="T1231" s="223"/>
      <c r="W1231" s="265"/>
      <c r="X1231" s="223"/>
      <c r="Y1231" s="223"/>
    </row>
    <row r="1232" spans="19:25">
      <c r="S1232" s="223"/>
      <c r="T1232" s="223"/>
      <c r="W1232" s="265"/>
      <c r="X1232" s="223"/>
      <c r="Y1232" s="223"/>
    </row>
    <row r="1233" spans="19:25">
      <c r="S1233" s="223"/>
      <c r="T1233" s="223"/>
      <c r="W1233" s="265"/>
      <c r="X1233" s="223"/>
      <c r="Y1233" s="223"/>
    </row>
    <row r="1234" spans="19:25">
      <c r="S1234" s="223"/>
      <c r="T1234" s="223"/>
      <c r="W1234" s="265"/>
      <c r="X1234" s="223"/>
      <c r="Y1234" s="223"/>
    </row>
    <row r="1235" spans="19:25">
      <c r="S1235" s="223"/>
      <c r="T1235" s="223"/>
      <c r="W1235" s="265"/>
      <c r="X1235" s="223"/>
      <c r="Y1235" s="223"/>
    </row>
    <row r="1236" spans="19:25">
      <c r="S1236" s="223"/>
      <c r="T1236" s="223"/>
      <c r="W1236" s="265"/>
      <c r="X1236" s="223"/>
      <c r="Y1236" s="223"/>
    </row>
    <row r="1237" spans="19:25">
      <c r="S1237" s="223"/>
      <c r="T1237" s="223"/>
      <c r="W1237" s="265"/>
      <c r="X1237" s="223"/>
      <c r="Y1237" s="223"/>
    </row>
    <row r="1238" spans="19:25">
      <c r="S1238" s="223"/>
      <c r="T1238" s="223"/>
      <c r="W1238" s="265"/>
      <c r="X1238" s="223"/>
      <c r="Y1238" s="223"/>
    </row>
    <row r="1239" spans="19:25">
      <c r="S1239" s="223"/>
      <c r="T1239" s="223"/>
      <c r="W1239" s="265"/>
      <c r="X1239" s="223"/>
      <c r="Y1239" s="223"/>
    </row>
    <row r="1240" spans="19:25">
      <c r="S1240" s="223"/>
      <c r="T1240" s="223"/>
      <c r="W1240" s="265"/>
      <c r="X1240" s="223"/>
      <c r="Y1240" s="223"/>
    </row>
    <row r="1241" spans="19:25">
      <c r="S1241" s="223"/>
      <c r="T1241" s="223"/>
      <c r="W1241" s="265"/>
      <c r="X1241" s="223"/>
      <c r="Y1241" s="223"/>
    </row>
    <row r="1242" spans="19:25">
      <c r="S1242" s="223"/>
      <c r="T1242" s="223"/>
      <c r="W1242" s="265"/>
      <c r="X1242" s="223"/>
      <c r="Y1242" s="223"/>
    </row>
    <row r="1243" spans="19:25">
      <c r="S1243" s="223"/>
      <c r="T1243" s="223"/>
      <c r="W1243" s="265"/>
      <c r="X1243" s="223"/>
      <c r="Y1243" s="223"/>
    </row>
    <row r="1244" spans="19:25">
      <c r="S1244" s="223"/>
      <c r="T1244" s="223"/>
      <c r="W1244" s="265"/>
      <c r="X1244" s="223"/>
      <c r="Y1244" s="223"/>
    </row>
    <row r="1245" spans="19:25">
      <c r="S1245" s="223"/>
      <c r="T1245" s="223"/>
      <c r="W1245" s="265"/>
      <c r="X1245" s="223"/>
      <c r="Y1245" s="223"/>
    </row>
    <row r="1246" spans="19:25">
      <c r="S1246" s="223"/>
      <c r="T1246" s="223"/>
      <c r="W1246" s="265"/>
      <c r="X1246" s="223"/>
      <c r="Y1246" s="223"/>
    </row>
    <row r="1247" spans="19:25">
      <c r="S1247" s="223"/>
      <c r="T1247" s="223"/>
      <c r="W1247" s="265"/>
      <c r="X1247" s="223"/>
      <c r="Y1247" s="223"/>
    </row>
    <row r="1248" spans="19:25">
      <c r="S1248" s="223"/>
      <c r="T1248" s="223"/>
      <c r="W1248" s="265"/>
      <c r="X1248" s="223"/>
      <c r="Y1248" s="223"/>
    </row>
    <row r="1249" spans="19:25">
      <c r="S1249" s="223"/>
      <c r="T1249" s="223"/>
      <c r="W1249" s="265"/>
      <c r="X1249" s="223"/>
      <c r="Y1249" s="223"/>
    </row>
    <row r="1250" spans="19:25">
      <c r="S1250" s="223"/>
      <c r="T1250" s="223"/>
      <c r="W1250" s="265"/>
      <c r="X1250" s="223"/>
      <c r="Y1250" s="223"/>
    </row>
    <row r="1251" spans="19:25">
      <c r="S1251" s="223"/>
      <c r="T1251" s="223"/>
      <c r="W1251" s="265"/>
      <c r="X1251" s="223"/>
      <c r="Y1251" s="223"/>
    </row>
    <row r="1252" spans="19:25">
      <c r="S1252" s="223"/>
      <c r="T1252" s="223"/>
      <c r="W1252" s="265"/>
      <c r="X1252" s="223"/>
      <c r="Y1252" s="223"/>
    </row>
    <row r="1253" spans="19:25">
      <c r="S1253" s="223"/>
      <c r="T1253" s="223"/>
      <c r="W1253" s="265"/>
      <c r="X1253" s="223"/>
      <c r="Y1253" s="223"/>
    </row>
    <row r="1254" spans="19:25">
      <c r="S1254" s="223"/>
      <c r="T1254" s="223"/>
      <c r="W1254" s="265"/>
      <c r="X1254" s="223"/>
      <c r="Y1254" s="223"/>
    </row>
    <row r="1255" spans="19:25">
      <c r="S1255" s="223"/>
      <c r="T1255" s="223"/>
      <c r="W1255" s="265"/>
      <c r="X1255" s="223"/>
      <c r="Y1255" s="223"/>
    </row>
    <row r="1256" spans="19:25">
      <c r="S1256" s="223"/>
      <c r="T1256" s="223"/>
      <c r="W1256" s="265"/>
      <c r="X1256" s="223"/>
      <c r="Y1256" s="223"/>
    </row>
    <row r="1257" spans="19:25">
      <c r="S1257" s="223"/>
      <c r="T1257" s="223"/>
      <c r="W1257" s="265"/>
      <c r="X1257" s="223"/>
      <c r="Y1257" s="223"/>
    </row>
    <row r="1258" spans="19:25">
      <c r="S1258" s="223"/>
      <c r="T1258" s="223"/>
      <c r="W1258" s="265"/>
      <c r="X1258" s="223"/>
      <c r="Y1258" s="223"/>
    </row>
    <row r="1259" spans="19:25">
      <c r="S1259" s="223"/>
      <c r="T1259" s="223"/>
      <c r="W1259" s="265"/>
      <c r="X1259" s="223"/>
      <c r="Y1259" s="223"/>
    </row>
    <row r="1260" spans="19:25">
      <c r="S1260" s="223"/>
      <c r="T1260" s="223"/>
      <c r="W1260" s="265"/>
      <c r="X1260" s="223"/>
      <c r="Y1260" s="223"/>
    </row>
    <row r="1261" spans="19:25">
      <c r="S1261" s="223"/>
      <c r="T1261" s="223"/>
      <c r="W1261" s="265"/>
      <c r="X1261" s="223"/>
      <c r="Y1261" s="223"/>
    </row>
    <row r="1262" spans="19:25">
      <c r="S1262" s="223"/>
      <c r="T1262" s="223"/>
      <c r="W1262" s="265"/>
      <c r="X1262" s="223"/>
      <c r="Y1262" s="223"/>
    </row>
    <row r="1263" spans="19:25">
      <c r="S1263" s="223"/>
      <c r="T1263" s="223"/>
      <c r="W1263" s="265"/>
      <c r="X1263" s="223"/>
      <c r="Y1263" s="223"/>
    </row>
    <row r="1264" spans="19:25">
      <c r="S1264" s="223"/>
      <c r="T1264" s="223"/>
      <c r="W1264" s="265"/>
      <c r="X1264" s="223"/>
      <c r="Y1264" s="223"/>
    </row>
    <row r="1265" spans="19:25">
      <c r="S1265" s="223"/>
      <c r="T1265" s="223"/>
      <c r="W1265" s="265"/>
      <c r="X1265" s="223"/>
      <c r="Y1265" s="223"/>
    </row>
    <row r="1266" spans="19:25">
      <c r="S1266" s="223"/>
      <c r="T1266" s="223"/>
      <c r="W1266" s="265"/>
      <c r="X1266" s="223"/>
      <c r="Y1266" s="223"/>
    </row>
    <row r="1267" spans="19:25">
      <c r="S1267" s="223"/>
      <c r="T1267" s="223"/>
      <c r="W1267" s="265"/>
      <c r="X1267" s="223"/>
      <c r="Y1267" s="223"/>
    </row>
    <row r="1268" spans="19:25">
      <c r="S1268" s="223"/>
      <c r="T1268" s="223"/>
      <c r="W1268" s="265"/>
      <c r="X1268" s="223"/>
      <c r="Y1268" s="223"/>
    </row>
    <row r="1269" spans="19:25">
      <c r="S1269" s="223"/>
      <c r="T1269" s="223"/>
      <c r="W1269" s="265"/>
      <c r="X1269" s="223"/>
      <c r="Y1269" s="223"/>
    </row>
    <row r="1270" spans="19:25">
      <c r="S1270" s="223"/>
      <c r="T1270" s="223"/>
      <c r="W1270" s="265"/>
      <c r="X1270" s="223"/>
      <c r="Y1270" s="223"/>
    </row>
    <row r="1271" spans="19:25">
      <c r="S1271" s="223"/>
      <c r="T1271" s="223"/>
      <c r="W1271" s="265"/>
      <c r="X1271" s="223"/>
      <c r="Y1271" s="223"/>
    </row>
    <row r="1272" spans="19:25">
      <c r="S1272" s="223"/>
      <c r="T1272" s="223"/>
      <c r="W1272" s="265"/>
      <c r="X1272" s="223"/>
      <c r="Y1272" s="223"/>
    </row>
    <row r="1273" spans="19:25">
      <c r="S1273" s="223"/>
      <c r="T1273" s="223"/>
      <c r="W1273" s="265"/>
      <c r="X1273" s="223"/>
      <c r="Y1273" s="223"/>
    </row>
    <row r="1274" spans="19:25">
      <c r="S1274" s="223"/>
      <c r="T1274" s="223"/>
      <c r="W1274" s="265"/>
      <c r="X1274" s="223"/>
      <c r="Y1274" s="223"/>
    </row>
    <row r="1275" spans="19:25">
      <c r="S1275" s="223"/>
      <c r="T1275" s="223"/>
      <c r="W1275" s="265"/>
      <c r="X1275" s="223"/>
      <c r="Y1275" s="223"/>
    </row>
    <row r="1276" spans="19:25">
      <c r="S1276" s="223"/>
      <c r="T1276" s="223"/>
      <c r="W1276" s="265"/>
      <c r="X1276" s="223"/>
      <c r="Y1276" s="223"/>
    </row>
    <row r="1277" spans="19:25">
      <c r="S1277" s="223"/>
      <c r="T1277" s="223"/>
      <c r="W1277" s="265"/>
      <c r="X1277" s="223"/>
      <c r="Y1277" s="223"/>
    </row>
    <row r="1278" spans="19:25">
      <c r="S1278" s="223"/>
      <c r="T1278" s="223"/>
      <c r="W1278" s="265"/>
      <c r="X1278" s="223"/>
      <c r="Y1278" s="223"/>
    </row>
    <row r="1279" spans="19:25">
      <c r="S1279" s="223"/>
      <c r="T1279" s="223"/>
      <c r="W1279" s="265"/>
      <c r="X1279" s="223"/>
      <c r="Y1279" s="223"/>
    </row>
    <row r="1280" spans="19:25">
      <c r="S1280" s="223"/>
      <c r="T1280" s="223"/>
      <c r="W1280" s="265"/>
      <c r="X1280" s="223"/>
      <c r="Y1280" s="223"/>
    </row>
    <row r="1281" spans="19:25">
      <c r="S1281" s="223"/>
      <c r="T1281" s="223"/>
      <c r="W1281" s="265"/>
      <c r="X1281" s="223"/>
      <c r="Y1281" s="223"/>
    </row>
    <row r="1282" spans="19:25">
      <c r="S1282" s="223"/>
      <c r="T1282" s="223"/>
      <c r="W1282" s="265"/>
      <c r="X1282" s="223"/>
      <c r="Y1282" s="223"/>
    </row>
    <row r="1283" spans="19:25">
      <c r="S1283" s="223"/>
      <c r="T1283" s="223"/>
      <c r="W1283" s="265"/>
      <c r="X1283" s="223"/>
      <c r="Y1283" s="223"/>
    </row>
    <row r="1284" spans="19:25">
      <c r="S1284" s="223"/>
      <c r="T1284" s="223"/>
      <c r="W1284" s="265"/>
      <c r="X1284" s="223"/>
      <c r="Y1284" s="223"/>
    </row>
    <row r="1285" spans="19:25">
      <c r="S1285" s="223"/>
      <c r="T1285" s="223"/>
      <c r="W1285" s="265"/>
      <c r="X1285" s="223"/>
      <c r="Y1285" s="223"/>
    </row>
    <row r="1286" spans="19:25">
      <c r="S1286" s="223"/>
      <c r="T1286" s="223"/>
      <c r="W1286" s="265"/>
      <c r="X1286" s="223"/>
      <c r="Y1286" s="223"/>
    </row>
    <row r="1287" spans="19:25">
      <c r="S1287" s="223"/>
      <c r="T1287" s="223"/>
      <c r="W1287" s="265"/>
      <c r="X1287" s="223"/>
      <c r="Y1287" s="223"/>
    </row>
    <row r="1288" spans="19:25">
      <c r="S1288" s="223"/>
      <c r="T1288" s="223"/>
      <c r="W1288" s="265"/>
      <c r="X1288" s="223"/>
      <c r="Y1288" s="223"/>
    </row>
    <row r="1289" spans="19:25">
      <c r="S1289" s="223"/>
      <c r="T1289" s="223"/>
      <c r="W1289" s="265"/>
      <c r="X1289" s="223"/>
      <c r="Y1289" s="223"/>
    </row>
    <row r="1290" spans="19:25">
      <c r="S1290" s="223"/>
      <c r="T1290" s="223"/>
      <c r="W1290" s="265"/>
      <c r="X1290" s="223"/>
      <c r="Y1290" s="223"/>
    </row>
    <row r="1291" spans="19:25">
      <c r="S1291" s="223"/>
      <c r="T1291" s="223"/>
      <c r="W1291" s="265"/>
      <c r="X1291" s="223"/>
      <c r="Y1291" s="223"/>
    </row>
    <row r="1292" spans="19:25">
      <c r="S1292" s="223"/>
      <c r="T1292" s="223"/>
      <c r="W1292" s="265"/>
      <c r="X1292" s="223"/>
      <c r="Y1292" s="223"/>
    </row>
    <row r="1293" spans="19:25">
      <c r="S1293" s="223"/>
      <c r="T1293" s="223"/>
      <c r="W1293" s="265"/>
      <c r="X1293" s="223"/>
      <c r="Y1293" s="223"/>
    </row>
    <row r="1294" spans="19:25">
      <c r="S1294" s="223"/>
      <c r="T1294" s="223"/>
      <c r="W1294" s="265"/>
      <c r="X1294" s="223"/>
      <c r="Y1294" s="223"/>
    </row>
    <row r="1295" spans="19:25">
      <c r="S1295" s="223"/>
      <c r="T1295" s="223"/>
      <c r="W1295" s="265"/>
      <c r="X1295" s="223"/>
      <c r="Y1295" s="223"/>
    </row>
    <row r="1296" spans="19:25">
      <c r="S1296" s="223"/>
      <c r="T1296" s="223"/>
      <c r="W1296" s="265"/>
      <c r="X1296" s="223"/>
      <c r="Y1296" s="223"/>
    </row>
    <row r="1297" spans="19:25">
      <c r="S1297" s="223"/>
      <c r="T1297" s="223"/>
      <c r="W1297" s="265"/>
      <c r="X1297" s="223"/>
      <c r="Y1297" s="223"/>
    </row>
    <row r="1298" spans="19:25">
      <c r="S1298" s="223"/>
      <c r="T1298" s="223"/>
      <c r="W1298" s="265"/>
      <c r="X1298" s="223"/>
      <c r="Y1298" s="223"/>
    </row>
    <row r="1299" spans="19:25">
      <c r="S1299" s="223"/>
      <c r="T1299" s="223"/>
      <c r="W1299" s="265"/>
      <c r="X1299" s="223"/>
      <c r="Y1299" s="223"/>
    </row>
    <row r="1300" spans="19:25">
      <c r="S1300" s="223"/>
      <c r="T1300" s="223"/>
      <c r="W1300" s="265"/>
      <c r="X1300" s="223"/>
      <c r="Y1300" s="223"/>
    </row>
    <row r="1301" spans="19:25">
      <c r="S1301" s="223"/>
      <c r="T1301" s="223"/>
      <c r="W1301" s="265"/>
      <c r="X1301" s="223"/>
      <c r="Y1301" s="223"/>
    </row>
    <row r="1302" spans="19:25">
      <c r="S1302" s="223"/>
      <c r="T1302" s="223"/>
      <c r="W1302" s="265"/>
      <c r="X1302" s="223"/>
      <c r="Y1302" s="223"/>
    </row>
    <row r="1303" spans="19:25">
      <c r="S1303" s="223"/>
      <c r="T1303" s="223"/>
      <c r="W1303" s="265"/>
      <c r="X1303" s="223"/>
      <c r="Y1303" s="223"/>
    </row>
    <row r="1304" spans="19:25">
      <c r="S1304" s="223"/>
      <c r="T1304" s="223"/>
      <c r="W1304" s="265"/>
      <c r="X1304" s="223"/>
      <c r="Y1304" s="223"/>
    </row>
    <row r="1305" spans="19:25">
      <c r="S1305" s="223"/>
      <c r="T1305" s="223"/>
      <c r="W1305" s="265"/>
      <c r="X1305" s="223"/>
      <c r="Y1305" s="223"/>
    </row>
    <row r="1306" spans="19:25">
      <c r="S1306" s="223"/>
      <c r="T1306" s="223"/>
      <c r="W1306" s="265"/>
      <c r="X1306" s="223"/>
      <c r="Y1306" s="223"/>
    </row>
    <row r="1307" spans="19:25">
      <c r="S1307" s="223"/>
      <c r="T1307" s="223"/>
      <c r="W1307" s="265"/>
      <c r="X1307" s="223"/>
      <c r="Y1307" s="223"/>
    </row>
    <row r="1308" spans="19:25">
      <c r="S1308" s="223"/>
      <c r="T1308" s="223"/>
      <c r="W1308" s="265"/>
      <c r="X1308" s="223"/>
      <c r="Y1308" s="223"/>
    </row>
    <row r="1309" spans="19:25">
      <c r="S1309" s="223"/>
      <c r="T1309" s="223"/>
      <c r="W1309" s="265"/>
      <c r="X1309" s="223"/>
      <c r="Y1309" s="223"/>
    </row>
    <row r="1310" spans="19:25">
      <c r="S1310" s="223"/>
      <c r="T1310" s="223"/>
      <c r="W1310" s="265"/>
      <c r="X1310" s="223"/>
      <c r="Y1310" s="223"/>
    </row>
    <row r="1311" spans="19:25">
      <c r="S1311" s="223"/>
      <c r="T1311" s="223"/>
      <c r="W1311" s="265"/>
      <c r="X1311" s="223"/>
      <c r="Y1311" s="223"/>
    </row>
    <row r="1312" spans="19:25">
      <c r="S1312" s="223"/>
      <c r="T1312" s="223"/>
      <c r="W1312" s="265"/>
      <c r="X1312" s="223"/>
      <c r="Y1312" s="223"/>
    </row>
    <row r="1313" spans="19:25">
      <c r="S1313" s="223"/>
      <c r="T1313" s="223"/>
      <c r="W1313" s="265"/>
      <c r="X1313" s="223"/>
      <c r="Y1313" s="223"/>
    </row>
    <row r="1314" spans="19:25">
      <c r="S1314" s="223"/>
      <c r="T1314" s="223"/>
      <c r="W1314" s="265"/>
      <c r="X1314" s="223"/>
      <c r="Y1314" s="223"/>
    </row>
    <row r="1315" spans="19:25">
      <c r="S1315" s="223"/>
      <c r="T1315" s="223"/>
      <c r="W1315" s="265"/>
      <c r="X1315" s="223"/>
      <c r="Y1315" s="223"/>
    </row>
    <row r="1316" spans="19:25">
      <c r="S1316" s="223"/>
      <c r="T1316" s="223"/>
      <c r="W1316" s="265"/>
      <c r="X1316" s="223"/>
      <c r="Y1316" s="223"/>
    </row>
    <row r="1317" spans="19:25">
      <c r="S1317" s="223"/>
      <c r="T1317" s="223"/>
      <c r="W1317" s="265"/>
      <c r="X1317" s="223"/>
      <c r="Y1317" s="223"/>
    </row>
    <row r="1318" spans="19:25">
      <c r="S1318" s="223"/>
      <c r="T1318" s="223"/>
      <c r="W1318" s="265"/>
      <c r="X1318" s="223"/>
      <c r="Y1318" s="223"/>
    </row>
    <row r="1319" spans="19:25">
      <c r="S1319" s="223"/>
      <c r="T1319" s="223"/>
      <c r="W1319" s="265"/>
      <c r="X1319" s="223"/>
      <c r="Y1319" s="223"/>
    </row>
    <row r="1320" spans="19:25">
      <c r="S1320" s="223"/>
      <c r="T1320" s="223"/>
      <c r="W1320" s="265"/>
      <c r="X1320" s="223"/>
      <c r="Y1320" s="223"/>
    </row>
    <row r="1321" spans="19:25">
      <c r="S1321" s="223"/>
      <c r="T1321" s="223"/>
      <c r="W1321" s="265"/>
      <c r="X1321" s="223"/>
      <c r="Y1321" s="223"/>
    </row>
    <row r="1322" spans="19:25">
      <c r="S1322" s="223"/>
      <c r="T1322" s="223"/>
      <c r="W1322" s="265"/>
      <c r="X1322" s="223"/>
      <c r="Y1322" s="223"/>
    </row>
    <row r="1323" spans="19:25">
      <c r="S1323" s="223"/>
      <c r="T1323" s="223"/>
      <c r="W1323" s="265"/>
      <c r="X1323" s="223"/>
      <c r="Y1323" s="223"/>
    </row>
    <row r="1324" spans="19:25">
      <c r="S1324" s="223"/>
      <c r="T1324" s="223"/>
      <c r="W1324" s="265"/>
      <c r="X1324" s="223"/>
      <c r="Y1324" s="223"/>
    </row>
    <row r="1325" spans="19:25">
      <c r="S1325" s="223"/>
      <c r="T1325" s="223"/>
      <c r="W1325" s="265"/>
      <c r="X1325" s="223"/>
      <c r="Y1325" s="223"/>
    </row>
    <row r="1326" spans="19:25">
      <c r="S1326" s="223"/>
      <c r="T1326" s="223"/>
      <c r="W1326" s="265"/>
      <c r="X1326" s="223"/>
      <c r="Y1326" s="223"/>
    </row>
    <row r="1327" spans="19:25">
      <c r="S1327" s="223"/>
      <c r="T1327" s="223"/>
      <c r="W1327" s="265"/>
      <c r="X1327" s="223"/>
      <c r="Y1327" s="223"/>
    </row>
    <row r="1328" spans="19:25">
      <c r="S1328" s="223"/>
      <c r="T1328" s="223"/>
      <c r="W1328" s="265"/>
      <c r="X1328" s="223"/>
      <c r="Y1328" s="223"/>
    </row>
    <row r="1329" spans="19:25">
      <c r="S1329" s="223"/>
      <c r="T1329" s="223"/>
      <c r="W1329" s="265"/>
      <c r="X1329" s="223"/>
      <c r="Y1329" s="223"/>
    </row>
    <row r="1330" spans="19:25">
      <c r="S1330" s="223"/>
      <c r="T1330" s="223"/>
      <c r="W1330" s="265"/>
      <c r="X1330" s="223"/>
      <c r="Y1330" s="223"/>
    </row>
    <row r="1331" spans="19:25">
      <c r="S1331" s="223"/>
      <c r="T1331" s="223"/>
      <c r="W1331" s="265"/>
      <c r="X1331" s="223"/>
      <c r="Y1331" s="223"/>
    </row>
    <row r="1332" spans="19:25">
      <c r="S1332" s="223"/>
      <c r="T1332" s="223"/>
      <c r="W1332" s="265"/>
      <c r="X1332" s="223"/>
      <c r="Y1332" s="223"/>
    </row>
    <row r="1333" spans="19:25">
      <c r="S1333" s="223"/>
      <c r="T1333" s="223"/>
      <c r="W1333" s="265"/>
      <c r="X1333" s="223"/>
      <c r="Y1333" s="223"/>
    </row>
    <row r="1334" spans="19:25">
      <c r="S1334" s="223"/>
      <c r="T1334" s="223"/>
      <c r="W1334" s="265"/>
      <c r="X1334" s="223"/>
      <c r="Y1334" s="223"/>
    </row>
    <row r="1335" spans="19:25">
      <c r="S1335" s="223"/>
      <c r="T1335" s="223"/>
      <c r="W1335" s="265"/>
      <c r="X1335" s="223"/>
      <c r="Y1335" s="223"/>
    </row>
    <row r="1336" spans="19:25">
      <c r="S1336" s="223"/>
      <c r="T1336" s="223"/>
      <c r="W1336" s="265"/>
      <c r="X1336" s="223"/>
      <c r="Y1336" s="223"/>
    </row>
    <row r="1337" spans="19:25">
      <c r="S1337" s="223"/>
      <c r="T1337" s="223"/>
      <c r="W1337" s="265"/>
      <c r="X1337" s="223"/>
      <c r="Y1337" s="223"/>
    </row>
    <row r="1338" spans="19:25">
      <c r="S1338" s="223"/>
      <c r="T1338" s="223"/>
      <c r="W1338" s="265"/>
      <c r="X1338" s="223"/>
      <c r="Y1338" s="223"/>
    </row>
    <row r="1339" spans="19:25">
      <c r="S1339" s="223"/>
      <c r="T1339" s="223"/>
      <c r="W1339" s="265"/>
      <c r="X1339" s="223"/>
      <c r="Y1339" s="223"/>
    </row>
    <row r="1340" spans="19:25">
      <c r="S1340" s="223"/>
      <c r="T1340" s="223"/>
      <c r="W1340" s="265"/>
      <c r="X1340" s="223"/>
      <c r="Y1340" s="223"/>
    </row>
    <row r="1341" spans="19:25">
      <c r="S1341" s="223"/>
      <c r="T1341" s="223"/>
      <c r="W1341" s="265"/>
      <c r="X1341" s="223"/>
      <c r="Y1341" s="223"/>
    </row>
    <row r="1342" spans="19:25">
      <c r="S1342" s="223"/>
      <c r="T1342" s="223"/>
      <c r="W1342" s="265"/>
      <c r="X1342" s="223"/>
      <c r="Y1342" s="223"/>
    </row>
    <row r="1343" spans="19:25">
      <c r="S1343" s="223"/>
      <c r="T1343" s="223"/>
      <c r="W1343" s="265"/>
      <c r="X1343" s="223"/>
      <c r="Y1343" s="223"/>
    </row>
    <row r="1344" spans="19:25">
      <c r="S1344" s="223"/>
      <c r="T1344" s="223"/>
      <c r="W1344" s="265"/>
      <c r="X1344" s="223"/>
      <c r="Y1344" s="223"/>
    </row>
    <row r="1345" spans="19:25">
      <c r="S1345" s="223"/>
      <c r="T1345" s="223"/>
      <c r="W1345" s="265"/>
      <c r="X1345" s="223"/>
      <c r="Y1345" s="223"/>
    </row>
    <row r="1346" spans="19:25">
      <c r="S1346" s="223"/>
      <c r="T1346" s="223"/>
      <c r="W1346" s="265"/>
      <c r="X1346" s="223"/>
      <c r="Y1346" s="223"/>
    </row>
    <row r="1347" spans="19:25">
      <c r="S1347" s="223"/>
      <c r="T1347" s="223"/>
      <c r="W1347" s="265"/>
      <c r="X1347" s="223"/>
      <c r="Y1347" s="223"/>
    </row>
    <row r="1348" spans="19:25">
      <c r="S1348" s="223"/>
      <c r="T1348" s="223"/>
      <c r="W1348" s="265"/>
      <c r="X1348" s="223"/>
      <c r="Y1348" s="223"/>
    </row>
    <row r="1349" spans="19:25">
      <c r="S1349" s="223"/>
      <c r="T1349" s="223"/>
      <c r="W1349" s="265"/>
      <c r="X1349" s="223"/>
      <c r="Y1349" s="223"/>
    </row>
    <row r="1350" spans="19:25">
      <c r="S1350" s="223"/>
      <c r="T1350" s="223"/>
      <c r="W1350" s="265"/>
      <c r="X1350" s="223"/>
      <c r="Y1350" s="223"/>
    </row>
    <row r="1351" spans="19:25">
      <c r="S1351" s="223"/>
      <c r="T1351" s="223"/>
      <c r="W1351" s="265"/>
      <c r="X1351" s="223"/>
      <c r="Y1351" s="223"/>
    </row>
    <row r="1352" spans="19:25">
      <c r="S1352" s="223"/>
      <c r="T1352" s="223"/>
      <c r="W1352" s="265"/>
      <c r="X1352" s="223"/>
      <c r="Y1352" s="223"/>
    </row>
    <row r="1353" spans="19:25">
      <c r="S1353" s="223"/>
      <c r="T1353" s="223"/>
      <c r="W1353" s="265"/>
      <c r="X1353" s="223"/>
      <c r="Y1353" s="223"/>
    </row>
    <row r="1354" spans="19:25">
      <c r="S1354" s="223"/>
      <c r="T1354" s="223"/>
      <c r="W1354" s="265"/>
      <c r="X1354" s="223"/>
      <c r="Y1354" s="223"/>
    </row>
    <row r="1355" spans="19:25">
      <c r="S1355" s="223"/>
      <c r="T1355" s="223"/>
      <c r="W1355" s="265"/>
      <c r="X1355" s="223"/>
      <c r="Y1355" s="223"/>
    </row>
    <row r="1356" spans="19:25">
      <c r="S1356" s="223"/>
      <c r="T1356" s="223"/>
      <c r="W1356" s="265"/>
      <c r="X1356" s="223"/>
      <c r="Y1356" s="223"/>
    </row>
    <row r="1357" spans="19:25">
      <c r="S1357" s="223"/>
      <c r="T1357" s="223"/>
      <c r="W1357" s="265"/>
      <c r="X1357" s="223"/>
      <c r="Y1357" s="223"/>
    </row>
    <row r="1358" spans="19:25">
      <c r="S1358" s="223"/>
      <c r="T1358" s="223"/>
      <c r="W1358" s="265"/>
      <c r="X1358" s="223"/>
      <c r="Y1358" s="223"/>
    </row>
    <row r="1359" spans="19:25">
      <c r="S1359" s="223"/>
      <c r="T1359" s="223"/>
      <c r="W1359" s="265"/>
      <c r="X1359" s="223"/>
      <c r="Y1359" s="223"/>
    </row>
    <row r="1360" spans="19:25">
      <c r="S1360" s="223"/>
      <c r="T1360" s="223"/>
      <c r="W1360" s="265"/>
      <c r="X1360" s="223"/>
      <c r="Y1360" s="223"/>
    </row>
    <row r="1361" spans="19:25">
      <c r="S1361" s="223"/>
      <c r="T1361" s="223"/>
      <c r="W1361" s="265"/>
      <c r="X1361" s="223"/>
      <c r="Y1361" s="223"/>
    </row>
    <row r="1362" spans="19:25">
      <c r="S1362" s="223"/>
      <c r="T1362" s="223"/>
      <c r="W1362" s="265"/>
      <c r="X1362" s="223"/>
      <c r="Y1362" s="223"/>
    </row>
    <row r="1363" spans="19:25">
      <c r="S1363" s="223"/>
      <c r="T1363" s="223"/>
      <c r="W1363" s="265"/>
      <c r="X1363" s="223"/>
      <c r="Y1363" s="223"/>
    </row>
    <row r="1364" spans="19:25">
      <c r="S1364" s="223"/>
      <c r="T1364" s="223"/>
      <c r="W1364" s="265"/>
      <c r="X1364" s="223"/>
      <c r="Y1364" s="223"/>
    </row>
    <row r="1365" spans="19:25">
      <c r="S1365" s="223"/>
      <c r="T1365" s="223"/>
      <c r="W1365" s="265"/>
      <c r="X1365" s="223"/>
      <c r="Y1365" s="223"/>
    </row>
    <row r="1366" spans="19:25">
      <c r="S1366" s="223"/>
      <c r="T1366" s="223"/>
      <c r="W1366" s="265"/>
      <c r="X1366" s="223"/>
      <c r="Y1366" s="223"/>
    </row>
    <row r="1367" spans="19:25">
      <c r="S1367" s="223"/>
      <c r="T1367" s="223"/>
      <c r="W1367" s="265"/>
      <c r="X1367" s="223"/>
      <c r="Y1367" s="223"/>
    </row>
    <row r="1368" spans="19:25">
      <c r="S1368" s="223"/>
      <c r="T1368" s="223"/>
      <c r="W1368" s="265"/>
      <c r="X1368" s="223"/>
      <c r="Y1368" s="223"/>
    </row>
    <row r="1369" spans="19:25">
      <c r="S1369" s="223"/>
      <c r="T1369" s="223"/>
      <c r="W1369" s="265"/>
      <c r="X1369" s="223"/>
      <c r="Y1369" s="223"/>
    </row>
    <row r="1370" spans="19:25">
      <c r="S1370" s="223"/>
      <c r="T1370" s="223"/>
      <c r="W1370" s="265"/>
      <c r="X1370" s="223"/>
      <c r="Y1370" s="223"/>
    </row>
    <row r="1371" spans="19:25">
      <c r="S1371" s="223"/>
      <c r="T1371" s="223"/>
      <c r="W1371" s="265"/>
      <c r="X1371" s="223"/>
      <c r="Y1371" s="223"/>
    </row>
    <row r="1372" spans="19:25">
      <c r="S1372" s="223"/>
      <c r="T1372" s="223"/>
      <c r="W1372" s="265"/>
      <c r="X1372" s="223"/>
      <c r="Y1372" s="223"/>
    </row>
    <row r="1373" spans="19:25">
      <c r="S1373" s="223"/>
      <c r="T1373" s="223"/>
      <c r="W1373" s="265"/>
      <c r="X1373" s="223"/>
      <c r="Y1373" s="223"/>
    </row>
    <row r="1374" spans="19:25">
      <c r="S1374" s="223"/>
      <c r="T1374" s="223"/>
      <c r="W1374" s="265"/>
      <c r="X1374" s="223"/>
      <c r="Y1374" s="223"/>
    </row>
    <row r="1375" spans="19:25">
      <c r="S1375" s="223"/>
      <c r="T1375" s="223"/>
      <c r="W1375" s="265"/>
      <c r="X1375" s="223"/>
      <c r="Y1375" s="223"/>
    </row>
    <row r="1376" spans="19:25">
      <c r="S1376" s="223"/>
      <c r="T1376" s="223"/>
      <c r="W1376" s="265"/>
      <c r="X1376" s="223"/>
      <c r="Y1376" s="223"/>
    </row>
    <row r="1377" spans="19:25">
      <c r="S1377" s="223"/>
      <c r="T1377" s="223"/>
      <c r="W1377" s="265"/>
      <c r="X1377" s="223"/>
      <c r="Y1377" s="223"/>
    </row>
    <row r="1378" spans="19:25">
      <c r="S1378" s="223"/>
      <c r="T1378" s="223"/>
      <c r="W1378" s="265"/>
      <c r="X1378" s="223"/>
      <c r="Y1378" s="223"/>
    </row>
    <row r="1379" spans="19:25">
      <c r="S1379" s="223"/>
      <c r="T1379" s="223"/>
      <c r="W1379" s="265"/>
      <c r="X1379" s="223"/>
      <c r="Y1379" s="223"/>
    </row>
    <row r="1380" spans="19:25">
      <c r="S1380" s="223"/>
      <c r="T1380" s="223"/>
      <c r="W1380" s="265"/>
      <c r="X1380" s="223"/>
      <c r="Y1380" s="223"/>
    </row>
    <row r="1381" spans="19:25">
      <c r="S1381" s="223"/>
      <c r="T1381" s="223"/>
      <c r="W1381" s="265"/>
      <c r="X1381" s="223"/>
      <c r="Y1381" s="223"/>
    </row>
    <row r="1382" spans="19:25">
      <c r="S1382" s="223"/>
      <c r="T1382" s="223"/>
      <c r="W1382" s="265"/>
      <c r="X1382" s="223"/>
      <c r="Y1382" s="223"/>
    </row>
    <row r="1383" spans="19:25">
      <c r="S1383" s="223"/>
      <c r="T1383" s="223"/>
      <c r="W1383" s="265"/>
      <c r="X1383" s="223"/>
      <c r="Y1383" s="223"/>
    </row>
    <row r="1384" spans="19:25">
      <c r="S1384" s="223"/>
      <c r="T1384" s="223"/>
      <c r="W1384" s="265"/>
      <c r="X1384" s="223"/>
      <c r="Y1384" s="223"/>
    </row>
    <row r="1385" spans="19:25">
      <c r="S1385" s="223"/>
      <c r="T1385" s="223"/>
      <c r="W1385" s="265"/>
      <c r="X1385" s="223"/>
      <c r="Y1385" s="223"/>
    </row>
    <row r="1386" spans="19:25">
      <c r="S1386" s="223"/>
      <c r="T1386" s="223"/>
      <c r="W1386" s="265"/>
      <c r="X1386" s="223"/>
      <c r="Y1386" s="223"/>
    </row>
    <row r="1387" spans="19:25">
      <c r="S1387" s="223"/>
      <c r="T1387" s="223"/>
      <c r="W1387" s="265"/>
      <c r="X1387" s="223"/>
      <c r="Y1387" s="223"/>
    </row>
    <row r="1388" spans="19:25">
      <c r="S1388" s="223"/>
      <c r="T1388" s="223"/>
      <c r="W1388" s="265"/>
      <c r="X1388" s="223"/>
      <c r="Y1388" s="223"/>
    </row>
    <row r="1389" spans="19:25">
      <c r="S1389" s="223"/>
      <c r="T1389" s="223"/>
      <c r="W1389" s="265"/>
      <c r="X1389" s="223"/>
      <c r="Y1389" s="223"/>
    </row>
    <row r="1390" spans="19:25">
      <c r="S1390" s="223"/>
      <c r="T1390" s="223"/>
      <c r="W1390" s="265"/>
      <c r="X1390" s="223"/>
      <c r="Y1390" s="223"/>
    </row>
    <row r="1391" spans="19:25">
      <c r="S1391" s="223"/>
      <c r="T1391" s="223"/>
      <c r="W1391" s="265"/>
      <c r="X1391" s="223"/>
      <c r="Y1391" s="223"/>
    </row>
    <row r="1392" spans="19:25">
      <c r="S1392" s="223"/>
      <c r="T1392" s="223"/>
      <c r="W1392" s="265"/>
      <c r="X1392" s="223"/>
      <c r="Y1392" s="223"/>
    </row>
    <row r="1393" spans="19:25">
      <c r="S1393" s="223"/>
      <c r="T1393" s="223"/>
      <c r="W1393" s="265"/>
      <c r="X1393" s="223"/>
      <c r="Y1393" s="223"/>
    </row>
    <row r="1394" spans="19:25">
      <c r="S1394" s="223"/>
      <c r="T1394" s="223"/>
      <c r="W1394" s="265"/>
      <c r="X1394" s="223"/>
      <c r="Y1394" s="223"/>
    </row>
    <row r="1395" spans="19:25">
      <c r="S1395" s="223"/>
      <c r="T1395" s="223"/>
      <c r="W1395" s="265"/>
      <c r="X1395" s="223"/>
      <c r="Y1395" s="223"/>
    </row>
    <row r="1396" spans="19:25">
      <c r="S1396" s="223"/>
      <c r="T1396" s="223"/>
      <c r="W1396" s="265"/>
      <c r="X1396" s="223"/>
      <c r="Y1396" s="223"/>
    </row>
    <row r="1397" spans="19:25">
      <c r="S1397" s="223"/>
      <c r="T1397" s="223"/>
      <c r="W1397" s="265"/>
      <c r="X1397" s="223"/>
      <c r="Y1397" s="223"/>
    </row>
    <row r="1398" spans="19:25">
      <c r="S1398" s="223"/>
      <c r="T1398" s="223"/>
      <c r="W1398" s="265"/>
      <c r="X1398" s="223"/>
      <c r="Y1398" s="223"/>
    </row>
    <row r="1399" spans="19:25">
      <c r="S1399" s="223"/>
      <c r="T1399" s="223"/>
      <c r="W1399" s="265"/>
      <c r="X1399" s="223"/>
      <c r="Y1399" s="223"/>
    </row>
    <row r="1400" spans="19:25">
      <c r="S1400" s="223"/>
      <c r="T1400" s="223"/>
      <c r="W1400" s="265"/>
      <c r="X1400" s="223"/>
      <c r="Y1400" s="223"/>
    </row>
    <row r="1401" spans="19:25">
      <c r="S1401" s="223"/>
      <c r="T1401" s="223"/>
      <c r="W1401" s="265"/>
      <c r="X1401" s="223"/>
      <c r="Y1401" s="223"/>
    </row>
    <row r="1402" spans="19:25">
      <c r="S1402" s="223"/>
      <c r="T1402" s="223"/>
      <c r="W1402" s="265"/>
      <c r="X1402" s="223"/>
      <c r="Y1402" s="223"/>
    </row>
    <row r="1403" spans="19:25">
      <c r="S1403" s="223"/>
      <c r="T1403" s="223"/>
      <c r="W1403" s="265"/>
      <c r="X1403" s="223"/>
      <c r="Y1403" s="223"/>
    </row>
    <row r="1404" spans="19:25">
      <c r="S1404" s="223"/>
      <c r="T1404" s="223"/>
      <c r="W1404" s="265"/>
      <c r="X1404" s="223"/>
      <c r="Y1404" s="223"/>
    </row>
    <row r="1405" spans="19:25">
      <c r="S1405" s="223"/>
      <c r="T1405" s="223"/>
      <c r="W1405" s="265"/>
      <c r="X1405" s="223"/>
      <c r="Y1405" s="223"/>
    </row>
    <row r="1406" spans="19:25">
      <c r="S1406" s="223"/>
      <c r="T1406" s="223"/>
      <c r="W1406" s="265"/>
      <c r="X1406" s="223"/>
      <c r="Y1406" s="223"/>
    </row>
    <row r="1407" spans="19:25">
      <c r="S1407" s="223"/>
      <c r="T1407" s="223"/>
      <c r="W1407" s="265"/>
      <c r="X1407" s="223"/>
      <c r="Y1407" s="223"/>
    </row>
    <row r="1408" spans="19:25">
      <c r="S1408" s="223"/>
      <c r="T1408" s="223"/>
      <c r="W1408" s="265"/>
      <c r="X1408" s="223"/>
      <c r="Y1408" s="223"/>
    </row>
    <row r="1409" spans="19:25">
      <c r="S1409" s="223"/>
      <c r="T1409" s="223"/>
      <c r="W1409" s="265"/>
      <c r="X1409" s="223"/>
      <c r="Y1409" s="223"/>
    </row>
    <row r="1410" spans="19:25">
      <c r="S1410" s="223"/>
      <c r="T1410" s="223"/>
      <c r="W1410" s="265"/>
      <c r="X1410" s="223"/>
      <c r="Y1410" s="223"/>
    </row>
    <row r="1411" spans="19:25">
      <c r="S1411" s="223"/>
      <c r="T1411" s="223"/>
      <c r="W1411" s="265"/>
      <c r="X1411" s="223"/>
      <c r="Y1411" s="223"/>
    </row>
    <row r="1412" spans="19:25">
      <c r="S1412" s="223"/>
      <c r="T1412" s="223"/>
      <c r="W1412" s="265"/>
      <c r="X1412" s="223"/>
      <c r="Y1412" s="223"/>
    </row>
    <row r="1413" spans="19:25">
      <c r="S1413" s="223"/>
      <c r="T1413" s="223"/>
      <c r="W1413" s="265"/>
      <c r="X1413" s="223"/>
      <c r="Y1413" s="223"/>
    </row>
    <row r="1414" spans="19:25">
      <c r="S1414" s="223"/>
      <c r="T1414" s="223"/>
      <c r="W1414" s="265"/>
      <c r="X1414" s="223"/>
      <c r="Y1414" s="223"/>
    </row>
    <row r="1415" spans="19:25">
      <c r="S1415" s="223"/>
      <c r="T1415" s="223"/>
      <c r="W1415" s="265"/>
      <c r="X1415" s="223"/>
      <c r="Y1415" s="223"/>
    </row>
    <row r="1416" spans="19:25">
      <c r="S1416" s="223"/>
      <c r="T1416" s="223"/>
      <c r="W1416" s="265"/>
      <c r="X1416" s="223"/>
      <c r="Y1416" s="223"/>
    </row>
    <row r="1417" spans="19:25">
      <c r="S1417" s="223"/>
      <c r="T1417" s="223"/>
      <c r="W1417" s="265"/>
      <c r="X1417" s="223"/>
      <c r="Y1417" s="223"/>
    </row>
    <row r="1418" spans="19:25">
      <c r="S1418" s="223"/>
      <c r="T1418" s="223"/>
      <c r="W1418" s="265"/>
      <c r="X1418" s="223"/>
      <c r="Y1418" s="223"/>
    </row>
    <row r="1419" spans="19:25">
      <c r="S1419" s="223"/>
      <c r="T1419" s="223"/>
      <c r="W1419" s="265"/>
      <c r="X1419" s="223"/>
      <c r="Y1419" s="223"/>
    </row>
    <row r="1420" spans="19:25">
      <c r="S1420" s="223"/>
      <c r="T1420" s="223"/>
      <c r="W1420" s="265"/>
      <c r="X1420" s="223"/>
      <c r="Y1420" s="223"/>
    </row>
    <row r="1421" spans="19:25">
      <c r="S1421" s="223"/>
      <c r="T1421" s="223"/>
      <c r="W1421" s="265"/>
      <c r="X1421" s="223"/>
      <c r="Y1421" s="223"/>
    </row>
    <row r="1422" spans="19:25">
      <c r="S1422" s="223"/>
      <c r="T1422" s="223"/>
      <c r="W1422" s="265"/>
      <c r="X1422" s="223"/>
      <c r="Y1422" s="223"/>
    </row>
    <row r="1423" spans="19:25">
      <c r="S1423" s="223"/>
      <c r="T1423" s="223"/>
      <c r="W1423" s="265"/>
      <c r="X1423" s="223"/>
      <c r="Y1423" s="223"/>
    </row>
    <row r="1424" spans="19:25">
      <c r="S1424" s="223"/>
      <c r="T1424" s="223"/>
      <c r="W1424" s="265"/>
      <c r="X1424" s="223"/>
      <c r="Y1424" s="223"/>
    </row>
    <row r="1425" spans="19:25">
      <c r="S1425" s="223"/>
      <c r="T1425" s="223"/>
      <c r="W1425" s="265"/>
      <c r="X1425" s="223"/>
      <c r="Y1425" s="223"/>
    </row>
    <row r="1426" spans="19:25">
      <c r="S1426" s="223"/>
      <c r="T1426" s="223"/>
      <c r="W1426" s="265"/>
      <c r="X1426" s="223"/>
      <c r="Y1426" s="223"/>
    </row>
    <row r="1427" spans="19:25">
      <c r="S1427" s="223"/>
      <c r="T1427" s="223"/>
      <c r="W1427" s="265"/>
      <c r="X1427" s="223"/>
      <c r="Y1427" s="223"/>
    </row>
    <row r="1428" spans="19:25">
      <c r="S1428" s="223"/>
      <c r="T1428" s="223"/>
      <c r="W1428" s="265"/>
      <c r="X1428" s="223"/>
      <c r="Y1428" s="223"/>
    </row>
    <row r="1429" spans="19:25">
      <c r="S1429" s="223"/>
      <c r="T1429" s="223"/>
      <c r="W1429" s="265"/>
      <c r="X1429" s="223"/>
      <c r="Y1429" s="223"/>
    </row>
    <row r="1430" spans="19:25">
      <c r="S1430" s="223"/>
      <c r="T1430" s="223"/>
      <c r="W1430" s="265"/>
      <c r="X1430" s="223"/>
      <c r="Y1430" s="223"/>
    </row>
    <row r="1431" spans="19:25">
      <c r="S1431" s="223"/>
      <c r="T1431" s="223"/>
      <c r="W1431" s="265"/>
      <c r="X1431" s="223"/>
      <c r="Y1431" s="223"/>
    </row>
    <row r="1432" spans="19:25">
      <c r="S1432" s="223"/>
      <c r="T1432" s="223"/>
      <c r="W1432" s="265"/>
      <c r="X1432" s="223"/>
      <c r="Y1432" s="223"/>
    </row>
    <row r="1433" spans="19:25">
      <c r="S1433" s="223"/>
      <c r="T1433" s="223"/>
      <c r="W1433" s="265"/>
      <c r="X1433" s="223"/>
      <c r="Y1433" s="223"/>
    </row>
    <row r="1434" spans="19:25">
      <c r="S1434" s="223"/>
      <c r="T1434" s="223"/>
      <c r="W1434" s="265"/>
      <c r="X1434" s="223"/>
      <c r="Y1434" s="223"/>
    </row>
    <row r="1435" spans="19:25">
      <c r="S1435" s="223"/>
      <c r="T1435" s="223"/>
      <c r="W1435" s="265"/>
      <c r="X1435" s="223"/>
      <c r="Y1435" s="223"/>
    </row>
    <row r="1436" spans="19:25">
      <c r="S1436" s="223"/>
      <c r="T1436" s="223"/>
      <c r="W1436" s="265"/>
      <c r="X1436" s="223"/>
      <c r="Y1436" s="223"/>
    </row>
    <row r="1437" spans="19:25">
      <c r="S1437" s="223"/>
      <c r="T1437" s="223"/>
      <c r="W1437" s="265"/>
      <c r="X1437" s="223"/>
      <c r="Y1437" s="223"/>
    </row>
    <row r="1438" spans="19:25">
      <c r="S1438" s="223"/>
      <c r="T1438" s="223"/>
      <c r="W1438" s="265"/>
      <c r="X1438" s="223"/>
      <c r="Y1438" s="223"/>
    </row>
    <row r="1439" spans="19:25">
      <c r="S1439" s="223"/>
      <c r="T1439" s="223"/>
      <c r="W1439" s="265"/>
      <c r="X1439" s="223"/>
      <c r="Y1439" s="223"/>
    </row>
    <row r="1440" spans="19:25">
      <c r="S1440" s="223"/>
      <c r="T1440" s="223"/>
      <c r="W1440" s="265"/>
      <c r="X1440" s="223"/>
      <c r="Y1440" s="223"/>
    </row>
    <row r="1441" spans="19:25">
      <c r="S1441" s="223"/>
      <c r="T1441" s="223"/>
      <c r="W1441" s="265"/>
      <c r="X1441" s="223"/>
      <c r="Y1441" s="223"/>
    </row>
    <row r="1442" spans="19:25">
      <c r="S1442" s="223"/>
      <c r="T1442" s="223"/>
      <c r="W1442" s="265"/>
      <c r="X1442" s="223"/>
      <c r="Y1442" s="223"/>
    </row>
    <row r="1443" spans="19:25">
      <c r="S1443" s="223"/>
      <c r="T1443" s="223"/>
      <c r="W1443" s="265"/>
      <c r="X1443" s="223"/>
      <c r="Y1443" s="223"/>
    </row>
    <row r="1444" spans="19:25">
      <c r="S1444" s="223"/>
      <c r="T1444" s="223"/>
      <c r="W1444" s="265"/>
      <c r="X1444" s="223"/>
      <c r="Y1444" s="223"/>
    </row>
    <row r="1445" spans="19:25">
      <c r="S1445" s="223"/>
      <c r="T1445" s="223"/>
      <c r="W1445" s="265"/>
      <c r="X1445" s="223"/>
      <c r="Y1445" s="223"/>
    </row>
    <row r="1446" spans="19:25">
      <c r="S1446" s="223"/>
      <c r="T1446" s="223"/>
      <c r="W1446" s="265"/>
      <c r="X1446" s="223"/>
      <c r="Y1446" s="223"/>
    </row>
    <row r="1447" spans="19:25">
      <c r="S1447" s="223"/>
      <c r="T1447" s="223"/>
      <c r="W1447" s="265"/>
      <c r="X1447" s="223"/>
      <c r="Y1447" s="223"/>
    </row>
    <row r="1448" spans="19:25">
      <c r="S1448" s="223"/>
      <c r="T1448" s="223"/>
      <c r="W1448" s="265"/>
      <c r="X1448" s="223"/>
      <c r="Y1448" s="223"/>
    </row>
    <row r="1449" spans="19:25">
      <c r="S1449" s="223"/>
      <c r="T1449" s="223"/>
      <c r="W1449" s="265"/>
      <c r="X1449" s="223"/>
      <c r="Y1449" s="223"/>
    </row>
    <row r="1450" spans="19:25">
      <c r="S1450" s="223"/>
      <c r="T1450" s="223"/>
      <c r="W1450" s="265"/>
      <c r="X1450" s="223"/>
      <c r="Y1450" s="223"/>
    </row>
    <row r="1451" spans="19:25">
      <c r="S1451" s="223"/>
      <c r="T1451" s="223"/>
      <c r="W1451" s="265"/>
      <c r="X1451" s="223"/>
      <c r="Y1451" s="223"/>
    </row>
    <row r="1452" spans="19:25">
      <c r="S1452" s="223"/>
      <c r="T1452" s="223"/>
      <c r="W1452" s="265"/>
      <c r="X1452" s="223"/>
      <c r="Y1452" s="223"/>
    </row>
    <row r="1453" spans="19:25">
      <c r="S1453" s="223"/>
      <c r="T1453" s="223"/>
      <c r="W1453" s="265"/>
      <c r="X1453" s="223"/>
      <c r="Y1453" s="223"/>
    </row>
    <row r="1454" spans="19:25">
      <c r="S1454" s="223"/>
      <c r="T1454" s="223"/>
      <c r="W1454" s="265"/>
      <c r="X1454" s="223"/>
      <c r="Y1454" s="223"/>
    </row>
    <row r="1455" spans="19:25">
      <c r="S1455" s="223"/>
      <c r="T1455" s="223"/>
      <c r="W1455" s="265"/>
      <c r="X1455" s="223"/>
      <c r="Y1455" s="223"/>
    </row>
    <row r="1456" spans="19:25">
      <c r="S1456" s="223"/>
      <c r="T1456" s="223"/>
      <c r="W1456" s="265"/>
      <c r="X1456" s="223"/>
      <c r="Y1456" s="223"/>
    </row>
    <row r="1457" spans="19:25">
      <c r="S1457" s="223"/>
      <c r="T1457" s="223"/>
      <c r="W1457" s="265"/>
      <c r="X1457" s="223"/>
      <c r="Y1457" s="223"/>
    </row>
    <row r="1458" spans="19:25">
      <c r="S1458" s="223"/>
      <c r="T1458" s="223"/>
      <c r="W1458" s="265"/>
      <c r="X1458" s="223"/>
      <c r="Y1458" s="223"/>
    </row>
    <row r="1459" spans="19:25">
      <c r="S1459" s="223"/>
      <c r="T1459" s="223"/>
      <c r="W1459" s="265"/>
      <c r="X1459" s="223"/>
      <c r="Y1459" s="223"/>
    </row>
    <row r="1460" spans="19:25">
      <c r="S1460" s="223"/>
      <c r="T1460" s="223"/>
      <c r="W1460" s="265"/>
      <c r="X1460" s="223"/>
      <c r="Y1460" s="223"/>
    </row>
    <row r="1461" spans="19:25">
      <c r="S1461" s="223"/>
      <c r="T1461" s="223"/>
      <c r="W1461" s="265"/>
      <c r="X1461" s="223"/>
      <c r="Y1461" s="223"/>
    </row>
    <row r="1462" spans="19:25">
      <c r="S1462" s="223"/>
      <c r="T1462" s="223"/>
      <c r="W1462" s="265"/>
      <c r="X1462" s="223"/>
      <c r="Y1462" s="223"/>
    </row>
    <row r="1463" spans="19:25">
      <c r="S1463" s="223"/>
      <c r="T1463" s="223"/>
      <c r="W1463" s="265"/>
      <c r="X1463" s="223"/>
      <c r="Y1463" s="223"/>
    </row>
    <row r="1464" spans="19:25">
      <c r="S1464" s="223"/>
      <c r="T1464" s="223"/>
      <c r="W1464" s="265"/>
      <c r="X1464" s="223"/>
      <c r="Y1464" s="223"/>
    </row>
    <row r="1465" spans="19:25">
      <c r="S1465" s="223"/>
      <c r="T1465" s="223"/>
      <c r="W1465" s="265"/>
      <c r="X1465" s="223"/>
      <c r="Y1465" s="223"/>
    </row>
    <row r="1466" spans="19:25">
      <c r="S1466" s="223"/>
      <c r="T1466" s="223"/>
      <c r="W1466" s="265"/>
      <c r="X1466" s="223"/>
      <c r="Y1466" s="223"/>
    </row>
    <row r="1467" spans="19:25">
      <c r="S1467" s="223"/>
      <c r="T1467" s="223"/>
      <c r="W1467" s="265"/>
      <c r="X1467" s="223"/>
      <c r="Y1467" s="223"/>
    </row>
    <row r="1468" spans="19:25">
      <c r="S1468" s="223"/>
      <c r="T1468" s="223"/>
      <c r="W1468" s="265"/>
      <c r="X1468" s="223"/>
      <c r="Y1468" s="223"/>
    </row>
    <row r="1469" spans="19:25">
      <c r="S1469" s="223"/>
      <c r="T1469" s="223"/>
      <c r="W1469" s="265"/>
      <c r="X1469" s="223"/>
      <c r="Y1469" s="223"/>
    </row>
    <row r="1470" spans="19:25">
      <c r="S1470" s="223"/>
      <c r="T1470" s="223"/>
      <c r="W1470" s="265"/>
      <c r="X1470" s="223"/>
      <c r="Y1470" s="223"/>
    </row>
    <row r="1471" spans="19:25">
      <c r="S1471" s="223"/>
      <c r="T1471" s="223"/>
      <c r="W1471" s="265"/>
      <c r="X1471" s="223"/>
      <c r="Y1471" s="223"/>
    </row>
    <row r="1472" spans="19:25">
      <c r="S1472" s="223"/>
      <c r="T1472" s="223"/>
      <c r="W1472" s="265"/>
      <c r="X1472" s="223"/>
      <c r="Y1472" s="223"/>
    </row>
    <row r="1473" spans="19:25">
      <c r="S1473" s="223"/>
      <c r="T1473" s="223"/>
      <c r="W1473" s="265"/>
      <c r="X1473" s="223"/>
      <c r="Y1473" s="223"/>
    </row>
    <row r="1474" spans="19:25">
      <c r="S1474" s="223"/>
      <c r="T1474" s="223"/>
      <c r="W1474" s="265"/>
      <c r="X1474" s="223"/>
      <c r="Y1474" s="223"/>
    </row>
    <row r="1475" spans="19:25">
      <c r="S1475" s="223"/>
      <c r="T1475" s="223"/>
      <c r="W1475" s="265"/>
      <c r="X1475" s="223"/>
      <c r="Y1475" s="223"/>
    </row>
    <row r="1476" spans="19:25">
      <c r="S1476" s="223"/>
      <c r="T1476" s="223"/>
      <c r="W1476" s="265"/>
      <c r="X1476" s="223"/>
      <c r="Y1476" s="223"/>
    </row>
    <row r="1477" spans="19:25">
      <c r="S1477" s="223"/>
      <c r="T1477" s="223"/>
      <c r="W1477" s="265"/>
      <c r="X1477" s="223"/>
      <c r="Y1477" s="223"/>
    </row>
    <row r="1478" spans="19:25">
      <c r="S1478" s="223"/>
      <c r="T1478" s="223"/>
      <c r="W1478" s="265"/>
      <c r="X1478" s="223"/>
      <c r="Y1478" s="223"/>
    </row>
    <row r="1479" spans="19:25">
      <c r="S1479" s="223"/>
      <c r="T1479" s="223"/>
      <c r="W1479" s="265"/>
      <c r="X1479" s="223"/>
      <c r="Y1479" s="223"/>
    </row>
    <row r="1480" spans="19:25">
      <c r="S1480" s="223"/>
      <c r="T1480" s="223"/>
      <c r="W1480" s="265"/>
      <c r="X1480" s="223"/>
      <c r="Y1480" s="223"/>
    </row>
    <row r="1481" spans="19:25">
      <c r="S1481" s="223"/>
      <c r="T1481" s="223"/>
      <c r="W1481" s="265"/>
      <c r="X1481" s="223"/>
      <c r="Y1481" s="223"/>
    </row>
    <row r="1482" spans="19:25">
      <c r="S1482" s="223"/>
      <c r="T1482" s="223"/>
      <c r="W1482" s="265"/>
      <c r="X1482" s="223"/>
      <c r="Y1482" s="223"/>
    </row>
    <row r="1483" spans="19:25">
      <c r="S1483" s="223"/>
      <c r="T1483" s="223"/>
      <c r="W1483" s="265"/>
      <c r="X1483" s="223"/>
      <c r="Y1483" s="223"/>
    </row>
    <row r="1484" spans="19:25">
      <c r="S1484" s="223"/>
      <c r="T1484" s="223"/>
      <c r="W1484" s="265"/>
      <c r="X1484" s="223"/>
      <c r="Y1484" s="223"/>
    </row>
    <row r="1485" spans="19:25">
      <c r="S1485" s="223"/>
      <c r="T1485" s="223"/>
      <c r="W1485" s="265"/>
      <c r="X1485" s="223"/>
      <c r="Y1485" s="223"/>
    </row>
    <row r="1486" spans="19:25">
      <c r="S1486" s="223"/>
      <c r="T1486" s="223"/>
      <c r="W1486" s="265"/>
      <c r="X1486" s="223"/>
      <c r="Y1486" s="223"/>
    </row>
    <row r="1487" spans="19:25">
      <c r="S1487" s="223"/>
      <c r="T1487" s="223"/>
      <c r="W1487" s="265"/>
      <c r="X1487" s="223"/>
      <c r="Y1487" s="223"/>
    </row>
    <row r="1488" spans="19:25">
      <c r="S1488" s="223"/>
      <c r="T1488" s="223"/>
      <c r="W1488" s="265"/>
      <c r="X1488" s="223"/>
      <c r="Y1488" s="223"/>
    </row>
    <row r="1489" spans="19:25">
      <c r="S1489" s="223"/>
      <c r="T1489" s="223"/>
      <c r="W1489" s="265"/>
      <c r="X1489" s="223"/>
      <c r="Y1489" s="223"/>
    </row>
    <row r="1490" spans="19:25">
      <c r="S1490" s="223"/>
      <c r="T1490" s="223"/>
      <c r="W1490" s="265"/>
      <c r="X1490" s="223"/>
      <c r="Y1490" s="223"/>
    </row>
    <row r="1491" spans="19:25">
      <c r="S1491" s="223"/>
      <c r="T1491" s="223"/>
      <c r="W1491" s="265"/>
      <c r="X1491" s="223"/>
      <c r="Y1491" s="223"/>
    </row>
    <row r="1492" spans="19:25">
      <c r="S1492" s="223"/>
      <c r="T1492" s="223"/>
      <c r="W1492" s="265"/>
      <c r="X1492" s="223"/>
      <c r="Y1492" s="223"/>
    </row>
    <row r="1493" spans="19:25">
      <c r="S1493" s="223"/>
      <c r="T1493" s="223"/>
      <c r="W1493" s="265"/>
      <c r="X1493" s="223"/>
      <c r="Y1493" s="223"/>
    </row>
    <row r="1494" spans="19:25">
      <c r="S1494" s="223"/>
      <c r="T1494" s="223"/>
      <c r="W1494" s="265"/>
      <c r="X1494" s="223"/>
      <c r="Y1494" s="223"/>
    </row>
    <row r="1495" spans="19:25">
      <c r="S1495" s="223"/>
      <c r="T1495" s="223"/>
      <c r="W1495" s="265"/>
      <c r="X1495" s="223"/>
      <c r="Y1495" s="223"/>
    </row>
    <row r="1496" spans="19:25">
      <c r="S1496" s="223"/>
      <c r="T1496" s="223"/>
      <c r="W1496" s="265"/>
      <c r="X1496" s="223"/>
      <c r="Y1496" s="223"/>
    </row>
    <row r="1497" spans="19:25">
      <c r="S1497" s="223"/>
      <c r="T1497" s="223"/>
      <c r="W1497" s="265"/>
      <c r="X1497" s="223"/>
      <c r="Y1497" s="223"/>
    </row>
    <row r="1498" spans="19:25">
      <c r="S1498" s="223"/>
      <c r="T1498" s="223"/>
      <c r="W1498" s="265"/>
      <c r="X1498" s="223"/>
      <c r="Y1498" s="223"/>
    </row>
    <row r="1499" spans="19:25">
      <c r="S1499" s="223"/>
      <c r="T1499" s="223"/>
      <c r="W1499" s="265"/>
      <c r="X1499" s="223"/>
      <c r="Y1499" s="223"/>
    </row>
    <row r="1500" spans="19:25">
      <c r="S1500" s="223"/>
      <c r="T1500" s="223"/>
      <c r="W1500" s="265"/>
      <c r="X1500" s="223"/>
      <c r="Y1500" s="223"/>
    </row>
    <row r="1501" spans="19:25">
      <c r="S1501" s="223"/>
      <c r="T1501" s="223"/>
      <c r="W1501" s="265"/>
      <c r="X1501" s="223"/>
      <c r="Y1501" s="223"/>
    </row>
    <row r="1502" spans="19:25">
      <c r="S1502" s="223"/>
      <c r="T1502" s="223"/>
      <c r="W1502" s="265"/>
      <c r="X1502" s="223"/>
      <c r="Y1502" s="223"/>
    </row>
    <row r="1503" spans="19:25">
      <c r="S1503" s="223"/>
      <c r="T1503" s="223"/>
      <c r="W1503" s="265"/>
      <c r="X1503" s="223"/>
      <c r="Y1503" s="223"/>
    </row>
    <row r="1504" spans="19:25">
      <c r="S1504" s="223"/>
      <c r="T1504" s="223"/>
      <c r="W1504" s="265"/>
      <c r="X1504" s="223"/>
      <c r="Y1504" s="223"/>
    </row>
    <row r="1505" spans="19:25">
      <c r="S1505" s="223"/>
      <c r="T1505" s="223"/>
      <c r="W1505" s="265"/>
      <c r="X1505" s="223"/>
      <c r="Y1505" s="223"/>
    </row>
    <row r="1506" spans="19:25">
      <c r="S1506" s="223"/>
      <c r="T1506" s="223"/>
      <c r="W1506" s="265"/>
      <c r="X1506" s="223"/>
      <c r="Y1506" s="223"/>
    </row>
    <row r="1507" spans="19:25">
      <c r="S1507" s="223"/>
      <c r="T1507" s="223"/>
      <c r="W1507" s="265"/>
      <c r="X1507" s="223"/>
      <c r="Y1507" s="223"/>
    </row>
    <row r="1508" spans="19:25">
      <c r="S1508" s="223"/>
      <c r="T1508" s="223"/>
      <c r="W1508" s="265"/>
      <c r="X1508" s="223"/>
      <c r="Y1508" s="223"/>
    </row>
    <row r="1509" spans="19:25">
      <c r="S1509" s="223"/>
      <c r="T1509" s="223"/>
      <c r="W1509" s="265"/>
      <c r="X1509" s="223"/>
      <c r="Y1509" s="223"/>
    </row>
    <row r="1510" spans="19:25">
      <c r="S1510" s="223"/>
      <c r="T1510" s="223"/>
      <c r="W1510" s="265"/>
      <c r="X1510" s="223"/>
      <c r="Y1510" s="223"/>
    </row>
    <row r="1511" spans="19:25">
      <c r="S1511" s="223"/>
      <c r="T1511" s="223"/>
      <c r="W1511" s="265"/>
      <c r="X1511" s="223"/>
      <c r="Y1511" s="223"/>
    </row>
    <row r="1512" spans="19:25">
      <c r="S1512" s="223"/>
      <c r="T1512" s="223"/>
      <c r="W1512" s="265"/>
      <c r="X1512" s="223"/>
      <c r="Y1512" s="223"/>
    </row>
    <row r="1513" spans="19:25">
      <c r="S1513" s="223"/>
      <c r="T1513" s="223"/>
      <c r="W1513" s="265"/>
      <c r="X1513" s="223"/>
      <c r="Y1513" s="223"/>
    </row>
    <row r="1514" spans="19:25">
      <c r="S1514" s="223"/>
      <c r="T1514" s="223"/>
      <c r="W1514" s="265"/>
      <c r="X1514" s="223"/>
      <c r="Y1514" s="223"/>
    </row>
    <row r="1515" spans="19:25">
      <c r="S1515" s="223"/>
      <c r="T1515" s="223"/>
      <c r="W1515" s="265"/>
      <c r="X1515" s="223"/>
      <c r="Y1515" s="223"/>
    </row>
    <row r="1516" spans="19:25">
      <c r="S1516" s="223"/>
      <c r="T1516" s="223"/>
      <c r="W1516" s="265"/>
      <c r="X1516" s="223"/>
      <c r="Y1516" s="223"/>
    </row>
    <row r="1517" spans="19:25">
      <c r="S1517" s="223"/>
      <c r="T1517" s="223"/>
      <c r="W1517" s="265"/>
      <c r="X1517" s="223"/>
      <c r="Y1517" s="223"/>
    </row>
    <row r="1518" spans="19:25">
      <c r="S1518" s="223"/>
      <c r="T1518" s="223"/>
      <c r="W1518" s="265"/>
      <c r="X1518" s="223"/>
      <c r="Y1518" s="223"/>
    </row>
    <row r="1519" spans="19:25">
      <c r="S1519" s="223"/>
      <c r="T1519" s="223"/>
      <c r="W1519" s="265"/>
      <c r="X1519" s="223"/>
      <c r="Y1519" s="223"/>
    </row>
    <row r="1520" spans="19:25">
      <c r="S1520" s="223"/>
      <c r="T1520" s="223"/>
      <c r="W1520" s="265"/>
      <c r="X1520" s="223"/>
      <c r="Y1520" s="223"/>
    </row>
    <row r="1521" spans="19:25">
      <c r="S1521" s="223"/>
      <c r="T1521" s="223"/>
      <c r="W1521" s="265"/>
      <c r="X1521" s="223"/>
      <c r="Y1521" s="223"/>
    </row>
    <row r="1522" spans="19:25">
      <c r="S1522" s="223"/>
      <c r="T1522" s="223"/>
      <c r="W1522" s="265"/>
      <c r="X1522" s="223"/>
      <c r="Y1522" s="223"/>
    </row>
    <row r="1523" spans="19:25">
      <c r="S1523" s="223"/>
      <c r="T1523" s="223"/>
      <c r="W1523" s="265"/>
      <c r="X1523" s="223"/>
      <c r="Y1523" s="223"/>
    </row>
    <row r="1524" spans="19:25">
      <c r="S1524" s="223"/>
      <c r="T1524" s="223"/>
      <c r="W1524" s="265"/>
      <c r="X1524" s="223"/>
      <c r="Y1524" s="223"/>
    </row>
    <row r="1525" spans="19:25">
      <c r="S1525" s="223"/>
      <c r="T1525" s="223"/>
      <c r="W1525" s="265"/>
      <c r="X1525" s="223"/>
      <c r="Y1525" s="223"/>
    </row>
    <row r="1526" spans="19:25">
      <c r="S1526" s="223"/>
      <c r="T1526" s="223"/>
      <c r="W1526" s="265"/>
      <c r="X1526" s="223"/>
      <c r="Y1526" s="223"/>
    </row>
    <row r="1527" spans="19:25">
      <c r="S1527" s="223"/>
      <c r="T1527" s="223"/>
      <c r="W1527" s="265"/>
      <c r="X1527" s="223"/>
      <c r="Y1527" s="223"/>
    </row>
    <row r="1528" spans="19:25">
      <c r="S1528" s="223"/>
      <c r="T1528" s="223"/>
      <c r="W1528" s="265"/>
      <c r="X1528" s="223"/>
      <c r="Y1528" s="223"/>
    </row>
    <row r="1529" spans="19:25">
      <c r="S1529" s="223"/>
      <c r="T1529" s="223"/>
      <c r="W1529" s="265"/>
      <c r="X1529" s="223"/>
      <c r="Y1529" s="223"/>
    </row>
    <row r="1530" spans="19:25">
      <c r="S1530" s="223"/>
      <c r="T1530" s="223"/>
      <c r="W1530" s="265"/>
      <c r="X1530" s="223"/>
      <c r="Y1530" s="223"/>
    </row>
    <row r="1531" spans="19:25">
      <c r="S1531" s="223"/>
      <c r="T1531" s="223"/>
      <c r="W1531" s="265"/>
      <c r="X1531" s="223"/>
      <c r="Y1531" s="223"/>
    </row>
    <row r="1532" spans="19:25">
      <c r="S1532" s="223"/>
      <c r="T1532" s="223"/>
      <c r="W1532" s="265"/>
      <c r="X1532" s="223"/>
      <c r="Y1532" s="223"/>
    </row>
    <row r="1533" spans="19:25">
      <c r="S1533" s="223"/>
      <c r="T1533" s="223"/>
      <c r="W1533" s="265"/>
      <c r="X1533" s="223"/>
      <c r="Y1533" s="223"/>
    </row>
    <row r="1534" spans="19:25">
      <c r="S1534" s="223"/>
      <c r="T1534" s="223"/>
      <c r="W1534" s="265"/>
      <c r="X1534" s="223"/>
      <c r="Y1534" s="223"/>
    </row>
    <row r="1535" spans="19:25">
      <c r="S1535" s="223"/>
      <c r="T1535" s="223"/>
      <c r="W1535" s="265"/>
      <c r="X1535" s="223"/>
      <c r="Y1535" s="223"/>
    </row>
    <row r="1536" spans="19:25">
      <c r="S1536" s="223"/>
      <c r="T1536" s="223"/>
      <c r="W1536" s="265"/>
      <c r="X1536" s="223"/>
      <c r="Y1536" s="223"/>
    </row>
    <row r="1537" spans="19:25">
      <c r="S1537" s="223"/>
      <c r="T1537" s="223"/>
      <c r="W1537" s="265"/>
      <c r="X1537" s="223"/>
      <c r="Y1537" s="223"/>
    </row>
    <row r="1538" spans="19:25">
      <c r="S1538" s="223"/>
      <c r="T1538" s="223"/>
      <c r="W1538" s="265"/>
      <c r="X1538" s="223"/>
      <c r="Y1538" s="223"/>
    </row>
    <row r="1539" spans="19:25">
      <c r="S1539" s="223"/>
      <c r="T1539" s="223"/>
      <c r="W1539" s="265"/>
      <c r="X1539" s="223"/>
      <c r="Y1539" s="223"/>
    </row>
    <row r="1540" spans="19:25">
      <c r="S1540" s="223"/>
      <c r="T1540" s="223"/>
      <c r="W1540" s="265"/>
      <c r="X1540" s="223"/>
      <c r="Y1540" s="223"/>
    </row>
    <row r="1541" spans="19:25">
      <c r="S1541" s="223"/>
      <c r="T1541" s="223"/>
      <c r="W1541" s="265"/>
      <c r="X1541" s="223"/>
      <c r="Y1541" s="223"/>
    </row>
    <row r="1542" spans="19:25">
      <c r="S1542" s="223"/>
      <c r="T1542" s="223"/>
      <c r="W1542" s="265"/>
      <c r="X1542" s="223"/>
      <c r="Y1542" s="223"/>
    </row>
    <row r="1543" spans="19:25">
      <c r="S1543" s="223"/>
      <c r="T1543" s="223"/>
      <c r="W1543" s="265"/>
      <c r="X1543" s="223"/>
      <c r="Y1543" s="223"/>
    </row>
    <row r="1544" spans="19:25">
      <c r="S1544" s="223"/>
      <c r="T1544" s="223"/>
      <c r="W1544" s="265"/>
      <c r="X1544" s="223"/>
      <c r="Y1544" s="223"/>
    </row>
    <row r="1545" spans="19:25">
      <c r="S1545" s="223"/>
      <c r="T1545" s="223"/>
      <c r="W1545" s="265"/>
      <c r="X1545" s="223"/>
      <c r="Y1545" s="223"/>
    </row>
    <row r="1546" spans="19:25">
      <c r="S1546" s="223"/>
      <c r="T1546" s="223"/>
      <c r="W1546" s="265"/>
      <c r="X1546" s="223"/>
      <c r="Y1546" s="223"/>
    </row>
    <row r="1547" spans="19:25">
      <c r="S1547" s="223"/>
      <c r="T1547" s="223"/>
      <c r="W1547" s="265"/>
      <c r="X1547" s="223"/>
      <c r="Y1547" s="223"/>
    </row>
    <row r="1548" spans="19:25">
      <c r="S1548" s="223"/>
      <c r="T1548" s="223"/>
      <c r="W1548" s="265"/>
      <c r="X1548" s="223"/>
      <c r="Y1548" s="223"/>
    </row>
    <row r="1549" spans="19:25">
      <c r="S1549" s="223"/>
      <c r="T1549" s="223"/>
      <c r="W1549" s="265"/>
      <c r="X1549" s="223"/>
      <c r="Y1549" s="223"/>
    </row>
    <row r="1550" spans="19:25">
      <c r="S1550" s="223"/>
      <c r="T1550" s="223"/>
      <c r="W1550" s="265"/>
      <c r="X1550" s="223"/>
      <c r="Y1550" s="223"/>
    </row>
    <row r="1551" spans="19:25">
      <c r="S1551" s="223"/>
      <c r="T1551" s="223"/>
      <c r="W1551" s="265"/>
      <c r="X1551" s="223"/>
      <c r="Y1551" s="223"/>
    </row>
    <row r="1552" spans="19:25">
      <c r="S1552" s="223"/>
      <c r="T1552" s="223"/>
      <c r="W1552" s="265"/>
      <c r="X1552" s="223"/>
      <c r="Y1552" s="223"/>
    </row>
    <row r="1553" spans="19:25">
      <c r="S1553" s="223"/>
      <c r="T1553" s="223"/>
      <c r="W1553" s="265"/>
      <c r="X1553" s="223"/>
      <c r="Y1553" s="223"/>
    </row>
    <row r="1554" spans="19:25">
      <c r="S1554" s="223"/>
      <c r="T1554" s="223"/>
      <c r="W1554" s="265"/>
      <c r="X1554" s="223"/>
      <c r="Y1554" s="223"/>
    </row>
    <row r="1555" spans="19:25">
      <c r="S1555" s="223"/>
      <c r="T1555" s="223"/>
      <c r="W1555" s="265"/>
      <c r="X1555" s="223"/>
      <c r="Y1555" s="223"/>
    </row>
    <row r="1556" spans="19:25">
      <c r="S1556" s="223"/>
      <c r="T1556" s="223"/>
      <c r="W1556" s="265"/>
      <c r="X1556" s="223"/>
      <c r="Y1556" s="223"/>
    </row>
    <row r="1557" spans="19:25">
      <c r="S1557" s="223"/>
      <c r="T1557" s="223"/>
      <c r="W1557" s="265"/>
      <c r="X1557" s="223"/>
      <c r="Y1557" s="223"/>
    </row>
    <row r="1558" spans="19:25">
      <c r="S1558" s="223"/>
      <c r="T1558" s="223"/>
      <c r="W1558" s="265"/>
      <c r="X1558" s="223"/>
      <c r="Y1558" s="223"/>
    </row>
    <row r="1559" spans="19:25">
      <c r="S1559" s="223"/>
      <c r="T1559" s="223"/>
      <c r="W1559" s="265"/>
      <c r="X1559" s="223"/>
      <c r="Y1559" s="223"/>
    </row>
    <row r="1560" spans="19:25">
      <c r="S1560" s="223"/>
      <c r="T1560" s="223"/>
      <c r="W1560" s="265"/>
      <c r="X1560" s="223"/>
      <c r="Y1560" s="223"/>
    </row>
    <row r="1561" spans="19:25">
      <c r="S1561" s="223"/>
      <c r="T1561" s="223"/>
      <c r="W1561" s="265"/>
      <c r="X1561" s="223"/>
      <c r="Y1561" s="223"/>
    </row>
    <row r="1562" spans="19:25">
      <c r="S1562" s="223"/>
      <c r="T1562" s="223"/>
      <c r="W1562" s="265"/>
      <c r="X1562" s="223"/>
      <c r="Y1562" s="223"/>
    </row>
    <row r="1563" spans="19:25">
      <c r="S1563" s="223"/>
      <c r="T1563" s="223"/>
      <c r="W1563" s="265"/>
      <c r="X1563" s="223"/>
      <c r="Y1563" s="223"/>
    </row>
    <row r="1564" spans="19:25">
      <c r="S1564" s="223"/>
      <c r="T1564" s="223"/>
      <c r="W1564" s="265"/>
      <c r="X1564" s="223"/>
      <c r="Y1564" s="223"/>
    </row>
    <row r="1565" spans="19:25">
      <c r="S1565" s="223"/>
      <c r="T1565" s="223"/>
      <c r="W1565" s="265"/>
      <c r="X1565" s="223"/>
      <c r="Y1565" s="223"/>
    </row>
    <row r="1566" spans="19:25">
      <c r="S1566" s="223"/>
      <c r="T1566" s="223"/>
      <c r="W1566" s="265"/>
      <c r="X1566" s="223"/>
      <c r="Y1566" s="223"/>
    </row>
    <row r="1567" spans="19:25">
      <c r="S1567" s="223"/>
      <c r="T1567" s="223"/>
      <c r="W1567" s="265"/>
      <c r="X1567" s="223"/>
      <c r="Y1567" s="223"/>
    </row>
    <row r="1568" spans="19:25">
      <c r="S1568" s="223"/>
      <c r="T1568" s="223"/>
      <c r="W1568" s="265"/>
      <c r="X1568" s="223"/>
      <c r="Y1568" s="223"/>
    </row>
    <row r="1569" spans="19:25">
      <c r="S1569" s="223"/>
      <c r="T1569" s="223"/>
      <c r="W1569" s="265"/>
      <c r="X1569" s="223"/>
      <c r="Y1569" s="223"/>
    </row>
    <row r="1570" spans="19:25">
      <c r="S1570" s="223"/>
      <c r="T1570" s="223"/>
      <c r="W1570" s="265"/>
      <c r="X1570" s="223"/>
      <c r="Y1570" s="223"/>
    </row>
    <row r="1571" spans="19:25">
      <c r="S1571" s="223"/>
      <c r="T1571" s="223"/>
      <c r="W1571" s="265"/>
      <c r="X1571" s="223"/>
      <c r="Y1571" s="223"/>
    </row>
    <row r="1572" spans="19:25">
      <c r="S1572" s="223"/>
      <c r="T1572" s="223"/>
      <c r="W1572" s="265"/>
      <c r="X1572" s="223"/>
      <c r="Y1572" s="223"/>
    </row>
    <row r="1573" spans="19:25">
      <c r="S1573" s="223"/>
      <c r="T1573" s="223"/>
      <c r="W1573" s="265"/>
      <c r="X1573" s="223"/>
      <c r="Y1573" s="223"/>
    </row>
    <row r="1574" spans="19:25">
      <c r="S1574" s="223"/>
      <c r="T1574" s="223"/>
      <c r="W1574" s="265"/>
      <c r="X1574" s="223"/>
      <c r="Y1574" s="223"/>
    </row>
    <row r="1575" spans="19:25">
      <c r="S1575" s="223"/>
      <c r="T1575" s="223"/>
      <c r="W1575" s="265"/>
      <c r="X1575" s="223"/>
      <c r="Y1575" s="223"/>
    </row>
    <row r="1576" spans="19:25">
      <c r="S1576" s="223"/>
      <c r="T1576" s="223"/>
      <c r="W1576" s="265"/>
      <c r="X1576" s="223"/>
      <c r="Y1576" s="223"/>
    </row>
    <row r="1577" spans="19:25">
      <c r="S1577" s="223"/>
      <c r="T1577" s="223"/>
      <c r="W1577" s="265"/>
      <c r="X1577" s="223"/>
      <c r="Y1577" s="223"/>
    </row>
    <row r="1578" spans="19:25">
      <c r="S1578" s="223"/>
      <c r="T1578" s="223"/>
      <c r="W1578" s="265"/>
      <c r="X1578" s="223"/>
      <c r="Y1578" s="223"/>
    </row>
    <row r="1579" spans="19:25">
      <c r="S1579" s="223"/>
      <c r="T1579" s="223"/>
      <c r="W1579" s="265"/>
      <c r="X1579" s="223"/>
      <c r="Y1579" s="223"/>
    </row>
    <row r="1580" spans="19:25">
      <c r="S1580" s="223"/>
      <c r="T1580" s="223"/>
      <c r="W1580" s="265"/>
      <c r="X1580" s="223"/>
      <c r="Y1580" s="223"/>
    </row>
    <row r="1581" spans="19:25">
      <c r="S1581" s="223"/>
      <c r="T1581" s="223"/>
      <c r="W1581" s="265"/>
      <c r="X1581" s="223"/>
      <c r="Y1581" s="223"/>
    </row>
    <row r="1582" spans="19:25">
      <c r="S1582" s="223"/>
      <c r="T1582" s="223"/>
      <c r="W1582" s="265"/>
      <c r="X1582" s="223"/>
      <c r="Y1582" s="223"/>
    </row>
    <row r="1583" spans="19:25">
      <c r="S1583" s="223"/>
      <c r="T1583" s="223"/>
      <c r="W1583" s="265"/>
      <c r="X1583" s="223"/>
      <c r="Y1583" s="223"/>
    </row>
    <row r="1584" spans="19:25">
      <c r="S1584" s="223"/>
      <c r="T1584" s="223"/>
      <c r="W1584" s="265"/>
      <c r="X1584" s="223"/>
      <c r="Y1584" s="223"/>
    </row>
    <row r="1585" spans="19:25">
      <c r="S1585" s="223"/>
      <c r="T1585" s="223"/>
      <c r="W1585" s="265"/>
      <c r="X1585" s="223"/>
      <c r="Y1585" s="223"/>
    </row>
    <row r="1586" spans="19:25">
      <c r="S1586" s="223"/>
      <c r="T1586" s="223"/>
      <c r="W1586" s="265"/>
      <c r="X1586" s="223"/>
      <c r="Y1586" s="223"/>
    </row>
    <row r="1587" spans="19:25">
      <c r="S1587" s="223"/>
      <c r="T1587" s="223"/>
      <c r="W1587" s="265"/>
      <c r="X1587" s="223"/>
      <c r="Y1587" s="223"/>
    </row>
    <row r="1588" spans="19:25">
      <c r="S1588" s="223"/>
      <c r="T1588" s="223"/>
      <c r="W1588" s="265"/>
      <c r="X1588" s="223"/>
      <c r="Y1588" s="223"/>
    </row>
    <row r="1589" spans="19:25">
      <c r="S1589" s="223"/>
      <c r="T1589" s="223"/>
      <c r="W1589" s="265"/>
      <c r="X1589" s="223"/>
      <c r="Y1589" s="223"/>
    </row>
    <row r="1590" spans="19:25">
      <c r="S1590" s="223"/>
      <c r="T1590" s="223"/>
      <c r="W1590" s="265"/>
      <c r="X1590" s="223"/>
      <c r="Y1590" s="223"/>
    </row>
    <row r="1591" spans="19:25">
      <c r="S1591" s="223"/>
      <c r="T1591" s="223"/>
      <c r="W1591" s="265"/>
      <c r="X1591" s="223"/>
      <c r="Y1591" s="223"/>
    </row>
    <row r="1592" spans="19:25">
      <c r="S1592" s="223"/>
      <c r="T1592" s="223"/>
      <c r="W1592" s="265"/>
      <c r="X1592" s="223"/>
      <c r="Y1592" s="223"/>
    </row>
    <row r="1593" spans="19:25">
      <c r="S1593" s="223"/>
      <c r="T1593" s="223"/>
      <c r="W1593" s="265"/>
      <c r="X1593" s="223"/>
      <c r="Y1593" s="223"/>
    </row>
    <row r="1594" spans="19:25">
      <c r="S1594" s="223"/>
      <c r="T1594" s="223"/>
      <c r="W1594" s="265"/>
      <c r="X1594" s="223"/>
      <c r="Y1594" s="223"/>
    </row>
    <row r="1595" spans="19:25">
      <c r="S1595" s="223"/>
      <c r="T1595" s="223"/>
      <c r="W1595" s="265"/>
      <c r="X1595" s="223"/>
      <c r="Y1595" s="223"/>
    </row>
    <row r="1596" spans="19:25">
      <c r="S1596" s="223"/>
      <c r="T1596" s="223"/>
      <c r="W1596" s="265"/>
      <c r="X1596" s="223"/>
      <c r="Y1596" s="223"/>
    </row>
    <row r="1597" spans="19:25">
      <c r="S1597" s="223"/>
      <c r="T1597" s="223"/>
      <c r="W1597" s="265"/>
      <c r="X1597" s="223"/>
      <c r="Y1597" s="223"/>
    </row>
    <row r="1598" spans="19:25">
      <c r="S1598" s="223"/>
      <c r="T1598" s="223"/>
      <c r="W1598" s="265"/>
      <c r="X1598" s="223"/>
      <c r="Y1598" s="223"/>
    </row>
    <row r="1599" spans="19:25">
      <c r="S1599" s="223"/>
      <c r="T1599" s="223"/>
      <c r="W1599" s="265"/>
      <c r="X1599" s="223"/>
      <c r="Y1599" s="223"/>
    </row>
    <row r="1600" spans="19:25">
      <c r="S1600" s="223"/>
      <c r="T1600" s="223"/>
      <c r="W1600" s="265"/>
      <c r="X1600" s="223"/>
      <c r="Y1600" s="223"/>
    </row>
    <row r="1601" spans="19:25">
      <c r="S1601" s="223"/>
      <c r="T1601" s="223"/>
      <c r="W1601" s="265"/>
      <c r="X1601" s="223"/>
      <c r="Y1601" s="223"/>
    </row>
    <row r="1602" spans="19:25">
      <c r="S1602" s="223"/>
      <c r="T1602" s="223"/>
      <c r="W1602" s="265"/>
      <c r="X1602" s="223"/>
      <c r="Y1602" s="223"/>
    </row>
    <row r="1603" spans="19:25">
      <c r="S1603" s="223"/>
      <c r="T1603" s="223"/>
      <c r="W1603" s="265"/>
      <c r="X1603" s="223"/>
      <c r="Y1603" s="223"/>
    </row>
    <row r="1604" spans="19:25">
      <c r="S1604" s="223"/>
      <c r="T1604" s="223"/>
      <c r="W1604" s="265"/>
      <c r="X1604" s="223"/>
      <c r="Y1604" s="223"/>
    </row>
    <row r="1605" spans="19:25">
      <c r="S1605" s="223"/>
      <c r="T1605" s="223"/>
      <c r="W1605" s="265"/>
      <c r="X1605" s="223"/>
      <c r="Y1605" s="223"/>
    </row>
    <row r="1606" spans="19:25">
      <c r="S1606" s="223"/>
      <c r="T1606" s="223"/>
      <c r="W1606" s="265"/>
      <c r="X1606" s="223"/>
      <c r="Y1606" s="223"/>
    </row>
    <row r="1607" spans="19:25">
      <c r="S1607" s="223"/>
      <c r="T1607" s="223"/>
      <c r="W1607" s="265"/>
      <c r="X1607" s="223"/>
      <c r="Y1607" s="223"/>
    </row>
    <row r="1608" spans="19:25">
      <c r="S1608" s="223"/>
      <c r="T1608" s="223"/>
      <c r="W1608" s="265"/>
      <c r="X1608" s="223"/>
      <c r="Y1608" s="223"/>
    </row>
    <row r="1609" spans="19:25">
      <c r="S1609" s="223"/>
      <c r="T1609" s="223"/>
      <c r="W1609" s="265"/>
      <c r="X1609" s="223"/>
      <c r="Y1609" s="223"/>
    </row>
    <row r="1610" spans="19:25">
      <c r="S1610" s="223"/>
      <c r="T1610" s="223"/>
      <c r="W1610" s="265"/>
      <c r="X1610" s="223"/>
      <c r="Y1610" s="223"/>
    </row>
    <row r="1611" spans="19:25">
      <c r="S1611" s="223"/>
      <c r="T1611" s="223"/>
      <c r="W1611" s="265"/>
      <c r="X1611" s="223"/>
      <c r="Y1611" s="223"/>
    </row>
    <row r="1612" spans="19:25">
      <c r="S1612" s="223"/>
      <c r="T1612" s="223"/>
      <c r="W1612" s="265"/>
      <c r="X1612" s="223"/>
      <c r="Y1612" s="223"/>
    </row>
    <row r="1613" spans="19:25">
      <c r="S1613" s="223"/>
      <c r="T1613" s="223"/>
      <c r="W1613" s="265"/>
      <c r="X1613" s="223"/>
      <c r="Y1613" s="223"/>
    </row>
    <row r="1614" spans="19:25">
      <c r="S1614" s="223"/>
      <c r="T1614" s="223"/>
      <c r="W1614" s="265"/>
      <c r="X1614" s="223"/>
      <c r="Y1614" s="223"/>
    </row>
    <row r="1615" spans="19:25">
      <c r="S1615" s="223"/>
      <c r="T1615" s="223"/>
      <c r="W1615" s="265"/>
      <c r="X1615" s="223"/>
      <c r="Y1615" s="223"/>
    </row>
    <row r="1616" spans="19:25">
      <c r="S1616" s="223"/>
      <c r="T1616" s="223"/>
      <c r="W1616" s="265"/>
      <c r="X1616" s="223"/>
      <c r="Y1616" s="223"/>
    </row>
    <row r="1617" spans="19:25">
      <c r="S1617" s="223"/>
      <c r="T1617" s="223"/>
      <c r="W1617" s="265"/>
      <c r="X1617" s="223"/>
      <c r="Y1617" s="223"/>
    </row>
    <row r="1618" spans="19:25">
      <c r="S1618" s="223"/>
      <c r="T1618" s="223"/>
      <c r="W1618" s="265"/>
      <c r="X1618" s="223"/>
      <c r="Y1618" s="223"/>
    </row>
    <row r="1619" spans="19:25">
      <c r="S1619" s="223"/>
      <c r="T1619" s="223"/>
      <c r="W1619" s="265"/>
      <c r="X1619" s="223"/>
      <c r="Y1619" s="223"/>
    </row>
    <row r="1620" spans="19:25">
      <c r="S1620" s="223"/>
      <c r="T1620" s="223"/>
      <c r="W1620" s="265"/>
      <c r="X1620" s="223"/>
      <c r="Y1620" s="223"/>
    </row>
    <row r="1621" spans="19:25">
      <c r="S1621" s="223"/>
      <c r="T1621" s="223"/>
      <c r="W1621" s="265"/>
      <c r="X1621" s="223"/>
      <c r="Y1621" s="223"/>
    </row>
    <row r="1622" spans="19:25">
      <c r="S1622" s="223"/>
      <c r="T1622" s="223"/>
      <c r="W1622" s="265"/>
      <c r="X1622" s="223"/>
      <c r="Y1622" s="223"/>
    </row>
    <row r="1623" spans="19:25">
      <c r="S1623" s="223"/>
      <c r="T1623" s="223"/>
      <c r="W1623" s="265"/>
      <c r="X1623" s="223"/>
      <c r="Y1623" s="223"/>
    </row>
    <row r="1624" spans="19:25">
      <c r="S1624" s="223"/>
      <c r="T1624" s="223"/>
      <c r="W1624" s="265"/>
      <c r="X1624" s="223"/>
      <c r="Y1624" s="223"/>
    </row>
    <row r="1625" spans="19:25">
      <c r="S1625" s="223"/>
      <c r="T1625" s="223"/>
      <c r="W1625" s="265"/>
      <c r="X1625" s="223"/>
      <c r="Y1625" s="223"/>
    </row>
    <row r="1626" spans="19:25">
      <c r="S1626" s="223"/>
      <c r="T1626" s="223"/>
      <c r="W1626" s="265"/>
      <c r="X1626" s="223"/>
      <c r="Y1626" s="223"/>
    </row>
    <row r="1627" spans="19:25">
      <c r="S1627" s="223"/>
      <c r="T1627" s="223"/>
      <c r="W1627" s="265"/>
      <c r="X1627" s="223"/>
      <c r="Y1627" s="223"/>
    </row>
    <row r="1628" spans="19:25">
      <c r="S1628" s="223"/>
      <c r="T1628" s="223"/>
      <c r="W1628" s="265"/>
      <c r="X1628" s="223"/>
      <c r="Y1628" s="223"/>
    </row>
    <row r="1629" spans="19:25">
      <c r="S1629" s="223"/>
      <c r="T1629" s="223"/>
      <c r="W1629" s="265"/>
      <c r="X1629" s="223"/>
      <c r="Y1629" s="223"/>
    </row>
    <row r="1630" spans="19:25">
      <c r="S1630" s="223"/>
      <c r="T1630" s="223"/>
      <c r="W1630" s="265"/>
      <c r="X1630" s="223"/>
      <c r="Y1630" s="223"/>
    </row>
    <row r="1631" spans="19:25">
      <c r="S1631" s="223"/>
      <c r="T1631" s="223"/>
      <c r="W1631" s="265"/>
      <c r="X1631" s="223"/>
      <c r="Y1631" s="223"/>
    </row>
    <row r="1632" spans="19:25">
      <c r="S1632" s="223"/>
      <c r="T1632" s="223"/>
      <c r="W1632" s="265"/>
      <c r="X1632" s="223"/>
      <c r="Y1632" s="223"/>
    </row>
    <row r="1633" spans="19:25">
      <c r="S1633" s="223"/>
      <c r="T1633" s="223"/>
      <c r="W1633" s="265"/>
      <c r="X1633" s="223"/>
      <c r="Y1633" s="223"/>
    </row>
    <row r="1634" spans="19:25">
      <c r="S1634" s="223"/>
      <c r="T1634" s="223"/>
      <c r="W1634" s="265"/>
      <c r="X1634" s="223"/>
      <c r="Y1634" s="223"/>
    </row>
    <row r="1635" spans="19:25">
      <c r="S1635" s="223"/>
      <c r="T1635" s="223"/>
      <c r="W1635" s="265"/>
      <c r="X1635" s="223"/>
      <c r="Y1635" s="223"/>
    </row>
    <row r="1636" spans="19:25">
      <c r="S1636" s="223"/>
      <c r="T1636" s="223"/>
      <c r="W1636" s="265"/>
      <c r="X1636" s="223"/>
      <c r="Y1636" s="223"/>
    </row>
    <row r="1637" spans="19:25">
      <c r="S1637" s="223"/>
      <c r="T1637" s="223"/>
      <c r="W1637" s="265"/>
      <c r="X1637" s="223"/>
      <c r="Y1637" s="223"/>
    </row>
    <row r="1638" spans="19:25">
      <c r="S1638" s="223"/>
      <c r="T1638" s="223"/>
      <c r="W1638" s="265"/>
      <c r="X1638" s="223"/>
      <c r="Y1638" s="223"/>
    </row>
    <row r="1639" spans="19:25">
      <c r="S1639" s="223"/>
      <c r="T1639" s="223"/>
      <c r="W1639" s="265"/>
      <c r="X1639" s="223"/>
      <c r="Y1639" s="223"/>
    </row>
    <row r="1640" spans="19:25">
      <c r="S1640" s="223"/>
      <c r="T1640" s="223"/>
      <c r="W1640" s="265"/>
      <c r="X1640" s="223"/>
      <c r="Y1640" s="223"/>
    </row>
    <row r="1641" spans="19:25">
      <c r="S1641" s="223"/>
      <c r="T1641" s="223"/>
      <c r="W1641" s="265"/>
      <c r="X1641" s="223"/>
      <c r="Y1641" s="223"/>
    </row>
    <row r="1642" spans="19:25">
      <c r="S1642" s="223"/>
      <c r="T1642" s="223"/>
      <c r="W1642" s="265"/>
      <c r="X1642" s="223"/>
      <c r="Y1642" s="223"/>
    </row>
    <row r="1643" spans="19:25">
      <c r="S1643" s="223"/>
      <c r="T1643" s="223"/>
      <c r="W1643" s="265"/>
      <c r="X1643" s="223"/>
      <c r="Y1643" s="223"/>
    </row>
    <row r="1644" spans="19:25">
      <c r="S1644" s="223"/>
      <c r="T1644" s="223"/>
      <c r="W1644" s="265"/>
      <c r="X1644" s="223"/>
      <c r="Y1644" s="223"/>
    </row>
    <row r="1645" spans="19:25">
      <c r="S1645" s="223"/>
      <c r="T1645" s="223"/>
      <c r="W1645" s="265"/>
      <c r="X1645" s="223"/>
      <c r="Y1645" s="223"/>
    </row>
    <row r="1646" spans="19:25">
      <c r="S1646" s="223"/>
      <c r="T1646" s="223"/>
      <c r="W1646" s="265"/>
      <c r="X1646" s="223"/>
      <c r="Y1646" s="223"/>
    </row>
    <row r="1647" spans="19:25">
      <c r="S1647" s="223"/>
      <c r="T1647" s="223"/>
      <c r="W1647" s="265"/>
      <c r="X1647" s="223"/>
      <c r="Y1647" s="223"/>
    </row>
    <row r="1648" spans="19:25">
      <c r="S1648" s="223"/>
      <c r="T1648" s="223"/>
      <c r="W1648" s="265"/>
      <c r="X1648" s="223"/>
      <c r="Y1648" s="223"/>
    </row>
    <row r="1649" spans="19:25">
      <c r="S1649" s="223"/>
      <c r="T1649" s="223"/>
      <c r="W1649" s="265"/>
      <c r="X1649" s="223"/>
      <c r="Y1649" s="223"/>
    </row>
    <row r="1650" spans="19:25">
      <c r="S1650" s="223"/>
      <c r="T1650" s="223"/>
      <c r="W1650" s="265"/>
      <c r="X1650" s="223"/>
      <c r="Y1650" s="223"/>
    </row>
    <row r="1651" spans="19:25">
      <c r="S1651" s="223"/>
      <c r="T1651" s="223"/>
      <c r="W1651" s="265"/>
      <c r="X1651" s="223"/>
      <c r="Y1651" s="223"/>
    </row>
    <row r="1652" spans="19:25">
      <c r="S1652" s="223"/>
      <c r="T1652" s="223"/>
      <c r="W1652" s="265"/>
      <c r="X1652" s="223"/>
      <c r="Y1652" s="223"/>
    </row>
    <row r="1653" spans="19:25">
      <c r="S1653" s="223"/>
      <c r="T1653" s="223"/>
      <c r="W1653" s="265"/>
      <c r="X1653" s="223"/>
      <c r="Y1653" s="223"/>
    </row>
    <row r="1654" spans="19:25">
      <c r="S1654" s="223"/>
      <c r="T1654" s="223"/>
      <c r="W1654" s="265"/>
      <c r="X1654" s="223"/>
      <c r="Y1654" s="223"/>
    </row>
    <row r="1655" spans="19:25">
      <c r="S1655" s="223"/>
      <c r="T1655" s="223"/>
      <c r="W1655" s="265"/>
      <c r="X1655" s="223"/>
      <c r="Y1655" s="223"/>
    </row>
    <row r="1656" spans="19:25">
      <c r="S1656" s="223"/>
      <c r="T1656" s="223"/>
      <c r="W1656" s="265"/>
      <c r="X1656" s="223"/>
      <c r="Y1656" s="223"/>
    </row>
    <row r="1657" spans="19:25">
      <c r="S1657" s="223"/>
      <c r="T1657" s="223"/>
      <c r="W1657" s="265"/>
      <c r="X1657" s="223"/>
      <c r="Y1657" s="223"/>
    </row>
    <row r="1658" spans="19:25">
      <c r="S1658" s="223"/>
      <c r="T1658" s="223"/>
      <c r="W1658" s="265"/>
      <c r="X1658" s="223"/>
      <c r="Y1658" s="223"/>
    </row>
    <row r="1659" spans="19:25">
      <c r="S1659" s="223"/>
      <c r="T1659" s="223"/>
      <c r="W1659" s="265"/>
      <c r="X1659" s="223"/>
      <c r="Y1659" s="223"/>
    </row>
    <row r="1660" spans="19:25">
      <c r="S1660" s="223"/>
      <c r="T1660" s="223"/>
      <c r="W1660" s="265"/>
      <c r="X1660" s="223"/>
      <c r="Y1660" s="223"/>
    </row>
    <row r="1661" spans="19:25">
      <c r="S1661" s="223"/>
      <c r="T1661" s="223"/>
      <c r="W1661" s="265"/>
      <c r="X1661" s="223"/>
      <c r="Y1661" s="223"/>
    </row>
    <row r="1662" spans="19:25">
      <c r="S1662" s="223"/>
      <c r="T1662" s="223"/>
      <c r="W1662" s="265"/>
      <c r="X1662" s="223"/>
      <c r="Y1662" s="223"/>
    </row>
    <row r="1663" spans="19:25">
      <c r="S1663" s="223"/>
      <c r="T1663" s="223"/>
      <c r="W1663" s="265"/>
      <c r="X1663" s="223"/>
      <c r="Y1663" s="223"/>
    </row>
    <row r="1664" spans="19:25">
      <c r="S1664" s="223"/>
      <c r="T1664" s="223"/>
      <c r="W1664" s="265"/>
      <c r="X1664" s="223"/>
      <c r="Y1664" s="223"/>
    </row>
    <row r="1665" spans="19:25">
      <c r="S1665" s="223"/>
      <c r="T1665" s="223"/>
      <c r="W1665" s="265"/>
      <c r="X1665" s="223"/>
      <c r="Y1665" s="223"/>
    </row>
    <row r="1666" spans="19:25">
      <c r="S1666" s="223"/>
      <c r="T1666" s="223"/>
      <c r="W1666" s="265"/>
      <c r="X1666" s="223"/>
      <c r="Y1666" s="223"/>
    </row>
    <row r="1667" spans="19:25">
      <c r="S1667" s="223"/>
      <c r="T1667" s="223"/>
      <c r="W1667" s="265"/>
      <c r="X1667" s="223"/>
      <c r="Y1667" s="223"/>
    </row>
    <row r="1668" spans="19:25">
      <c r="S1668" s="223"/>
      <c r="T1668" s="223"/>
      <c r="W1668" s="265"/>
      <c r="X1668" s="223"/>
      <c r="Y1668" s="223"/>
    </row>
    <row r="1669" spans="19:25">
      <c r="S1669" s="223"/>
      <c r="T1669" s="223"/>
      <c r="W1669" s="265"/>
      <c r="X1669" s="223"/>
      <c r="Y1669" s="223"/>
    </row>
    <row r="1670" spans="19:25">
      <c r="S1670" s="223"/>
      <c r="T1670" s="223"/>
      <c r="W1670" s="265"/>
      <c r="X1670" s="223"/>
      <c r="Y1670" s="223"/>
    </row>
    <row r="1671" spans="19:25">
      <c r="S1671" s="223"/>
      <c r="T1671" s="223"/>
      <c r="W1671" s="265"/>
      <c r="X1671" s="223"/>
      <c r="Y1671" s="223"/>
    </row>
    <row r="1672" spans="19:25">
      <c r="S1672" s="223"/>
      <c r="T1672" s="223"/>
      <c r="W1672" s="265"/>
      <c r="X1672" s="223"/>
      <c r="Y1672" s="223"/>
    </row>
    <row r="1673" spans="19:25">
      <c r="S1673" s="223"/>
      <c r="T1673" s="223"/>
      <c r="W1673" s="265"/>
      <c r="X1673" s="223"/>
      <c r="Y1673" s="223"/>
    </row>
    <row r="1674" spans="19:25">
      <c r="S1674" s="223"/>
      <c r="T1674" s="223"/>
      <c r="W1674" s="265"/>
      <c r="X1674" s="223"/>
      <c r="Y1674" s="223"/>
    </row>
    <row r="1675" spans="19:25">
      <c r="S1675" s="223"/>
      <c r="T1675" s="223"/>
      <c r="W1675" s="265"/>
      <c r="X1675" s="223"/>
      <c r="Y1675" s="223"/>
    </row>
    <row r="1676" spans="19:25">
      <c r="S1676" s="223"/>
      <c r="T1676" s="223"/>
      <c r="W1676" s="265"/>
      <c r="X1676" s="223"/>
      <c r="Y1676" s="223"/>
    </row>
    <row r="1677" spans="19:25">
      <c r="S1677" s="223"/>
      <c r="T1677" s="223"/>
      <c r="W1677" s="265"/>
      <c r="X1677" s="223"/>
      <c r="Y1677" s="223"/>
    </row>
    <row r="1678" spans="19:25">
      <c r="S1678" s="223"/>
      <c r="T1678" s="223"/>
      <c r="W1678" s="265"/>
      <c r="X1678" s="223"/>
      <c r="Y1678" s="223"/>
    </row>
    <row r="1679" spans="19:25">
      <c r="S1679" s="223"/>
      <c r="T1679" s="223"/>
      <c r="W1679" s="265"/>
      <c r="X1679" s="223"/>
      <c r="Y1679" s="223"/>
    </row>
    <row r="1680" spans="19:25">
      <c r="S1680" s="223"/>
      <c r="T1680" s="223"/>
      <c r="W1680" s="265"/>
      <c r="X1680" s="223"/>
      <c r="Y1680" s="223"/>
    </row>
    <row r="1681" spans="19:25">
      <c r="S1681" s="223"/>
      <c r="T1681" s="223"/>
      <c r="W1681" s="265"/>
      <c r="X1681" s="223"/>
      <c r="Y1681" s="223"/>
    </row>
    <row r="1682" spans="19:25">
      <c r="S1682" s="223"/>
      <c r="T1682" s="223"/>
      <c r="W1682" s="265"/>
      <c r="X1682" s="223"/>
      <c r="Y1682" s="223"/>
    </row>
    <row r="1683" spans="19:25">
      <c r="S1683" s="223"/>
      <c r="T1683" s="223"/>
      <c r="W1683" s="265"/>
      <c r="X1683" s="223"/>
      <c r="Y1683" s="223"/>
    </row>
    <row r="1684" spans="19:25">
      <c r="S1684" s="223"/>
      <c r="T1684" s="223"/>
      <c r="W1684" s="265"/>
      <c r="X1684" s="223"/>
      <c r="Y1684" s="223"/>
    </row>
    <row r="1685" spans="19:25">
      <c r="S1685" s="223"/>
      <c r="T1685" s="223"/>
      <c r="W1685" s="265"/>
      <c r="X1685" s="223"/>
      <c r="Y1685" s="223"/>
    </row>
    <row r="1686" spans="19:25">
      <c r="S1686" s="223"/>
      <c r="T1686" s="223"/>
      <c r="W1686" s="265"/>
      <c r="X1686" s="223"/>
      <c r="Y1686" s="223"/>
    </row>
    <row r="1687" spans="19:25">
      <c r="S1687" s="223"/>
      <c r="T1687" s="223"/>
      <c r="W1687" s="265"/>
      <c r="X1687" s="223"/>
      <c r="Y1687" s="223"/>
    </row>
    <row r="1688" spans="19:25">
      <c r="S1688" s="223"/>
      <c r="T1688" s="223"/>
      <c r="W1688" s="265"/>
      <c r="X1688" s="223"/>
      <c r="Y1688" s="223"/>
    </row>
    <row r="1689" spans="19:25">
      <c r="S1689" s="223"/>
      <c r="T1689" s="223"/>
      <c r="W1689" s="265"/>
      <c r="X1689" s="223"/>
      <c r="Y1689" s="223"/>
    </row>
    <row r="1690" spans="19:25">
      <c r="S1690" s="223"/>
      <c r="T1690" s="223"/>
      <c r="W1690" s="265"/>
      <c r="X1690" s="223"/>
      <c r="Y1690" s="223"/>
    </row>
    <row r="1691" spans="19:25">
      <c r="S1691" s="223"/>
      <c r="T1691" s="223"/>
      <c r="W1691" s="265"/>
      <c r="X1691" s="223"/>
      <c r="Y1691" s="223"/>
    </row>
    <row r="1692" spans="19:25">
      <c r="S1692" s="223"/>
      <c r="T1692" s="223"/>
      <c r="W1692" s="265"/>
      <c r="X1692" s="223"/>
      <c r="Y1692" s="223"/>
    </row>
    <row r="1693" spans="19:25">
      <c r="S1693" s="223"/>
      <c r="T1693" s="223"/>
      <c r="W1693" s="265"/>
      <c r="X1693" s="223"/>
      <c r="Y1693" s="223"/>
    </row>
    <row r="1694" spans="19:25">
      <c r="S1694" s="223"/>
      <c r="T1694" s="223"/>
      <c r="X1694" s="223"/>
      <c r="Y1694" s="223"/>
    </row>
    <row r="1695" spans="19:25">
      <c r="S1695" s="223"/>
      <c r="T1695" s="223"/>
      <c r="X1695" s="223"/>
      <c r="Y1695" s="223"/>
    </row>
    <row r="1696" spans="19:25">
      <c r="S1696" s="223"/>
      <c r="T1696" s="223"/>
      <c r="X1696" s="223"/>
      <c r="Y1696" s="223"/>
    </row>
    <row r="1697" spans="19:25">
      <c r="S1697" s="223"/>
      <c r="T1697" s="223"/>
      <c r="X1697" s="223"/>
      <c r="Y1697" s="223"/>
    </row>
    <row r="1698" spans="19:25">
      <c r="S1698" s="223"/>
      <c r="T1698" s="223"/>
      <c r="X1698" s="223"/>
      <c r="Y1698" s="223"/>
    </row>
    <row r="1699" spans="19:25">
      <c r="S1699" s="223"/>
      <c r="T1699" s="223"/>
      <c r="X1699" s="223"/>
      <c r="Y1699" s="223"/>
    </row>
    <row r="1700" spans="19:25">
      <c r="S1700" s="223"/>
      <c r="T1700" s="223"/>
      <c r="X1700" s="223"/>
      <c r="Y1700" s="223"/>
    </row>
    <row r="1701" spans="19:25">
      <c r="S1701" s="223"/>
      <c r="T1701" s="223"/>
      <c r="X1701" s="223"/>
      <c r="Y1701" s="223"/>
    </row>
    <row r="1702" spans="19:25">
      <c r="S1702" s="223"/>
      <c r="T1702" s="223"/>
      <c r="X1702" s="223"/>
      <c r="Y1702" s="223"/>
    </row>
    <row r="1703" spans="19:25">
      <c r="S1703" s="223"/>
      <c r="T1703" s="223"/>
      <c r="X1703" s="223"/>
      <c r="Y1703" s="223"/>
    </row>
    <row r="1704" spans="19:25">
      <c r="S1704" s="223"/>
      <c r="T1704" s="223"/>
      <c r="X1704" s="223"/>
      <c r="Y1704" s="223"/>
    </row>
    <row r="1705" spans="19:25">
      <c r="S1705" s="223"/>
      <c r="T1705" s="223"/>
      <c r="X1705" s="223"/>
      <c r="Y1705" s="223"/>
    </row>
    <row r="1706" spans="19:25">
      <c r="S1706" s="223"/>
      <c r="T1706" s="223"/>
      <c r="X1706" s="223"/>
      <c r="Y1706" s="223"/>
    </row>
    <row r="1707" spans="19:25">
      <c r="S1707" s="223"/>
      <c r="T1707" s="223"/>
      <c r="X1707" s="223"/>
      <c r="Y1707" s="223"/>
    </row>
    <row r="1708" spans="19:25">
      <c r="S1708" s="223"/>
      <c r="T1708" s="223"/>
      <c r="X1708" s="223"/>
      <c r="Y1708" s="223"/>
    </row>
    <row r="1709" spans="19:25">
      <c r="S1709" s="223"/>
      <c r="T1709" s="223"/>
      <c r="X1709" s="223"/>
      <c r="Y1709" s="223"/>
    </row>
    <row r="1710" spans="19:25">
      <c r="S1710" s="223"/>
      <c r="T1710" s="223"/>
      <c r="X1710" s="223"/>
      <c r="Y1710" s="223"/>
    </row>
    <row r="1711" spans="19:25">
      <c r="S1711" s="223"/>
      <c r="T1711" s="223"/>
      <c r="X1711" s="223"/>
      <c r="Y1711" s="223"/>
    </row>
    <row r="1712" spans="19:25">
      <c r="S1712" s="223"/>
      <c r="T1712" s="223"/>
      <c r="X1712" s="223"/>
      <c r="Y1712" s="223"/>
    </row>
    <row r="1713" spans="19:25">
      <c r="S1713" s="223"/>
      <c r="T1713" s="223"/>
      <c r="X1713" s="223"/>
      <c r="Y1713" s="223"/>
    </row>
    <row r="1714" spans="19:25">
      <c r="S1714" s="223"/>
      <c r="T1714" s="223"/>
      <c r="X1714" s="223"/>
      <c r="Y1714" s="223"/>
    </row>
    <row r="1715" spans="19:25">
      <c r="S1715" s="223"/>
      <c r="T1715" s="223"/>
      <c r="X1715" s="223"/>
      <c r="Y1715" s="223"/>
    </row>
    <row r="1716" spans="19:25">
      <c r="S1716" s="223"/>
      <c r="T1716" s="223"/>
      <c r="X1716" s="223"/>
      <c r="Y1716" s="223"/>
    </row>
    <row r="1717" spans="19:25">
      <c r="S1717" s="223"/>
      <c r="T1717" s="223"/>
      <c r="X1717" s="223"/>
      <c r="Y1717" s="223"/>
    </row>
    <row r="1718" spans="19:25">
      <c r="S1718" s="223"/>
      <c r="T1718" s="223"/>
      <c r="X1718" s="223"/>
      <c r="Y1718" s="223"/>
    </row>
    <row r="1719" spans="19:25">
      <c r="S1719" s="223"/>
      <c r="T1719" s="223"/>
      <c r="X1719" s="223"/>
      <c r="Y1719" s="223"/>
    </row>
    <row r="1720" spans="19:25">
      <c r="S1720" s="223"/>
      <c r="T1720" s="223"/>
      <c r="X1720" s="223"/>
      <c r="Y1720" s="223"/>
    </row>
    <row r="1721" spans="19:25">
      <c r="S1721" s="223"/>
      <c r="T1721" s="223"/>
      <c r="X1721" s="223"/>
      <c r="Y1721" s="223"/>
    </row>
    <row r="1722" spans="19:25">
      <c r="S1722" s="223"/>
      <c r="T1722" s="223"/>
      <c r="X1722" s="223"/>
      <c r="Y1722" s="223"/>
    </row>
    <row r="1723" spans="19:25">
      <c r="S1723" s="223"/>
      <c r="T1723" s="223"/>
      <c r="X1723" s="223"/>
      <c r="Y1723" s="223"/>
    </row>
    <row r="1724" spans="19:25">
      <c r="S1724" s="223"/>
      <c r="T1724" s="223"/>
      <c r="X1724" s="223"/>
      <c r="Y1724" s="223"/>
    </row>
    <row r="1725" spans="19:25">
      <c r="S1725" s="223"/>
      <c r="T1725" s="223"/>
      <c r="X1725" s="223"/>
      <c r="Y1725" s="223"/>
    </row>
    <row r="1726" spans="19:25">
      <c r="S1726" s="223"/>
      <c r="T1726" s="223"/>
      <c r="X1726" s="223"/>
      <c r="Y1726" s="223"/>
    </row>
    <row r="1727" spans="19:25">
      <c r="S1727" s="223"/>
      <c r="T1727" s="223"/>
      <c r="X1727" s="223"/>
      <c r="Y1727" s="223"/>
    </row>
    <row r="1728" spans="19:25">
      <c r="S1728" s="223"/>
      <c r="T1728" s="223"/>
      <c r="X1728" s="223"/>
      <c r="Y1728" s="223"/>
    </row>
    <row r="1729" spans="19:25">
      <c r="S1729" s="223"/>
      <c r="T1729" s="223"/>
      <c r="X1729" s="223"/>
      <c r="Y1729" s="223"/>
    </row>
    <row r="1730" spans="19:25">
      <c r="S1730" s="223"/>
      <c r="T1730" s="223"/>
      <c r="X1730" s="223"/>
      <c r="Y1730" s="223"/>
    </row>
    <row r="1731" spans="19:25">
      <c r="S1731" s="223"/>
      <c r="T1731" s="223"/>
      <c r="X1731" s="223"/>
      <c r="Y1731" s="223"/>
    </row>
    <row r="1732" spans="19:25">
      <c r="S1732" s="223"/>
      <c r="T1732" s="223"/>
      <c r="X1732" s="223"/>
      <c r="Y1732" s="223"/>
    </row>
    <row r="1733" spans="19:25">
      <c r="S1733" s="223"/>
      <c r="T1733" s="223"/>
      <c r="X1733" s="223"/>
      <c r="Y1733" s="223"/>
    </row>
    <row r="1734" spans="19:25">
      <c r="S1734" s="223"/>
      <c r="T1734" s="223"/>
      <c r="X1734" s="223"/>
      <c r="Y1734" s="223"/>
    </row>
    <row r="1735" spans="19:25">
      <c r="S1735" s="223"/>
      <c r="T1735" s="223"/>
      <c r="X1735" s="223"/>
      <c r="Y1735" s="223"/>
    </row>
    <row r="1736" spans="19:25">
      <c r="S1736" s="223"/>
      <c r="T1736" s="223"/>
      <c r="X1736" s="223"/>
      <c r="Y1736" s="223"/>
    </row>
    <row r="1737" spans="19:25">
      <c r="S1737" s="223"/>
      <c r="T1737" s="223"/>
      <c r="X1737" s="223"/>
      <c r="Y1737" s="223"/>
    </row>
    <row r="1738" spans="19:25">
      <c r="S1738" s="223"/>
      <c r="T1738" s="223"/>
      <c r="X1738" s="223"/>
      <c r="Y1738" s="223"/>
    </row>
    <row r="1739" spans="19:25">
      <c r="S1739" s="223"/>
      <c r="T1739" s="223"/>
      <c r="X1739" s="223"/>
      <c r="Y1739" s="223"/>
    </row>
    <row r="1740" spans="19:25">
      <c r="S1740" s="223"/>
      <c r="T1740" s="223"/>
      <c r="X1740" s="223"/>
      <c r="Y1740" s="223"/>
    </row>
    <row r="1741" spans="19:25">
      <c r="S1741" s="223"/>
      <c r="T1741" s="223"/>
      <c r="X1741" s="223"/>
      <c r="Y1741" s="223"/>
    </row>
    <row r="1742" spans="19:25">
      <c r="S1742" s="223"/>
      <c r="T1742" s="223"/>
      <c r="X1742" s="223"/>
      <c r="Y1742" s="223"/>
    </row>
    <row r="1743" spans="19:25">
      <c r="S1743" s="223"/>
      <c r="T1743" s="223"/>
      <c r="X1743" s="223"/>
      <c r="Y1743" s="223"/>
    </row>
    <row r="1744" spans="19:25">
      <c r="S1744" s="223"/>
      <c r="T1744" s="223"/>
      <c r="X1744" s="223"/>
      <c r="Y1744" s="223"/>
    </row>
    <row r="1745" spans="19:25">
      <c r="S1745" s="223"/>
      <c r="T1745" s="223"/>
      <c r="X1745" s="223"/>
      <c r="Y1745" s="223"/>
    </row>
    <row r="1746" spans="19:25">
      <c r="S1746" s="223"/>
      <c r="T1746" s="223"/>
      <c r="X1746" s="223"/>
      <c r="Y1746" s="223"/>
    </row>
    <row r="1747" spans="19:25">
      <c r="S1747" s="223"/>
      <c r="T1747" s="223"/>
      <c r="X1747" s="223"/>
      <c r="Y1747" s="223"/>
    </row>
    <row r="1748" spans="19:25">
      <c r="S1748" s="223"/>
      <c r="T1748" s="223"/>
      <c r="X1748" s="223"/>
      <c r="Y1748" s="223"/>
    </row>
    <row r="1749" spans="19:25">
      <c r="S1749" s="223"/>
      <c r="T1749" s="223"/>
      <c r="X1749" s="223"/>
      <c r="Y1749" s="223"/>
    </row>
    <row r="1750" spans="19:25">
      <c r="S1750" s="223"/>
      <c r="T1750" s="223"/>
      <c r="X1750" s="223"/>
      <c r="Y1750" s="223"/>
    </row>
    <row r="1751" spans="19:25">
      <c r="S1751" s="223"/>
      <c r="T1751" s="223"/>
      <c r="X1751" s="223"/>
      <c r="Y1751" s="223"/>
    </row>
    <row r="1752" spans="19:25">
      <c r="S1752" s="223"/>
      <c r="T1752" s="223"/>
      <c r="X1752" s="223"/>
      <c r="Y1752" s="223"/>
    </row>
    <row r="1753" spans="19:25">
      <c r="S1753" s="223"/>
      <c r="T1753" s="223"/>
      <c r="X1753" s="223"/>
      <c r="Y1753" s="223"/>
    </row>
    <row r="1754" spans="19:25">
      <c r="S1754" s="223"/>
      <c r="T1754" s="223"/>
      <c r="X1754" s="223"/>
      <c r="Y1754" s="223"/>
    </row>
    <row r="1755" spans="19:25">
      <c r="S1755" s="223"/>
      <c r="T1755" s="223"/>
      <c r="X1755" s="223"/>
      <c r="Y1755" s="223"/>
    </row>
    <row r="1756" spans="19:25">
      <c r="S1756" s="223"/>
      <c r="T1756" s="223"/>
      <c r="X1756" s="223"/>
      <c r="Y1756" s="223"/>
    </row>
    <row r="1757" spans="19:25">
      <c r="S1757" s="223"/>
      <c r="T1757" s="223"/>
      <c r="X1757" s="223"/>
      <c r="Y1757" s="223"/>
    </row>
    <row r="1758" spans="19:25">
      <c r="S1758" s="223"/>
      <c r="T1758" s="223"/>
      <c r="X1758" s="223"/>
      <c r="Y1758" s="223"/>
    </row>
    <row r="1759" spans="19:25">
      <c r="S1759" s="223"/>
      <c r="T1759" s="223"/>
      <c r="X1759" s="223"/>
      <c r="Y1759" s="223"/>
    </row>
    <row r="1760" spans="19:25">
      <c r="S1760" s="223"/>
      <c r="T1760" s="223"/>
      <c r="X1760" s="223"/>
      <c r="Y1760" s="223"/>
    </row>
    <row r="1761" spans="19:25">
      <c r="S1761" s="223"/>
      <c r="T1761" s="223"/>
      <c r="X1761" s="223"/>
      <c r="Y1761" s="223"/>
    </row>
    <row r="1762" spans="19:25">
      <c r="S1762" s="223"/>
      <c r="T1762" s="223"/>
      <c r="X1762" s="223"/>
      <c r="Y1762" s="223"/>
    </row>
    <row r="1763" spans="19:25">
      <c r="S1763" s="223"/>
      <c r="T1763" s="223"/>
      <c r="X1763" s="223"/>
      <c r="Y1763" s="223"/>
    </row>
    <row r="1764" spans="19:25">
      <c r="S1764" s="223"/>
      <c r="T1764" s="223"/>
      <c r="X1764" s="223"/>
      <c r="Y1764" s="223"/>
    </row>
    <row r="1765" spans="19:25">
      <c r="S1765" s="223"/>
      <c r="T1765" s="223"/>
      <c r="X1765" s="223"/>
      <c r="Y1765" s="223"/>
    </row>
    <row r="1766" spans="19:25">
      <c r="S1766" s="223"/>
      <c r="T1766" s="223"/>
      <c r="X1766" s="223"/>
      <c r="Y1766" s="223"/>
    </row>
    <row r="1767" spans="19:25">
      <c r="S1767" s="223"/>
      <c r="T1767" s="223"/>
      <c r="X1767" s="223"/>
      <c r="Y1767" s="223"/>
    </row>
    <row r="1768" spans="19:25">
      <c r="S1768" s="223"/>
      <c r="T1768" s="223"/>
      <c r="X1768" s="223"/>
      <c r="Y1768" s="223"/>
    </row>
    <row r="1769" spans="19:25">
      <c r="S1769" s="223"/>
      <c r="T1769" s="223"/>
      <c r="X1769" s="223"/>
      <c r="Y1769" s="223"/>
    </row>
    <row r="1770" spans="19:25">
      <c r="S1770" s="223"/>
      <c r="T1770" s="223"/>
      <c r="X1770" s="223"/>
      <c r="Y1770" s="223"/>
    </row>
    <row r="1771" spans="19:25">
      <c r="S1771" s="223"/>
      <c r="T1771" s="223"/>
      <c r="X1771" s="223"/>
      <c r="Y1771" s="223"/>
    </row>
    <row r="1772" spans="19:25">
      <c r="S1772" s="223"/>
      <c r="T1772" s="223"/>
      <c r="X1772" s="223"/>
      <c r="Y1772" s="223"/>
    </row>
    <row r="1773" spans="19:25">
      <c r="S1773" s="223"/>
      <c r="T1773" s="223"/>
      <c r="X1773" s="223"/>
      <c r="Y1773" s="223"/>
    </row>
    <row r="1774" spans="19:25">
      <c r="S1774" s="223"/>
      <c r="T1774" s="223"/>
      <c r="X1774" s="223"/>
      <c r="Y1774" s="223"/>
    </row>
    <row r="1775" spans="19:25">
      <c r="S1775" s="223"/>
      <c r="T1775" s="223"/>
      <c r="X1775" s="223"/>
      <c r="Y1775" s="223"/>
    </row>
    <row r="1776" spans="19:25">
      <c r="S1776" s="223"/>
      <c r="T1776" s="223"/>
      <c r="X1776" s="223"/>
      <c r="Y1776" s="223"/>
    </row>
    <row r="1777" spans="19:25">
      <c r="S1777" s="223"/>
      <c r="T1777" s="223"/>
      <c r="X1777" s="223"/>
      <c r="Y1777" s="223"/>
    </row>
    <row r="1778" spans="19:25">
      <c r="S1778" s="223"/>
      <c r="T1778" s="223"/>
      <c r="X1778" s="223"/>
      <c r="Y1778" s="223"/>
    </row>
    <row r="1779" spans="19:25">
      <c r="S1779" s="223"/>
      <c r="T1779" s="223"/>
      <c r="X1779" s="223"/>
      <c r="Y1779" s="223"/>
    </row>
    <row r="1780" spans="19:25">
      <c r="S1780" s="223"/>
      <c r="T1780" s="223"/>
      <c r="X1780" s="223"/>
      <c r="Y1780" s="223"/>
    </row>
    <row r="1781" spans="19:25">
      <c r="S1781" s="223"/>
      <c r="T1781" s="223"/>
      <c r="X1781" s="223"/>
      <c r="Y1781" s="223"/>
    </row>
    <row r="1782" spans="19:25">
      <c r="S1782" s="223"/>
      <c r="T1782" s="223"/>
      <c r="X1782" s="223"/>
      <c r="Y1782" s="223"/>
    </row>
    <row r="1783" spans="19:25">
      <c r="S1783" s="223"/>
      <c r="T1783" s="223"/>
      <c r="X1783" s="223"/>
      <c r="Y1783" s="223"/>
    </row>
    <row r="1784" spans="19:25">
      <c r="S1784" s="223"/>
      <c r="T1784" s="223"/>
      <c r="X1784" s="223"/>
      <c r="Y1784" s="223"/>
    </row>
    <row r="1785" spans="19:25">
      <c r="S1785" s="223"/>
      <c r="T1785" s="223"/>
      <c r="X1785" s="223"/>
      <c r="Y1785" s="223"/>
    </row>
    <row r="1786" spans="19:25">
      <c r="S1786" s="223"/>
      <c r="T1786" s="223"/>
      <c r="X1786" s="223"/>
      <c r="Y1786" s="223"/>
    </row>
    <row r="1787" spans="19:25">
      <c r="S1787" s="223"/>
      <c r="T1787" s="223"/>
      <c r="X1787" s="223"/>
      <c r="Y1787" s="223"/>
    </row>
    <row r="1788" spans="19:25">
      <c r="S1788" s="223"/>
      <c r="T1788" s="223"/>
      <c r="X1788" s="223"/>
      <c r="Y1788" s="223"/>
    </row>
    <row r="1789" spans="19:25">
      <c r="S1789" s="223"/>
      <c r="T1789" s="223"/>
      <c r="X1789" s="223"/>
      <c r="Y1789" s="223"/>
    </row>
    <row r="1790" spans="19:25">
      <c r="S1790" s="223"/>
      <c r="T1790" s="223"/>
      <c r="X1790" s="223"/>
      <c r="Y1790" s="223"/>
    </row>
    <row r="1791" spans="19:25">
      <c r="S1791" s="223"/>
      <c r="T1791" s="223"/>
      <c r="X1791" s="223"/>
      <c r="Y1791" s="223"/>
    </row>
    <row r="1792" spans="19:25">
      <c r="S1792" s="223"/>
      <c r="T1792" s="223"/>
      <c r="X1792" s="223"/>
      <c r="Y1792" s="223"/>
    </row>
    <row r="1793" spans="19:25">
      <c r="S1793" s="223"/>
      <c r="T1793" s="223"/>
      <c r="X1793" s="223"/>
      <c r="Y1793" s="223"/>
    </row>
    <row r="1794" spans="19:25">
      <c r="S1794" s="223"/>
      <c r="T1794" s="223"/>
      <c r="X1794" s="223"/>
      <c r="Y1794" s="223"/>
    </row>
    <row r="1795" spans="19:25">
      <c r="S1795" s="223"/>
      <c r="T1795" s="223"/>
      <c r="X1795" s="223"/>
      <c r="Y1795" s="223"/>
    </row>
    <row r="1796" spans="19:25">
      <c r="S1796" s="223"/>
      <c r="T1796" s="223"/>
      <c r="X1796" s="223"/>
      <c r="Y1796" s="223"/>
    </row>
    <row r="1797" spans="19:25">
      <c r="S1797" s="223"/>
      <c r="T1797" s="223"/>
      <c r="X1797" s="223"/>
      <c r="Y1797" s="223"/>
    </row>
    <row r="1798" spans="19:25">
      <c r="S1798" s="223"/>
      <c r="T1798" s="223"/>
      <c r="X1798" s="223"/>
      <c r="Y1798" s="223"/>
    </row>
    <row r="1799" spans="19:25">
      <c r="S1799" s="223"/>
      <c r="T1799" s="223"/>
      <c r="X1799" s="223"/>
      <c r="Y1799" s="223"/>
    </row>
    <row r="1800" spans="19:25">
      <c r="S1800" s="223"/>
      <c r="T1800" s="223"/>
      <c r="X1800" s="223"/>
      <c r="Y1800" s="223"/>
    </row>
    <row r="1801" spans="19:25">
      <c r="S1801" s="223"/>
      <c r="T1801" s="223"/>
      <c r="X1801" s="223"/>
      <c r="Y1801" s="223"/>
    </row>
    <row r="1802" spans="19:25">
      <c r="S1802" s="223"/>
      <c r="T1802" s="223"/>
      <c r="X1802" s="223"/>
      <c r="Y1802" s="223"/>
    </row>
    <row r="1803" spans="19:25">
      <c r="S1803" s="223"/>
      <c r="T1803" s="223"/>
      <c r="X1803" s="223"/>
      <c r="Y1803" s="223"/>
    </row>
    <row r="1804" spans="19:25">
      <c r="S1804" s="223"/>
      <c r="T1804" s="223"/>
      <c r="X1804" s="223"/>
      <c r="Y1804" s="223"/>
    </row>
    <row r="1805" spans="19:25">
      <c r="S1805" s="223"/>
      <c r="T1805" s="223"/>
      <c r="X1805" s="223"/>
      <c r="Y1805" s="223"/>
    </row>
    <row r="1806" spans="19:25">
      <c r="S1806" s="223"/>
      <c r="T1806" s="223"/>
      <c r="X1806" s="223"/>
      <c r="Y1806" s="223"/>
    </row>
    <row r="1807" spans="19:25">
      <c r="S1807" s="223"/>
      <c r="T1807" s="223"/>
      <c r="X1807" s="223"/>
      <c r="Y1807" s="223"/>
    </row>
    <row r="1808" spans="19:25">
      <c r="S1808" s="223"/>
      <c r="T1808" s="223"/>
      <c r="X1808" s="223"/>
      <c r="Y1808" s="223"/>
    </row>
    <row r="1809" spans="19:25">
      <c r="S1809" s="223"/>
      <c r="T1809" s="223"/>
      <c r="X1809" s="223"/>
      <c r="Y1809" s="223"/>
    </row>
    <row r="1810" spans="19:25">
      <c r="S1810" s="223"/>
      <c r="T1810" s="223"/>
      <c r="X1810" s="223"/>
      <c r="Y1810" s="223"/>
    </row>
    <row r="1811" spans="19:25">
      <c r="S1811" s="223"/>
      <c r="T1811" s="223"/>
      <c r="X1811" s="223"/>
      <c r="Y1811" s="223"/>
    </row>
    <row r="1812" spans="19:25">
      <c r="S1812" s="223"/>
      <c r="T1812" s="223"/>
      <c r="X1812" s="223"/>
      <c r="Y1812" s="223"/>
    </row>
    <row r="1813" spans="19:25">
      <c r="S1813" s="223"/>
      <c r="T1813" s="223"/>
      <c r="X1813" s="223"/>
      <c r="Y1813" s="223"/>
    </row>
    <row r="1814" spans="19:25">
      <c r="S1814" s="223"/>
      <c r="T1814" s="223"/>
      <c r="X1814" s="223"/>
      <c r="Y1814" s="223"/>
    </row>
    <row r="1815" spans="19:25">
      <c r="S1815" s="223"/>
      <c r="T1815" s="223"/>
      <c r="X1815" s="223"/>
      <c r="Y1815" s="223"/>
    </row>
    <row r="1816" spans="19:25">
      <c r="S1816" s="223"/>
      <c r="T1816" s="223"/>
      <c r="X1816" s="223"/>
      <c r="Y1816" s="223"/>
    </row>
    <row r="1817" spans="19:25">
      <c r="S1817" s="223"/>
      <c r="T1817" s="223"/>
      <c r="X1817" s="223"/>
      <c r="Y1817" s="223"/>
    </row>
    <row r="1818" spans="19:25">
      <c r="S1818" s="223"/>
      <c r="T1818" s="223"/>
      <c r="X1818" s="223"/>
      <c r="Y1818" s="223"/>
    </row>
    <row r="1819" spans="19:25">
      <c r="S1819" s="223"/>
      <c r="T1819" s="223"/>
      <c r="X1819" s="223"/>
      <c r="Y1819" s="223"/>
    </row>
    <row r="1820" spans="19:25">
      <c r="S1820" s="223"/>
      <c r="T1820" s="223"/>
      <c r="X1820" s="223"/>
      <c r="Y1820" s="223"/>
    </row>
    <row r="1821" spans="19:25">
      <c r="S1821" s="223"/>
      <c r="T1821" s="223"/>
      <c r="X1821" s="223"/>
      <c r="Y1821" s="223"/>
    </row>
    <row r="1822" spans="19:25">
      <c r="S1822" s="223"/>
      <c r="T1822" s="223"/>
      <c r="X1822" s="223"/>
      <c r="Y1822" s="223"/>
    </row>
    <row r="1823" spans="19:25">
      <c r="S1823" s="223"/>
      <c r="T1823" s="223"/>
      <c r="X1823" s="223"/>
      <c r="Y1823" s="223"/>
    </row>
    <row r="1824" spans="19:25">
      <c r="S1824" s="223"/>
      <c r="T1824" s="223"/>
      <c r="X1824" s="223"/>
      <c r="Y1824" s="223"/>
    </row>
    <row r="1825" spans="19:25">
      <c r="S1825" s="223"/>
      <c r="T1825" s="223"/>
      <c r="X1825" s="223"/>
      <c r="Y1825" s="223"/>
    </row>
    <row r="1826" spans="19:25">
      <c r="S1826" s="223"/>
      <c r="T1826" s="223"/>
      <c r="X1826" s="223"/>
      <c r="Y1826" s="223"/>
    </row>
    <row r="1827" spans="19:25">
      <c r="S1827" s="223"/>
      <c r="T1827" s="223"/>
      <c r="X1827" s="223"/>
      <c r="Y1827" s="223"/>
    </row>
    <row r="1828" spans="19:25">
      <c r="S1828" s="223"/>
      <c r="T1828" s="223"/>
      <c r="X1828" s="223"/>
      <c r="Y1828" s="223"/>
    </row>
    <row r="1829" spans="19:25">
      <c r="S1829" s="223"/>
      <c r="T1829" s="223"/>
      <c r="X1829" s="223"/>
      <c r="Y1829" s="223"/>
    </row>
    <row r="1830" spans="19:25">
      <c r="S1830" s="223"/>
      <c r="T1830" s="223"/>
      <c r="X1830" s="223"/>
      <c r="Y1830" s="223"/>
    </row>
    <row r="1831" spans="19:25">
      <c r="S1831" s="223"/>
      <c r="T1831" s="223"/>
      <c r="X1831" s="223"/>
      <c r="Y1831" s="223"/>
    </row>
    <row r="1832" spans="19:25">
      <c r="S1832" s="223"/>
      <c r="T1832" s="223"/>
      <c r="X1832" s="223"/>
      <c r="Y1832" s="223"/>
    </row>
    <row r="1833" spans="19:25">
      <c r="S1833" s="223"/>
      <c r="T1833" s="223"/>
      <c r="X1833" s="223"/>
      <c r="Y1833" s="223"/>
    </row>
    <row r="1834" spans="19:25">
      <c r="S1834" s="223"/>
      <c r="T1834" s="223"/>
      <c r="X1834" s="223"/>
      <c r="Y1834" s="223"/>
    </row>
    <row r="1835" spans="19:25">
      <c r="S1835" s="223"/>
      <c r="T1835" s="223"/>
      <c r="X1835" s="223"/>
      <c r="Y1835" s="223"/>
    </row>
    <row r="1836" spans="19:25">
      <c r="S1836" s="223"/>
      <c r="T1836" s="223"/>
      <c r="X1836" s="223"/>
      <c r="Y1836" s="223"/>
    </row>
    <row r="1837" spans="19:25">
      <c r="S1837" s="223"/>
      <c r="T1837" s="223"/>
      <c r="X1837" s="223"/>
      <c r="Y1837" s="223"/>
    </row>
    <row r="1838" spans="19:25">
      <c r="S1838" s="223"/>
      <c r="T1838" s="223"/>
      <c r="X1838" s="223"/>
      <c r="Y1838" s="223"/>
    </row>
    <row r="1839" spans="19:25">
      <c r="S1839" s="223"/>
      <c r="T1839" s="223"/>
      <c r="X1839" s="223"/>
      <c r="Y1839" s="223"/>
    </row>
    <row r="1840" spans="19:25">
      <c r="S1840" s="223"/>
      <c r="T1840" s="223"/>
      <c r="X1840" s="223"/>
      <c r="Y1840" s="223"/>
    </row>
    <row r="1841" spans="19:25">
      <c r="S1841" s="223"/>
      <c r="T1841" s="223"/>
      <c r="X1841" s="223"/>
      <c r="Y1841" s="223"/>
    </row>
    <row r="1842" spans="19:25">
      <c r="S1842" s="223"/>
      <c r="T1842" s="223"/>
      <c r="X1842" s="223"/>
      <c r="Y1842" s="223"/>
    </row>
    <row r="1843" spans="19:25">
      <c r="S1843" s="223"/>
      <c r="T1843" s="223"/>
      <c r="X1843" s="223"/>
      <c r="Y1843" s="223"/>
    </row>
    <row r="1844" spans="19:25">
      <c r="S1844" s="223"/>
      <c r="T1844" s="223"/>
      <c r="X1844" s="223"/>
      <c r="Y1844" s="223"/>
    </row>
    <row r="1845" spans="19:25">
      <c r="S1845" s="223"/>
      <c r="T1845" s="223"/>
      <c r="X1845" s="223"/>
      <c r="Y1845" s="223"/>
    </row>
    <row r="1846" spans="19:25">
      <c r="S1846" s="223"/>
      <c r="T1846" s="223"/>
      <c r="X1846" s="223"/>
      <c r="Y1846" s="223"/>
    </row>
    <row r="1847" spans="19:25">
      <c r="S1847" s="223"/>
      <c r="T1847" s="223"/>
      <c r="X1847" s="223"/>
      <c r="Y1847" s="223"/>
    </row>
    <row r="1848" spans="19:25">
      <c r="S1848" s="223"/>
      <c r="T1848" s="223"/>
      <c r="X1848" s="223"/>
      <c r="Y1848" s="223"/>
    </row>
    <row r="1849" spans="19:25">
      <c r="S1849" s="223"/>
      <c r="T1849" s="223"/>
      <c r="X1849" s="223"/>
      <c r="Y1849" s="223"/>
    </row>
    <row r="1850" spans="19:25">
      <c r="S1850" s="223"/>
      <c r="T1850" s="223"/>
      <c r="X1850" s="223"/>
      <c r="Y1850" s="223"/>
    </row>
    <row r="1851" spans="19:25">
      <c r="S1851" s="223"/>
      <c r="T1851" s="223"/>
      <c r="X1851" s="223"/>
      <c r="Y1851" s="223"/>
    </row>
    <row r="1852" spans="19:25">
      <c r="S1852" s="223"/>
      <c r="T1852" s="223"/>
      <c r="X1852" s="223"/>
      <c r="Y1852" s="223"/>
    </row>
    <row r="1853" spans="19:25">
      <c r="S1853" s="223"/>
      <c r="T1853" s="223"/>
      <c r="X1853" s="223"/>
      <c r="Y1853" s="223"/>
    </row>
    <row r="1854" spans="19:25">
      <c r="S1854" s="223"/>
      <c r="T1854" s="223"/>
      <c r="X1854" s="223"/>
      <c r="Y1854" s="223"/>
    </row>
    <row r="1855" spans="19:25">
      <c r="S1855" s="223"/>
      <c r="T1855" s="223"/>
      <c r="X1855" s="223"/>
      <c r="Y1855" s="223"/>
    </row>
    <row r="1856" spans="19:25">
      <c r="S1856" s="223"/>
      <c r="T1856" s="223"/>
      <c r="X1856" s="223"/>
      <c r="Y1856" s="223"/>
    </row>
    <row r="1857" spans="19:25">
      <c r="S1857" s="223"/>
      <c r="T1857" s="223"/>
      <c r="X1857" s="223"/>
      <c r="Y1857" s="223"/>
    </row>
    <row r="1858" spans="19:25">
      <c r="S1858" s="223"/>
      <c r="T1858" s="223"/>
      <c r="X1858" s="223"/>
      <c r="Y1858" s="223"/>
    </row>
    <row r="1859" spans="19:25">
      <c r="S1859" s="223"/>
      <c r="T1859" s="223"/>
      <c r="X1859" s="223"/>
      <c r="Y1859" s="223"/>
    </row>
    <row r="1860" spans="19:25">
      <c r="S1860" s="223"/>
      <c r="T1860" s="223"/>
      <c r="X1860" s="223"/>
      <c r="Y1860" s="223"/>
    </row>
    <row r="1861" spans="19:25">
      <c r="S1861" s="223"/>
      <c r="T1861" s="223"/>
      <c r="X1861" s="223"/>
      <c r="Y1861" s="223"/>
    </row>
    <row r="1862" spans="19:25">
      <c r="S1862" s="223"/>
      <c r="T1862" s="223"/>
      <c r="X1862" s="223"/>
      <c r="Y1862" s="223"/>
    </row>
    <row r="1863" spans="19:25">
      <c r="S1863" s="223"/>
      <c r="T1863" s="223"/>
      <c r="X1863" s="223"/>
      <c r="Y1863" s="223"/>
    </row>
    <row r="1864" spans="19:25">
      <c r="S1864" s="223"/>
      <c r="T1864" s="223"/>
      <c r="X1864" s="223"/>
      <c r="Y1864" s="223"/>
    </row>
    <row r="1865" spans="19:25">
      <c r="S1865" s="223"/>
      <c r="T1865" s="223"/>
      <c r="X1865" s="223"/>
      <c r="Y1865" s="223"/>
    </row>
    <row r="1866" spans="19:25">
      <c r="S1866" s="223"/>
      <c r="T1866" s="223"/>
      <c r="X1866" s="223"/>
      <c r="Y1866" s="223"/>
    </row>
    <row r="1867" spans="19:25">
      <c r="S1867" s="223"/>
      <c r="T1867" s="223"/>
      <c r="X1867" s="223"/>
      <c r="Y1867" s="223"/>
    </row>
    <row r="1868" spans="19:25">
      <c r="S1868" s="223"/>
      <c r="T1868" s="223"/>
      <c r="X1868" s="223"/>
      <c r="Y1868" s="223"/>
    </row>
    <row r="1869" spans="19:25">
      <c r="S1869" s="223"/>
      <c r="T1869" s="223"/>
      <c r="X1869" s="223"/>
      <c r="Y1869" s="223"/>
    </row>
    <row r="1870" spans="19:25">
      <c r="S1870" s="223"/>
      <c r="T1870" s="223"/>
      <c r="X1870" s="223"/>
      <c r="Y1870" s="223"/>
    </row>
    <row r="1871" spans="19:25">
      <c r="S1871" s="223"/>
      <c r="T1871" s="223"/>
      <c r="X1871" s="223"/>
      <c r="Y1871" s="223"/>
    </row>
    <row r="1872" spans="19:25">
      <c r="S1872" s="223"/>
      <c r="T1872" s="223"/>
      <c r="X1872" s="223"/>
      <c r="Y1872" s="223"/>
    </row>
    <row r="1873" spans="19:25">
      <c r="S1873" s="223"/>
      <c r="T1873" s="223"/>
      <c r="X1873" s="223"/>
      <c r="Y1873" s="223"/>
    </row>
    <row r="1874" spans="19:25">
      <c r="S1874" s="223"/>
      <c r="T1874" s="223"/>
      <c r="X1874" s="223"/>
      <c r="Y1874" s="223"/>
    </row>
    <row r="1875" spans="19:25">
      <c r="S1875" s="223"/>
      <c r="T1875" s="223"/>
      <c r="X1875" s="223"/>
      <c r="Y1875" s="223"/>
    </row>
    <row r="1876" spans="19:25">
      <c r="S1876" s="223"/>
      <c r="T1876" s="223"/>
      <c r="X1876" s="223"/>
      <c r="Y1876" s="223"/>
    </row>
    <row r="1877" spans="19:25">
      <c r="S1877" s="223"/>
      <c r="T1877" s="223"/>
      <c r="X1877" s="223"/>
      <c r="Y1877" s="223"/>
    </row>
    <row r="1878" spans="19:25">
      <c r="S1878" s="223"/>
      <c r="T1878" s="223"/>
      <c r="X1878" s="223"/>
      <c r="Y1878" s="223"/>
    </row>
    <row r="1879" spans="19:25">
      <c r="S1879" s="223"/>
      <c r="T1879" s="223"/>
      <c r="X1879" s="223"/>
      <c r="Y1879" s="223"/>
    </row>
    <row r="1880" spans="19:25">
      <c r="S1880" s="223"/>
      <c r="T1880" s="223"/>
      <c r="X1880" s="223"/>
      <c r="Y1880" s="223"/>
    </row>
    <row r="1881" spans="19:25">
      <c r="S1881" s="223"/>
      <c r="T1881" s="223"/>
      <c r="X1881" s="223"/>
      <c r="Y1881" s="223"/>
    </row>
    <row r="1882" spans="19:25">
      <c r="S1882" s="223"/>
      <c r="T1882" s="223"/>
      <c r="X1882" s="223"/>
      <c r="Y1882" s="223"/>
    </row>
    <row r="1883" spans="19:25">
      <c r="S1883" s="223"/>
      <c r="T1883" s="223"/>
      <c r="X1883" s="223"/>
      <c r="Y1883" s="223"/>
    </row>
    <row r="1884" spans="19:25">
      <c r="S1884" s="223"/>
      <c r="T1884" s="223"/>
      <c r="X1884" s="223"/>
      <c r="Y1884" s="223"/>
    </row>
    <row r="1885" spans="19:25">
      <c r="S1885" s="223"/>
      <c r="T1885" s="223"/>
      <c r="X1885" s="223"/>
      <c r="Y1885" s="223"/>
    </row>
    <row r="1886" spans="19:25">
      <c r="S1886" s="223"/>
      <c r="T1886" s="223"/>
      <c r="X1886" s="223"/>
      <c r="Y1886" s="223"/>
    </row>
    <row r="1887" spans="19:25">
      <c r="S1887" s="223"/>
      <c r="T1887" s="223"/>
      <c r="X1887" s="223"/>
      <c r="Y1887" s="223"/>
    </row>
    <row r="1888" spans="19:25">
      <c r="S1888" s="223"/>
      <c r="T1888" s="223"/>
      <c r="X1888" s="223"/>
      <c r="Y1888" s="223"/>
    </row>
    <row r="1889" spans="19:25">
      <c r="S1889" s="223"/>
      <c r="T1889" s="223"/>
      <c r="X1889" s="223"/>
      <c r="Y1889" s="223"/>
    </row>
    <row r="1890" spans="19:25">
      <c r="S1890" s="223"/>
      <c r="T1890" s="223"/>
      <c r="X1890" s="223"/>
      <c r="Y1890" s="223"/>
    </row>
    <row r="1891" spans="19:25">
      <c r="S1891" s="223"/>
      <c r="T1891" s="223"/>
      <c r="X1891" s="223"/>
      <c r="Y1891" s="223"/>
    </row>
    <row r="1892" spans="19:25">
      <c r="S1892" s="223"/>
      <c r="T1892" s="223"/>
      <c r="X1892" s="223"/>
      <c r="Y1892" s="223"/>
    </row>
    <row r="1893" spans="19:25">
      <c r="S1893" s="223"/>
      <c r="T1893" s="223"/>
      <c r="X1893" s="223"/>
      <c r="Y1893" s="223"/>
    </row>
    <row r="1894" spans="19:25">
      <c r="S1894" s="223"/>
      <c r="T1894" s="223"/>
      <c r="X1894" s="223"/>
      <c r="Y1894" s="223"/>
    </row>
    <row r="1895" spans="19:25">
      <c r="S1895" s="223"/>
      <c r="T1895" s="223"/>
      <c r="X1895" s="223"/>
      <c r="Y1895" s="223"/>
    </row>
    <row r="1896" spans="19:25">
      <c r="S1896" s="223"/>
      <c r="T1896" s="223"/>
      <c r="X1896" s="223"/>
      <c r="Y1896" s="223"/>
    </row>
    <row r="1897" spans="19:25">
      <c r="S1897" s="223"/>
      <c r="T1897" s="223"/>
      <c r="X1897" s="223"/>
      <c r="Y1897" s="223"/>
    </row>
    <row r="1898" spans="19:25">
      <c r="S1898" s="223"/>
      <c r="T1898" s="223"/>
      <c r="X1898" s="223"/>
      <c r="Y1898" s="223"/>
    </row>
    <row r="1899" spans="19:25">
      <c r="S1899" s="223"/>
      <c r="T1899" s="223"/>
      <c r="X1899" s="223"/>
      <c r="Y1899" s="223"/>
    </row>
    <row r="1900" spans="19:25">
      <c r="S1900" s="223"/>
      <c r="T1900" s="223"/>
      <c r="X1900" s="223"/>
      <c r="Y1900" s="223"/>
    </row>
    <row r="1901" spans="19:25">
      <c r="S1901" s="223"/>
      <c r="T1901" s="223"/>
      <c r="X1901" s="223"/>
      <c r="Y1901" s="223"/>
    </row>
    <row r="1902" spans="19:25">
      <c r="S1902" s="223"/>
      <c r="T1902" s="223"/>
      <c r="X1902" s="223"/>
      <c r="Y1902" s="223"/>
    </row>
    <row r="1903" spans="19:25">
      <c r="S1903" s="223"/>
      <c r="T1903" s="223"/>
      <c r="X1903" s="223"/>
      <c r="Y1903" s="223"/>
    </row>
    <row r="1904" spans="19:25">
      <c r="S1904" s="223"/>
      <c r="T1904" s="223"/>
      <c r="X1904" s="223"/>
      <c r="Y1904" s="223"/>
    </row>
    <row r="1905" spans="19:25">
      <c r="S1905" s="223"/>
      <c r="T1905" s="223"/>
      <c r="X1905" s="223"/>
      <c r="Y1905" s="223"/>
    </row>
    <row r="1906" spans="19:25">
      <c r="S1906" s="223"/>
      <c r="T1906" s="223"/>
      <c r="X1906" s="223"/>
      <c r="Y1906" s="223"/>
    </row>
    <row r="1907" spans="19:25">
      <c r="S1907" s="223"/>
      <c r="T1907" s="223"/>
      <c r="X1907" s="223"/>
      <c r="Y1907" s="223"/>
    </row>
    <row r="1908" spans="19:25">
      <c r="S1908" s="223"/>
      <c r="T1908" s="223"/>
      <c r="X1908" s="223"/>
      <c r="Y1908" s="223"/>
    </row>
    <row r="1909" spans="19:25">
      <c r="S1909" s="223"/>
      <c r="T1909" s="223"/>
      <c r="X1909" s="223"/>
      <c r="Y1909" s="223"/>
    </row>
    <row r="1910" spans="19:25">
      <c r="S1910" s="223"/>
      <c r="T1910" s="223"/>
      <c r="X1910" s="223"/>
      <c r="Y1910" s="223"/>
    </row>
    <row r="1911" spans="19:25">
      <c r="S1911" s="223"/>
      <c r="T1911" s="223"/>
      <c r="X1911" s="223"/>
      <c r="Y1911" s="223"/>
    </row>
    <row r="1912" spans="19:25">
      <c r="S1912" s="223"/>
      <c r="T1912" s="223"/>
      <c r="X1912" s="223"/>
      <c r="Y1912" s="223"/>
    </row>
    <row r="1913" spans="19:25">
      <c r="S1913" s="223"/>
      <c r="T1913" s="223"/>
      <c r="X1913" s="223"/>
      <c r="Y1913" s="223"/>
    </row>
    <row r="1914" spans="19:25">
      <c r="S1914" s="223"/>
      <c r="T1914" s="223"/>
      <c r="X1914" s="223"/>
      <c r="Y1914" s="223"/>
    </row>
    <row r="1915" spans="19:25">
      <c r="S1915" s="223"/>
      <c r="T1915" s="223"/>
      <c r="X1915" s="223"/>
      <c r="Y1915" s="223"/>
    </row>
    <row r="1916" spans="19:25">
      <c r="S1916" s="223"/>
      <c r="T1916" s="223"/>
      <c r="X1916" s="223"/>
      <c r="Y1916" s="223"/>
    </row>
    <row r="1917" spans="19:25">
      <c r="S1917" s="223"/>
      <c r="T1917" s="223"/>
      <c r="X1917" s="223"/>
      <c r="Y1917" s="223"/>
    </row>
    <row r="1918" spans="19:25">
      <c r="S1918" s="223"/>
      <c r="T1918" s="223"/>
      <c r="X1918" s="223"/>
      <c r="Y1918" s="223"/>
    </row>
    <row r="1919" spans="19:25">
      <c r="S1919" s="223"/>
      <c r="T1919" s="223"/>
      <c r="X1919" s="223"/>
      <c r="Y1919" s="223"/>
    </row>
    <row r="1920" spans="19:25">
      <c r="S1920" s="223"/>
      <c r="T1920" s="223"/>
      <c r="X1920" s="223"/>
      <c r="Y1920" s="223"/>
    </row>
    <row r="1921" spans="19:25">
      <c r="S1921" s="223"/>
      <c r="T1921" s="223"/>
      <c r="X1921" s="223"/>
      <c r="Y1921" s="223"/>
    </row>
    <row r="1922" spans="19:25">
      <c r="S1922" s="223"/>
      <c r="T1922" s="223"/>
      <c r="X1922" s="223"/>
      <c r="Y1922" s="223"/>
    </row>
    <row r="1923" spans="19:25">
      <c r="S1923" s="223"/>
      <c r="T1923" s="223"/>
      <c r="X1923" s="223"/>
      <c r="Y1923" s="223"/>
    </row>
    <row r="1924" spans="19:25">
      <c r="S1924" s="223"/>
      <c r="T1924" s="223"/>
      <c r="X1924" s="223"/>
      <c r="Y1924" s="223"/>
    </row>
    <row r="1925" spans="19:25">
      <c r="S1925" s="223"/>
      <c r="T1925" s="223"/>
      <c r="X1925" s="223"/>
      <c r="Y1925" s="223"/>
    </row>
    <row r="1926" spans="19:25">
      <c r="S1926" s="223"/>
      <c r="T1926" s="223"/>
      <c r="X1926" s="223"/>
      <c r="Y1926" s="223"/>
    </row>
    <row r="1927" spans="19:25">
      <c r="S1927" s="223"/>
      <c r="T1927" s="223"/>
      <c r="X1927" s="223"/>
      <c r="Y1927" s="223"/>
    </row>
    <row r="1928" spans="19:25">
      <c r="S1928" s="223"/>
      <c r="T1928" s="223"/>
      <c r="X1928" s="223"/>
      <c r="Y1928" s="223"/>
    </row>
    <row r="1929" spans="19:25">
      <c r="S1929" s="223"/>
      <c r="T1929" s="223"/>
      <c r="X1929" s="223"/>
      <c r="Y1929" s="223"/>
    </row>
    <row r="1930" spans="19:25">
      <c r="S1930" s="223"/>
      <c r="T1930" s="223"/>
      <c r="X1930" s="223"/>
      <c r="Y1930" s="223"/>
    </row>
    <row r="1931" spans="19:25">
      <c r="S1931" s="223"/>
      <c r="T1931" s="223"/>
      <c r="X1931" s="223"/>
      <c r="Y1931" s="223"/>
    </row>
    <row r="1932" spans="19:25">
      <c r="S1932" s="223"/>
      <c r="T1932" s="223"/>
      <c r="X1932" s="223"/>
      <c r="Y1932" s="223"/>
    </row>
    <row r="1933" spans="19:25">
      <c r="S1933" s="223"/>
      <c r="T1933" s="223"/>
      <c r="X1933" s="223"/>
      <c r="Y1933" s="223"/>
    </row>
    <row r="1934" spans="19:25">
      <c r="S1934" s="223"/>
      <c r="T1934" s="223"/>
      <c r="X1934" s="223"/>
      <c r="Y1934" s="223"/>
    </row>
    <row r="1935" spans="19:25">
      <c r="S1935" s="223"/>
      <c r="T1935" s="223"/>
      <c r="X1935" s="223"/>
      <c r="Y1935" s="223"/>
    </row>
    <row r="1936" spans="19:25">
      <c r="S1936" s="223"/>
      <c r="T1936" s="223"/>
      <c r="X1936" s="223"/>
      <c r="Y1936" s="223"/>
    </row>
    <row r="1937" spans="19:25">
      <c r="S1937" s="223"/>
      <c r="T1937" s="223"/>
      <c r="X1937" s="223"/>
      <c r="Y1937" s="223"/>
    </row>
    <row r="1938" spans="19:25">
      <c r="S1938" s="223"/>
      <c r="T1938" s="223"/>
      <c r="X1938" s="223"/>
      <c r="Y1938" s="223"/>
    </row>
    <row r="1939" spans="19:25">
      <c r="S1939" s="223"/>
      <c r="T1939" s="223"/>
      <c r="X1939" s="223"/>
      <c r="Y1939" s="223"/>
    </row>
    <row r="1940" spans="19:25">
      <c r="S1940" s="223"/>
      <c r="T1940" s="223"/>
      <c r="X1940" s="223"/>
      <c r="Y1940" s="223"/>
    </row>
    <row r="1941" spans="19:25">
      <c r="S1941" s="223"/>
      <c r="T1941" s="223"/>
      <c r="X1941" s="223"/>
      <c r="Y1941" s="223"/>
    </row>
    <row r="1942" spans="19:25">
      <c r="S1942" s="223"/>
      <c r="T1942" s="223"/>
      <c r="X1942" s="223"/>
      <c r="Y1942" s="223"/>
    </row>
    <row r="1943" spans="19:25">
      <c r="S1943" s="223"/>
      <c r="T1943" s="223"/>
      <c r="X1943" s="223"/>
      <c r="Y1943" s="223"/>
    </row>
    <row r="1944" spans="19:25">
      <c r="S1944" s="223"/>
      <c r="T1944" s="223"/>
      <c r="X1944" s="223"/>
      <c r="Y1944" s="223"/>
    </row>
    <row r="1945" spans="19:25">
      <c r="S1945" s="223"/>
      <c r="T1945" s="223"/>
      <c r="X1945" s="223"/>
      <c r="Y1945" s="223"/>
    </row>
    <row r="1946" spans="19:25">
      <c r="S1946" s="223"/>
      <c r="T1946" s="223"/>
      <c r="X1946" s="223"/>
      <c r="Y1946" s="223"/>
    </row>
    <row r="1947" spans="19:25">
      <c r="S1947" s="223"/>
      <c r="T1947" s="223"/>
      <c r="X1947" s="223"/>
      <c r="Y1947" s="223"/>
    </row>
    <row r="1948" spans="19:25">
      <c r="S1948" s="223"/>
      <c r="T1948" s="223"/>
      <c r="X1948" s="223"/>
      <c r="Y1948" s="223"/>
    </row>
    <row r="1949" spans="19:25">
      <c r="S1949" s="223"/>
      <c r="T1949" s="223"/>
      <c r="X1949" s="223"/>
      <c r="Y1949" s="223"/>
    </row>
    <row r="1950" spans="19:25">
      <c r="S1950" s="223"/>
      <c r="T1950" s="223"/>
      <c r="X1950" s="223"/>
      <c r="Y1950" s="223"/>
    </row>
    <row r="1951" spans="19:25">
      <c r="S1951" s="223"/>
      <c r="T1951" s="223"/>
      <c r="X1951" s="223"/>
      <c r="Y1951" s="223"/>
    </row>
    <row r="1952" spans="19:25">
      <c r="S1952" s="223"/>
      <c r="T1952" s="223"/>
      <c r="X1952" s="223"/>
      <c r="Y1952" s="223"/>
    </row>
    <row r="1953" spans="19:25">
      <c r="S1953" s="223"/>
      <c r="T1953" s="223"/>
      <c r="X1953" s="223"/>
      <c r="Y1953" s="223"/>
    </row>
    <row r="1954" spans="19:25">
      <c r="S1954" s="223"/>
      <c r="T1954" s="223"/>
      <c r="X1954" s="223"/>
      <c r="Y1954" s="223"/>
    </row>
    <row r="1955" spans="19:25">
      <c r="S1955" s="223"/>
      <c r="T1955" s="223"/>
      <c r="X1955" s="223"/>
      <c r="Y1955" s="223"/>
    </row>
    <row r="1956" spans="19:25">
      <c r="S1956" s="223"/>
      <c r="T1956" s="223"/>
      <c r="X1956" s="223"/>
      <c r="Y1956" s="223"/>
    </row>
    <row r="1957" spans="19:25">
      <c r="S1957" s="223"/>
      <c r="T1957" s="223"/>
      <c r="X1957" s="223"/>
      <c r="Y1957" s="223"/>
    </row>
    <row r="1958" spans="19:25">
      <c r="S1958" s="223"/>
      <c r="T1958" s="223"/>
      <c r="X1958" s="223"/>
      <c r="Y1958" s="223"/>
    </row>
    <row r="1959" spans="19:25">
      <c r="S1959" s="223"/>
      <c r="T1959" s="223"/>
      <c r="X1959" s="223"/>
      <c r="Y1959" s="223"/>
    </row>
    <row r="1960" spans="19:25">
      <c r="S1960" s="223"/>
      <c r="T1960" s="223"/>
      <c r="X1960" s="223"/>
      <c r="Y1960" s="223"/>
    </row>
    <row r="1961" spans="19:25">
      <c r="S1961" s="223"/>
      <c r="T1961" s="223"/>
      <c r="X1961" s="223"/>
      <c r="Y1961" s="223"/>
    </row>
    <row r="1962" spans="19:25">
      <c r="S1962" s="223"/>
      <c r="T1962" s="223"/>
      <c r="X1962" s="223"/>
      <c r="Y1962" s="223"/>
    </row>
    <row r="1963" spans="19:25">
      <c r="S1963" s="223"/>
      <c r="T1963" s="223"/>
      <c r="X1963" s="223"/>
      <c r="Y1963" s="223"/>
    </row>
    <row r="1964" spans="19:25">
      <c r="S1964" s="223"/>
      <c r="T1964" s="223"/>
      <c r="X1964" s="223"/>
      <c r="Y1964" s="223"/>
    </row>
    <row r="1965" spans="19:25">
      <c r="S1965" s="223"/>
      <c r="T1965" s="223"/>
      <c r="X1965" s="223"/>
      <c r="Y1965" s="223"/>
    </row>
    <row r="1966" spans="19:25">
      <c r="S1966" s="223"/>
      <c r="T1966" s="223"/>
      <c r="X1966" s="223"/>
      <c r="Y1966" s="223"/>
    </row>
    <row r="1967" spans="19:25">
      <c r="S1967" s="223"/>
      <c r="T1967" s="223"/>
      <c r="X1967" s="223"/>
      <c r="Y1967" s="223"/>
    </row>
    <row r="1968" spans="19:25">
      <c r="S1968" s="223"/>
      <c r="T1968" s="223"/>
      <c r="X1968" s="223"/>
      <c r="Y1968" s="223"/>
    </row>
    <row r="1969" spans="19:25">
      <c r="S1969" s="223"/>
      <c r="T1969" s="223"/>
      <c r="X1969" s="223"/>
      <c r="Y1969" s="223"/>
    </row>
    <row r="1970" spans="19:25">
      <c r="S1970" s="223"/>
      <c r="T1970" s="223"/>
      <c r="X1970" s="223"/>
      <c r="Y1970" s="223"/>
    </row>
    <row r="1971" spans="19:25">
      <c r="S1971" s="223"/>
      <c r="T1971" s="223"/>
      <c r="X1971" s="223"/>
      <c r="Y1971" s="223"/>
    </row>
    <row r="1972" spans="19:25">
      <c r="S1972" s="223"/>
      <c r="T1972" s="223"/>
      <c r="X1972" s="223"/>
      <c r="Y1972" s="223"/>
    </row>
    <row r="1973" spans="19:25">
      <c r="S1973" s="223"/>
      <c r="T1973" s="223"/>
      <c r="X1973" s="223"/>
      <c r="Y1973" s="223"/>
    </row>
    <row r="1974" spans="19:25">
      <c r="S1974" s="223"/>
      <c r="T1974" s="223"/>
      <c r="X1974" s="223"/>
      <c r="Y1974" s="223"/>
    </row>
    <row r="1975" spans="19:25">
      <c r="S1975" s="223"/>
      <c r="T1975" s="223"/>
      <c r="X1975" s="223"/>
      <c r="Y1975" s="223"/>
    </row>
    <row r="1976" spans="19:25">
      <c r="S1976" s="223"/>
      <c r="T1976" s="223"/>
      <c r="X1976" s="223"/>
      <c r="Y1976" s="223"/>
    </row>
    <row r="1977" spans="19:25">
      <c r="S1977" s="223"/>
      <c r="T1977" s="223"/>
      <c r="X1977" s="223"/>
      <c r="Y1977" s="223"/>
    </row>
    <row r="1978" spans="19:25">
      <c r="S1978" s="223"/>
      <c r="T1978" s="223"/>
      <c r="X1978" s="223"/>
      <c r="Y1978" s="223"/>
    </row>
    <row r="1979" spans="19:25">
      <c r="S1979" s="223"/>
      <c r="T1979" s="223"/>
      <c r="X1979" s="223"/>
      <c r="Y1979" s="223"/>
    </row>
    <row r="1980" spans="19:25">
      <c r="S1980" s="223"/>
      <c r="T1980" s="223"/>
      <c r="X1980" s="223"/>
      <c r="Y1980" s="223"/>
    </row>
    <row r="1981" spans="19:25">
      <c r="S1981" s="223"/>
      <c r="T1981" s="223"/>
      <c r="X1981" s="223"/>
      <c r="Y1981" s="223"/>
    </row>
    <row r="1982" spans="19:25">
      <c r="S1982" s="223"/>
      <c r="T1982" s="223"/>
      <c r="X1982" s="223"/>
      <c r="Y1982" s="223"/>
    </row>
    <row r="1983" spans="19:25">
      <c r="S1983" s="223"/>
      <c r="T1983" s="223"/>
      <c r="X1983" s="223"/>
      <c r="Y1983" s="223"/>
    </row>
    <row r="1984" spans="19:25">
      <c r="S1984" s="223"/>
      <c r="T1984" s="223"/>
      <c r="X1984" s="223"/>
      <c r="Y1984" s="223"/>
    </row>
    <row r="1985" spans="19:25">
      <c r="S1985" s="223"/>
      <c r="T1985" s="223"/>
      <c r="X1985" s="223"/>
      <c r="Y1985" s="223"/>
    </row>
    <row r="1986" spans="19:25">
      <c r="S1986" s="223"/>
      <c r="T1986" s="223"/>
      <c r="X1986" s="223"/>
      <c r="Y1986" s="223"/>
    </row>
    <row r="1987" spans="19:25">
      <c r="S1987" s="223"/>
      <c r="T1987" s="223"/>
      <c r="X1987" s="223"/>
      <c r="Y1987" s="223"/>
    </row>
    <row r="1988" spans="19:25">
      <c r="S1988" s="223"/>
      <c r="T1988" s="223"/>
      <c r="X1988" s="223"/>
      <c r="Y1988" s="223"/>
    </row>
    <row r="1989" spans="19:25">
      <c r="S1989" s="223"/>
      <c r="T1989" s="223"/>
      <c r="X1989" s="223"/>
      <c r="Y1989" s="223"/>
    </row>
    <row r="1990" spans="19:25">
      <c r="S1990" s="223"/>
      <c r="T1990" s="223"/>
      <c r="X1990" s="223"/>
      <c r="Y1990" s="223"/>
    </row>
    <row r="1991" spans="19:25">
      <c r="S1991" s="223"/>
      <c r="T1991" s="223"/>
      <c r="X1991" s="223"/>
      <c r="Y1991" s="223"/>
    </row>
    <row r="1992" spans="19:25">
      <c r="S1992" s="223"/>
      <c r="T1992" s="223"/>
      <c r="X1992" s="223"/>
      <c r="Y1992" s="223"/>
    </row>
    <row r="1993" spans="19:25">
      <c r="S1993" s="223"/>
      <c r="T1993" s="223"/>
      <c r="X1993" s="223"/>
      <c r="Y1993" s="223"/>
    </row>
    <row r="1994" spans="19:25">
      <c r="S1994" s="223"/>
      <c r="T1994" s="223"/>
      <c r="X1994" s="223"/>
      <c r="Y1994" s="223"/>
    </row>
    <row r="1995" spans="19:25">
      <c r="S1995" s="223"/>
      <c r="T1995" s="223"/>
      <c r="X1995" s="223"/>
      <c r="Y1995" s="223"/>
    </row>
    <row r="1996" spans="19:25">
      <c r="S1996" s="223"/>
      <c r="T1996" s="223"/>
      <c r="X1996" s="223"/>
      <c r="Y1996" s="223"/>
    </row>
    <row r="1997" spans="19:25">
      <c r="S1997" s="223"/>
      <c r="T1997" s="223"/>
      <c r="X1997" s="223"/>
      <c r="Y1997" s="223"/>
    </row>
    <row r="1998" spans="19:25">
      <c r="S1998" s="223"/>
      <c r="T1998" s="223"/>
      <c r="X1998" s="223"/>
      <c r="Y1998" s="223"/>
    </row>
    <row r="1999" spans="19:25">
      <c r="S1999" s="223"/>
      <c r="T1999" s="223"/>
      <c r="X1999" s="223"/>
      <c r="Y1999" s="223"/>
    </row>
    <row r="2000" spans="19:25">
      <c r="S2000" s="223"/>
      <c r="T2000" s="223"/>
      <c r="X2000" s="223"/>
      <c r="Y2000" s="223"/>
    </row>
    <row r="2001" spans="19:25">
      <c r="S2001" s="223"/>
      <c r="T2001" s="223"/>
      <c r="X2001" s="223"/>
      <c r="Y2001" s="223"/>
    </row>
    <row r="2002" spans="19:25">
      <c r="S2002" s="223"/>
      <c r="T2002" s="223"/>
      <c r="X2002" s="223"/>
      <c r="Y2002" s="223"/>
    </row>
    <row r="2003" spans="19:25">
      <c r="S2003" s="223"/>
      <c r="T2003" s="223"/>
      <c r="X2003" s="223"/>
      <c r="Y2003" s="223"/>
    </row>
    <row r="2004" spans="19:25">
      <c r="S2004" s="223"/>
      <c r="T2004" s="223"/>
      <c r="X2004" s="223"/>
      <c r="Y2004" s="223"/>
    </row>
    <row r="2005" spans="19:25">
      <c r="S2005" s="223"/>
      <c r="T2005" s="223"/>
      <c r="X2005" s="223"/>
      <c r="Y2005" s="223"/>
    </row>
    <row r="2006" spans="19:25">
      <c r="S2006" s="223"/>
      <c r="T2006" s="223"/>
      <c r="X2006" s="223"/>
      <c r="Y2006" s="223"/>
    </row>
    <row r="2007" spans="19:25">
      <c r="S2007" s="223"/>
      <c r="T2007" s="223"/>
      <c r="X2007" s="223"/>
      <c r="Y2007" s="223"/>
    </row>
    <row r="2008" spans="19:25">
      <c r="S2008" s="223"/>
      <c r="T2008" s="223"/>
      <c r="X2008" s="223"/>
      <c r="Y2008" s="223"/>
    </row>
    <row r="2009" spans="19:25">
      <c r="S2009" s="223"/>
      <c r="T2009" s="223"/>
      <c r="X2009" s="223"/>
      <c r="Y2009" s="223"/>
    </row>
    <row r="2010" spans="19:25">
      <c r="S2010" s="223"/>
      <c r="T2010" s="223"/>
      <c r="X2010" s="223"/>
      <c r="Y2010" s="223"/>
    </row>
    <row r="2011" spans="19:25">
      <c r="S2011" s="223"/>
      <c r="T2011" s="223"/>
      <c r="X2011" s="223"/>
      <c r="Y2011" s="223"/>
    </row>
    <row r="2012" spans="19:25">
      <c r="S2012" s="223"/>
      <c r="T2012" s="223"/>
      <c r="X2012" s="223"/>
      <c r="Y2012" s="223"/>
    </row>
    <row r="2013" spans="19:25">
      <c r="S2013" s="223"/>
      <c r="T2013" s="223"/>
      <c r="X2013" s="223"/>
      <c r="Y2013" s="223"/>
    </row>
    <row r="2014" spans="19:25">
      <c r="S2014" s="223"/>
      <c r="T2014" s="223"/>
      <c r="X2014" s="223"/>
      <c r="Y2014" s="223"/>
    </row>
    <row r="2015" spans="19:25">
      <c r="S2015" s="223"/>
      <c r="T2015" s="223"/>
      <c r="X2015" s="223"/>
      <c r="Y2015" s="223"/>
    </row>
    <row r="2016" spans="19:25">
      <c r="S2016" s="223"/>
      <c r="T2016" s="223"/>
      <c r="X2016" s="223"/>
      <c r="Y2016" s="223"/>
    </row>
    <row r="2017" spans="19:25">
      <c r="S2017" s="223"/>
      <c r="T2017" s="223"/>
      <c r="X2017" s="223"/>
      <c r="Y2017" s="223"/>
    </row>
    <row r="2018" spans="19:25">
      <c r="S2018" s="223"/>
      <c r="T2018" s="223"/>
      <c r="X2018" s="223"/>
      <c r="Y2018" s="223"/>
    </row>
    <row r="2019" spans="19:25">
      <c r="S2019" s="223"/>
      <c r="T2019" s="223"/>
      <c r="X2019" s="223"/>
      <c r="Y2019" s="223"/>
    </row>
    <row r="2020" spans="19:25">
      <c r="S2020" s="223"/>
      <c r="T2020" s="223"/>
      <c r="X2020" s="223"/>
      <c r="Y2020" s="223"/>
    </row>
    <row r="2021" spans="19:25">
      <c r="S2021" s="223"/>
      <c r="T2021" s="223"/>
      <c r="X2021" s="223"/>
      <c r="Y2021" s="223"/>
    </row>
    <row r="2022" spans="19:25">
      <c r="S2022" s="223"/>
      <c r="T2022" s="223"/>
      <c r="X2022" s="223"/>
      <c r="Y2022" s="223"/>
    </row>
    <row r="2023" spans="19:25">
      <c r="S2023" s="223"/>
      <c r="T2023" s="223"/>
      <c r="X2023" s="223"/>
      <c r="Y2023" s="223"/>
    </row>
    <row r="2024" spans="19:25">
      <c r="S2024" s="223"/>
      <c r="T2024" s="223"/>
      <c r="X2024" s="223"/>
      <c r="Y2024" s="223"/>
    </row>
    <row r="2025" spans="19:25">
      <c r="S2025" s="223"/>
      <c r="T2025" s="223"/>
      <c r="X2025" s="223"/>
      <c r="Y2025" s="223"/>
    </row>
    <row r="2026" spans="19:25">
      <c r="S2026" s="223"/>
      <c r="T2026" s="223"/>
      <c r="X2026" s="223"/>
      <c r="Y2026" s="223"/>
    </row>
    <row r="2027" spans="19:25">
      <c r="S2027" s="223"/>
      <c r="T2027" s="223"/>
      <c r="X2027" s="223"/>
      <c r="Y2027" s="223"/>
    </row>
    <row r="2028" spans="19:25">
      <c r="S2028" s="223"/>
      <c r="T2028" s="223"/>
      <c r="X2028" s="223"/>
      <c r="Y2028" s="223"/>
    </row>
    <row r="2029" spans="19:25">
      <c r="S2029" s="223"/>
      <c r="T2029" s="223"/>
      <c r="X2029" s="223"/>
      <c r="Y2029" s="223"/>
    </row>
    <row r="2030" spans="19:25">
      <c r="S2030" s="223"/>
      <c r="T2030" s="223"/>
      <c r="X2030" s="223"/>
      <c r="Y2030" s="223"/>
    </row>
    <row r="2031" spans="19:25">
      <c r="S2031" s="223"/>
      <c r="T2031" s="223"/>
      <c r="X2031" s="223"/>
      <c r="Y2031" s="223"/>
    </row>
    <row r="2032" spans="19:25">
      <c r="S2032" s="223"/>
      <c r="T2032" s="223"/>
      <c r="X2032" s="223"/>
      <c r="Y2032" s="223"/>
    </row>
    <row r="2033" spans="19:25">
      <c r="S2033" s="223"/>
      <c r="T2033" s="223"/>
      <c r="X2033" s="223"/>
      <c r="Y2033" s="223"/>
    </row>
    <row r="2034" spans="19:25">
      <c r="S2034" s="223"/>
      <c r="T2034" s="223"/>
      <c r="X2034" s="223"/>
      <c r="Y2034" s="223"/>
    </row>
    <row r="2035" spans="19:25">
      <c r="S2035" s="223"/>
      <c r="T2035" s="223"/>
      <c r="X2035" s="223"/>
      <c r="Y2035" s="223"/>
    </row>
    <row r="2036" spans="19:25">
      <c r="S2036" s="223"/>
      <c r="T2036" s="223"/>
      <c r="X2036" s="223"/>
      <c r="Y2036" s="223"/>
    </row>
    <row r="2037" spans="19:25">
      <c r="S2037" s="223"/>
      <c r="T2037" s="223"/>
      <c r="X2037" s="223"/>
      <c r="Y2037" s="223"/>
    </row>
    <row r="2038" spans="19:25">
      <c r="S2038" s="223"/>
      <c r="T2038" s="223"/>
      <c r="X2038" s="223"/>
      <c r="Y2038" s="223"/>
    </row>
    <row r="2039" spans="19:25">
      <c r="S2039" s="223"/>
      <c r="T2039" s="223"/>
      <c r="X2039" s="223"/>
      <c r="Y2039" s="223"/>
    </row>
    <row r="2040" spans="19:25">
      <c r="S2040" s="223"/>
      <c r="T2040" s="223"/>
      <c r="X2040" s="223"/>
      <c r="Y2040" s="223"/>
    </row>
    <row r="2041" spans="19:25">
      <c r="S2041" s="223"/>
      <c r="T2041" s="223"/>
      <c r="X2041" s="223"/>
      <c r="Y2041" s="223"/>
    </row>
    <row r="2042" spans="19:25">
      <c r="S2042" s="223"/>
      <c r="T2042" s="223"/>
      <c r="X2042" s="223"/>
      <c r="Y2042" s="223"/>
    </row>
    <row r="2043" spans="19:25">
      <c r="S2043" s="223"/>
      <c r="T2043" s="223"/>
      <c r="X2043" s="223"/>
      <c r="Y2043" s="223"/>
    </row>
    <row r="2044" spans="19:25">
      <c r="S2044" s="223"/>
      <c r="T2044" s="223"/>
      <c r="X2044" s="223"/>
      <c r="Y2044" s="223"/>
    </row>
    <row r="2045" spans="19:25">
      <c r="S2045" s="223"/>
      <c r="T2045" s="223"/>
      <c r="X2045" s="223"/>
      <c r="Y2045" s="223"/>
    </row>
    <row r="2046" spans="19:25">
      <c r="S2046" s="223"/>
      <c r="T2046" s="223"/>
      <c r="X2046" s="223"/>
      <c r="Y2046" s="223"/>
    </row>
    <row r="2047" spans="19:25">
      <c r="S2047" s="223"/>
      <c r="T2047" s="223"/>
      <c r="X2047" s="223"/>
      <c r="Y2047" s="223"/>
    </row>
    <row r="2048" spans="19:25">
      <c r="S2048" s="223"/>
      <c r="T2048" s="223"/>
      <c r="X2048" s="223"/>
      <c r="Y2048" s="223"/>
    </row>
    <row r="2049" spans="19:25">
      <c r="S2049" s="223"/>
      <c r="T2049" s="223"/>
      <c r="X2049" s="223"/>
      <c r="Y2049" s="223"/>
    </row>
    <row r="2050" spans="19:25">
      <c r="S2050" s="223"/>
      <c r="T2050" s="223"/>
      <c r="X2050" s="223"/>
      <c r="Y2050" s="223"/>
    </row>
    <row r="2051" spans="19:25">
      <c r="S2051" s="223"/>
      <c r="T2051" s="223"/>
      <c r="X2051" s="223"/>
      <c r="Y2051" s="223"/>
    </row>
    <row r="2052" spans="19:25">
      <c r="S2052" s="223"/>
      <c r="T2052" s="223"/>
      <c r="X2052" s="223"/>
      <c r="Y2052" s="223"/>
    </row>
    <row r="2053" spans="19:25">
      <c r="S2053" s="223"/>
      <c r="T2053" s="223"/>
      <c r="X2053" s="223"/>
      <c r="Y2053" s="223"/>
    </row>
    <row r="2054" spans="19:25">
      <c r="S2054" s="223"/>
      <c r="T2054" s="223"/>
      <c r="X2054" s="223"/>
      <c r="Y2054" s="223"/>
    </row>
    <row r="2055" spans="19:25">
      <c r="S2055" s="223"/>
      <c r="T2055" s="223"/>
      <c r="X2055" s="223"/>
      <c r="Y2055" s="223"/>
    </row>
    <row r="2056" spans="19:25">
      <c r="S2056" s="223"/>
      <c r="T2056" s="223"/>
      <c r="X2056" s="223"/>
      <c r="Y2056" s="223"/>
    </row>
    <row r="2057" spans="19:25">
      <c r="S2057" s="223"/>
      <c r="T2057" s="223"/>
      <c r="X2057" s="223"/>
      <c r="Y2057" s="223"/>
    </row>
    <row r="2058" spans="19:25">
      <c r="S2058" s="223"/>
      <c r="T2058" s="223"/>
      <c r="X2058" s="223"/>
      <c r="Y2058" s="223"/>
    </row>
    <row r="2059" spans="19:25">
      <c r="S2059" s="223"/>
      <c r="T2059" s="223"/>
      <c r="X2059" s="223"/>
      <c r="Y2059" s="223"/>
    </row>
    <row r="2060" spans="19:25">
      <c r="S2060" s="223"/>
      <c r="T2060" s="223"/>
      <c r="X2060" s="223"/>
      <c r="Y2060" s="223"/>
    </row>
    <row r="2061" spans="19:25">
      <c r="S2061" s="223"/>
      <c r="T2061" s="223"/>
      <c r="X2061" s="223"/>
      <c r="Y2061" s="223"/>
    </row>
    <row r="2062" spans="19:25">
      <c r="S2062" s="223"/>
      <c r="T2062" s="223"/>
      <c r="X2062" s="223"/>
      <c r="Y2062" s="223"/>
    </row>
    <row r="2063" spans="19:25">
      <c r="S2063" s="223"/>
      <c r="T2063" s="223"/>
      <c r="X2063" s="223"/>
      <c r="Y2063" s="223"/>
    </row>
    <row r="2064" spans="19:25">
      <c r="S2064" s="223"/>
      <c r="T2064" s="223"/>
      <c r="X2064" s="223"/>
      <c r="Y2064" s="223"/>
    </row>
    <row r="2065" spans="19:25">
      <c r="S2065" s="223"/>
      <c r="T2065" s="223"/>
      <c r="X2065" s="223"/>
      <c r="Y2065" s="223"/>
    </row>
    <row r="2066" spans="19:25">
      <c r="S2066" s="223"/>
      <c r="T2066" s="223"/>
      <c r="X2066" s="223"/>
      <c r="Y2066" s="223"/>
    </row>
    <row r="2067" spans="19:25">
      <c r="S2067" s="223"/>
      <c r="T2067" s="223"/>
      <c r="X2067" s="223"/>
      <c r="Y2067" s="223"/>
    </row>
    <row r="2068" spans="19:25">
      <c r="S2068" s="223"/>
      <c r="T2068" s="223"/>
      <c r="X2068" s="223"/>
      <c r="Y2068" s="223"/>
    </row>
    <row r="2069" spans="19:25">
      <c r="S2069" s="223"/>
      <c r="T2069" s="223"/>
      <c r="X2069" s="223"/>
      <c r="Y2069" s="223"/>
    </row>
    <row r="2070" spans="19:25">
      <c r="S2070" s="223"/>
      <c r="T2070" s="223"/>
      <c r="X2070" s="223"/>
      <c r="Y2070" s="223"/>
    </row>
    <row r="2071" spans="19:25">
      <c r="S2071" s="223"/>
      <c r="T2071" s="223"/>
      <c r="X2071" s="223"/>
      <c r="Y2071" s="223"/>
    </row>
    <row r="2072" spans="19:25">
      <c r="S2072" s="223"/>
      <c r="T2072" s="223"/>
      <c r="X2072" s="223"/>
      <c r="Y2072" s="223"/>
    </row>
    <row r="2073" spans="19:25">
      <c r="S2073" s="223"/>
      <c r="T2073" s="223"/>
      <c r="X2073" s="223"/>
      <c r="Y2073" s="223"/>
    </row>
    <row r="2074" spans="19:25">
      <c r="S2074" s="223"/>
      <c r="T2074" s="223"/>
      <c r="X2074" s="223"/>
      <c r="Y2074" s="223"/>
    </row>
    <row r="2075" spans="19:25">
      <c r="S2075" s="223"/>
      <c r="T2075" s="223"/>
      <c r="X2075" s="223"/>
      <c r="Y2075" s="223"/>
    </row>
    <row r="2076" spans="19:25">
      <c r="S2076" s="223"/>
      <c r="T2076" s="223"/>
      <c r="X2076" s="223"/>
      <c r="Y2076" s="223"/>
    </row>
    <row r="2077" spans="19:25">
      <c r="S2077" s="223"/>
      <c r="T2077" s="223"/>
      <c r="X2077" s="223"/>
      <c r="Y2077" s="223"/>
    </row>
    <row r="2078" spans="19:25">
      <c r="S2078" s="223"/>
      <c r="T2078" s="223"/>
      <c r="X2078" s="223"/>
      <c r="Y2078" s="223"/>
    </row>
    <row r="2079" spans="19:25">
      <c r="S2079" s="223"/>
      <c r="T2079" s="223"/>
      <c r="X2079" s="223"/>
      <c r="Y2079" s="223"/>
    </row>
    <row r="2080" spans="19:25">
      <c r="S2080" s="223"/>
      <c r="T2080" s="223"/>
      <c r="X2080" s="223"/>
      <c r="Y2080" s="223"/>
    </row>
    <row r="2081" spans="19:25">
      <c r="S2081" s="223"/>
      <c r="T2081" s="223"/>
      <c r="X2081" s="223"/>
      <c r="Y2081" s="223"/>
    </row>
    <row r="2082" spans="19:25">
      <c r="S2082" s="223"/>
      <c r="T2082" s="223"/>
      <c r="X2082" s="223"/>
      <c r="Y2082" s="223"/>
    </row>
    <row r="2083" spans="19:25">
      <c r="S2083" s="223"/>
      <c r="T2083" s="223"/>
      <c r="X2083" s="223"/>
      <c r="Y2083" s="223"/>
    </row>
    <row r="2084" spans="19:25">
      <c r="S2084" s="223"/>
      <c r="T2084" s="223"/>
      <c r="X2084" s="223"/>
      <c r="Y2084" s="223"/>
    </row>
    <row r="2085" spans="19:25">
      <c r="S2085" s="223"/>
      <c r="T2085" s="223"/>
      <c r="X2085" s="223"/>
      <c r="Y2085" s="223"/>
    </row>
    <row r="2086" spans="19:25">
      <c r="S2086" s="223"/>
      <c r="T2086" s="223"/>
      <c r="X2086" s="223"/>
      <c r="Y2086" s="223"/>
    </row>
    <row r="2087" spans="19:25">
      <c r="S2087" s="223"/>
      <c r="T2087" s="223"/>
      <c r="X2087" s="223"/>
      <c r="Y2087" s="223"/>
    </row>
    <row r="2088" spans="19:25">
      <c r="S2088" s="223"/>
      <c r="T2088" s="223"/>
      <c r="X2088" s="223"/>
      <c r="Y2088" s="223"/>
    </row>
    <row r="2089" spans="19:25">
      <c r="S2089" s="223"/>
      <c r="T2089" s="223"/>
      <c r="X2089" s="223"/>
      <c r="Y2089" s="223"/>
    </row>
    <row r="2090" spans="19:25">
      <c r="S2090" s="223"/>
      <c r="T2090" s="223"/>
      <c r="X2090" s="223"/>
      <c r="Y2090" s="223"/>
    </row>
    <row r="2091" spans="19:25">
      <c r="S2091" s="223"/>
      <c r="T2091" s="223"/>
      <c r="X2091" s="223"/>
      <c r="Y2091" s="223"/>
    </row>
    <row r="2092" spans="19:25">
      <c r="S2092" s="223"/>
      <c r="T2092" s="223"/>
      <c r="X2092" s="223"/>
      <c r="Y2092" s="223"/>
    </row>
    <row r="2093" spans="19:25">
      <c r="S2093" s="223"/>
      <c r="T2093" s="223"/>
      <c r="X2093" s="223"/>
      <c r="Y2093" s="223"/>
    </row>
    <row r="2094" spans="19:25">
      <c r="S2094" s="223"/>
      <c r="T2094" s="223"/>
      <c r="X2094" s="223"/>
      <c r="Y2094" s="223"/>
    </row>
    <row r="2095" spans="19:25">
      <c r="S2095" s="223"/>
      <c r="T2095" s="223"/>
      <c r="X2095" s="223"/>
      <c r="Y2095" s="223"/>
    </row>
    <row r="2096" spans="19:25">
      <c r="S2096" s="223"/>
      <c r="T2096" s="223"/>
      <c r="X2096" s="223"/>
      <c r="Y2096" s="223"/>
    </row>
    <row r="2097" spans="19:25">
      <c r="S2097" s="223"/>
      <c r="T2097" s="223"/>
      <c r="X2097" s="223"/>
      <c r="Y2097" s="223"/>
    </row>
    <row r="2098" spans="19:25">
      <c r="S2098" s="223"/>
      <c r="T2098" s="223"/>
      <c r="X2098" s="223"/>
      <c r="Y2098" s="223"/>
    </row>
    <row r="2099" spans="19:25">
      <c r="S2099" s="223"/>
      <c r="T2099" s="223"/>
      <c r="X2099" s="223"/>
      <c r="Y2099" s="223"/>
    </row>
    <row r="2100" spans="19:25">
      <c r="S2100" s="223"/>
      <c r="T2100" s="223"/>
      <c r="X2100" s="223"/>
      <c r="Y2100" s="223"/>
    </row>
    <row r="2101" spans="19:25">
      <c r="S2101" s="223"/>
      <c r="T2101" s="223"/>
      <c r="X2101" s="223"/>
      <c r="Y2101" s="223"/>
    </row>
    <row r="2102" spans="19:25">
      <c r="S2102" s="223"/>
      <c r="T2102" s="223"/>
      <c r="X2102" s="223"/>
      <c r="Y2102" s="223"/>
    </row>
    <row r="2103" spans="19:25">
      <c r="S2103" s="223"/>
      <c r="T2103" s="223"/>
      <c r="X2103" s="223"/>
      <c r="Y2103" s="223"/>
    </row>
    <row r="2104" spans="19:25">
      <c r="S2104" s="223"/>
      <c r="T2104" s="223"/>
      <c r="X2104" s="223"/>
      <c r="Y2104" s="223"/>
    </row>
    <row r="2105" spans="19:25">
      <c r="S2105" s="223"/>
      <c r="T2105" s="223"/>
      <c r="X2105" s="223"/>
      <c r="Y2105" s="223"/>
    </row>
    <row r="2106" spans="19:25">
      <c r="S2106" s="223"/>
      <c r="T2106" s="223"/>
      <c r="X2106" s="223"/>
      <c r="Y2106" s="223"/>
    </row>
    <row r="2107" spans="19:25">
      <c r="S2107" s="223"/>
      <c r="T2107" s="223"/>
      <c r="X2107" s="223"/>
      <c r="Y2107" s="223"/>
    </row>
    <row r="2108" spans="19:25">
      <c r="S2108" s="223"/>
      <c r="T2108" s="223"/>
      <c r="X2108" s="223"/>
      <c r="Y2108" s="223"/>
    </row>
    <row r="2109" spans="19:25">
      <c r="S2109" s="223"/>
      <c r="T2109" s="223"/>
      <c r="X2109" s="223"/>
      <c r="Y2109" s="223"/>
    </row>
    <row r="2110" spans="19:25">
      <c r="S2110" s="223"/>
      <c r="T2110" s="223"/>
      <c r="X2110" s="223"/>
      <c r="Y2110" s="223"/>
    </row>
    <row r="2111" spans="19:25">
      <c r="S2111" s="223"/>
      <c r="T2111" s="223"/>
      <c r="X2111" s="223"/>
      <c r="Y2111" s="223"/>
    </row>
    <row r="2112" spans="19:25">
      <c r="S2112" s="223"/>
      <c r="T2112" s="223"/>
      <c r="X2112" s="223"/>
      <c r="Y2112" s="223"/>
    </row>
    <row r="2113" spans="19:25">
      <c r="S2113" s="223"/>
      <c r="T2113" s="223"/>
      <c r="X2113" s="223"/>
      <c r="Y2113" s="223"/>
    </row>
    <row r="2114" spans="19:25">
      <c r="S2114" s="223"/>
      <c r="T2114" s="223"/>
      <c r="X2114" s="223"/>
      <c r="Y2114" s="223"/>
    </row>
    <row r="2115" spans="19:25">
      <c r="S2115" s="223"/>
      <c r="T2115" s="223"/>
      <c r="X2115" s="223"/>
      <c r="Y2115" s="223"/>
    </row>
    <row r="2116" spans="19:25">
      <c r="S2116" s="223"/>
      <c r="T2116" s="223"/>
      <c r="X2116" s="223"/>
      <c r="Y2116" s="223"/>
    </row>
    <row r="2117" spans="19:25">
      <c r="S2117" s="223"/>
      <c r="T2117" s="223"/>
      <c r="X2117" s="223"/>
      <c r="Y2117" s="223"/>
    </row>
    <row r="2118" spans="19:25">
      <c r="S2118" s="223"/>
      <c r="T2118" s="223"/>
      <c r="X2118" s="223"/>
      <c r="Y2118" s="223"/>
    </row>
    <row r="2119" spans="19:25">
      <c r="S2119" s="223"/>
      <c r="T2119" s="223"/>
      <c r="X2119" s="223"/>
      <c r="Y2119" s="223"/>
    </row>
    <row r="2120" spans="19:25">
      <c r="S2120" s="223"/>
      <c r="T2120" s="223"/>
      <c r="X2120" s="223"/>
      <c r="Y2120" s="223"/>
    </row>
    <row r="2121" spans="19:25">
      <c r="S2121" s="223"/>
      <c r="T2121" s="223"/>
      <c r="X2121" s="223"/>
      <c r="Y2121" s="223"/>
    </row>
    <row r="2122" spans="19:25">
      <c r="S2122" s="223"/>
      <c r="T2122" s="223"/>
      <c r="X2122" s="223"/>
      <c r="Y2122" s="223"/>
    </row>
    <row r="2123" spans="19:25">
      <c r="S2123" s="223"/>
      <c r="T2123" s="223"/>
      <c r="X2123" s="223"/>
      <c r="Y2123" s="223"/>
    </row>
    <row r="2124" spans="19:25">
      <c r="S2124" s="223"/>
      <c r="T2124" s="223"/>
      <c r="X2124" s="223"/>
      <c r="Y2124" s="223"/>
    </row>
    <row r="2125" spans="19:25">
      <c r="S2125" s="223"/>
      <c r="T2125" s="223"/>
      <c r="X2125" s="223"/>
      <c r="Y2125" s="223"/>
    </row>
    <row r="2126" spans="19:25">
      <c r="S2126" s="223"/>
      <c r="T2126" s="223"/>
      <c r="X2126" s="223"/>
      <c r="Y2126" s="223"/>
    </row>
    <row r="2127" spans="19:25">
      <c r="S2127" s="223"/>
      <c r="T2127" s="223"/>
      <c r="X2127" s="223"/>
      <c r="Y2127" s="223"/>
    </row>
    <row r="2128" spans="19:25">
      <c r="S2128" s="223"/>
      <c r="T2128" s="223"/>
      <c r="X2128" s="223"/>
      <c r="Y2128" s="223"/>
    </row>
    <row r="2129" spans="19:25">
      <c r="S2129" s="223"/>
      <c r="T2129" s="223"/>
      <c r="X2129" s="223"/>
      <c r="Y2129" s="223"/>
    </row>
    <row r="2130" spans="19:25">
      <c r="S2130" s="223"/>
      <c r="T2130" s="223"/>
      <c r="X2130" s="223"/>
      <c r="Y2130" s="223"/>
    </row>
    <row r="2131" spans="19:25">
      <c r="S2131" s="223"/>
      <c r="T2131" s="223"/>
      <c r="X2131" s="223"/>
      <c r="Y2131" s="223"/>
    </row>
    <row r="2132" spans="19:25">
      <c r="S2132" s="223"/>
      <c r="T2132" s="223"/>
      <c r="X2132" s="223"/>
      <c r="Y2132" s="223"/>
    </row>
    <row r="2133" spans="19:25">
      <c r="S2133" s="223"/>
      <c r="T2133" s="223"/>
      <c r="X2133" s="223"/>
      <c r="Y2133" s="223"/>
    </row>
    <row r="2134" spans="19:25">
      <c r="S2134" s="223"/>
      <c r="T2134" s="223"/>
      <c r="X2134" s="223"/>
      <c r="Y2134" s="223"/>
    </row>
    <row r="2135" spans="19:25">
      <c r="S2135" s="223"/>
      <c r="T2135" s="223"/>
      <c r="X2135" s="223"/>
      <c r="Y2135" s="223"/>
    </row>
    <row r="2136" spans="19:25">
      <c r="S2136" s="223"/>
      <c r="T2136" s="223"/>
      <c r="X2136" s="223"/>
      <c r="Y2136" s="223"/>
    </row>
    <row r="2137" spans="19:25">
      <c r="S2137" s="223"/>
      <c r="T2137" s="223"/>
      <c r="X2137" s="223"/>
      <c r="Y2137" s="223"/>
    </row>
    <row r="2138" spans="19:25">
      <c r="S2138" s="223"/>
      <c r="T2138" s="223"/>
      <c r="X2138" s="223"/>
      <c r="Y2138" s="223"/>
    </row>
    <row r="2139" spans="19:25">
      <c r="S2139" s="223"/>
      <c r="T2139" s="223"/>
      <c r="X2139" s="223"/>
      <c r="Y2139" s="223"/>
    </row>
    <row r="2140" spans="19:25">
      <c r="S2140" s="223"/>
      <c r="T2140" s="223"/>
      <c r="X2140" s="223"/>
      <c r="Y2140" s="223"/>
    </row>
    <row r="2141" spans="19:25">
      <c r="S2141" s="223"/>
      <c r="T2141" s="223"/>
      <c r="X2141" s="223"/>
      <c r="Y2141" s="223"/>
    </row>
    <row r="2142" spans="19:25">
      <c r="S2142" s="223"/>
      <c r="T2142" s="223"/>
      <c r="X2142" s="223"/>
      <c r="Y2142" s="223"/>
    </row>
    <row r="2143" spans="19:25">
      <c r="S2143" s="223"/>
      <c r="T2143" s="223"/>
      <c r="X2143" s="223"/>
      <c r="Y2143" s="223"/>
    </row>
    <row r="2144" spans="19:25">
      <c r="S2144" s="223"/>
      <c r="T2144" s="223"/>
      <c r="X2144" s="223"/>
      <c r="Y2144" s="223"/>
    </row>
    <row r="2145" spans="19:25">
      <c r="S2145" s="223"/>
      <c r="T2145" s="223"/>
      <c r="X2145" s="223"/>
      <c r="Y2145" s="223"/>
    </row>
    <row r="2146" spans="19:25">
      <c r="S2146" s="223"/>
      <c r="T2146" s="223"/>
      <c r="X2146" s="223"/>
      <c r="Y2146" s="223"/>
    </row>
    <row r="2147" spans="19:25">
      <c r="S2147" s="223"/>
      <c r="T2147" s="223"/>
      <c r="X2147" s="223"/>
      <c r="Y2147" s="223"/>
    </row>
    <row r="2148" spans="19:25">
      <c r="S2148" s="223"/>
      <c r="T2148" s="223"/>
      <c r="X2148" s="223"/>
      <c r="Y2148" s="223"/>
    </row>
    <row r="2149" spans="19:25">
      <c r="S2149" s="223"/>
      <c r="T2149" s="223"/>
      <c r="X2149" s="223"/>
      <c r="Y2149" s="223"/>
    </row>
    <row r="2150" spans="19:25">
      <c r="S2150" s="223"/>
      <c r="T2150" s="223"/>
      <c r="X2150" s="223"/>
      <c r="Y2150" s="223"/>
    </row>
    <row r="2151" spans="19:25">
      <c r="S2151" s="223"/>
      <c r="T2151" s="223"/>
      <c r="X2151" s="223"/>
      <c r="Y2151" s="223"/>
    </row>
    <row r="2152" spans="19:25">
      <c r="S2152" s="223"/>
      <c r="T2152" s="223"/>
      <c r="X2152" s="223"/>
      <c r="Y2152" s="223"/>
    </row>
    <row r="2153" spans="19:25">
      <c r="S2153" s="223"/>
      <c r="T2153" s="223"/>
      <c r="X2153" s="223"/>
      <c r="Y2153" s="223"/>
    </row>
    <row r="2154" spans="19:25">
      <c r="S2154" s="223"/>
      <c r="T2154" s="223"/>
      <c r="X2154" s="223"/>
      <c r="Y2154" s="223"/>
    </row>
    <row r="2155" spans="19:25">
      <c r="S2155" s="223"/>
      <c r="T2155" s="223"/>
      <c r="X2155" s="223"/>
      <c r="Y2155" s="223"/>
    </row>
    <row r="2156" spans="19:25">
      <c r="S2156" s="223"/>
      <c r="T2156" s="223"/>
      <c r="X2156" s="223"/>
      <c r="Y2156" s="223"/>
    </row>
    <row r="2157" spans="19:25">
      <c r="S2157" s="223"/>
      <c r="T2157" s="223"/>
      <c r="X2157" s="223"/>
      <c r="Y2157" s="223"/>
    </row>
    <row r="2158" spans="19:25">
      <c r="S2158" s="223"/>
      <c r="T2158" s="223"/>
      <c r="X2158" s="223"/>
      <c r="Y2158" s="223"/>
    </row>
    <row r="2159" spans="19:25">
      <c r="S2159" s="223"/>
      <c r="T2159" s="223"/>
      <c r="X2159" s="223"/>
      <c r="Y2159" s="223"/>
    </row>
    <row r="2160" spans="19:25">
      <c r="S2160" s="223"/>
      <c r="T2160" s="223"/>
      <c r="X2160" s="223"/>
      <c r="Y2160" s="223"/>
    </row>
    <row r="2161" spans="19:25">
      <c r="S2161" s="223"/>
      <c r="T2161" s="223"/>
      <c r="X2161" s="223"/>
      <c r="Y2161" s="223"/>
    </row>
    <row r="2162" spans="19:25">
      <c r="S2162" s="223"/>
      <c r="T2162" s="223"/>
      <c r="X2162" s="223"/>
      <c r="Y2162" s="223"/>
    </row>
    <row r="2163" spans="19:25">
      <c r="S2163" s="223"/>
      <c r="T2163" s="223"/>
      <c r="X2163" s="223"/>
      <c r="Y2163" s="223"/>
    </row>
    <row r="2164" spans="19:25">
      <c r="S2164" s="223"/>
      <c r="T2164" s="223"/>
      <c r="X2164" s="223"/>
      <c r="Y2164" s="223"/>
    </row>
    <row r="2165" spans="19:25">
      <c r="S2165" s="223"/>
      <c r="T2165" s="223"/>
      <c r="X2165" s="223"/>
      <c r="Y2165" s="223"/>
    </row>
    <row r="2166" spans="19:25">
      <c r="S2166" s="223"/>
      <c r="T2166" s="223"/>
      <c r="X2166" s="223"/>
      <c r="Y2166" s="223"/>
    </row>
    <row r="2167" spans="19:25">
      <c r="S2167" s="223"/>
      <c r="T2167" s="223"/>
      <c r="X2167" s="223"/>
      <c r="Y2167" s="223"/>
    </row>
    <row r="2168" spans="19:25">
      <c r="S2168" s="223"/>
      <c r="T2168" s="223"/>
      <c r="X2168" s="223"/>
      <c r="Y2168" s="223"/>
    </row>
    <row r="2169" spans="19:25">
      <c r="S2169" s="223"/>
      <c r="T2169" s="223"/>
      <c r="X2169" s="223"/>
      <c r="Y2169" s="223"/>
    </row>
    <row r="2170" spans="19:25">
      <c r="S2170" s="223"/>
      <c r="T2170" s="223"/>
      <c r="X2170" s="223"/>
      <c r="Y2170" s="223"/>
    </row>
    <row r="2171" spans="19:25">
      <c r="S2171" s="223"/>
      <c r="T2171" s="223"/>
      <c r="X2171" s="223"/>
      <c r="Y2171" s="223"/>
    </row>
    <row r="2172" spans="19:25">
      <c r="S2172" s="223"/>
      <c r="T2172" s="223"/>
      <c r="X2172" s="223"/>
      <c r="Y2172" s="223"/>
    </row>
    <row r="2173" spans="19:25">
      <c r="S2173" s="223"/>
      <c r="T2173" s="223"/>
      <c r="X2173" s="223"/>
      <c r="Y2173" s="223"/>
    </row>
    <row r="2174" spans="19:25">
      <c r="S2174" s="223"/>
      <c r="T2174" s="223"/>
      <c r="X2174" s="223"/>
      <c r="Y2174" s="223"/>
    </row>
    <row r="2175" spans="19:25">
      <c r="S2175" s="223"/>
      <c r="T2175" s="223"/>
      <c r="X2175" s="223"/>
      <c r="Y2175" s="223"/>
    </row>
    <row r="2176" spans="19:25">
      <c r="S2176" s="223"/>
      <c r="T2176" s="223"/>
      <c r="X2176" s="223"/>
      <c r="Y2176" s="223"/>
    </row>
    <row r="2177" spans="19:25">
      <c r="S2177" s="223"/>
      <c r="T2177" s="223"/>
      <c r="X2177" s="223"/>
      <c r="Y2177" s="223"/>
    </row>
    <row r="2178" spans="19:25">
      <c r="S2178" s="223"/>
      <c r="T2178" s="223"/>
      <c r="X2178" s="223"/>
      <c r="Y2178" s="223"/>
    </row>
    <row r="2179" spans="19:25">
      <c r="S2179" s="223"/>
      <c r="T2179" s="223"/>
      <c r="X2179" s="223"/>
      <c r="Y2179" s="223"/>
    </row>
    <row r="2180" spans="19:25">
      <c r="S2180" s="223"/>
      <c r="T2180" s="223"/>
      <c r="X2180" s="223"/>
      <c r="Y2180" s="223"/>
    </row>
    <row r="2181" spans="19:25">
      <c r="S2181" s="223"/>
      <c r="T2181" s="223"/>
      <c r="X2181" s="223"/>
      <c r="Y2181" s="223"/>
    </row>
    <row r="2182" spans="19:25">
      <c r="S2182" s="223"/>
      <c r="T2182" s="223"/>
      <c r="X2182" s="223"/>
      <c r="Y2182" s="223"/>
    </row>
    <row r="2183" spans="19:25">
      <c r="S2183" s="223"/>
      <c r="T2183" s="223"/>
      <c r="X2183" s="223"/>
      <c r="Y2183" s="223"/>
    </row>
    <row r="2184" spans="19:25">
      <c r="S2184" s="223"/>
      <c r="T2184" s="223"/>
      <c r="X2184" s="223"/>
      <c r="Y2184" s="223"/>
    </row>
    <row r="2185" spans="19:25">
      <c r="S2185" s="223"/>
      <c r="T2185" s="223"/>
      <c r="X2185" s="223"/>
      <c r="Y2185" s="223"/>
    </row>
    <row r="2186" spans="19:25">
      <c r="S2186" s="223"/>
      <c r="T2186" s="223"/>
      <c r="X2186" s="223"/>
      <c r="Y2186" s="223"/>
    </row>
    <row r="2187" spans="19:25">
      <c r="S2187" s="223"/>
      <c r="T2187" s="223"/>
      <c r="X2187" s="223"/>
      <c r="Y2187" s="223"/>
    </row>
    <row r="2188" spans="19:25">
      <c r="S2188" s="223"/>
      <c r="T2188" s="223"/>
      <c r="X2188" s="223"/>
      <c r="Y2188" s="223"/>
    </row>
    <row r="2189" spans="19:25">
      <c r="S2189" s="223"/>
      <c r="T2189" s="223"/>
      <c r="X2189" s="223"/>
      <c r="Y2189" s="223"/>
    </row>
    <row r="2190" spans="19:25">
      <c r="S2190" s="223"/>
      <c r="T2190" s="223"/>
      <c r="X2190" s="223"/>
      <c r="Y2190" s="223"/>
    </row>
    <row r="2191" spans="19:25">
      <c r="S2191" s="223"/>
      <c r="T2191" s="223"/>
      <c r="X2191" s="223"/>
      <c r="Y2191" s="223"/>
    </row>
    <row r="2192" spans="19:25">
      <c r="S2192" s="223"/>
      <c r="T2192" s="223"/>
      <c r="X2192" s="223"/>
      <c r="Y2192" s="223"/>
    </row>
    <row r="2193" spans="19:25">
      <c r="S2193" s="223"/>
      <c r="T2193" s="223"/>
      <c r="X2193" s="223"/>
      <c r="Y2193" s="223"/>
    </row>
    <row r="2194" spans="19:25">
      <c r="S2194" s="223"/>
      <c r="T2194" s="223"/>
      <c r="X2194" s="223"/>
      <c r="Y2194" s="223"/>
    </row>
    <row r="2195" spans="19:25">
      <c r="S2195" s="223"/>
      <c r="T2195" s="223"/>
      <c r="X2195" s="223"/>
      <c r="Y2195" s="223"/>
    </row>
    <row r="2196" spans="19:25">
      <c r="S2196" s="223"/>
      <c r="T2196" s="223"/>
      <c r="X2196" s="223"/>
      <c r="Y2196" s="223"/>
    </row>
    <row r="2197" spans="19:25">
      <c r="S2197" s="223"/>
      <c r="T2197" s="223"/>
      <c r="X2197" s="223"/>
      <c r="Y2197" s="223"/>
    </row>
    <row r="2198" spans="19:25">
      <c r="S2198" s="223"/>
      <c r="T2198" s="223"/>
      <c r="X2198" s="223"/>
      <c r="Y2198" s="223"/>
    </row>
    <row r="2199" spans="19:25">
      <c r="S2199" s="223"/>
      <c r="T2199" s="223"/>
      <c r="X2199" s="223"/>
      <c r="Y2199" s="223"/>
    </row>
    <row r="2200" spans="19:25">
      <c r="S2200" s="223"/>
      <c r="T2200" s="223"/>
      <c r="X2200" s="223"/>
      <c r="Y2200" s="223"/>
    </row>
    <row r="2201" spans="19:25">
      <c r="S2201" s="223"/>
      <c r="T2201" s="223"/>
      <c r="X2201" s="223"/>
      <c r="Y2201" s="223"/>
    </row>
    <row r="2202" spans="19:25">
      <c r="S2202" s="223"/>
      <c r="T2202" s="223"/>
      <c r="X2202" s="223"/>
      <c r="Y2202" s="223"/>
    </row>
    <row r="2203" spans="19:25">
      <c r="S2203" s="223"/>
      <c r="T2203" s="223"/>
      <c r="X2203" s="223"/>
      <c r="Y2203" s="223"/>
    </row>
    <row r="2204" spans="19:25">
      <c r="S2204" s="223"/>
      <c r="T2204" s="223"/>
      <c r="X2204" s="223"/>
      <c r="Y2204" s="223"/>
    </row>
    <row r="2205" spans="19:25">
      <c r="S2205" s="223"/>
      <c r="T2205" s="223"/>
      <c r="X2205" s="223"/>
      <c r="Y2205" s="223"/>
    </row>
    <row r="2206" spans="19:25">
      <c r="S2206" s="223"/>
      <c r="T2206" s="223"/>
      <c r="X2206" s="223"/>
      <c r="Y2206" s="223"/>
    </row>
    <row r="2207" spans="19:25">
      <c r="S2207" s="223"/>
      <c r="T2207" s="223"/>
      <c r="X2207" s="223"/>
      <c r="Y2207" s="223"/>
    </row>
    <row r="2208" spans="19:25">
      <c r="S2208" s="223"/>
      <c r="T2208" s="223"/>
      <c r="X2208" s="223"/>
      <c r="Y2208" s="223"/>
    </row>
    <row r="2209" spans="19:25">
      <c r="S2209" s="223"/>
      <c r="T2209" s="223"/>
      <c r="X2209" s="223"/>
      <c r="Y2209" s="223"/>
    </row>
    <row r="2210" spans="19:25">
      <c r="S2210" s="223"/>
      <c r="T2210" s="223"/>
      <c r="X2210" s="223"/>
      <c r="Y2210" s="223"/>
    </row>
    <row r="2211" spans="19:25">
      <c r="S2211" s="223"/>
      <c r="T2211" s="223"/>
      <c r="X2211" s="223"/>
      <c r="Y2211" s="223"/>
    </row>
    <row r="2212" spans="19:25">
      <c r="S2212" s="223"/>
      <c r="T2212" s="223"/>
      <c r="X2212" s="223"/>
      <c r="Y2212" s="223"/>
    </row>
    <row r="2213" spans="19:25">
      <c r="S2213" s="223"/>
      <c r="T2213" s="223"/>
      <c r="X2213" s="223"/>
      <c r="Y2213" s="223"/>
    </row>
    <row r="2214" spans="19:25">
      <c r="S2214" s="223"/>
      <c r="T2214" s="223"/>
      <c r="X2214" s="223"/>
      <c r="Y2214" s="223"/>
    </row>
    <row r="2215" spans="19:25">
      <c r="S2215" s="223"/>
      <c r="T2215" s="223"/>
      <c r="X2215" s="223"/>
      <c r="Y2215" s="223"/>
    </row>
    <row r="2216" spans="19:25">
      <c r="S2216" s="223"/>
      <c r="T2216" s="223"/>
      <c r="X2216" s="223"/>
      <c r="Y2216" s="223"/>
    </row>
    <row r="2217" spans="19:25">
      <c r="S2217" s="223"/>
      <c r="T2217" s="223"/>
      <c r="X2217" s="223"/>
      <c r="Y2217" s="223"/>
    </row>
    <row r="2218" spans="19:25">
      <c r="S2218" s="223"/>
      <c r="T2218" s="223"/>
      <c r="X2218" s="223"/>
      <c r="Y2218" s="223"/>
    </row>
    <row r="2219" spans="19:25">
      <c r="S2219" s="223"/>
      <c r="T2219" s="223"/>
      <c r="X2219" s="223"/>
      <c r="Y2219" s="223"/>
    </row>
    <row r="2220" spans="19:25">
      <c r="S2220" s="223"/>
      <c r="T2220" s="223"/>
    </row>
    <row r="2221" spans="19:25">
      <c r="S2221" s="223"/>
      <c r="T2221" s="223"/>
    </row>
    <row r="2222" spans="19:25">
      <c r="S2222" s="223"/>
      <c r="T2222" s="223"/>
    </row>
    <row r="2223" spans="19:25">
      <c r="S2223" s="223"/>
      <c r="T2223" s="223"/>
    </row>
    <row r="2224" spans="19:25">
      <c r="S2224" s="223"/>
      <c r="T2224" s="223"/>
    </row>
    <row r="2225" spans="19:20">
      <c r="S2225" s="223"/>
      <c r="T2225" s="223"/>
    </row>
    <row r="2226" spans="19:20">
      <c r="S2226" s="223"/>
      <c r="T2226" s="223"/>
    </row>
    <row r="2227" spans="19:20">
      <c r="S2227" s="223"/>
      <c r="T2227" s="223"/>
    </row>
    <row r="2228" spans="19:20">
      <c r="S2228" s="223"/>
      <c r="T2228" s="223"/>
    </row>
    <row r="2229" spans="19:20">
      <c r="S2229" s="223"/>
      <c r="T2229" s="223"/>
    </row>
    <row r="2230" spans="19:20">
      <c r="S2230" s="223"/>
      <c r="T2230" s="223"/>
    </row>
    <row r="2231" spans="19:20">
      <c r="S2231" s="223"/>
      <c r="T2231" s="223"/>
    </row>
    <row r="2232" spans="19:20">
      <c r="S2232" s="223"/>
      <c r="T2232" s="223"/>
    </row>
    <row r="2233" spans="19:20">
      <c r="S2233" s="223"/>
      <c r="T2233" s="223"/>
    </row>
    <row r="2234" spans="19:20">
      <c r="S2234" s="223"/>
      <c r="T2234" s="223"/>
    </row>
    <row r="2235" spans="19:20">
      <c r="S2235" s="223"/>
      <c r="T2235" s="223"/>
    </row>
    <row r="2236" spans="19:20">
      <c r="S2236" s="223"/>
      <c r="T2236" s="223"/>
    </row>
    <row r="2237" spans="19:20">
      <c r="S2237" s="223"/>
      <c r="T2237" s="223"/>
    </row>
    <row r="2238" spans="19:20">
      <c r="S2238" s="223"/>
      <c r="T2238" s="223"/>
    </row>
    <row r="2239" spans="19:20">
      <c r="S2239" s="223"/>
      <c r="T2239" s="223"/>
    </row>
    <row r="2240" spans="19:20">
      <c r="S2240" s="223"/>
      <c r="T2240" s="223"/>
    </row>
    <row r="2241" spans="19:20">
      <c r="S2241" s="223"/>
      <c r="T2241" s="223"/>
    </row>
    <row r="2242" spans="19:20">
      <c r="S2242" s="223"/>
      <c r="T2242" s="223"/>
    </row>
    <row r="2243" spans="19:20">
      <c r="S2243" s="223"/>
      <c r="T2243" s="223"/>
    </row>
    <row r="2244" spans="19:20">
      <c r="S2244" s="223"/>
      <c r="T2244" s="223"/>
    </row>
    <row r="2245" spans="19:20">
      <c r="S2245" s="223"/>
      <c r="T2245" s="223"/>
    </row>
    <row r="2246" spans="19:20">
      <c r="S2246" s="223"/>
      <c r="T2246" s="223"/>
    </row>
    <row r="2247" spans="19:20">
      <c r="S2247" s="223"/>
      <c r="T2247" s="223"/>
    </row>
    <row r="2248" spans="19:20">
      <c r="S2248" s="223"/>
      <c r="T2248" s="223"/>
    </row>
    <row r="2249" spans="19:20">
      <c r="S2249" s="223"/>
      <c r="T2249" s="223"/>
    </row>
    <row r="2250" spans="19:20">
      <c r="S2250" s="223"/>
      <c r="T2250" s="223"/>
    </row>
    <row r="2251" spans="19:20">
      <c r="S2251" s="223"/>
      <c r="T2251" s="223"/>
    </row>
    <row r="2252" spans="19:20">
      <c r="S2252" s="223"/>
      <c r="T2252" s="223"/>
    </row>
    <row r="2253" spans="19:20">
      <c r="S2253" s="223"/>
      <c r="T2253" s="223"/>
    </row>
    <row r="2254" spans="19:20">
      <c r="S2254" s="223"/>
      <c r="T2254" s="223"/>
    </row>
    <row r="2255" spans="19:20">
      <c r="S2255" s="223"/>
      <c r="T2255" s="223"/>
    </row>
    <row r="2256" spans="19:20">
      <c r="S2256" s="223"/>
      <c r="T2256" s="223"/>
    </row>
    <row r="2257" spans="19:20">
      <c r="S2257" s="223"/>
      <c r="T2257" s="223"/>
    </row>
    <row r="2258" spans="19:20">
      <c r="S2258" s="223"/>
      <c r="T2258" s="223"/>
    </row>
    <row r="2259" spans="19:20">
      <c r="S2259" s="223"/>
      <c r="T2259" s="223"/>
    </row>
    <row r="2260" spans="19:20">
      <c r="S2260" s="223"/>
      <c r="T2260" s="223"/>
    </row>
    <row r="2261" spans="19:20">
      <c r="S2261" s="223"/>
      <c r="T2261" s="223"/>
    </row>
    <row r="2262" spans="19:20">
      <c r="S2262" s="223"/>
      <c r="T2262" s="223"/>
    </row>
    <row r="2263" spans="19:20">
      <c r="S2263" s="223"/>
      <c r="T2263" s="223"/>
    </row>
    <row r="2264" spans="19:20">
      <c r="S2264" s="223"/>
      <c r="T2264" s="223"/>
    </row>
    <row r="2265" spans="19:20">
      <c r="S2265" s="223"/>
      <c r="T2265" s="223"/>
    </row>
    <row r="2266" spans="19:20">
      <c r="S2266" s="223"/>
      <c r="T2266" s="223"/>
    </row>
    <row r="2267" spans="19:20">
      <c r="S2267" s="223"/>
      <c r="T2267" s="223"/>
    </row>
    <row r="2268" spans="19:20">
      <c r="S2268" s="223"/>
      <c r="T2268" s="223"/>
    </row>
    <row r="2269" spans="19:20">
      <c r="S2269" s="223"/>
      <c r="T2269" s="223"/>
    </row>
    <row r="2270" spans="19:20">
      <c r="S2270" s="223"/>
      <c r="T2270" s="223"/>
    </row>
    <row r="2271" spans="19:20">
      <c r="S2271" s="223"/>
      <c r="T2271" s="223"/>
    </row>
    <row r="2272" spans="19:20">
      <c r="S2272" s="223"/>
      <c r="T2272" s="223"/>
    </row>
    <row r="2273" spans="19:20">
      <c r="S2273" s="223"/>
      <c r="T2273" s="223"/>
    </row>
    <row r="2274" spans="19:20">
      <c r="S2274" s="223"/>
      <c r="T2274" s="223"/>
    </row>
    <row r="2275" spans="19:20">
      <c r="S2275" s="223"/>
      <c r="T2275" s="223"/>
    </row>
    <row r="2276" spans="19:20">
      <c r="S2276" s="223"/>
      <c r="T2276" s="223"/>
    </row>
    <row r="2277" spans="19:20">
      <c r="S2277" s="223"/>
      <c r="T2277" s="223"/>
    </row>
    <row r="2278" spans="19:20">
      <c r="S2278" s="223"/>
      <c r="T2278" s="223"/>
    </row>
    <row r="2279" spans="19:20">
      <c r="S2279" s="223"/>
      <c r="T2279" s="223"/>
    </row>
    <row r="2280" spans="19:20">
      <c r="S2280" s="223"/>
      <c r="T2280" s="223"/>
    </row>
    <row r="2281" spans="19:20">
      <c r="S2281" s="223"/>
      <c r="T2281" s="223"/>
    </row>
    <row r="2282" spans="19:20">
      <c r="S2282" s="223"/>
      <c r="T2282" s="223"/>
    </row>
    <row r="2283" spans="19:20">
      <c r="S2283" s="223"/>
      <c r="T2283" s="223"/>
    </row>
    <row r="2284" spans="19:20">
      <c r="S2284" s="223"/>
      <c r="T2284" s="223"/>
    </row>
    <row r="2285" spans="19:20">
      <c r="S2285" s="223"/>
      <c r="T2285" s="223"/>
    </row>
    <row r="2286" spans="19:20">
      <c r="S2286" s="223"/>
      <c r="T2286" s="223"/>
    </row>
    <row r="2287" spans="19:20">
      <c r="S2287" s="223"/>
      <c r="T2287" s="223"/>
    </row>
    <row r="2288" spans="19:20">
      <c r="S2288" s="223"/>
      <c r="T2288" s="223"/>
    </row>
    <row r="2289" spans="19:20">
      <c r="S2289" s="223"/>
      <c r="T2289" s="223"/>
    </row>
    <row r="2290" spans="19:20">
      <c r="S2290" s="223"/>
      <c r="T2290" s="223"/>
    </row>
    <row r="2291" spans="19:20">
      <c r="S2291" s="223"/>
      <c r="T2291" s="223"/>
    </row>
    <row r="2292" spans="19:20">
      <c r="S2292" s="223"/>
      <c r="T2292" s="223"/>
    </row>
    <row r="2293" spans="19:20">
      <c r="S2293" s="223"/>
      <c r="T2293" s="223"/>
    </row>
    <row r="2294" spans="19:20">
      <c r="S2294" s="223"/>
      <c r="T2294" s="223"/>
    </row>
    <row r="2295" spans="19:20">
      <c r="S2295" s="223"/>
      <c r="T2295" s="223"/>
    </row>
    <row r="2296" spans="19:20">
      <c r="S2296" s="223"/>
      <c r="T2296" s="223"/>
    </row>
    <row r="2297" spans="19:20">
      <c r="S2297" s="223"/>
      <c r="T2297" s="223"/>
    </row>
    <row r="2298" spans="19:20">
      <c r="S2298" s="223"/>
      <c r="T2298" s="223"/>
    </row>
    <row r="2299" spans="19:20">
      <c r="S2299" s="223"/>
      <c r="T2299" s="223"/>
    </row>
    <row r="2300" spans="19:20">
      <c r="S2300" s="223"/>
      <c r="T2300" s="223"/>
    </row>
    <row r="2301" spans="19:20">
      <c r="S2301" s="223"/>
      <c r="T2301" s="223"/>
    </row>
    <row r="2302" spans="19:20">
      <c r="S2302" s="223"/>
      <c r="T2302" s="223"/>
    </row>
    <row r="2303" spans="19:20">
      <c r="S2303" s="223"/>
      <c r="T2303" s="223"/>
    </row>
    <row r="2304" spans="19:20">
      <c r="S2304" s="223"/>
      <c r="T2304" s="223"/>
    </row>
    <row r="2305" spans="19:20">
      <c r="S2305" s="223"/>
      <c r="T2305" s="223"/>
    </row>
    <row r="2306" spans="19:20">
      <c r="S2306" s="223"/>
      <c r="T2306" s="223"/>
    </row>
    <row r="2307" spans="19:20">
      <c r="S2307" s="223"/>
      <c r="T2307" s="223"/>
    </row>
    <row r="2308" spans="19:20">
      <c r="S2308" s="223"/>
      <c r="T2308" s="223"/>
    </row>
    <row r="2309" spans="19:20">
      <c r="S2309" s="223"/>
      <c r="T2309" s="223"/>
    </row>
    <row r="2310" spans="19:20">
      <c r="S2310" s="223"/>
      <c r="T2310" s="223"/>
    </row>
    <row r="2311" spans="19:20">
      <c r="S2311" s="223"/>
      <c r="T2311" s="223"/>
    </row>
    <row r="2312" spans="19:20">
      <c r="S2312" s="223"/>
      <c r="T2312" s="223"/>
    </row>
    <row r="2313" spans="19:20">
      <c r="S2313" s="223"/>
      <c r="T2313" s="223"/>
    </row>
    <row r="2314" spans="19:20">
      <c r="S2314" s="223"/>
      <c r="T2314" s="223"/>
    </row>
    <row r="2315" spans="19:20">
      <c r="S2315" s="223"/>
      <c r="T2315" s="223"/>
    </row>
    <row r="2316" spans="19:20">
      <c r="S2316" s="223"/>
      <c r="T2316" s="223"/>
    </row>
    <row r="2317" spans="19:20">
      <c r="S2317" s="223"/>
      <c r="T2317" s="223"/>
    </row>
    <row r="2318" spans="19:20">
      <c r="S2318" s="223"/>
      <c r="T2318" s="223"/>
    </row>
    <row r="2319" spans="19:20">
      <c r="S2319" s="223"/>
      <c r="T2319" s="223"/>
    </row>
    <row r="2320" spans="19:20">
      <c r="S2320" s="223"/>
      <c r="T2320" s="223"/>
    </row>
    <row r="2321" spans="19:20">
      <c r="S2321" s="223"/>
      <c r="T2321" s="223"/>
    </row>
    <row r="2322" spans="19:20">
      <c r="S2322" s="223"/>
      <c r="T2322" s="223"/>
    </row>
    <row r="2323" spans="19:20">
      <c r="S2323" s="223"/>
      <c r="T2323" s="223"/>
    </row>
    <row r="2324" spans="19:20">
      <c r="S2324" s="223"/>
      <c r="T2324" s="223"/>
    </row>
    <row r="2325" spans="19:20">
      <c r="S2325" s="223"/>
      <c r="T2325" s="223"/>
    </row>
    <row r="2326" spans="19:20">
      <c r="S2326" s="223"/>
      <c r="T2326" s="223"/>
    </row>
    <row r="2327" spans="19:20">
      <c r="S2327" s="223"/>
      <c r="T2327" s="223"/>
    </row>
    <row r="2328" spans="19:20">
      <c r="S2328" s="223"/>
      <c r="T2328" s="223"/>
    </row>
    <row r="2329" spans="19:20">
      <c r="S2329" s="223"/>
      <c r="T2329" s="223"/>
    </row>
    <row r="2330" spans="19:20">
      <c r="S2330" s="223"/>
      <c r="T2330" s="223"/>
    </row>
    <row r="2331" spans="19:20">
      <c r="S2331" s="223"/>
      <c r="T2331" s="223"/>
    </row>
    <row r="2332" spans="19:20">
      <c r="S2332" s="223"/>
      <c r="T2332" s="223"/>
    </row>
    <row r="2333" spans="19:20">
      <c r="S2333" s="223"/>
      <c r="T2333" s="223"/>
    </row>
    <row r="2334" spans="19:20">
      <c r="S2334" s="223"/>
      <c r="T2334" s="223"/>
    </row>
    <row r="2335" spans="19:20">
      <c r="S2335" s="223"/>
      <c r="T2335" s="223"/>
    </row>
    <row r="2336" spans="19:20">
      <c r="S2336" s="223"/>
      <c r="T2336" s="223"/>
    </row>
    <row r="2337" spans="19:20">
      <c r="S2337" s="223"/>
      <c r="T2337" s="223"/>
    </row>
    <row r="2338" spans="19:20">
      <c r="S2338" s="223"/>
      <c r="T2338" s="223"/>
    </row>
    <row r="2339" spans="19:20">
      <c r="S2339" s="223"/>
      <c r="T2339" s="223"/>
    </row>
    <row r="2340" spans="19:20">
      <c r="S2340" s="223"/>
      <c r="T2340" s="223"/>
    </row>
    <row r="2341" spans="19:20">
      <c r="S2341" s="223"/>
      <c r="T2341" s="223"/>
    </row>
    <row r="2342" spans="19:20">
      <c r="S2342" s="223"/>
      <c r="T2342" s="223"/>
    </row>
    <row r="2343" spans="19:20">
      <c r="S2343" s="223"/>
      <c r="T2343" s="223"/>
    </row>
    <row r="2344" spans="19:20">
      <c r="S2344" s="223"/>
      <c r="T2344" s="223"/>
    </row>
    <row r="2345" spans="19:20">
      <c r="S2345" s="223"/>
      <c r="T2345" s="223"/>
    </row>
    <row r="2346" spans="19:20">
      <c r="S2346" s="223"/>
      <c r="T2346" s="223"/>
    </row>
    <row r="2347" spans="19:20">
      <c r="S2347" s="223"/>
      <c r="T2347" s="223"/>
    </row>
    <row r="2348" spans="19:20">
      <c r="S2348" s="223"/>
      <c r="T2348" s="223"/>
    </row>
    <row r="2349" spans="19:20">
      <c r="S2349" s="223"/>
      <c r="T2349" s="223"/>
    </row>
    <row r="2350" spans="19:20">
      <c r="S2350" s="223"/>
      <c r="T2350" s="223"/>
    </row>
    <row r="2351" spans="19:20">
      <c r="S2351" s="223"/>
      <c r="T2351" s="223"/>
    </row>
    <row r="2352" spans="19:20">
      <c r="S2352" s="223"/>
      <c r="T2352" s="223"/>
    </row>
    <row r="2353" spans="19:20">
      <c r="S2353" s="223"/>
      <c r="T2353" s="223"/>
    </row>
    <row r="2354" spans="19:20">
      <c r="S2354" s="223"/>
      <c r="T2354" s="223"/>
    </row>
    <row r="2355" spans="19:20">
      <c r="S2355" s="223"/>
      <c r="T2355" s="223"/>
    </row>
    <row r="2356" spans="19:20">
      <c r="S2356" s="223"/>
      <c r="T2356" s="223"/>
    </row>
    <row r="2357" spans="19:20">
      <c r="S2357" s="223"/>
      <c r="T2357" s="223"/>
    </row>
    <row r="2358" spans="19:20">
      <c r="S2358" s="223"/>
      <c r="T2358" s="223"/>
    </row>
    <row r="2359" spans="19:20">
      <c r="S2359" s="223"/>
      <c r="T2359" s="223"/>
    </row>
    <row r="2360" spans="19:20">
      <c r="S2360" s="223"/>
      <c r="T2360" s="223"/>
    </row>
    <row r="2361" spans="19:20">
      <c r="S2361" s="223"/>
      <c r="T2361" s="223"/>
    </row>
    <row r="2362" spans="19:20">
      <c r="S2362" s="223"/>
      <c r="T2362" s="223"/>
    </row>
    <row r="2363" spans="19:20">
      <c r="S2363" s="223"/>
      <c r="T2363" s="223"/>
    </row>
    <row r="2364" spans="19:20">
      <c r="S2364" s="223"/>
      <c r="T2364" s="223"/>
    </row>
    <row r="2365" spans="19:20">
      <c r="S2365" s="223"/>
      <c r="T2365" s="223"/>
    </row>
    <row r="2366" spans="19:20">
      <c r="S2366" s="223"/>
      <c r="T2366" s="223"/>
    </row>
    <row r="2367" spans="19:20">
      <c r="S2367" s="223"/>
      <c r="T2367" s="223"/>
    </row>
    <row r="2368" spans="19:20">
      <c r="S2368" s="223"/>
      <c r="T2368" s="223"/>
    </row>
    <row r="2369" spans="19:20">
      <c r="S2369" s="223"/>
      <c r="T2369" s="223"/>
    </row>
    <row r="2370" spans="19:20">
      <c r="S2370" s="223"/>
      <c r="T2370" s="223"/>
    </row>
    <row r="2371" spans="19:20">
      <c r="S2371" s="223"/>
      <c r="T2371" s="223"/>
    </row>
    <row r="2372" spans="19:20">
      <c r="S2372" s="223"/>
      <c r="T2372" s="223"/>
    </row>
    <row r="2373" spans="19:20">
      <c r="S2373" s="223"/>
      <c r="T2373" s="223"/>
    </row>
    <row r="2374" spans="19:20">
      <c r="S2374" s="223"/>
      <c r="T2374" s="223"/>
    </row>
    <row r="2375" spans="19:20">
      <c r="S2375" s="223"/>
      <c r="T2375" s="223"/>
    </row>
    <row r="2376" spans="19:20">
      <c r="S2376" s="223"/>
      <c r="T2376" s="223"/>
    </row>
    <row r="2377" spans="19:20">
      <c r="S2377" s="223"/>
      <c r="T2377" s="223"/>
    </row>
    <row r="2378" spans="19:20">
      <c r="S2378" s="223"/>
      <c r="T2378" s="223"/>
    </row>
    <row r="2379" spans="19:20">
      <c r="S2379" s="223"/>
      <c r="T2379" s="223"/>
    </row>
    <row r="2380" spans="19:20">
      <c r="S2380" s="223"/>
      <c r="T2380" s="223"/>
    </row>
    <row r="2381" spans="19:20">
      <c r="S2381" s="223"/>
      <c r="T2381" s="223"/>
    </row>
    <row r="2382" spans="19:20">
      <c r="S2382" s="223"/>
      <c r="T2382" s="223"/>
    </row>
    <row r="2383" spans="19:20">
      <c r="S2383" s="223"/>
      <c r="T2383" s="223"/>
    </row>
    <row r="2384" spans="19:20">
      <c r="S2384" s="223"/>
      <c r="T2384" s="223"/>
    </row>
    <row r="2385" spans="19:20">
      <c r="S2385" s="223"/>
      <c r="T2385" s="223"/>
    </row>
    <row r="2386" spans="19:20">
      <c r="S2386" s="223"/>
      <c r="T2386" s="223"/>
    </row>
    <row r="2387" spans="19:20">
      <c r="S2387" s="223"/>
      <c r="T2387" s="223"/>
    </row>
    <row r="2388" spans="19:20">
      <c r="S2388" s="223"/>
      <c r="T2388" s="223"/>
    </row>
    <row r="2389" spans="19:20">
      <c r="S2389" s="223"/>
      <c r="T2389" s="223"/>
    </row>
    <row r="2390" spans="19:20">
      <c r="S2390" s="223"/>
      <c r="T2390" s="223"/>
    </row>
    <row r="2391" spans="19:20">
      <c r="S2391" s="223"/>
      <c r="T2391" s="223"/>
    </row>
    <row r="2392" spans="19:20">
      <c r="S2392" s="223"/>
      <c r="T2392" s="223"/>
    </row>
    <row r="2393" spans="19:20">
      <c r="S2393" s="223"/>
      <c r="T2393" s="223"/>
    </row>
    <row r="2394" spans="19:20">
      <c r="S2394" s="223"/>
      <c r="T2394" s="223"/>
    </row>
    <row r="2395" spans="19:20">
      <c r="S2395" s="223"/>
      <c r="T2395" s="223"/>
    </row>
    <row r="2396" spans="19:20">
      <c r="S2396" s="223"/>
      <c r="T2396" s="223"/>
    </row>
    <row r="2397" spans="19:20">
      <c r="S2397" s="223"/>
      <c r="T2397" s="223"/>
    </row>
    <row r="2398" spans="19:20">
      <c r="S2398" s="223"/>
      <c r="T2398" s="223"/>
    </row>
    <row r="2399" spans="19:20">
      <c r="S2399" s="223"/>
      <c r="T2399" s="223"/>
    </row>
    <row r="2400" spans="19:20">
      <c r="S2400" s="223"/>
      <c r="T2400" s="223"/>
    </row>
    <row r="2401" spans="19:20">
      <c r="S2401" s="223"/>
      <c r="T2401" s="223"/>
    </row>
    <row r="2402" spans="19:20">
      <c r="S2402" s="223"/>
      <c r="T2402" s="223"/>
    </row>
    <row r="2403" spans="19:20">
      <c r="S2403" s="223"/>
      <c r="T2403" s="223"/>
    </row>
    <row r="2404" spans="19:20">
      <c r="S2404" s="223"/>
      <c r="T2404" s="223"/>
    </row>
    <row r="2405" spans="19:20">
      <c r="S2405" s="223"/>
      <c r="T2405" s="223"/>
    </row>
    <row r="2406" spans="19:20">
      <c r="S2406" s="223"/>
      <c r="T2406" s="223"/>
    </row>
    <row r="2407" spans="19:20">
      <c r="S2407" s="223"/>
      <c r="T2407" s="223"/>
    </row>
    <row r="2408" spans="19:20">
      <c r="S2408" s="223"/>
      <c r="T2408" s="223"/>
    </row>
    <row r="2409" spans="19:20">
      <c r="S2409" s="223"/>
      <c r="T2409" s="223"/>
    </row>
    <row r="2410" spans="19:20">
      <c r="S2410" s="223"/>
      <c r="T2410" s="223"/>
    </row>
    <row r="2411" spans="19:20">
      <c r="S2411" s="223"/>
      <c r="T2411" s="223"/>
    </row>
    <row r="2412" spans="19:20">
      <c r="S2412" s="223"/>
      <c r="T2412" s="223"/>
    </row>
    <row r="2413" spans="19:20">
      <c r="S2413" s="223"/>
      <c r="T2413" s="223"/>
    </row>
    <row r="2414" spans="19:20">
      <c r="S2414" s="223"/>
      <c r="T2414" s="223"/>
    </row>
    <row r="2415" spans="19:20">
      <c r="S2415" s="223"/>
      <c r="T2415" s="223"/>
    </row>
    <row r="2416" spans="19:20">
      <c r="S2416" s="223"/>
      <c r="T2416" s="223"/>
    </row>
    <row r="2417" spans="19:20">
      <c r="S2417" s="223"/>
      <c r="T2417" s="223"/>
    </row>
    <row r="2418" spans="19:20">
      <c r="S2418" s="223"/>
      <c r="T2418" s="223"/>
    </row>
    <row r="2419" spans="19:20">
      <c r="S2419" s="223"/>
      <c r="T2419" s="223"/>
    </row>
    <row r="2420" spans="19:20">
      <c r="S2420" s="223"/>
      <c r="T2420" s="223"/>
    </row>
    <row r="2421" spans="19:20">
      <c r="S2421" s="223"/>
      <c r="T2421" s="223"/>
    </row>
    <row r="2422" spans="19:20">
      <c r="S2422" s="223"/>
      <c r="T2422" s="223"/>
    </row>
    <row r="2423" spans="19:20">
      <c r="S2423" s="223"/>
      <c r="T2423" s="223"/>
    </row>
    <row r="2424" spans="19:20">
      <c r="S2424" s="223"/>
      <c r="T2424" s="223"/>
    </row>
    <row r="2425" spans="19:20">
      <c r="S2425" s="223"/>
      <c r="T2425" s="223"/>
    </row>
    <row r="2426" spans="19:20">
      <c r="S2426" s="223"/>
      <c r="T2426" s="223"/>
    </row>
    <row r="2427" spans="19:20">
      <c r="S2427" s="223"/>
      <c r="T2427" s="223"/>
    </row>
    <row r="2428" spans="19:20">
      <c r="S2428" s="223"/>
      <c r="T2428" s="223"/>
    </row>
    <row r="2429" spans="19:20">
      <c r="S2429" s="223"/>
      <c r="T2429" s="223"/>
    </row>
    <row r="2430" spans="19:20">
      <c r="S2430" s="223"/>
      <c r="T2430" s="223"/>
    </row>
    <row r="2431" spans="19:20">
      <c r="S2431" s="223"/>
      <c r="T2431" s="223"/>
    </row>
    <row r="2432" spans="19:20">
      <c r="S2432" s="223"/>
      <c r="T2432" s="223"/>
    </row>
    <row r="2433" spans="19:20">
      <c r="S2433" s="223"/>
      <c r="T2433" s="223"/>
    </row>
    <row r="2434" spans="19:20">
      <c r="S2434" s="223"/>
      <c r="T2434" s="223"/>
    </row>
    <row r="2435" spans="19:20">
      <c r="S2435" s="223"/>
      <c r="T2435" s="223"/>
    </row>
    <row r="2436" spans="19:20">
      <c r="S2436" s="223"/>
      <c r="T2436" s="223"/>
    </row>
    <row r="2437" spans="19:20">
      <c r="S2437" s="223"/>
      <c r="T2437" s="223"/>
    </row>
    <row r="2438" spans="19:20">
      <c r="S2438" s="223"/>
      <c r="T2438" s="223"/>
    </row>
    <row r="2439" spans="19:20">
      <c r="S2439" s="223"/>
      <c r="T2439" s="223"/>
    </row>
    <row r="2440" spans="19:20">
      <c r="S2440" s="223"/>
      <c r="T2440" s="223"/>
    </row>
    <row r="2441" spans="19:20">
      <c r="S2441" s="223"/>
      <c r="T2441" s="223"/>
    </row>
    <row r="2442" spans="19:20">
      <c r="S2442" s="223"/>
      <c r="T2442" s="223"/>
    </row>
    <row r="2443" spans="19:20">
      <c r="S2443" s="223"/>
      <c r="T2443" s="223"/>
    </row>
    <row r="2444" spans="19:20">
      <c r="S2444" s="223"/>
      <c r="T2444" s="223"/>
    </row>
    <row r="2445" spans="19:20">
      <c r="S2445" s="223"/>
      <c r="T2445" s="223"/>
    </row>
    <row r="2446" spans="19:20">
      <c r="S2446" s="223"/>
      <c r="T2446" s="223"/>
    </row>
    <row r="2447" spans="19:20">
      <c r="S2447" s="223"/>
      <c r="T2447" s="223"/>
    </row>
    <row r="2448" spans="19:20">
      <c r="S2448" s="223"/>
      <c r="T2448" s="223"/>
    </row>
    <row r="2449" spans="19:20">
      <c r="S2449" s="223"/>
      <c r="T2449" s="223"/>
    </row>
    <row r="2450" spans="19:20">
      <c r="S2450" s="223"/>
      <c r="T2450" s="223"/>
    </row>
    <row r="2451" spans="19:20">
      <c r="S2451" s="223"/>
      <c r="T2451" s="223"/>
    </row>
    <row r="2452" spans="19:20">
      <c r="S2452" s="223"/>
      <c r="T2452" s="223"/>
    </row>
    <row r="2453" spans="19:20">
      <c r="S2453" s="223"/>
      <c r="T2453" s="223"/>
    </row>
    <row r="2454" spans="19:20">
      <c r="S2454" s="223"/>
      <c r="T2454" s="223"/>
    </row>
    <row r="2455" spans="19:20">
      <c r="S2455" s="223"/>
      <c r="T2455" s="223"/>
    </row>
    <row r="2456" spans="19:20">
      <c r="S2456" s="223"/>
      <c r="T2456" s="223"/>
    </row>
    <row r="2457" spans="19:20">
      <c r="S2457" s="223"/>
      <c r="T2457" s="223"/>
    </row>
    <row r="2458" spans="19:20">
      <c r="S2458" s="223"/>
      <c r="T2458" s="223"/>
    </row>
    <row r="2459" spans="19:20">
      <c r="S2459" s="223"/>
      <c r="T2459" s="223"/>
    </row>
    <row r="2460" spans="19:20">
      <c r="S2460" s="223"/>
      <c r="T2460" s="223"/>
    </row>
    <row r="2461" spans="19:20">
      <c r="S2461" s="223"/>
      <c r="T2461" s="223"/>
    </row>
    <row r="2462" spans="19:20">
      <c r="S2462" s="223"/>
      <c r="T2462" s="223"/>
    </row>
    <row r="2463" spans="19:20">
      <c r="S2463" s="223"/>
      <c r="T2463" s="223"/>
    </row>
    <row r="2464" spans="19:20">
      <c r="S2464" s="223"/>
      <c r="T2464" s="223"/>
    </row>
    <row r="2465" spans="19:20">
      <c r="S2465" s="223"/>
      <c r="T2465" s="223"/>
    </row>
    <row r="2466" spans="19:20">
      <c r="S2466" s="223"/>
      <c r="T2466" s="223"/>
    </row>
    <row r="2467" spans="19:20">
      <c r="S2467" s="223"/>
      <c r="T2467" s="223"/>
    </row>
    <row r="2468" spans="19:20">
      <c r="S2468" s="223"/>
      <c r="T2468" s="223"/>
    </row>
    <row r="2469" spans="19:20">
      <c r="S2469" s="223"/>
      <c r="T2469" s="223"/>
    </row>
    <row r="2470" spans="19:20">
      <c r="S2470" s="223"/>
      <c r="T2470" s="223"/>
    </row>
    <row r="2471" spans="19:20">
      <c r="S2471" s="223"/>
      <c r="T2471" s="223"/>
    </row>
    <row r="2472" spans="19:20">
      <c r="S2472" s="223"/>
      <c r="T2472" s="223"/>
    </row>
    <row r="2473" spans="19:20">
      <c r="S2473" s="223"/>
      <c r="T2473" s="223"/>
    </row>
    <row r="2474" spans="19:20">
      <c r="S2474" s="223"/>
      <c r="T2474" s="223"/>
    </row>
    <row r="2475" spans="19:20">
      <c r="S2475" s="223"/>
      <c r="T2475" s="223"/>
    </row>
    <row r="2476" spans="19:20">
      <c r="S2476" s="223"/>
      <c r="T2476" s="223"/>
    </row>
    <row r="2477" spans="19:20">
      <c r="S2477" s="223"/>
      <c r="T2477" s="223"/>
    </row>
    <row r="2478" spans="19:20">
      <c r="S2478" s="223"/>
      <c r="T2478" s="223"/>
    </row>
    <row r="2479" spans="19:20">
      <c r="S2479" s="223"/>
      <c r="T2479" s="223"/>
    </row>
    <row r="2480" spans="19:20">
      <c r="S2480" s="223"/>
      <c r="T2480" s="223"/>
    </row>
    <row r="2481" spans="19:20">
      <c r="S2481" s="223"/>
      <c r="T2481" s="223"/>
    </row>
    <row r="2482" spans="19:20">
      <c r="S2482" s="223"/>
      <c r="T2482" s="223"/>
    </row>
    <row r="2483" spans="19:20">
      <c r="S2483" s="223"/>
      <c r="T2483" s="223"/>
    </row>
    <row r="2484" spans="19:20">
      <c r="S2484" s="223"/>
      <c r="T2484" s="223"/>
    </row>
    <row r="2485" spans="19:20">
      <c r="S2485" s="223"/>
      <c r="T2485" s="223"/>
    </row>
    <row r="2486" spans="19:20">
      <c r="S2486" s="223"/>
      <c r="T2486" s="223"/>
    </row>
    <row r="2487" spans="19:20">
      <c r="S2487" s="223"/>
      <c r="T2487" s="223"/>
    </row>
    <row r="2488" spans="19:20">
      <c r="S2488" s="223"/>
      <c r="T2488" s="223"/>
    </row>
    <row r="2489" spans="19:20">
      <c r="S2489" s="223"/>
      <c r="T2489" s="223"/>
    </row>
    <row r="2490" spans="19:20">
      <c r="S2490" s="223"/>
      <c r="T2490" s="223"/>
    </row>
    <row r="2491" spans="19:20">
      <c r="S2491" s="223"/>
      <c r="T2491" s="223"/>
    </row>
    <row r="2492" spans="19:20">
      <c r="S2492" s="223"/>
      <c r="T2492" s="223"/>
    </row>
    <row r="2493" spans="19:20">
      <c r="S2493" s="223"/>
      <c r="T2493" s="223"/>
    </row>
    <row r="2494" spans="19:20">
      <c r="S2494" s="223"/>
      <c r="T2494" s="223"/>
    </row>
    <row r="2495" spans="19:20">
      <c r="S2495" s="223"/>
      <c r="T2495" s="223"/>
    </row>
    <row r="2496" spans="19:20">
      <c r="S2496" s="223"/>
      <c r="T2496" s="223"/>
    </row>
    <row r="2497" spans="19:20">
      <c r="S2497" s="223"/>
      <c r="T2497" s="223"/>
    </row>
    <row r="2498" spans="19:20">
      <c r="S2498" s="223"/>
      <c r="T2498" s="223"/>
    </row>
    <row r="2499" spans="19:20">
      <c r="S2499" s="223"/>
      <c r="T2499" s="223"/>
    </row>
    <row r="2500" spans="19:20">
      <c r="S2500" s="223"/>
      <c r="T2500" s="223"/>
    </row>
    <row r="2501" spans="19:20">
      <c r="S2501" s="223"/>
      <c r="T2501" s="223"/>
    </row>
    <row r="2502" spans="19:20">
      <c r="S2502" s="223"/>
      <c r="T2502" s="223"/>
    </row>
    <row r="2503" spans="19:20">
      <c r="S2503" s="223"/>
      <c r="T2503" s="223"/>
    </row>
    <row r="2504" spans="19:20">
      <c r="S2504" s="223"/>
      <c r="T2504" s="223"/>
    </row>
    <row r="2505" spans="19:20">
      <c r="S2505" s="223"/>
      <c r="T2505" s="223"/>
    </row>
    <row r="2506" spans="19:20">
      <c r="S2506" s="223"/>
      <c r="T2506" s="223"/>
    </row>
    <row r="2507" spans="19:20">
      <c r="S2507" s="223"/>
      <c r="T2507" s="223"/>
    </row>
    <row r="2508" spans="19:20">
      <c r="S2508" s="223"/>
      <c r="T2508" s="223"/>
    </row>
    <row r="2509" spans="19:20">
      <c r="S2509" s="223"/>
      <c r="T2509" s="223"/>
    </row>
    <row r="2510" spans="19:20">
      <c r="S2510" s="223"/>
      <c r="T2510" s="223"/>
    </row>
    <row r="2511" spans="19:20">
      <c r="S2511" s="223"/>
      <c r="T2511" s="223"/>
    </row>
    <row r="2512" spans="19:20">
      <c r="S2512" s="223"/>
      <c r="T2512" s="223"/>
    </row>
    <row r="2513" spans="19:20">
      <c r="S2513" s="223"/>
      <c r="T2513" s="223"/>
    </row>
    <row r="2514" spans="19:20">
      <c r="S2514" s="223"/>
      <c r="T2514" s="223"/>
    </row>
    <row r="2515" spans="19:20">
      <c r="S2515" s="223"/>
      <c r="T2515" s="223"/>
    </row>
    <row r="2516" spans="19:20">
      <c r="S2516" s="223"/>
      <c r="T2516" s="223"/>
    </row>
    <row r="2517" spans="19:20">
      <c r="S2517" s="223"/>
      <c r="T2517" s="223"/>
    </row>
    <row r="2518" spans="19:20">
      <c r="S2518" s="223"/>
      <c r="T2518" s="223"/>
    </row>
    <row r="2519" spans="19:20">
      <c r="S2519" s="223"/>
      <c r="T2519" s="223"/>
    </row>
    <row r="2520" spans="19:20">
      <c r="S2520" s="223"/>
      <c r="T2520" s="223"/>
    </row>
    <row r="2521" spans="19:20">
      <c r="S2521" s="223"/>
      <c r="T2521" s="223"/>
    </row>
    <row r="2522" spans="19:20">
      <c r="S2522" s="223"/>
      <c r="T2522" s="223"/>
    </row>
    <row r="2523" spans="19:20">
      <c r="S2523" s="223"/>
      <c r="T2523" s="223"/>
    </row>
    <row r="2524" spans="19:20">
      <c r="S2524" s="223"/>
      <c r="T2524" s="223"/>
    </row>
    <row r="2525" spans="19:20">
      <c r="S2525" s="223"/>
      <c r="T2525" s="223"/>
    </row>
    <row r="2526" spans="19:20">
      <c r="S2526" s="223"/>
      <c r="T2526" s="223"/>
    </row>
    <row r="2527" spans="19:20">
      <c r="S2527" s="223"/>
      <c r="T2527" s="223"/>
    </row>
    <row r="2528" spans="19:20">
      <c r="S2528" s="223"/>
      <c r="T2528" s="223"/>
    </row>
    <row r="2529" spans="19:20">
      <c r="S2529" s="223"/>
      <c r="T2529" s="223"/>
    </row>
    <row r="2530" spans="19:20">
      <c r="S2530" s="223"/>
      <c r="T2530" s="223"/>
    </row>
    <row r="2531" spans="19:20">
      <c r="S2531" s="223"/>
      <c r="T2531" s="223"/>
    </row>
    <row r="2532" spans="19:20">
      <c r="S2532" s="223"/>
      <c r="T2532" s="223"/>
    </row>
    <row r="2533" spans="19:20">
      <c r="S2533" s="223"/>
      <c r="T2533" s="223"/>
    </row>
    <row r="2534" spans="19:20">
      <c r="S2534" s="223"/>
      <c r="T2534" s="223"/>
    </row>
    <row r="2535" spans="19:20">
      <c r="S2535" s="223"/>
      <c r="T2535" s="223"/>
    </row>
    <row r="2536" spans="19:20">
      <c r="S2536" s="223"/>
      <c r="T2536" s="223"/>
    </row>
    <row r="2537" spans="19:20">
      <c r="S2537" s="223"/>
      <c r="T2537" s="223"/>
    </row>
    <row r="2538" spans="19:20">
      <c r="S2538" s="223"/>
      <c r="T2538" s="223"/>
    </row>
    <row r="2539" spans="19:20">
      <c r="S2539" s="223"/>
      <c r="T2539" s="223"/>
    </row>
    <row r="2540" spans="19:20">
      <c r="S2540" s="223"/>
      <c r="T2540" s="223"/>
    </row>
    <row r="2541" spans="19:20">
      <c r="S2541" s="223"/>
      <c r="T2541" s="223"/>
    </row>
    <row r="2542" spans="19:20">
      <c r="S2542" s="223"/>
      <c r="T2542" s="223"/>
    </row>
    <row r="2543" spans="19:20">
      <c r="S2543" s="223"/>
      <c r="T2543" s="223"/>
    </row>
    <row r="2544" spans="19:20">
      <c r="S2544" s="223"/>
      <c r="T2544" s="223"/>
    </row>
    <row r="2545" spans="19:20">
      <c r="S2545" s="223"/>
      <c r="T2545" s="223"/>
    </row>
    <row r="2546" spans="19:20">
      <c r="S2546" s="223"/>
      <c r="T2546" s="223"/>
    </row>
    <row r="2547" spans="19:20">
      <c r="S2547" s="223"/>
      <c r="T2547" s="223"/>
    </row>
    <row r="2548" spans="19:20">
      <c r="S2548" s="223"/>
      <c r="T2548" s="223"/>
    </row>
    <row r="2549" spans="19:20">
      <c r="S2549" s="223"/>
      <c r="T2549" s="223"/>
    </row>
    <row r="2550" spans="19:20">
      <c r="S2550" s="223"/>
      <c r="T2550" s="223"/>
    </row>
    <row r="2551" spans="19:20">
      <c r="S2551" s="223"/>
      <c r="T2551" s="223"/>
    </row>
    <row r="2552" spans="19:20">
      <c r="S2552" s="223"/>
      <c r="T2552" s="223"/>
    </row>
    <row r="2553" spans="19:20">
      <c r="S2553" s="223"/>
      <c r="T2553" s="223"/>
    </row>
    <row r="2554" spans="19:20">
      <c r="S2554" s="223"/>
      <c r="T2554" s="223"/>
    </row>
    <row r="2555" spans="19:20">
      <c r="S2555" s="223"/>
      <c r="T2555" s="223"/>
    </row>
    <row r="2556" spans="19:20">
      <c r="S2556" s="223"/>
      <c r="T2556" s="223"/>
    </row>
    <row r="2557" spans="19:20">
      <c r="S2557" s="223"/>
      <c r="T2557" s="223"/>
    </row>
    <row r="2558" spans="19:20">
      <c r="S2558" s="223"/>
      <c r="T2558" s="223"/>
    </row>
    <row r="2559" spans="19:20">
      <c r="S2559" s="223"/>
      <c r="T2559" s="223"/>
    </row>
    <row r="2560" spans="19:20">
      <c r="S2560" s="223"/>
      <c r="T2560" s="223"/>
    </row>
    <row r="2561" spans="19:20">
      <c r="S2561" s="223"/>
      <c r="T2561" s="223"/>
    </row>
    <row r="2562" spans="19:20">
      <c r="S2562" s="223"/>
      <c r="T2562" s="223"/>
    </row>
    <row r="2563" spans="19:20">
      <c r="S2563" s="223"/>
      <c r="T2563" s="223"/>
    </row>
    <row r="2564" spans="19:20">
      <c r="S2564" s="223"/>
      <c r="T2564" s="223"/>
    </row>
    <row r="2565" spans="19:20">
      <c r="S2565" s="223"/>
      <c r="T2565" s="223"/>
    </row>
    <row r="2566" spans="19:20">
      <c r="S2566" s="223"/>
      <c r="T2566" s="223"/>
    </row>
    <row r="2567" spans="19:20">
      <c r="S2567" s="223"/>
      <c r="T2567" s="223"/>
    </row>
    <row r="2568" spans="19:20">
      <c r="S2568" s="223"/>
      <c r="T2568" s="223"/>
    </row>
    <row r="2569" spans="19:20">
      <c r="S2569" s="223"/>
      <c r="T2569" s="223"/>
    </row>
    <row r="2570" spans="19:20">
      <c r="S2570" s="223"/>
      <c r="T2570" s="223"/>
    </row>
    <row r="2571" spans="19:20">
      <c r="S2571" s="223"/>
      <c r="T2571" s="223"/>
    </row>
    <row r="2572" spans="19:20">
      <c r="S2572" s="223"/>
      <c r="T2572" s="223"/>
    </row>
    <row r="2573" spans="19:20">
      <c r="S2573" s="223"/>
      <c r="T2573" s="223"/>
    </row>
    <row r="2574" spans="19:20">
      <c r="S2574" s="223"/>
      <c r="T2574" s="223"/>
    </row>
    <row r="2575" spans="19:20">
      <c r="S2575" s="223"/>
      <c r="T2575" s="223"/>
    </row>
    <row r="2576" spans="19:20">
      <c r="S2576" s="223"/>
      <c r="T2576" s="223"/>
    </row>
    <row r="2577" spans="19:20">
      <c r="S2577" s="223"/>
      <c r="T2577" s="223"/>
    </row>
    <row r="2578" spans="19:20">
      <c r="S2578" s="223"/>
      <c r="T2578" s="223"/>
    </row>
    <row r="2579" spans="19:20">
      <c r="S2579" s="223"/>
      <c r="T2579" s="223"/>
    </row>
    <row r="2580" spans="19:20">
      <c r="S2580" s="223"/>
      <c r="T2580" s="223"/>
    </row>
    <row r="2581" spans="19:20">
      <c r="S2581" s="223"/>
      <c r="T2581" s="223"/>
    </row>
    <row r="2582" spans="19:20">
      <c r="S2582" s="223"/>
      <c r="T2582" s="223"/>
    </row>
    <row r="2583" spans="19:20">
      <c r="S2583" s="223"/>
      <c r="T2583" s="223"/>
    </row>
    <row r="2584" spans="19:20">
      <c r="S2584" s="223"/>
      <c r="T2584" s="223"/>
    </row>
    <row r="2585" spans="19:20">
      <c r="S2585" s="223"/>
      <c r="T2585" s="223"/>
    </row>
    <row r="2586" spans="19:20">
      <c r="S2586" s="223"/>
      <c r="T2586" s="223"/>
    </row>
    <row r="2587" spans="19:20">
      <c r="S2587" s="223"/>
      <c r="T2587" s="223"/>
    </row>
    <row r="2588" spans="19:20">
      <c r="S2588" s="223"/>
      <c r="T2588" s="223"/>
    </row>
    <row r="2589" spans="19:20">
      <c r="S2589" s="223"/>
      <c r="T2589" s="223"/>
    </row>
    <row r="2590" spans="19:20">
      <c r="S2590" s="223"/>
      <c r="T2590" s="223"/>
    </row>
    <row r="2591" spans="19:20">
      <c r="S2591" s="223"/>
      <c r="T2591" s="223"/>
    </row>
    <row r="2592" spans="19:20">
      <c r="S2592" s="223"/>
      <c r="T2592" s="223"/>
    </row>
    <row r="2593" spans="19:20">
      <c r="S2593" s="223"/>
      <c r="T2593" s="223"/>
    </row>
    <row r="2594" spans="19:20">
      <c r="S2594" s="223"/>
      <c r="T2594" s="223"/>
    </row>
    <row r="2595" spans="19:20">
      <c r="S2595" s="223"/>
      <c r="T2595" s="223"/>
    </row>
    <row r="2596" spans="19:20">
      <c r="S2596" s="223"/>
      <c r="T2596" s="223"/>
    </row>
    <row r="2597" spans="19:20">
      <c r="S2597" s="223"/>
      <c r="T2597" s="223"/>
    </row>
    <row r="2598" spans="19:20">
      <c r="S2598" s="223"/>
      <c r="T2598" s="223"/>
    </row>
    <row r="2599" spans="19:20">
      <c r="S2599" s="223"/>
      <c r="T2599" s="223"/>
    </row>
    <row r="2600" spans="19:20">
      <c r="S2600" s="223"/>
      <c r="T2600" s="223"/>
    </row>
    <row r="2601" spans="19:20">
      <c r="S2601" s="223"/>
      <c r="T2601" s="223"/>
    </row>
    <row r="2602" spans="19:20">
      <c r="S2602" s="223"/>
      <c r="T2602" s="223"/>
    </row>
    <row r="2603" spans="19:20">
      <c r="S2603" s="223"/>
      <c r="T2603" s="223"/>
    </row>
    <row r="2604" spans="19:20">
      <c r="S2604" s="223"/>
      <c r="T2604" s="223"/>
    </row>
    <row r="2605" spans="19:20">
      <c r="S2605" s="223"/>
      <c r="T2605" s="223"/>
    </row>
    <row r="2606" spans="19:20">
      <c r="S2606" s="223"/>
      <c r="T2606" s="223"/>
    </row>
    <row r="2607" spans="19:20">
      <c r="S2607" s="223"/>
      <c r="T2607" s="223"/>
    </row>
    <row r="2608" spans="19:20">
      <c r="S2608" s="223"/>
      <c r="T2608" s="223"/>
    </row>
    <row r="2609" spans="19:20">
      <c r="S2609" s="223"/>
      <c r="T2609" s="223"/>
    </row>
    <row r="2610" spans="19:20">
      <c r="S2610" s="223"/>
      <c r="T2610" s="223"/>
    </row>
    <row r="2611" spans="19:20">
      <c r="S2611" s="223"/>
      <c r="T2611" s="223"/>
    </row>
    <row r="2612" spans="19:20">
      <c r="S2612" s="223"/>
      <c r="T2612" s="223"/>
    </row>
    <row r="2613" spans="19:20">
      <c r="S2613" s="223"/>
      <c r="T2613" s="223"/>
    </row>
    <row r="2614" spans="19:20">
      <c r="S2614" s="223"/>
      <c r="T2614" s="223"/>
    </row>
    <row r="2615" spans="19:20">
      <c r="S2615" s="223"/>
      <c r="T2615" s="223"/>
    </row>
    <row r="2616" spans="19:20">
      <c r="S2616" s="223"/>
      <c r="T2616" s="223"/>
    </row>
    <row r="2617" spans="19:20">
      <c r="S2617" s="223"/>
      <c r="T2617" s="223"/>
    </row>
    <row r="2618" spans="19:20">
      <c r="S2618" s="223"/>
      <c r="T2618" s="223"/>
    </row>
    <row r="2619" spans="19:20">
      <c r="S2619" s="223"/>
      <c r="T2619" s="223"/>
    </row>
    <row r="2620" spans="19:20">
      <c r="S2620" s="223"/>
      <c r="T2620" s="223"/>
    </row>
    <row r="2621" spans="19:20">
      <c r="S2621" s="223"/>
      <c r="T2621" s="223"/>
    </row>
    <row r="2622" spans="19:20">
      <c r="S2622" s="223"/>
      <c r="T2622" s="223"/>
    </row>
    <row r="2623" spans="19:20">
      <c r="S2623" s="223"/>
      <c r="T2623" s="223"/>
    </row>
    <row r="2624" spans="19:20">
      <c r="S2624" s="223"/>
      <c r="T2624" s="223"/>
    </row>
    <row r="2625" spans="19:20">
      <c r="S2625" s="223"/>
      <c r="T2625" s="223"/>
    </row>
    <row r="2626" spans="19:20">
      <c r="S2626" s="223"/>
      <c r="T2626" s="223"/>
    </row>
    <row r="2627" spans="19:20">
      <c r="S2627" s="223"/>
      <c r="T2627" s="223"/>
    </row>
    <row r="2628" spans="19:20">
      <c r="S2628" s="223"/>
      <c r="T2628" s="223"/>
    </row>
    <row r="2629" spans="19:20">
      <c r="S2629" s="223"/>
      <c r="T2629" s="223"/>
    </row>
    <row r="2630" spans="19:20">
      <c r="S2630" s="223"/>
      <c r="T2630" s="223"/>
    </row>
    <row r="2631" spans="19:20">
      <c r="S2631" s="223"/>
      <c r="T2631" s="223"/>
    </row>
    <row r="2632" spans="19:20">
      <c r="S2632" s="223"/>
      <c r="T2632" s="223"/>
    </row>
    <row r="2633" spans="19:20">
      <c r="S2633" s="223"/>
      <c r="T2633" s="223"/>
    </row>
    <row r="2634" spans="19:20">
      <c r="S2634" s="223"/>
      <c r="T2634" s="223"/>
    </row>
    <row r="2635" spans="19:20">
      <c r="S2635" s="223"/>
      <c r="T2635" s="223"/>
    </row>
    <row r="2636" spans="19:20">
      <c r="S2636" s="223"/>
      <c r="T2636" s="223"/>
    </row>
    <row r="2637" spans="19:20">
      <c r="S2637" s="223"/>
      <c r="T2637" s="223"/>
    </row>
    <row r="2638" spans="19:20">
      <c r="S2638" s="223"/>
      <c r="T2638" s="223"/>
    </row>
    <row r="2639" spans="19:20">
      <c r="S2639" s="223"/>
      <c r="T2639" s="223"/>
    </row>
    <row r="2640" spans="19:20">
      <c r="S2640" s="223"/>
      <c r="T2640" s="223"/>
    </row>
    <row r="2641" spans="19:20">
      <c r="S2641" s="223"/>
      <c r="T2641" s="223"/>
    </row>
    <row r="2642" spans="19:20">
      <c r="S2642" s="223"/>
      <c r="T2642" s="223"/>
    </row>
    <row r="2643" spans="19:20">
      <c r="S2643" s="223"/>
      <c r="T2643" s="223"/>
    </row>
    <row r="2644" spans="19:20">
      <c r="S2644" s="223"/>
      <c r="T2644" s="223"/>
    </row>
    <row r="2645" spans="19:20">
      <c r="S2645" s="223"/>
      <c r="T2645" s="223"/>
    </row>
    <row r="2646" spans="19:20">
      <c r="S2646" s="223"/>
      <c r="T2646" s="223"/>
    </row>
    <row r="2647" spans="19:20">
      <c r="S2647" s="223"/>
      <c r="T2647" s="223"/>
    </row>
    <row r="2648" spans="19:20">
      <c r="S2648" s="223"/>
      <c r="T2648" s="223"/>
    </row>
    <row r="2649" spans="19:20">
      <c r="S2649" s="223"/>
      <c r="T2649" s="223"/>
    </row>
    <row r="2650" spans="19:20">
      <c r="S2650" s="223"/>
      <c r="T2650" s="223"/>
    </row>
    <row r="2651" spans="19:20">
      <c r="S2651" s="223"/>
      <c r="T2651" s="223"/>
    </row>
    <row r="2652" spans="19:20">
      <c r="S2652" s="223"/>
      <c r="T2652" s="223"/>
    </row>
    <row r="2653" spans="19:20">
      <c r="S2653" s="223"/>
      <c r="T2653" s="223"/>
    </row>
    <row r="2654" spans="19:20">
      <c r="S2654" s="223"/>
      <c r="T2654" s="223"/>
    </row>
    <row r="2655" spans="19:20">
      <c r="S2655" s="223"/>
      <c r="T2655" s="223"/>
    </row>
    <row r="2656" spans="19:20">
      <c r="S2656" s="223"/>
      <c r="T2656" s="223"/>
    </row>
    <row r="2657" spans="19:20">
      <c r="S2657" s="223"/>
      <c r="T2657" s="223"/>
    </row>
    <row r="2658" spans="19:20">
      <c r="S2658" s="223"/>
      <c r="T2658" s="223"/>
    </row>
    <row r="2659" spans="19:20">
      <c r="S2659" s="223"/>
      <c r="T2659" s="223"/>
    </row>
    <row r="2660" spans="19:20">
      <c r="S2660" s="223"/>
      <c r="T2660" s="223"/>
    </row>
    <row r="2661" spans="19:20">
      <c r="S2661" s="223"/>
      <c r="T2661" s="223"/>
    </row>
    <row r="2662" spans="19:20">
      <c r="S2662" s="223"/>
      <c r="T2662" s="223"/>
    </row>
    <row r="2663" spans="19:20">
      <c r="S2663" s="223"/>
      <c r="T2663" s="223"/>
    </row>
    <row r="2664" spans="19:20">
      <c r="S2664" s="223"/>
      <c r="T2664" s="223"/>
    </row>
    <row r="2665" spans="19:20">
      <c r="S2665" s="223"/>
      <c r="T2665" s="223"/>
    </row>
    <row r="2666" spans="19:20">
      <c r="S2666" s="223"/>
      <c r="T2666" s="223"/>
    </row>
    <row r="2667" spans="19:20">
      <c r="S2667" s="223"/>
      <c r="T2667" s="223"/>
    </row>
    <row r="2668" spans="19:20">
      <c r="S2668" s="223"/>
      <c r="T2668" s="223"/>
    </row>
    <row r="2669" spans="19:20">
      <c r="S2669" s="223"/>
      <c r="T2669" s="223"/>
    </row>
    <row r="2670" spans="19:20">
      <c r="S2670" s="223"/>
      <c r="T2670" s="223"/>
    </row>
    <row r="2671" spans="19:20">
      <c r="S2671" s="223"/>
      <c r="T2671" s="223"/>
    </row>
    <row r="2672" spans="19:20">
      <c r="S2672" s="223"/>
      <c r="T2672" s="223"/>
    </row>
    <row r="2673" spans="19:20">
      <c r="S2673" s="223"/>
      <c r="T2673" s="223"/>
    </row>
    <row r="2674" spans="19:20">
      <c r="S2674" s="223"/>
      <c r="T2674" s="223"/>
    </row>
    <row r="2675" spans="19:20">
      <c r="S2675" s="223"/>
      <c r="T2675" s="223"/>
    </row>
    <row r="2676" spans="19:20">
      <c r="S2676" s="223"/>
      <c r="T2676" s="223"/>
    </row>
    <row r="2677" spans="19:20">
      <c r="S2677" s="223"/>
      <c r="T2677" s="223"/>
    </row>
    <row r="2678" spans="19:20">
      <c r="S2678" s="223"/>
      <c r="T2678" s="223"/>
    </row>
    <row r="2679" spans="19:20">
      <c r="S2679" s="223"/>
      <c r="T2679" s="223"/>
    </row>
    <row r="2680" spans="19:20">
      <c r="S2680" s="223"/>
      <c r="T2680" s="223"/>
    </row>
    <row r="2681" spans="19:20">
      <c r="S2681" s="223"/>
      <c r="T2681" s="223"/>
    </row>
    <row r="2682" spans="19:20">
      <c r="S2682" s="223"/>
      <c r="T2682" s="223"/>
    </row>
    <row r="2683" spans="19:20">
      <c r="S2683" s="223"/>
      <c r="T2683" s="223"/>
    </row>
    <row r="2684" spans="19:20">
      <c r="S2684" s="223"/>
      <c r="T2684" s="223"/>
    </row>
    <row r="2685" spans="19:20">
      <c r="S2685" s="223"/>
      <c r="T2685" s="223"/>
    </row>
    <row r="2686" spans="19:20">
      <c r="S2686" s="223"/>
      <c r="T2686" s="223"/>
    </row>
    <row r="2687" spans="19:20">
      <c r="S2687" s="223"/>
      <c r="T2687" s="223"/>
    </row>
    <row r="2688" spans="19:20">
      <c r="S2688" s="223"/>
      <c r="T2688" s="223"/>
    </row>
    <row r="2689" spans="19:20">
      <c r="S2689" s="223"/>
      <c r="T2689" s="223"/>
    </row>
    <row r="2690" spans="19:20">
      <c r="S2690" s="223"/>
      <c r="T2690" s="223"/>
    </row>
    <row r="2691" spans="19:20">
      <c r="S2691" s="223"/>
      <c r="T2691" s="223"/>
    </row>
    <row r="2692" spans="19:20">
      <c r="S2692" s="223"/>
      <c r="T2692" s="223"/>
    </row>
    <row r="2693" spans="19:20">
      <c r="S2693" s="223"/>
      <c r="T2693" s="223"/>
    </row>
    <row r="2694" spans="19:20">
      <c r="S2694" s="223"/>
      <c r="T2694" s="223"/>
    </row>
    <row r="2695" spans="19:20">
      <c r="S2695" s="223"/>
      <c r="T2695" s="223"/>
    </row>
    <row r="2696" spans="19:20">
      <c r="S2696" s="223"/>
      <c r="T2696" s="223"/>
    </row>
    <row r="2697" spans="19:20">
      <c r="S2697" s="223"/>
      <c r="T2697" s="223"/>
    </row>
    <row r="2698" spans="19:20">
      <c r="S2698" s="223"/>
      <c r="T2698" s="223"/>
    </row>
    <row r="2699" spans="19:20">
      <c r="S2699" s="223"/>
      <c r="T2699" s="223"/>
    </row>
    <row r="2700" spans="19:20">
      <c r="S2700" s="223"/>
      <c r="T2700" s="223"/>
    </row>
    <row r="2701" spans="19:20">
      <c r="S2701" s="223"/>
      <c r="T2701" s="223"/>
    </row>
    <row r="2702" spans="19:20">
      <c r="S2702" s="223"/>
      <c r="T2702" s="223"/>
    </row>
    <row r="2703" spans="19:20">
      <c r="S2703" s="223"/>
      <c r="T2703" s="223"/>
    </row>
    <row r="2704" spans="19:20">
      <c r="S2704" s="223"/>
      <c r="T2704" s="223"/>
    </row>
    <row r="2705" spans="19:20">
      <c r="S2705" s="223"/>
      <c r="T2705" s="223"/>
    </row>
    <row r="2706" spans="19:20">
      <c r="S2706" s="223"/>
      <c r="T2706" s="223"/>
    </row>
    <row r="2707" spans="19:20">
      <c r="S2707" s="223"/>
      <c r="T2707" s="223"/>
    </row>
    <row r="2708" spans="19:20">
      <c r="S2708" s="223"/>
      <c r="T2708" s="223"/>
    </row>
    <row r="2709" spans="19:20">
      <c r="S2709" s="223"/>
      <c r="T2709" s="223"/>
    </row>
    <row r="2710" spans="19:20">
      <c r="S2710" s="223"/>
      <c r="T2710" s="223"/>
    </row>
    <row r="2711" spans="19:20">
      <c r="S2711" s="223"/>
      <c r="T2711" s="223"/>
    </row>
    <row r="2712" spans="19:20">
      <c r="S2712" s="223"/>
      <c r="T2712" s="223"/>
    </row>
    <row r="2713" spans="19:20">
      <c r="S2713" s="223"/>
      <c r="T2713" s="223"/>
    </row>
    <row r="2714" spans="19:20">
      <c r="S2714" s="223"/>
      <c r="T2714" s="223"/>
    </row>
    <row r="2715" spans="19:20">
      <c r="S2715" s="223"/>
      <c r="T2715" s="223"/>
    </row>
    <row r="2716" spans="19:20">
      <c r="S2716" s="223"/>
      <c r="T2716" s="223"/>
    </row>
    <row r="2717" spans="19:20">
      <c r="S2717" s="223"/>
      <c r="T2717" s="223"/>
    </row>
    <row r="2718" spans="19:20">
      <c r="S2718" s="223"/>
      <c r="T2718" s="223"/>
    </row>
    <row r="2719" spans="19:20">
      <c r="S2719" s="223"/>
      <c r="T2719" s="223"/>
    </row>
    <row r="2720" spans="19:20">
      <c r="S2720" s="223"/>
      <c r="T2720" s="223"/>
    </row>
    <row r="2721" spans="19:20">
      <c r="S2721" s="223"/>
      <c r="T2721" s="223"/>
    </row>
    <row r="2722" spans="19:20">
      <c r="S2722" s="223"/>
      <c r="T2722" s="223"/>
    </row>
    <row r="2723" spans="19:20">
      <c r="S2723" s="223"/>
      <c r="T2723" s="223"/>
    </row>
    <row r="2724" spans="19:20">
      <c r="S2724" s="223"/>
      <c r="T2724" s="223"/>
    </row>
    <row r="2725" spans="19:20">
      <c r="S2725" s="223"/>
      <c r="T2725" s="223"/>
    </row>
    <row r="2726" spans="19:20">
      <c r="S2726" s="223"/>
      <c r="T2726" s="223"/>
    </row>
    <row r="2727" spans="19:20">
      <c r="S2727" s="223"/>
      <c r="T2727" s="223"/>
    </row>
    <row r="2728" spans="19:20">
      <c r="S2728" s="223"/>
      <c r="T2728" s="223"/>
    </row>
    <row r="2729" spans="19:20">
      <c r="S2729" s="223"/>
      <c r="T2729" s="223"/>
    </row>
    <row r="2730" spans="19:20">
      <c r="S2730" s="223"/>
      <c r="T2730" s="223"/>
    </row>
    <row r="2731" spans="19:20">
      <c r="S2731" s="223"/>
      <c r="T2731" s="223"/>
    </row>
    <row r="2732" spans="19:20">
      <c r="S2732" s="223"/>
      <c r="T2732" s="223"/>
    </row>
    <row r="2733" spans="19:20">
      <c r="S2733" s="223"/>
      <c r="T2733" s="223"/>
    </row>
    <row r="2734" spans="19:20">
      <c r="S2734" s="223"/>
      <c r="T2734" s="223"/>
    </row>
    <row r="2735" spans="19:20">
      <c r="S2735" s="223"/>
      <c r="T2735" s="223"/>
    </row>
    <row r="2736" spans="19:20">
      <c r="S2736" s="223"/>
      <c r="T2736" s="223"/>
    </row>
    <row r="2737" spans="19:20">
      <c r="S2737" s="223"/>
      <c r="T2737" s="223"/>
    </row>
    <row r="2738" spans="19:20">
      <c r="S2738" s="223"/>
      <c r="T2738" s="223"/>
    </row>
    <row r="2739" spans="19:20">
      <c r="S2739" s="223"/>
      <c r="T2739" s="223"/>
    </row>
    <row r="2740" spans="19:20">
      <c r="S2740" s="223"/>
      <c r="T2740" s="223"/>
    </row>
    <row r="2741" spans="19:20">
      <c r="S2741" s="223"/>
      <c r="T2741" s="223"/>
    </row>
    <row r="2742" spans="19:20">
      <c r="S2742" s="223"/>
      <c r="T2742" s="223"/>
    </row>
    <row r="2743" spans="19:20">
      <c r="S2743" s="223"/>
      <c r="T2743" s="223"/>
    </row>
    <row r="2744" spans="19:20">
      <c r="S2744" s="223"/>
      <c r="T2744" s="223"/>
    </row>
    <row r="2745" spans="19:20">
      <c r="S2745" s="223"/>
      <c r="T2745" s="223"/>
    </row>
    <row r="2746" spans="19:20">
      <c r="S2746" s="223"/>
      <c r="T2746" s="223"/>
    </row>
    <row r="2747" spans="19:20">
      <c r="S2747" s="223"/>
      <c r="T2747" s="223"/>
    </row>
    <row r="2748" spans="19:20">
      <c r="S2748" s="223"/>
      <c r="T2748" s="223"/>
    </row>
    <row r="2749" spans="19:20">
      <c r="S2749" s="223"/>
      <c r="T2749" s="223"/>
    </row>
    <row r="2750" spans="19:20">
      <c r="S2750" s="223"/>
      <c r="T2750" s="223"/>
    </row>
    <row r="2751" spans="19:20">
      <c r="S2751" s="223"/>
      <c r="T2751" s="223"/>
    </row>
    <row r="2752" spans="19:20">
      <c r="S2752" s="223"/>
      <c r="T2752" s="223"/>
    </row>
    <row r="2753" spans="19:20">
      <c r="S2753" s="223"/>
      <c r="T2753" s="223"/>
    </row>
    <row r="2754" spans="19:20">
      <c r="S2754" s="223"/>
      <c r="T2754" s="223"/>
    </row>
    <row r="2755" spans="19:20">
      <c r="S2755" s="223"/>
      <c r="T2755" s="223"/>
    </row>
    <row r="2756" spans="19:20">
      <c r="S2756" s="223"/>
      <c r="T2756" s="223"/>
    </row>
    <row r="2757" spans="19:20">
      <c r="S2757" s="223"/>
      <c r="T2757" s="223"/>
    </row>
    <row r="2758" spans="19:20">
      <c r="S2758" s="223"/>
      <c r="T2758" s="223"/>
    </row>
    <row r="2759" spans="19:20">
      <c r="S2759" s="223"/>
      <c r="T2759" s="223"/>
    </row>
    <row r="2760" spans="19:20">
      <c r="S2760" s="223"/>
      <c r="T2760" s="223"/>
    </row>
    <row r="2761" spans="19:20">
      <c r="S2761" s="223"/>
      <c r="T2761" s="223"/>
    </row>
    <row r="2762" spans="19:20">
      <c r="S2762" s="223"/>
      <c r="T2762" s="223"/>
    </row>
    <row r="2763" spans="19:20">
      <c r="S2763" s="223"/>
      <c r="T2763" s="223"/>
    </row>
    <row r="2764" spans="19:20">
      <c r="S2764" s="223"/>
      <c r="T2764" s="223"/>
    </row>
    <row r="2765" spans="19:20">
      <c r="S2765" s="223"/>
      <c r="T2765" s="223"/>
    </row>
    <row r="2766" spans="19:20">
      <c r="S2766" s="223"/>
      <c r="T2766" s="223"/>
    </row>
    <row r="2767" spans="19:20">
      <c r="S2767" s="223"/>
      <c r="T2767" s="223"/>
    </row>
    <row r="2768" spans="19:20">
      <c r="S2768" s="223"/>
      <c r="T2768" s="223"/>
    </row>
    <row r="2769" spans="19:20">
      <c r="S2769" s="223"/>
      <c r="T2769" s="223"/>
    </row>
    <row r="2770" spans="19:20">
      <c r="S2770" s="223"/>
      <c r="T2770" s="223"/>
    </row>
    <row r="2771" spans="19:20">
      <c r="S2771" s="223"/>
      <c r="T2771" s="223"/>
    </row>
    <row r="2772" spans="19:20">
      <c r="S2772" s="223"/>
      <c r="T2772" s="223"/>
    </row>
    <row r="2773" spans="19:20">
      <c r="S2773" s="223"/>
      <c r="T2773" s="223"/>
    </row>
    <row r="2774" spans="19:20">
      <c r="S2774" s="223"/>
      <c r="T2774" s="223"/>
    </row>
    <row r="2775" spans="19:20">
      <c r="S2775" s="223"/>
      <c r="T2775" s="223"/>
    </row>
    <row r="2776" spans="19:20">
      <c r="S2776" s="223"/>
      <c r="T2776" s="223"/>
    </row>
    <row r="2777" spans="19:20">
      <c r="S2777" s="223"/>
      <c r="T2777" s="223"/>
    </row>
    <row r="2778" spans="19:20">
      <c r="S2778" s="223"/>
      <c r="T2778" s="223"/>
    </row>
    <row r="2779" spans="19:20">
      <c r="S2779" s="223"/>
      <c r="T2779" s="223"/>
    </row>
    <row r="2780" spans="19:20">
      <c r="S2780" s="223"/>
      <c r="T2780" s="223"/>
    </row>
    <row r="2781" spans="19:20">
      <c r="S2781" s="223"/>
      <c r="T2781" s="223"/>
    </row>
    <row r="2782" spans="19:20">
      <c r="S2782" s="223"/>
      <c r="T2782" s="223"/>
    </row>
    <row r="2783" spans="19:20">
      <c r="S2783" s="223"/>
      <c r="T2783" s="223"/>
    </row>
    <row r="2784" spans="19:20">
      <c r="S2784" s="223"/>
      <c r="T2784" s="223"/>
    </row>
    <row r="2785" spans="19:20">
      <c r="S2785" s="223"/>
      <c r="T2785" s="223"/>
    </row>
    <row r="2786" spans="19:20">
      <c r="S2786" s="223"/>
      <c r="T2786" s="223"/>
    </row>
    <row r="2787" spans="19:20">
      <c r="S2787" s="223"/>
      <c r="T2787" s="223"/>
    </row>
    <row r="2788" spans="19:20">
      <c r="S2788" s="223"/>
      <c r="T2788" s="223"/>
    </row>
    <row r="2789" spans="19:20">
      <c r="S2789" s="223"/>
      <c r="T2789" s="223"/>
    </row>
    <row r="2790" spans="19:20">
      <c r="S2790" s="223"/>
      <c r="T2790" s="223"/>
    </row>
    <row r="2791" spans="19:20">
      <c r="S2791" s="223"/>
      <c r="T2791" s="223"/>
    </row>
    <row r="2792" spans="19:20">
      <c r="S2792" s="223"/>
      <c r="T2792" s="223"/>
    </row>
    <row r="2793" spans="19:20">
      <c r="S2793" s="223"/>
      <c r="T2793" s="223"/>
    </row>
    <row r="2794" spans="19:20">
      <c r="S2794" s="223"/>
      <c r="T2794" s="223"/>
    </row>
    <row r="2795" spans="19:20">
      <c r="S2795" s="223"/>
      <c r="T2795" s="223"/>
    </row>
    <row r="2796" spans="19:20">
      <c r="S2796" s="223"/>
      <c r="T2796" s="223"/>
    </row>
    <row r="2797" spans="19:20">
      <c r="S2797" s="223"/>
      <c r="T2797" s="223"/>
    </row>
    <row r="2798" spans="19:20">
      <c r="S2798" s="223"/>
      <c r="T2798" s="223"/>
    </row>
    <row r="2799" spans="19:20">
      <c r="S2799" s="223"/>
      <c r="T2799" s="223"/>
    </row>
    <row r="2800" spans="19:20">
      <c r="S2800" s="223"/>
      <c r="T2800" s="223"/>
    </row>
    <row r="2801" spans="19:20">
      <c r="S2801" s="223"/>
      <c r="T2801" s="223"/>
    </row>
    <row r="2802" spans="19:20">
      <c r="S2802" s="223"/>
      <c r="T2802" s="223"/>
    </row>
    <row r="2803" spans="19:20">
      <c r="S2803" s="223"/>
      <c r="T2803" s="223"/>
    </row>
    <row r="2804" spans="19:20">
      <c r="S2804" s="223"/>
      <c r="T2804" s="223"/>
    </row>
    <row r="2805" spans="19:20">
      <c r="S2805" s="223"/>
      <c r="T2805" s="223"/>
    </row>
    <row r="2806" spans="19:20">
      <c r="S2806" s="223"/>
      <c r="T2806" s="223"/>
    </row>
    <row r="2807" spans="19:20">
      <c r="S2807" s="223"/>
      <c r="T2807" s="223"/>
    </row>
    <row r="2808" spans="19:20">
      <c r="S2808" s="223"/>
      <c r="T2808" s="223"/>
    </row>
    <row r="2809" spans="19:20">
      <c r="S2809" s="223"/>
      <c r="T2809" s="223"/>
    </row>
    <row r="2810" spans="19:20">
      <c r="S2810" s="223"/>
      <c r="T2810" s="223"/>
    </row>
    <row r="2811" spans="19:20">
      <c r="S2811" s="223"/>
      <c r="T2811" s="223"/>
    </row>
    <row r="2812" spans="19:20">
      <c r="S2812" s="223"/>
      <c r="T2812" s="223"/>
    </row>
    <row r="2813" spans="19:20">
      <c r="S2813" s="223"/>
      <c r="T2813" s="223"/>
    </row>
    <row r="2814" spans="19:20">
      <c r="S2814" s="223"/>
      <c r="T2814" s="223"/>
    </row>
    <row r="2815" spans="19:20">
      <c r="S2815" s="223"/>
      <c r="T2815" s="223"/>
    </row>
    <row r="2816" spans="19:20">
      <c r="S2816" s="223"/>
      <c r="T2816" s="223"/>
    </row>
    <row r="2817" spans="19:20">
      <c r="S2817" s="223"/>
      <c r="T2817" s="223"/>
    </row>
    <row r="2818" spans="19:20">
      <c r="S2818" s="223"/>
      <c r="T2818" s="223"/>
    </row>
    <row r="2819" spans="19:20">
      <c r="S2819" s="223"/>
      <c r="T2819" s="223"/>
    </row>
    <row r="2820" spans="19:20">
      <c r="S2820" s="223"/>
      <c r="T2820" s="223"/>
    </row>
    <row r="2821" spans="19:20">
      <c r="S2821" s="223"/>
      <c r="T2821" s="223"/>
    </row>
    <row r="2822" spans="19:20">
      <c r="S2822" s="223"/>
      <c r="T2822" s="223"/>
    </row>
    <row r="2823" spans="19:20">
      <c r="S2823" s="223"/>
      <c r="T2823" s="223"/>
    </row>
    <row r="2824" spans="19:20">
      <c r="S2824" s="223"/>
      <c r="T2824" s="223"/>
    </row>
    <row r="2825" spans="19:20">
      <c r="S2825" s="223"/>
      <c r="T2825" s="223"/>
    </row>
    <row r="2826" spans="19:20">
      <c r="S2826" s="223"/>
      <c r="T2826" s="223"/>
    </row>
    <row r="2827" spans="19:20">
      <c r="S2827" s="223"/>
      <c r="T2827" s="223"/>
    </row>
    <row r="2828" spans="19:20">
      <c r="S2828" s="223"/>
      <c r="T2828" s="223"/>
    </row>
    <row r="2829" spans="19:20">
      <c r="S2829" s="223"/>
      <c r="T2829" s="223"/>
    </row>
    <row r="2830" spans="19:20">
      <c r="S2830" s="223"/>
      <c r="T2830" s="223"/>
    </row>
    <row r="2831" spans="19:20">
      <c r="S2831" s="223"/>
      <c r="T2831" s="223"/>
    </row>
    <row r="2832" spans="19:20">
      <c r="S2832" s="223"/>
      <c r="T2832" s="223"/>
    </row>
    <row r="2833" spans="19:20">
      <c r="S2833" s="223"/>
      <c r="T2833" s="223"/>
    </row>
    <row r="2834" spans="19:20">
      <c r="S2834" s="223"/>
      <c r="T2834" s="223"/>
    </row>
    <row r="2835" spans="19:20">
      <c r="S2835" s="223"/>
      <c r="T2835" s="223"/>
    </row>
    <row r="2836" spans="19:20">
      <c r="S2836" s="223"/>
      <c r="T2836" s="223"/>
    </row>
    <row r="2837" spans="19:20">
      <c r="S2837" s="223"/>
      <c r="T2837" s="223"/>
    </row>
    <row r="2838" spans="19:20">
      <c r="S2838" s="223"/>
      <c r="T2838" s="223"/>
    </row>
    <row r="2839" spans="19:20">
      <c r="S2839" s="223"/>
      <c r="T2839" s="223"/>
    </row>
    <row r="2840" spans="19:20">
      <c r="S2840" s="223"/>
      <c r="T2840" s="223"/>
    </row>
    <row r="2841" spans="19:20">
      <c r="S2841" s="223"/>
      <c r="T2841" s="223"/>
    </row>
    <row r="2842" spans="19:20">
      <c r="S2842" s="223"/>
      <c r="T2842" s="223"/>
    </row>
    <row r="2843" spans="19:20">
      <c r="S2843" s="223"/>
      <c r="T2843" s="223"/>
    </row>
    <row r="2844" spans="19:20">
      <c r="S2844" s="223"/>
      <c r="T2844" s="223"/>
    </row>
    <row r="2845" spans="19:20">
      <c r="S2845" s="223"/>
      <c r="T2845" s="223"/>
    </row>
    <row r="2846" spans="19:20">
      <c r="S2846" s="223"/>
      <c r="T2846" s="223"/>
    </row>
    <row r="2847" spans="19:20">
      <c r="S2847" s="223"/>
      <c r="T2847" s="223"/>
    </row>
    <row r="2848" spans="19:20">
      <c r="S2848" s="223"/>
      <c r="T2848" s="223"/>
    </row>
    <row r="2849" spans="19:20">
      <c r="S2849" s="223"/>
      <c r="T2849" s="223"/>
    </row>
    <row r="2850" spans="19:20">
      <c r="S2850" s="223"/>
      <c r="T2850" s="223"/>
    </row>
    <row r="2851" spans="19:20">
      <c r="S2851" s="223"/>
      <c r="T2851" s="223"/>
    </row>
    <row r="2852" spans="19:20">
      <c r="S2852" s="223"/>
      <c r="T2852" s="223"/>
    </row>
    <row r="2853" spans="19:20">
      <c r="S2853" s="223"/>
      <c r="T2853" s="223"/>
    </row>
    <row r="2854" spans="19:20">
      <c r="S2854" s="223"/>
      <c r="T2854" s="223"/>
    </row>
    <row r="2855" spans="19:20">
      <c r="S2855" s="223"/>
      <c r="T2855" s="223"/>
    </row>
    <row r="2856" spans="19:20">
      <c r="S2856" s="223"/>
      <c r="T2856" s="223"/>
    </row>
    <row r="2857" spans="19:20">
      <c r="S2857" s="223"/>
      <c r="T2857" s="223"/>
    </row>
    <row r="2858" spans="19:20">
      <c r="S2858" s="223"/>
      <c r="T2858" s="223"/>
    </row>
    <row r="2859" spans="19:20">
      <c r="S2859" s="223"/>
      <c r="T2859" s="223"/>
    </row>
    <row r="2860" spans="19:20">
      <c r="S2860" s="223"/>
      <c r="T2860" s="223"/>
    </row>
    <row r="2861" spans="19:20">
      <c r="S2861" s="223"/>
      <c r="T2861" s="223"/>
    </row>
    <row r="2862" spans="19:20">
      <c r="S2862" s="223"/>
      <c r="T2862" s="223"/>
    </row>
    <row r="2863" spans="19:20">
      <c r="S2863" s="223"/>
      <c r="T2863" s="223"/>
    </row>
    <row r="2864" spans="19:20">
      <c r="S2864" s="223"/>
      <c r="T2864" s="223"/>
    </row>
    <row r="2865" spans="19:20">
      <c r="S2865" s="223"/>
      <c r="T2865" s="223"/>
    </row>
    <row r="2866" spans="19:20">
      <c r="S2866" s="223"/>
      <c r="T2866" s="223"/>
    </row>
    <row r="2867" spans="19:20">
      <c r="S2867" s="223"/>
      <c r="T2867" s="223"/>
    </row>
    <row r="2868" spans="19:20">
      <c r="S2868" s="223"/>
      <c r="T2868" s="223"/>
    </row>
    <row r="2869" spans="19:20">
      <c r="S2869" s="223"/>
      <c r="T2869" s="223"/>
    </row>
    <row r="2870" spans="19:20">
      <c r="S2870" s="223"/>
      <c r="T2870" s="223"/>
    </row>
    <row r="2871" spans="19:20">
      <c r="S2871" s="223"/>
      <c r="T2871" s="223"/>
    </row>
    <row r="2872" spans="19:20">
      <c r="S2872" s="223"/>
      <c r="T2872" s="223"/>
    </row>
    <row r="2873" spans="19:20">
      <c r="S2873" s="223"/>
      <c r="T2873" s="223"/>
    </row>
    <row r="2874" spans="19:20">
      <c r="S2874" s="223"/>
      <c r="T2874" s="223"/>
    </row>
    <row r="2875" spans="19:20">
      <c r="S2875" s="223"/>
      <c r="T2875" s="223"/>
    </row>
    <row r="2876" spans="19:20">
      <c r="S2876" s="223"/>
      <c r="T2876" s="223"/>
    </row>
    <row r="2877" spans="19:20">
      <c r="S2877" s="223"/>
      <c r="T2877" s="223"/>
    </row>
    <row r="2878" spans="19:20">
      <c r="S2878" s="223"/>
      <c r="T2878" s="223"/>
    </row>
    <row r="2879" spans="19:20">
      <c r="S2879" s="223"/>
      <c r="T2879" s="223"/>
    </row>
    <row r="2880" spans="19:20">
      <c r="S2880" s="223"/>
      <c r="T2880" s="223"/>
    </row>
    <row r="2881" spans="19:20">
      <c r="S2881" s="223"/>
      <c r="T2881" s="223"/>
    </row>
    <row r="2882" spans="19:20">
      <c r="S2882" s="223"/>
      <c r="T2882" s="223"/>
    </row>
    <row r="2883" spans="19:20">
      <c r="S2883" s="223"/>
      <c r="T2883" s="223"/>
    </row>
    <row r="2884" spans="19:20">
      <c r="S2884" s="223"/>
      <c r="T2884" s="223"/>
    </row>
    <row r="2885" spans="19:20">
      <c r="S2885" s="223"/>
      <c r="T2885" s="223"/>
    </row>
    <row r="2886" spans="19:20">
      <c r="S2886" s="223"/>
      <c r="T2886" s="223"/>
    </row>
    <row r="2887" spans="19:20">
      <c r="S2887" s="223"/>
      <c r="T2887" s="223"/>
    </row>
    <row r="2888" spans="19:20">
      <c r="S2888" s="223"/>
      <c r="T2888" s="223"/>
    </row>
    <row r="2889" spans="19:20">
      <c r="S2889" s="223"/>
      <c r="T2889" s="223"/>
    </row>
    <row r="2890" spans="19:20">
      <c r="S2890" s="223"/>
      <c r="T2890" s="223"/>
    </row>
    <row r="2891" spans="19:20">
      <c r="S2891" s="223"/>
      <c r="T2891" s="223"/>
    </row>
    <row r="2892" spans="19:20">
      <c r="S2892" s="223"/>
      <c r="T2892" s="223"/>
    </row>
    <row r="2893" spans="19:20">
      <c r="S2893" s="223"/>
      <c r="T2893" s="223"/>
    </row>
    <row r="2894" spans="19:20">
      <c r="S2894" s="223"/>
      <c r="T2894" s="223"/>
    </row>
    <row r="2895" spans="19:20">
      <c r="S2895" s="223"/>
      <c r="T2895" s="223"/>
    </row>
    <row r="2896" spans="19:20">
      <c r="S2896" s="223"/>
      <c r="T2896" s="223"/>
    </row>
    <row r="2897" spans="19:20">
      <c r="S2897" s="223"/>
      <c r="T2897" s="223"/>
    </row>
    <row r="2898" spans="19:20">
      <c r="S2898" s="223"/>
      <c r="T2898" s="223"/>
    </row>
    <row r="2899" spans="19:20">
      <c r="S2899" s="223"/>
      <c r="T2899" s="223"/>
    </row>
    <row r="2900" spans="19:20">
      <c r="S2900" s="223"/>
      <c r="T2900" s="223"/>
    </row>
    <row r="2901" spans="19:20">
      <c r="S2901" s="223"/>
      <c r="T2901" s="223"/>
    </row>
    <row r="2902" spans="19:20">
      <c r="S2902" s="223"/>
      <c r="T2902" s="223"/>
    </row>
    <row r="2903" spans="19:20">
      <c r="S2903" s="223"/>
      <c r="T2903" s="223"/>
    </row>
    <row r="2904" spans="19:20">
      <c r="S2904" s="223"/>
      <c r="T2904" s="223"/>
    </row>
    <row r="2905" spans="19:20">
      <c r="S2905" s="223"/>
      <c r="T2905" s="223"/>
    </row>
    <row r="2906" spans="19:20">
      <c r="S2906" s="223"/>
      <c r="T2906" s="223"/>
    </row>
    <row r="2907" spans="19:20">
      <c r="S2907" s="223"/>
      <c r="T2907" s="223"/>
    </row>
    <row r="2908" spans="19:20">
      <c r="S2908" s="223"/>
      <c r="T2908" s="223"/>
    </row>
    <row r="2909" spans="19:20">
      <c r="S2909" s="223"/>
      <c r="T2909" s="223"/>
    </row>
    <row r="2910" spans="19:20">
      <c r="S2910" s="223"/>
      <c r="T2910" s="223"/>
    </row>
    <row r="2911" spans="19:20">
      <c r="S2911" s="223"/>
      <c r="T2911" s="223"/>
    </row>
    <row r="2912" spans="19:20">
      <c r="S2912" s="223"/>
      <c r="T2912" s="223"/>
    </row>
    <row r="2913" spans="19:20">
      <c r="S2913" s="223"/>
      <c r="T2913" s="223"/>
    </row>
    <row r="2914" spans="19:20">
      <c r="S2914" s="223"/>
      <c r="T2914" s="223"/>
    </row>
    <row r="2915" spans="19:20">
      <c r="S2915" s="223"/>
      <c r="T2915" s="223"/>
    </row>
    <row r="2916" spans="19:20">
      <c r="S2916" s="223"/>
      <c r="T2916" s="223"/>
    </row>
    <row r="2917" spans="19:20">
      <c r="S2917" s="223"/>
      <c r="T2917" s="223"/>
    </row>
    <row r="2918" spans="19:20">
      <c r="S2918" s="223"/>
      <c r="T2918" s="223"/>
    </row>
    <row r="2919" spans="19:20">
      <c r="S2919" s="223"/>
      <c r="T2919" s="223"/>
    </row>
    <row r="2920" spans="19:20">
      <c r="S2920" s="223"/>
      <c r="T2920" s="223"/>
    </row>
    <row r="2921" spans="19:20">
      <c r="S2921" s="223"/>
      <c r="T2921" s="223"/>
    </row>
    <row r="2922" spans="19:20">
      <c r="S2922" s="223"/>
      <c r="T2922" s="223"/>
    </row>
    <row r="2923" spans="19:20">
      <c r="S2923" s="223"/>
      <c r="T2923" s="223"/>
    </row>
    <row r="2924" spans="19:20">
      <c r="S2924" s="223"/>
      <c r="T2924" s="223"/>
    </row>
    <row r="2925" spans="19:20">
      <c r="S2925" s="223"/>
      <c r="T2925" s="223"/>
    </row>
    <row r="2926" spans="19:20">
      <c r="S2926" s="223"/>
      <c r="T2926" s="223"/>
    </row>
    <row r="2927" spans="19:20">
      <c r="S2927" s="223"/>
      <c r="T2927" s="223"/>
    </row>
    <row r="2928" spans="19:20">
      <c r="S2928" s="223"/>
      <c r="T2928" s="223"/>
    </row>
    <row r="2929" spans="19:20">
      <c r="S2929" s="223"/>
      <c r="T2929" s="223"/>
    </row>
    <row r="2930" spans="19:20">
      <c r="S2930" s="223"/>
      <c r="T2930" s="223"/>
    </row>
    <row r="2931" spans="19:20">
      <c r="S2931" s="223"/>
      <c r="T2931" s="223"/>
    </row>
    <row r="2932" spans="19:20">
      <c r="S2932" s="223"/>
      <c r="T2932" s="223"/>
    </row>
    <row r="2933" spans="19:20">
      <c r="S2933" s="223"/>
      <c r="T2933" s="223"/>
    </row>
    <row r="2934" spans="19:20">
      <c r="S2934" s="223"/>
      <c r="T2934" s="223"/>
    </row>
    <row r="2935" spans="19:20">
      <c r="S2935" s="223"/>
      <c r="T2935" s="223"/>
    </row>
    <row r="2936" spans="19:20">
      <c r="S2936" s="223"/>
      <c r="T2936" s="223"/>
    </row>
    <row r="2937" spans="19:20">
      <c r="S2937" s="223"/>
      <c r="T2937" s="223"/>
    </row>
    <row r="2938" spans="19:20">
      <c r="S2938" s="223"/>
      <c r="T2938" s="223"/>
    </row>
    <row r="2939" spans="19:20">
      <c r="S2939" s="223"/>
      <c r="T2939" s="223"/>
    </row>
    <row r="2940" spans="19:20">
      <c r="S2940" s="223"/>
      <c r="T2940" s="223"/>
    </row>
    <row r="2941" spans="19:20">
      <c r="S2941" s="223"/>
      <c r="T2941" s="223"/>
    </row>
    <row r="2942" spans="19:20">
      <c r="S2942" s="223"/>
      <c r="T2942" s="223"/>
    </row>
    <row r="2943" spans="19:20">
      <c r="S2943" s="223"/>
      <c r="T2943" s="223"/>
    </row>
    <row r="2944" spans="19:20">
      <c r="S2944" s="223"/>
      <c r="T2944" s="223"/>
    </row>
    <row r="2945" spans="19:20">
      <c r="S2945" s="223"/>
      <c r="T2945" s="223"/>
    </row>
    <row r="2946" spans="19:20">
      <c r="S2946" s="223"/>
      <c r="T2946" s="223"/>
    </row>
    <row r="2947" spans="19:20">
      <c r="S2947" s="223"/>
      <c r="T2947" s="223"/>
    </row>
    <row r="2948" spans="19:20">
      <c r="S2948" s="223"/>
      <c r="T2948" s="223"/>
    </row>
    <row r="2949" spans="19:20">
      <c r="S2949" s="223"/>
      <c r="T2949" s="223"/>
    </row>
    <row r="2950" spans="19:20">
      <c r="S2950" s="223"/>
      <c r="T2950" s="223"/>
    </row>
    <row r="2951" spans="19:20">
      <c r="S2951" s="223"/>
      <c r="T2951" s="223"/>
    </row>
    <row r="2952" spans="19:20">
      <c r="S2952" s="223"/>
      <c r="T2952" s="223"/>
    </row>
    <row r="2953" spans="19:20">
      <c r="S2953" s="223"/>
      <c r="T2953" s="223"/>
    </row>
    <row r="2954" spans="19:20">
      <c r="S2954" s="223"/>
      <c r="T2954" s="223"/>
    </row>
    <row r="2955" spans="19:20">
      <c r="S2955" s="223"/>
      <c r="T2955" s="223"/>
    </row>
    <row r="2956" spans="19:20">
      <c r="S2956" s="223"/>
      <c r="T2956" s="223"/>
    </row>
    <row r="2957" spans="19:20">
      <c r="S2957" s="223"/>
      <c r="T2957" s="223"/>
    </row>
    <row r="2958" spans="19:20">
      <c r="S2958" s="223"/>
      <c r="T2958" s="223"/>
    </row>
    <row r="2959" spans="19:20">
      <c r="S2959" s="223"/>
      <c r="T2959" s="223"/>
    </row>
    <row r="2960" spans="19:20">
      <c r="S2960" s="223"/>
      <c r="T2960" s="223"/>
    </row>
    <row r="2961" spans="19:20">
      <c r="S2961" s="223"/>
      <c r="T2961" s="223"/>
    </row>
    <row r="2962" spans="19:20">
      <c r="S2962" s="223"/>
      <c r="T2962" s="223"/>
    </row>
    <row r="2963" spans="19:20">
      <c r="S2963" s="223"/>
      <c r="T2963" s="223"/>
    </row>
    <row r="2964" spans="19:20">
      <c r="S2964" s="223"/>
      <c r="T2964" s="223"/>
    </row>
    <row r="2965" spans="19:20">
      <c r="S2965" s="223"/>
      <c r="T2965" s="223"/>
    </row>
    <row r="2966" spans="19:20">
      <c r="S2966" s="223"/>
      <c r="T2966" s="223"/>
    </row>
    <row r="2967" spans="19:20">
      <c r="S2967" s="223"/>
      <c r="T2967" s="223"/>
    </row>
    <row r="2968" spans="19:20">
      <c r="S2968" s="223"/>
      <c r="T2968" s="223"/>
    </row>
    <row r="2969" spans="19:20">
      <c r="S2969" s="223"/>
      <c r="T2969" s="223"/>
    </row>
    <row r="2970" spans="19:20">
      <c r="S2970" s="223"/>
      <c r="T2970" s="223"/>
    </row>
    <row r="2971" spans="19:20">
      <c r="S2971" s="223"/>
      <c r="T2971" s="223"/>
    </row>
    <row r="2972" spans="19:20">
      <c r="S2972" s="223"/>
      <c r="T2972" s="223"/>
    </row>
    <row r="2973" spans="19:20">
      <c r="S2973" s="223"/>
      <c r="T2973" s="223"/>
    </row>
    <row r="2974" spans="19:20">
      <c r="S2974" s="223"/>
      <c r="T2974" s="223"/>
    </row>
    <row r="2975" spans="19:20">
      <c r="S2975" s="223"/>
      <c r="T2975" s="223"/>
    </row>
    <row r="2976" spans="19:20">
      <c r="S2976" s="223"/>
      <c r="T2976" s="223"/>
    </row>
    <row r="2977" spans="19:20">
      <c r="S2977" s="223"/>
      <c r="T2977" s="223"/>
    </row>
    <row r="2978" spans="19:20">
      <c r="S2978" s="223"/>
      <c r="T2978" s="223"/>
    </row>
    <row r="2979" spans="19:20">
      <c r="S2979" s="223"/>
      <c r="T2979" s="223"/>
    </row>
    <row r="2980" spans="19:20">
      <c r="S2980" s="223"/>
      <c r="T2980" s="223"/>
    </row>
    <row r="2981" spans="19:20">
      <c r="S2981" s="223"/>
      <c r="T2981" s="223"/>
    </row>
    <row r="2982" spans="19:20">
      <c r="S2982" s="223"/>
      <c r="T2982" s="223"/>
    </row>
    <row r="2983" spans="19:20">
      <c r="S2983" s="223"/>
      <c r="T2983" s="223"/>
    </row>
    <row r="2984" spans="19:20">
      <c r="S2984" s="223"/>
      <c r="T2984" s="223"/>
    </row>
    <row r="2985" spans="19:20">
      <c r="S2985" s="223"/>
      <c r="T2985" s="223"/>
    </row>
    <row r="2986" spans="19:20">
      <c r="S2986" s="223"/>
      <c r="T2986" s="223"/>
    </row>
    <row r="2987" spans="19:20">
      <c r="S2987" s="223"/>
      <c r="T2987" s="223"/>
    </row>
    <row r="2988" spans="19:20">
      <c r="S2988" s="223"/>
      <c r="T2988" s="223"/>
    </row>
    <row r="2989" spans="19:20">
      <c r="S2989" s="223"/>
      <c r="T2989" s="223"/>
    </row>
    <row r="2990" spans="19:20">
      <c r="S2990" s="223"/>
      <c r="T2990" s="223"/>
    </row>
    <row r="2991" spans="19:20">
      <c r="S2991" s="223"/>
      <c r="T2991" s="223"/>
    </row>
    <row r="2992" spans="19:20">
      <c r="S2992" s="223"/>
      <c r="T2992" s="223"/>
    </row>
    <row r="2993" spans="19:20">
      <c r="S2993" s="223"/>
      <c r="T2993" s="223"/>
    </row>
    <row r="2994" spans="19:20">
      <c r="S2994" s="223"/>
      <c r="T2994" s="223"/>
    </row>
    <row r="2995" spans="19:20">
      <c r="S2995" s="223"/>
      <c r="T2995" s="223"/>
    </row>
    <row r="2996" spans="19:20">
      <c r="S2996" s="223"/>
      <c r="T2996" s="223"/>
    </row>
    <row r="2997" spans="19:20">
      <c r="S2997" s="223"/>
      <c r="T2997" s="223"/>
    </row>
    <row r="2998" spans="19:20">
      <c r="S2998" s="223"/>
      <c r="T2998" s="223"/>
    </row>
    <row r="2999" spans="19:20">
      <c r="S2999" s="223"/>
      <c r="T2999" s="223"/>
    </row>
    <row r="3000" spans="19:20">
      <c r="S3000" s="223"/>
      <c r="T3000" s="223"/>
    </row>
    <row r="3001" spans="19:20">
      <c r="S3001" s="223"/>
      <c r="T3001" s="223"/>
    </row>
    <row r="3002" spans="19:20">
      <c r="S3002" s="223"/>
      <c r="T3002" s="223"/>
    </row>
    <row r="3003" spans="19:20">
      <c r="S3003" s="223"/>
      <c r="T3003" s="223"/>
    </row>
    <row r="3004" spans="19:20">
      <c r="S3004" s="223"/>
      <c r="T3004" s="223"/>
    </row>
    <row r="3005" spans="19:20">
      <c r="S3005" s="223"/>
      <c r="T3005" s="223"/>
    </row>
    <row r="3006" spans="19:20">
      <c r="S3006" s="223"/>
      <c r="T3006" s="223"/>
    </row>
    <row r="3007" spans="19:20">
      <c r="S3007" s="223"/>
      <c r="T3007" s="223"/>
    </row>
    <row r="3008" spans="19:20">
      <c r="S3008" s="223"/>
      <c r="T3008" s="223"/>
    </row>
    <row r="3009" spans="19:20">
      <c r="S3009" s="223"/>
      <c r="T3009" s="223"/>
    </row>
    <row r="3010" spans="19:20">
      <c r="S3010" s="223"/>
      <c r="T3010" s="223"/>
    </row>
    <row r="3011" spans="19:20">
      <c r="S3011" s="223"/>
      <c r="T3011" s="223"/>
    </row>
    <row r="3012" spans="19:20">
      <c r="S3012" s="223"/>
      <c r="T3012" s="223"/>
    </row>
    <row r="3013" spans="19:20">
      <c r="S3013" s="223"/>
      <c r="T3013" s="223"/>
    </row>
    <row r="3014" spans="19:20">
      <c r="S3014" s="223"/>
      <c r="T3014" s="223"/>
    </row>
    <row r="3015" spans="19:20">
      <c r="S3015" s="223"/>
      <c r="T3015" s="223"/>
    </row>
    <row r="3016" spans="19:20">
      <c r="S3016" s="223"/>
      <c r="T3016" s="223"/>
    </row>
    <row r="3017" spans="19:20">
      <c r="S3017" s="223"/>
      <c r="T3017" s="223"/>
    </row>
    <row r="3018" spans="19:20">
      <c r="S3018" s="223"/>
      <c r="T3018" s="223"/>
    </row>
    <row r="3019" spans="19:20">
      <c r="S3019" s="223"/>
      <c r="T3019" s="223"/>
    </row>
    <row r="3020" spans="19:20">
      <c r="S3020" s="223"/>
      <c r="T3020" s="223"/>
    </row>
    <row r="3021" spans="19:20">
      <c r="S3021" s="223"/>
      <c r="T3021" s="223"/>
    </row>
    <row r="3022" spans="19:20">
      <c r="S3022" s="223"/>
      <c r="T3022" s="223"/>
    </row>
    <row r="3023" spans="19:20">
      <c r="S3023" s="223"/>
      <c r="T3023" s="223"/>
    </row>
    <row r="3024" spans="19:20">
      <c r="S3024" s="223"/>
      <c r="T3024" s="223"/>
    </row>
    <row r="3025" spans="19:20">
      <c r="S3025" s="223"/>
      <c r="T3025" s="223"/>
    </row>
    <row r="3026" spans="19:20">
      <c r="S3026" s="223"/>
      <c r="T3026" s="223"/>
    </row>
    <row r="3027" spans="19:20">
      <c r="S3027" s="223"/>
      <c r="T3027" s="223"/>
    </row>
    <row r="3028" spans="19:20">
      <c r="S3028" s="223"/>
      <c r="T3028" s="223"/>
    </row>
    <row r="3029" spans="19:20">
      <c r="S3029" s="223"/>
      <c r="T3029" s="223"/>
    </row>
    <row r="3030" spans="19:20">
      <c r="S3030" s="223"/>
      <c r="T3030" s="223"/>
    </row>
    <row r="3031" spans="19:20">
      <c r="S3031" s="223"/>
      <c r="T3031" s="223"/>
    </row>
    <row r="3032" spans="19:20">
      <c r="S3032" s="223"/>
      <c r="T3032" s="223"/>
    </row>
    <row r="3033" spans="19:20">
      <c r="S3033" s="223"/>
      <c r="T3033" s="223"/>
    </row>
    <row r="3034" spans="19:20">
      <c r="S3034" s="223"/>
      <c r="T3034" s="223"/>
    </row>
    <row r="3035" spans="19:20">
      <c r="S3035" s="223"/>
      <c r="T3035" s="223"/>
    </row>
    <row r="3036" spans="19:20">
      <c r="S3036" s="223"/>
      <c r="T3036" s="223"/>
    </row>
    <row r="3037" spans="19:20">
      <c r="S3037" s="223"/>
      <c r="T3037" s="223"/>
    </row>
    <row r="3038" spans="19:20">
      <c r="S3038" s="223"/>
      <c r="T3038" s="223"/>
    </row>
    <row r="3039" spans="19:20">
      <c r="S3039" s="223"/>
      <c r="T3039" s="223"/>
    </row>
    <row r="3040" spans="19:20">
      <c r="S3040" s="223"/>
      <c r="T3040" s="223"/>
    </row>
    <row r="3041" spans="19:20">
      <c r="S3041" s="223"/>
      <c r="T3041" s="223"/>
    </row>
    <row r="3042" spans="19:20">
      <c r="S3042" s="223"/>
      <c r="T3042" s="223"/>
    </row>
    <row r="3043" spans="19:20">
      <c r="S3043" s="223"/>
      <c r="T3043" s="223"/>
    </row>
    <row r="3044" spans="19:20">
      <c r="S3044" s="223"/>
      <c r="T3044" s="223"/>
    </row>
    <row r="3045" spans="19:20">
      <c r="S3045" s="223"/>
      <c r="T3045" s="223"/>
    </row>
    <row r="3046" spans="19:20">
      <c r="S3046" s="223"/>
      <c r="T3046" s="223"/>
    </row>
    <row r="3047" spans="19:20">
      <c r="S3047" s="223"/>
      <c r="T3047" s="223"/>
    </row>
    <row r="3048" spans="19:20">
      <c r="S3048" s="223"/>
      <c r="T3048" s="223"/>
    </row>
    <row r="3049" spans="19:20">
      <c r="S3049" s="223"/>
      <c r="T3049" s="223"/>
    </row>
    <row r="3050" spans="19:20">
      <c r="S3050" s="223"/>
      <c r="T3050" s="223"/>
    </row>
    <row r="3051" spans="19:20">
      <c r="S3051" s="223"/>
      <c r="T3051" s="223"/>
    </row>
    <row r="3052" spans="19:20">
      <c r="S3052" s="223"/>
      <c r="T3052" s="223"/>
    </row>
    <row r="3053" spans="19:20">
      <c r="S3053" s="223"/>
      <c r="T3053" s="223"/>
    </row>
    <row r="3054" spans="19:20">
      <c r="S3054" s="223"/>
      <c r="T3054" s="223"/>
    </row>
    <row r="3055" spans="19:20">
      <c r="S3055" s="223"/>
      <c r="T3055" s="223"/>
    </row>
    <row r="3056" spans="19:20">
      <c r="S3056" s="223"/>
      <c r="T3056" s="223"/>
    </row>
    <row r="3057" spans="19:20">
      <c r="S3057" s="223"/>
      <c r="T3057" s="223"/>
    </row>
    <row r="3058" spans="19:20">
      <c r="S3058" s="223"/>
      <c r="T3058" s="223"/>
    </row>
    <row r="3059" spans="19:20">
      <c r="S3059" s="223"/>
      <c r="T3059" s="223"/>
    </row>
    <row r="3060" spans="19:20">
      <c r="S3060" s="223"/>
      <c r="T3060" s="223"/>
    </row>
    <row r="3061" spans="19:20">
      <c r="S3061" s="223"/>
      <c r="T3061" s="223"/>
    </row>
    <row r="3062" spans="19:20">
      <c r="S3062" s="223"/>
      <c r="T3062" s="223"/>
    </row>
    <row r="3063" spans="19:20">
      <c r="S3063" s="223"/>
      <c r="T3063" s="223"/>
    </row>
    <row r="3064" spans="19:20">
      <c r="S3064" s="223"/>
      <c r="T3064" s="223"/>
    </row>
    <row r="3065" spans="19:20">
      <c r="S3065" s="223"/>
      <c r="T3065" s="223"/>
    </row>
    <row r="3066" spans="19:20">
      <c r="S3066" s="223"/>
      <c r="T3066" s="223"/>
    </row>
    <row r="3067" spans="19:20">
      <c r="S3067" s="223"/>
      <c r="T3067" s="223"/>
    </row>
    <row r="3068" spans="19:20">
      <c r="S3068" s="223"/>
      <c r="T3068" s="223"/>
    </row>
    <row r="3069" spans="19:20">
      <c r="S3069" s="223"/>
      <c r="T3069" s="223"/>
    </row>
    <row r="3070" spans="19:20">
      <c r="S3070" s="223"/>
      <c r="T3070" s="223"/>
    </row>
    <row r="3071" spans="19:20">
      <c r="S3071" s="223"/>
      <c r="T3071" s="223"/>
    </row>
    <row r="3072" spans="19:20">
      <c r="S3072" s="223"/>
      <c r="T3072" s="223"/>
    </row>
    <row r="3073" spans="19:20">
      <c r="S3073" s="223"/>
      <c r="T3073" s="223"/>
    </row>
    <row r="3074" spans="19:20">
      <c r="S3074" s="223"/>
      <c r="T3074" s="223"/>
    </row>
    <row r="3075" spans="19:20">
      <c r="S3075" s="223"/>
      <c r="T3075" s="223"/>
    </row>
    <row r="3076" spans="19:20">
      <c r="S3076" s="223"/>
      <c r="T3076" s="223"/>
    </row>
    <row r="3077" spans="19:20">
      <c r="S3077" s="223"/>
      <c r="T3077" s="223"/>
    </row>
    <row r="3078" spans="19:20">
      <c r="S3078" s="223"/>
      <c r="T3078" s="223"/>
    </row>
    <row r="3079" spans="19:20">
      <c r="S3079" s="223"/>
      <c r="T3079" s="223"/>
    </row>
    <row r="3080" spans="19:20">
      <c r="S3080" s="223"/>
      <c r="T3080" s="223"/>
    </row>
    <row r="3081" spans="19:20">
      <c r="S3081" s="223"/>
      <c r="T3081" s="223"/>
    </row>
    <row r="3082" spans="19:20">
      <c r="S3082" s="223"/>
      <c r="T3082" s="223"/>
    </row>
  </sheetData>
  <protectedRanges>
    <protectedRange sqref="AX27:AZ30" name="Bereich1_1"/>
  </protectedRanges>
  <phoneticPr fontId="10" type="noConversion"/>
  <dataValidations disablePrompts="1" count="1">
    <dataValidation type="list" allowBlank="1" showInputMessage="1" showErrorMessage="1" sqref="N4" xr:uid="{E92DA31F-A847-4B55-AB93-5ACCFB45CDD5}">
      <formula1>$S$18:$S$27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abelle4.show_GEOMETRY_section">
                <anchor moveWithCells="1" sizeWithCells="1">
                  <from>
                    <xdr:col>0</xdr:col>
                    <xdr:colOff>76200</xdr:colOff>
                    <xdr:row>12</xdr:row>
                    <xdr:rowOff>66675</xdr:rowOff>
                  </from>
                  <to>
                    <xdr:col>2</xdr:col>
                    <xdr:colOff>2781300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abelle4.show_ADDED_MASSES_section">
                <anchor moveWithCells="1" sizeWithCells="1">
                  <from>
                    <xdr:col>0</xdr:col>
                    <xdr:colOff>76200</xdr:colOff>
                    <xdr:row>16</xdr:row>
                    <xdr:rowOff>114300</xdr:rowOff>
                  </from>
                  <to>
                    <xdr:col>2</xdr:col>
                    <xdr:colOff>2781300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abelle4.show_MISC_section">
                <anchor moveWithCells="1" sizeWithCells="1">
                  <from>
                    <xdr:col>0</xdr:col>
                    <xdr:colOff>76200</xdr:colOff>
                    <xdr:row>20</xdr:row>
                    <xdr:rowOff>152400</xdr:rowOff>
                  </from>
                  <to>
                    <xdr:col>2</xdr:col>
                    <xdr:colOff>2781300</xdr:colOff>
                    <xdr:row>24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abelle4.plot_Assambly_Overview">
                <anchor moveWithCells="1" sizeWithCells="1">
                  <from>
                    <xdr:col>57</xdr:col>
                    <xdr:colOff>28575</xdr:colOff>
                    <xdr:row>1</xdr:row>
                    <xdr:rowOff>38100</xdr:rowOff>
                  </from>
                  <to>
                    <xdr:col>59</xdr:col>
                    <xdr:colOff>209550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9"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A1:CK1326"/>
  <sheetViews>
    <sheetView showGridLines="0" zoomScale="55" zoomScaleNormal="55" workbookViewId="0">
      <selection activeCell="S36" sqref="S36"/>
    </sheetView>
  </sheetViews>
  <sheetFormatPr baseColWidth="10" defaultRowHeight="15"/>
  <cols>
    <col min="1" max="1" width="15.28515625" style="70" customWidth="1"/>
    <col min="2" max="2" width="15.28515625" style="59" customWidth="1"/>
    <col min="3" max="3" width="13.28515625" style="59" customWidth="1"/>
    <col min="4" max="4" width="50.28515625" style="106" customWidth="1"/>
    <col min="5" max="5" width="41.5703125" hidden="1" customWidth="1"/>
    <col min="6" max="6" width="43" hidden="1" customWidth="1"/>
    <col min="7" max="7" width="14.140625" style="51" hidden="1" customWidth="1"/>
    <col min="8" max="8" width="19.28515625" style="51" hidden="1" customWidth="1"/>
    <col min="9" max="9" width="20.5703125" style="51" hidden="1" customWidth="1"/>
    <col min="10" max="17" width="11.5703125" hidden="1" customWidth="1"/>
    <col min="18" max="18" width="41.5703125" customWidth="1"/>
    <col min="19" max="19" width="15.7109375" customWidth="1"/>
    <col min="20" max="20" width="46.42578125" customWidth="1"/>
    <col min="21" max="21" width="15.28515625" customWidth="1"/>
    <col min="22" max="22" width="19.28515625" customWidth="1"/>
    <col min="23" max="23" width="17.7109375" customWidth="1"/>
    <col min="24" max="24" width="20.7109375" customWidth="1"/>
    <col min="25" max="25" width="22.28515625" customWidth="1"/>
    <col min="26" max="26" width="31.28515625" customWidth="1"/>
    <col min="27" max="27" width="31.7109375" customWidth="1"/>
    <col min="28" max="28" width="32.28515625" customWidth="1"/>
    <col min="29" max="31" width="11.5703125" customWidth="1"/>
    <col min="32" max="32" width="42.5703125" hidden="1" customWidth="1"/>
    <col min="33" max="33" width="21.28515625" hidden="1" customWidth="1"/>
    <col min="34" max="34" width="28.28515625" hidden="1" customWidth="1"/>
    <col min="35" max="35" width="24.140625" hidden="1" customWidth="1"/>
    <col min="36" max="36" width="23" hidden="1" customWidth="1"/>
    <col min="37" max="37" width="19.28515625" hidden="1" customWidth="1"/>
    <col min="38" max="38" width="50.140625" hidden="1" customWidth="1"/>
    <col min="39" max="40" width="11.5703125" hidden="1" customWidth="1"/>
    <col min="41" max="41" width="18" hidden="1" customWidth="1"/>
    <col min="42" max="42" width="19" hidden="1" customWidth="1"/>
    <col min="43" max="43" width="16.140625" hidden="1" customWidth="1"/>
    <col min="44" max="44" width="20.7109375" hidden="1" customWidth="1"/>
    <col min="45" max="45" width="29.140625" hidden="1" customWidth="1"/>
    <col min="46" max="46" width="12.7109375" hidden="1" customWidth="1"/>
    <col min="47" max="47" width="13" hidden="1" customWidth="1"/>
    <col min="48" max="48" width="29.42578125" hidden="1" customWidth="1"/>
    <col min="49" max="49" width="27.28515625" hidden="1" customWidth="1"/>
    <col min="50" max="50" width="19.5703125" hidden="1" customWidth="1"/>
    <col min="53" max="53" width="11.42578125" customWidth="1"/>
    <col min="62" max="62" width="11.5703125" customWidth="1"/>
    <col min="82" max="83" width="11.5703125" customWidth="1"/>
    <col min="84" max="84" width="14.42578125" customWidth="1"/>
    <col min="85" max="85" width="12.140625" customWidth="1"/>
    <col min="86" max="110" width="11.5703125" customWidth="1"/>
  </cols>
  <sheetData>
    <row r="1" spans="1:89" s="133" customFormat="1" ht="196.9" customHeight="1" thickBot="1">
      <c r="A1" s="124"/>
      <c r="B1" s="125"/>
      <c r="C1" s="125"/>
      <c r="D1" s="134"/>
      <c r="E1" s="139" t="s">
        <v>357</v>
      </c>
      <c r="F1" s="132"/>
      <c r="G1" s="132"/>
      <c r="H1" s="132"/>
      <c r="I1" s="131"/>
      <c r="R1" s="139" t="s">
        <v>343</v>
      </c>
      <c r="AF1" s="157" t="s">
        <v>346</v>
      </c>
      <c r="CF1" s="140"/>
      <c r="CG1" s="132"/>
      <c r="CH1" s="132"/>
      <c r="CI1" s="132"/>
      <c r="CJ1" s="161"/>
      <c r="CK1" s="131"/>
    </row>
    <row r="2" spans="1:89">
      <c r="E2" s="59"/>
      <c r="F2" s="59"/>
      <c r="G2" s="159"/>
      <c r="H2" s="159"/>
      <c r="I2" s="159"/>
      <c r="J2" s="59"/>
      <c r="K2" s="59"/>
      <c r="L2" s="59"/>
      <c r="M2" s="59"/>
      <c r="N2" s="59"/>
      <c r="O2" s="59"/>
      <c r="P2" s="76"/>
      <c r="Q2" s="76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BJ2" s="174"/>
    </row>
    <row r="3" spans="1:89" ht="31.5">
      <c r="E3" s="172" t="s">
        <v>56</v>
      </c>
      <c r="F3" s="165"/>
      <c r="G3" s="159"/>
      <c r="H3" s="159"/>
      <c r="I3" s="159"/>
      <c r="J3" s="59"/>
      <c r="K3" s="59"/>
      <c r="L3" s="59"/>
      <c r="M3" s="59"/>
      <c r="N3" s="59"/>
      <c r="O3" s="59"/>
      <c r="P3" s="76"/>
      <c r="Q3" s="76"/>
      <c r="R3" s="172" t="s">
        <v>214</v>
      </c>
      <c r="S3" s="165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172" t="s">
        <v>313</v>
      </c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BJ3" s="174"/>
    </row>
    <row r="4" spans="1:89" ht="15.75" thickBot="1">
      <c r="A4" s="121"/>
      <c r="B4" s="122"/>
      <c r="C4" s="122"/>
      <c r="D4" s="166"/>
      <c r="E4" s="59"/>
      <c r="F4" s="59"/>
      <c r="G4" s="159"/>
      <c r="H4" s="159"/>
      <c r="I4" s="159"/>
      <c r="J4" s="59"/>
      <c r="K4" s="59"/>
      <c r="L4" s="59"/>
      <c r="M4" s="59"/>
      <c r="N4" s="59"/>
      <c r="O4" s="59"/>
      <c r="P4" s="76"/>
      <c r="Q4" s="76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BJ4" s="174"/>
    </row>
    <row r="5" spans="1:89">
      <c r="A5" s="121"/>
      <c r="B5" s="122"/>
      <c r="C5" s="122"/>
      <c r="D5" s="166"/>
      <c r="E5" s="182"/>
      <c r="F5" s="171" t="s">
        <v>349</v>
      </c>
      <c r="G5" s="167"/>
      <c r="H5" s="167"/>
      <c r="I5" s="167"/>
      <c r="J5" s="95"/>
      <c r="K5" s="76"/>
      <c r="L5" s="76"/>
      <c r="M5" s="76"/>
      <c r="N5" s="76"/>
      <c r="O5" s="76"/>
      <c r="P5" s="76"/>
      <c r="R5" s="178"/>
      <c r="S5" s="171" t="s">
        <v>351</v>
      </c>
      <c r="T5" s="64"/>
      <c r="U5" s="64"/>
      <c r="V5" s="64"/>
      <c r="W5" s="64"/>
      <c r="X5" s="64"/>
      <c r="Y5" s="64"/>
      <c r="Z5" s="64"/>
      <c r="AA5" s="65"/>
      <c r="BJ5" s="173"/>
    </row>
    <row r="6" spans="1:89" ht="18" customHeight="1">
      <c r="A6" s="121"/>
      <c r="B6" s="122"/>
      <c r="C6" s="122"/>
      <c r="D6" s="166"/>
      <c r="E6" s="183"/>
      <c r="F6" s="194" t="s">
        <v>264</v>
      </c>
      <c r="G6" s="195"/>
      <c r="H6" s="195"/>
      <c r="I6" s="195"/>
      <c r="J6" s="196"/>
      <c r="K6" s="76"/>
      <c r="L6" s="76"/>
      <c r="M6" s="76"/>
      <c r="N6" s="76"/>
      <c r="O6" s="76"/>
      <c r="P6" s="169"/>
      <c r="Q6" s="76"/>
      <c r="R6" s="179"/>
      <c r="S6" s="194" t="s">
        <v>350</v>
      </c>
      <c r="T6" s="194"/>
      <c r="U6" s="194"/>
      <c r="V6" s="194"/>
      <c r="W6" s="194"/>
      <c r="X6" s="194"/>
      <c r="Y6" s="194"/>
      <c r="Z6" s="194"/>
      <c r="AA6" s="196"/>
      <c r="BJ6" s="173"/>
    </row>
    <row r="7" spans="1:89">
      <c r="A7" s="121"/>
      <c r="B7" s="122"/>
      <c r="C7" s="122"/>
      <c r="D7" s="166"/>
      <c r="E7" s="183"/>
      <c r="J7" s="96"/>
      <c r="K7" s="76"/>
      <c r="L7" s="76"/>
      <c r="M7" s="76"/>
      <c r="N7" s="76"/>
      <c r="O7" s="76"/>
      <c r="P7" s="170"/>
      <c r="Q7" s="76"/>
      <c r="R7" s="179"/>
      <c r="S7" s="76"/>
      <c r="T7" s="76"/>
      <c r="U7" s="76"/>
      <c r="AA7" s="57"/>
    </row>
    <row r="8" spans="1:89" ht="15.75" thickBot="1">
      <c r="A8" s="121"/>
      <c r="B8" s="122"/>
      <c r="C8" s="122"/>
      <c r="D8" s="166"/>
      <c r="E8" s="184"/>
      <c r="F8" s="67"/>
      <c r="G8" s="168"/>
      <c r="H8" s="168"/>
      <c r="I8" s="168"/>
      <c r="J8" s="97"/>
      <c r="K8" s="76"/>
      <c r="L8" s="76"/>
      <c r="M8" s="76"/>
      <c r="N8" s="76"/>
      <c r="O8" s="76"/>
      <c r="P8" s="76"/>
      <c r="Q8" s="76"/>
      <c r="R8" s="180"/>
      <c r="S8" s="77"/>
      <c r="T8" s="77"/>
      <c r="U8" s="77"/>
      <c r="V8" s="67"/>
      <c r="W8" s="67"/>
      <c r="X8" s="67"/>
      <c r="Y8" s="67"/>
      <c r="Z8" s="67"/>
      <c r="AA8" s="68"/>
    </row>
    <row r="9" spans="1:89">
      <c r="A9" s="121"/>
      <c r="B9" s="122"/>
      <c r="C9" s="122"/>
      <c r="D9" s="166"/>
      <c r="P9" s="76"/>
      <c r="Q9" s="76"/>
      <c r="R9" s="76"/>
      <c r="S9" s="76"/>
      <c r="T9" s="76"/>
      <c r="U9" s="76"/>
    </row>
    <row r="10" spans="1:89" ht="18.75">
      <c r="A10" s="121"/>
      <c r="B10" s="122"/>
      <c r="C10" s="122"/>
      <c r="D10" s="166"/>
      <c r="E10" s="69" t="s">
        <v>347</v>
      </c>
    </row>
    <row r="11" spans="1:89">
      <c r="A11" s="121"/>
      <c r="B11" s="122"/>
      <c r="C11" s="122"/>
      <c r="D11" s="166"/>
      <c r="E11" t="s">
        <v>27</v>
      </c>
      <c r="F11" t="s">
        <v>19</v>
      </c>
      <c r="G11" s="51" t="s">
        <v>99</v>
      </c>
      <c r="H11" s="51" t="s">
        <v>98</v>
      </c>
    </row>
    <row r="12" spans="1:89" ht="18.75">
      <c r="A12" s="121"/>
      <c r="B12" s="122"/>
      <c r="C12" s="122"/>
      <c r="D12" s="166"/>
      <c r="E12" t="s">
        <v>95</v>
      </c>
      <c r="F12" t="s">
        <v>107</v>
      </c>
      <c r="G12" s="51" t="s">
        <v>77</v>
      </c>
      <c r="H12" s="195" t="s">
        <v>96</v>
      </c>
      <c r="R12" s="69" t="s">
        <v>353</v>
      </c>
      <c r="AF12" s="198" t="s">
        <v>362</v>
      </c>
    </row>
    <row r="13" spans="1:89">
      <c r="A13" s="121"/>
      <c r="B13" s="122"/>
      <c r="C13" s="122"/>
      <c r="D13" s="166"/>
      <c r="E13" t="s">
        <v>97</v>
      </c>
      <c r="G13" s="51" t="s">
        <v>100</v>
      </c>
      <c r="H13" s="195">
        <v>210000000</v>
      </c>
      <c r="R13" s="177" t="s">
        <v>352</v>
      </c>
      <c r="S13" s="175" t="s">
        <v>85</v>
      </c>
      <c r="T13" s="175" t="s">
        <v>230</v>
      </c>
      <c r="U13" s="175" t="s">
        <v>89</v>
      </c>
      <c r="V13" s="175" t="s">
        <v>88</v>
      </c>
      <c r="W13" s="175" t="s">
        <v>86</v>
      </c>
      <c r="X13" s="175" t="s">
        <v>215</v>
      </c>
      <c r="Y13" s="175" t="s">
        <v>216</v>
      </c>
      <c r="Z13" s="175" t="s">
        <v>217</v>
      </c>
      <c r="AA13" s="175" t="s">
        <v>219</v>
      </c>
      <c r="AB13" s="176" t="s">
        <v>218</v>
      </c>
      <c r="AF13" t="s">
        <v>27</v>
      </c>
      <c r="AG13" t="s">
        <v>98</v>
      </c>
      <c r="AH13" t="s">
        <v>19</v>
      </c>
    </row>
    <row r="14" spans="1:89">
      <c r="A14" s="121"/>
      <c r="B14" s="122"/>
      <c r="C14" s="122"/>
      <c r="D14" s="166"/>
      <c r="E14" t="s">
        <v>197</v>
      </c>
      <c r="G14" s="51" t="s">
        <v>101</v>
      </c>
      <c r="H14" s="195">
        <v>7850</v>
      </c>
      <c r="R14" s="51"/>
      <c r="S14" s="51"/>
      <c r="U14" s="51"/>
      <c r="V14" s="51"/>
      <c r="W14" s="51"/>
      <c r="X14" s="51"/>
      <c r="Y14" s="51"/>
      <c r="Z14" s="51"/>
      <c r="AA14" s="51"/>
      <c r="AB14" s="51"/>
      <c r="AF14" t="s">
        <v>356</v>
      </c>
      <c r="AG14" s="194">
        <v>0.1</v>
      </c>
    </row>
    <row r="15" spans="1:89">
      <c r="A15" s="121"/>
      <c r="B15" s="122"/>
      <c r="C15" s="122"/>
      <c r="D15" s="166"/>
      <c r="E15" t="s">
        <v>102</v>
      </c>
      <c r="F15" t="s">
        <v>123</v>
      </c>
      <c r="G15" s="51" t="s">
        <v>103</v>
      </c>
      <c r="H15" s="195">
        <v>1</v>
      </c>
      <c r="R15" s="51"/>
      <c r="S15" s="51"/>
      <c r="U15" s="51"/>
      <c r="V15" s="51"/>
      <c r="W15" s="51"/>
      <c r="X15" s="51"/>
      <c r="Y15" s="51"/>
      <c r="Z15" s="51"/>
      <c r="AA15" s="51"/>
      <c r="AB15" s="51"/>
      <c r="AF15" s="51"/>
    </row>
    <row r="16" spans="1:89">
      <c r="A16" s="121"/>
      <c r="B16" s="122"/>
      <c r="C16" s="122"/>
      <c r="D16" s="166"/>
      <c r="E16" t="s">
        <v>104</v>
      </c>
      <c r="F16" t="s">
        <v>122</v>
      </c>
      <c r="G16" s="51" t="s">
        <v>105</v>
      </c>
      <c r="H16" s="195">
        <v>5</v>
      </c>
      <c r="R16" s="51"/>
      <c r="S16" s="51"/>
      <c r="U16" s="51"/>
      <c r="V16" s="51"/>
      <c r="W16" s="51"/>
      <c r="X16" s="51"/>
      <c r="Y16" s="51"/>
      <c r="Z16" s="51"/>
      <c r="AA16" s="51"/>
      <c r="AB16" s="51"/>
    </row>
    <row r="17" spans="5:51">
      <c r="E17" t="s">
        <v>106</v>
      </c>
      <c r="F17" t="s">
        <v>123</v>
      </c>
      <c r="G17" s="51" t="s">
        <v>103</v>
      </c>
      <c r="H17" s="195">
        <v>1</v>
      </c>
      <c r="R17" s="51"/>
      <c r="S17" s="51"/>
      <c r="U17" s="51"/>
      <c r="V17" s="51"/>
      <c r="W17" s="51"/>
      <c r="X17" s="51"/>
      <c r="Y17" s="51"/>
      <c r="Z17" s="51"/>
      <c r="AA17" s="51"/>
      <c r="AB17" s="51"/>
    </row>
    <row r="18" spans="5:51">
      <c r="E18" t="s">
        <v>118</v>
      </c>
      <c r="G18" s="51" t="s">
        <v>114</v>
      </c>
      <c r="H18" s="195">
        <v>0.1</v>
      </c>
      <c r="R18" s="51"/>
      <c r="S18" s="51"/>
      <c r="U18" s="51"/>
      <c r="V18" s="51"/>
      <c r="W18" s="51"/>
      <c r="X18" s="51"/>
      <c r="Y18" s="51"/>
      <c r="Z18" s="51"/>
      <c r="AA18" s="51"/>
      <c r="AB18" s="51"/>
    </row>
    <row r="19" spans="5:51">
      <c r="R19" s="51"/>
      <c r="S19" s="51"/>
      <c r="U19" s="51"/>
      <c r="V19" s="51"/>
      <c r="W19" s="51"/>
      <c r="X19" s="51"/>
      <c r="Y19" s="51"/>
      <c r="Z19" s="51"/>
      <c r="AA19" s="51"/>
      <c r="AB19" s="51"/>
      <c r="AF19" t="s">
        <v>354</v>
      </c>
      <c r="AG19" t="s">
        <v>355</v>
      </c>
      <c r="AH19" t="s">
        <v>376</v>
      </c>
      <c r="AI19" t="s">
        <v>377</v>
      </c>
    </row>
    <row r="20" spans="5:51">
      <c r="R20" s="51"/>
      <c r="S20" s="51"/>
      <c r="U20" s="51"/>
      <c r="V20" s="51"/>
      <c r="W20" s="51"/>
      <c r="X20" s="51"/>
      <c r="Y20" s="51"/>
      <c r="Z20" s="51"/>
      <c r="AA20" s="51"/>
      <c r="AB20" s="51"/>
      <c r="AF20" s="194" t="s">
        <v>269</v>
      </c>
      <c r="AG20" s="194">
        <v>7850</v>
      </c>
      <c r="AH20" s="194">
        <v>210000000</v>
      </c>
      <c r="AI20" s="194">
        <v>81000000000</v>
      </c>
    </row>
    <row r="21" spans="5:51" ht="18.75">
      <c r="E21" s="69" t="s">
        <v>348</v>
      </c>
      <c r="R21" s="51"/>
      <c r="S21" s="51"/>
      <c r="U21" s="51"/>
      <c r="V21" s="51"/>
      <c r="W21" s="51"/>
      <c r="X21" s="51"/>
      <c r="Y21" s="51"/>
      <c r="Z21" s="51"/>
      <c r="AA21" s="51"/>
      <c r="AB21" s="51"/>
    </row>
    <row r="22" spans="5:51">
      <c r="E22" s="58" t="s">
        <v>136</v>
      </c>
      <c r="F22" s="58" t="s">
        <v>19</v>
      </c>
      <c r="G22" s="107" t="s">
        <v>201</v>
      </c>
      <c r="H22" s="107" t="s">
        <v>171</v>
      </c>
      <c r="I22" s="107" t="s">
        <v>200</v>
      </c>
      <c r="R22" s="51"/>
      <c r="S22" s="51"/>
      <c r="U22" s="51"/>
      <c r="V22" s="51"/>
      <c r="W22" s="51"/>
      <c r="X22" s="51"/>
      <c r="Y22" s="51"/>
      <c r="Z22" s="51"/>
      <c r="AA22" s="51"/>
      <c r="AB22" s="51"/>
    </row>
    <row r="23" spans="5:51">
      <c r="E23" t="s">
        <v>172</v>
      </c>
      <c r="F23" t="s">
        <v>188</v>
      </c>
      <c r="G23" s="108" t="s">
        <v>77</v>
      </c>
      <c r="H23" s="197" t="s">
        <v>174</v>
      </c>
      <c r="I23" s="197"/>
      <c r="R23" s="51"/>
      <c r="S23" s="51"/>
      <c r="U23" s="51"/>
      <c r="V23" s="51"/>
      <c r="W23" s="51"/>
      <c r="X23" s="51"/>
      <c r="Y23" s="51"/>
      <c r="Z23" s="51"/>
      <c r="AA23" s="51"/>
      <c r="AB23" s="51"/>
      <c r="AF23" s="58" t="s">
        <v>363</v>
      </c>
    </row>
    <row r="24" spans="5:51">
      <c r="E24" t="s">
        <v>173</v>
      </c>
      <c r="F24" t="s">
        <v>187</v>
      </c>
      <c r="G24" s="108" t="s">
        <v>77</v>
      </c>
      <c r="H24" s="197" t="s">
        <v>175</v>
      </c>
      <c r="I24" s="197"/>
      <c r="R24" s="51"/>
      <c r="S24" s="51"/>
      <c r="U24" s="51"/>
      <c r="V24" s="51"/>
      <c r="W24" s="51"/>
      <c r="X24" s="51"/>
      <c r="Y24" s="51"/>
      <c r="Z24" s="51"/>
      <c r="AA24" s="51"/>
      <c r="AB24" s="51"/>
      <c r="AF24" t="s">
        <v>303</v>
      </c>
      <c r="AG24" t="s">
        <v>90</v>
      </c>
      <c r="AH24" t="s">
        <v>304</v>
      </c>
      <c r="AI24" t="s">
        <v>314</v>
      </c>
      <c r="AJ24" t="s">
        <v>305</v>
      </c>
      <c r="AK24" t="s">
        <v>315</v>
      </c>
      <c r="AL24" s="55" t="s">
        <v>19</v>
      </c>
      <c r="AO24" t="s">
        <v>85</v>
      </c>
      <c r="AP24" t="s">
        <v>306</v>
      </c>
      <c r="AQ24" t="s">
        <v>303</v>
      </c>
      <c r="AR24" t="s">
        <v>215</v>
      </c>
      <c r="AS24" t="s">
        <v>307</v>
      </c>
      <c r="AT24" t="s">
        <v>308</v>
      </c>
      <c r="AU24" t="s">
        <v>309</v>
      </c>
      <c r="AV24" t="s">
        <v>310</v>
      </c>
      <c r="AW24" t="s">
        <v>311</v>
      </c>
      <c r="AX24" t="s">
        <v>312</v>
      </c>
    </row>
    <row r="25" spans="5:51">
      <c r="E25" t="s">
        <v>137</v>
      </c>
      <c r="G25" s="108" t="s">
        <v>77</v>
      </c>
      <c r="H25" s="197" t="s">
        <v>176</v>
      </c>
      <c r="I25" s="197"/>
      <c r="R25" s="51"/>
      <c r="S25" s="51"/>
      <c r="U25" s="51"/>
      <c r="V25" s="51"/>
      <c r="W25" s="51"/>
      <c r="X25" s="51"/>
      <c r="Y25" s="51"/>
      <c r="Z25" s="51"/>
      <c r="AA25" s="51"/>
      <c r="AB25" s="51"/>
      <c r="AF25" s="51">
        <v>1</v>
      </c>
      <c r="AG25" s="53">
        <v>30.5</v>
      </c>
      <c r="AH25" s="51">
        <v>0</v>
      </c>
      <c r="AI25" s="51">
        <v>0</v>
      </c>
      <c r="AJ25" s="51">
        <v>0</v>
      </c>
      <c r="AK25" s="51" t="b">
        <v>0</v>
      </c>
      <c r="AL25" s="51"/>
      <c r="AM25" s="51"/>
      <c r="AN25" s="51"/>
      <c r="AO25" s="51" t="s">
        <v>71</v>
      </c>
      <c r="AP25" s="51" t="s">
        <v>268</v>
      </c>
      <c r="AQ25" s="51">
        <v>1</v>
      </c>
      <c r="AR25" s="53">
        <v>10</v>
      </c>
      <c r="AS25" s="51">
        <v>100</v>
      </c>
      <c r="AT25" s="51">
        <v>0.9</v>
      </c>
      <c r="AU25" s="51">
        <v>2</v>
      </c>
      <c r="AV25" s="51">
        <v>0</v>
      </c>
      <c r="AW25" s="51">
        <v>7850</v>
      </c>
      <c r="AX25" s="51" t="s">
        <v>269</v>
      </c>
      <c r="AY25" s="51"/>
    </row>
    <row r="26" spans="5:51">
      <c r="E26" t="s">
        <v>138</v>
      </c>
      <c r="G26" s="108" t="s">
        <v>77</v>
      </c>
      <c r="H26" s="197" t="s">
        <v>177</v>
      </c>
      <c r="I26" s="197"/>
      <c r="R26" s="51"/>
      <c r="S26" s="51"/>
      <c r="U26" s="51"/>
      <c r="V26" s="51"/>
      <c r="W26" s="51"/>
      <c r="X26" s="51"/>
      <c r="Y26" s="51"/>
      <c r="Z26" s="51"/>
      <c r="AA26" s="51"/>
      <c r="AB26" s="51"/>
      <c r="AF26" s="51">
        <v>2</v>
      </c>
      <c r="AG26" s="53">
        <v>20.5</v>
      </c>
      <c r="AH26" s="51">
        <v>0</v>
      </c>
      <c r="AI26" s="51">
        <v>0</v>
      </c>
      <c r="AJ26" s="51">
        <v>0</v>
      </c>
      <c r="AK26" s="51" t="b">
        <v>0</v>
      </c>
      <c r="AL26" s="51"/>
      <c r="AM26" s="51"/>
      <c r="AN26" s="51"/>
      <c r="AO26" s="51" t="s">
        <v>71</v>
      </c>
      <c r="AP26" s="51" t="s">
        <v>270</v>
      </c>
      <c r="AQ26" s="51">
        <v>2</v>
      </c>
      <c r="AR26" s="53">
        <v>10</v>
      </c>
      <c r="AS26" s="51">
        <v>100</v>
      </c>
      <c r="AT26" s="51">
        <v>0.9</v>
      </c>
      <c r="AU26" s="51">
        <v>2</v>
      </c>
      <c r="AV26" s="51">
        <v>0</v>
      </c>
      <c r="AW26" s="51">
        <v>7850</v>
      </c>
      <c r="AX26" s="51" t="s">
        <v>269</v>
      </c>
      <c r="AY26" s="51"/>
    </row>
    <row r="27" spans="5:51">
      <c r="E27" t="s">
        <v>139</v>
      </c>
      <c r="G27" s="108" t="s">
        <v>77</v>
      </c>
      <c r="H27" s="197" t="s">
        <v>178</v>
      </c>
      <c r="I27" s="197"/>
      <c r="R27" s="51"/>
      <c r="S27" s="51"/>
      <c r="U27" s="51"/>
      <c r="V27" s="51"/>
      <c r="W27" s="51"/>
      <c r="X27" s="51"/>
      <c r="Y27" s="51"/>
      <c r="Z27" s="51"/>
      <c r="AA27" s="51"/>
      <c r="AB27" s="51"/>
      <c r="AF27" s="51">
        <v>3</v>
      </c>
      <c r="AG27" s="53">
        <v>20.25</v>
      </c>
      <c r="AH27" s="51">
        <v>0</v>
      </c>
      <c r="AI27" s="51">
        <v>0</v>
      </c>
      <c r="AJ27" s="51">
        <v>7461</v>
      </c>
      <c r="AK27" s="51" t="b">
        <v>0</v>
      </c>
      <c r="AL27" s="51" t="s">
        <v>378</v>
      </c>
      <c r="AM27" s="51"/>
      <c r="AN27" s="51"/>
      <c r="AO27" s="51" t="s">
        <v>83</v>
      </c>
      <c r="AP27" s="51" t="s">
        <v>271</v>
      </c>
      <c r="AQ27" s="51">
        <v>2</v>
      </c>
      <c r="AR27" s="53">
        <v>7.5</v>
      </c>
      <c r="AS27" s="51">
        <v>86</v>
      </c>
      <c r="AT27" s="51">
        <v>0.9</v>
      </c>
      <c r="AU27" s="51">
        <v>2</v>
      </c>
      <c r="AV27" s="51">
        <v>0</v>
      </c>
      <c r="AW27" s="51">
        <v>7850</v>
      </c>
      <c r="AX27" s="51" t="s">
        <v>269</v>
      </c>
      <c r="AY27" s="51"/>
    </row>
    <row r="28" spans="5:51">
      <c r="E28" t="s">
        <v>140</v>
      </c>
      <c r="G28" s="108" t="s">
        <v>77</v>
      </c>
      <c r="H28" s="197" t="s">
        <v>179</v>
      </c>
      <c r="I28" s="197"/>
      <c r="R28" s="51"/>
      <c r="S28" s="51"/>
      <c r="U28" s="51"/>
      <c r="V28" s="51"/>
      <c r="W28" s="51"/>
      <c r="X28" s="51"/>
      <c r="Y28" s="51"/>
      <c r="Z28" s="51"/>
      <c r="AA28" s="51"/>
      <c r="AB28" s="51"/>
      <c r="AF28" s="51">
        <v>4</v>
      </c>
      <c r="AG28" s="53">
        <v>17.8</v>
      </c>
      <c r="AH28" s="51">
        <v>0</v>
      </c>
      <c r="AI28" s="51">
        <v>0</v>
      </c>
      <c r="AJ28" s="51">
        <v>0</v>
      </c>
      <c r="AK28" s="51" t="b">
        <v>0</v>
      </c>
      <c r="AL28" s="51"/>
      <c r="AM28" s="51"/>
      <c r="AN28" s="51"/>
      <c r="AO28" s="51" t="s">
        <v>83</v>
      </c>
      <c r="AP28" s="51" t="s">
        <v>272</v>
      </c>
      <c r="AQ28" s="51">
        <v>3</v>
      </c>
      <c r="AR28" s="53">
        <v>7.5</v>
      </c>
      <c r="AS28" s="51">
        <v>86</v>
      </c>
      <c r="AT28" s="51">
        <v>0.9</v>
      </c>
      <c r="AU28" s="51">
        <v>2</v>
      </c>
      <c r="AV28" s="51">
        <v>0</v>
      </c>
      <c r="AW28" s="51">
        <v>7850</v>
      </c>
      <c r="AX28" s="51" t="s">
        <v>269</v>
      </c>
      <c r="AY28" s="51"/>
    </row>
    <row r="29" spans="5:51">
      <c r="E29" t="s">
        <v>141</v>
      </c>
      <c r="G29" s="108" t="s">
        <v>77</v>
      </c>
      <c r="H29" s="197" t="s">
        <v>180</v>
      </c>
      <c r="I29" s="197"/>
      <c r="AF29" s="51">
        <v>5</v>
      </c>
      <c r="AG29" s="53">
        <v>14.8</v>
      </c>
      <c r="AH29" s="51">
        <v>0</v>
      </c>
      <c r="AI29" s="51">
        <v>0</v>
      </c>
      <c r="AJ29" s="51">
        <v>0</v>
      </c>
      <c r="AK29" s="51" t="b">
        <v>0</v>
      </c>
      <c r="AL29" s="51"/>
      <c r="AM29" s="51"/>
      <c r="AN29" s="51"/>
      <c r="AO29" s="51" t="s">
        <v>83</v>
      </c>
      <c r="AP29" s="51" t="s">
        <v>273</v>
      </c>
      <c r="AQ29" s="51">
        <v>3</v>
      </c>
      <c r="AR29" s="53">
        <v>7.5</v>
      </c>
      <c r="AS29" s="51">
        <v>86</v>
      </c>
      <c r="AT29" s="51">
        <v>0.9</v>
      </c>
      <c r="AU29" s="51">
        <v>2</v>
      </c>
      <c r="AV29" s="51">
        <v>0</v>
      </c>
      <c r="AW29" s="51">
        <v>7850</v>
      </c>
      <c r="AX29" s="51" t="s">
        <v>269</v>
      </c>
      <c r="AY29" s="51"/>
    </row>
    <row r="30" spans="5:51">
      <c r="E30" t="s">
        <v>142</v>
      </c>
      <c r="G30" s="108" t="s">
        <v>77</v>
      </c>
      <c r="H30" s="197" t="s">
        <v>181</v>
      </c>
      <c r="I30" s="197"/>
      <c r="AF30" s="51">
        <v>6</v>
      </c>
      <c r="AG30" s="53">
        <v>10.8</v>
      </c>
      <c r="AH30" s="51">
        <v>0</v>
      </c>
      <c r="AI30" s="51">
        <v>0</v>
      </c>
      <c r="AJ30" s="51">
        <v>0</v>
      </c>
      <c r="AK30" s="51" t="b">
        <v>0</v>
      </c>
      <c r="AL30" s="51"/>
      <c r="AM30" s="51"/>
      <c r="AN30" s="51"/>
      <c r="AO30" s="51" t="s">
        <v>83</v>
      </c>
      <c r="AP30" s="51" t="s">
        <v>274</v>
      </c>
      <c r="AQ30" s="51">
        <v>4</v>
      </c>
      <c r="AR30" s="53">
        <v>7.5</v>
      </c>
      <c r="AS30" s="51">
        <v>86</v>
      </c>
      <c r="AT30" s="51">
        <v>0.9</v>
      </c>
      <c r="AU30" s="51">
        <v>2</v>
      </c>
      <c r="AV30" s="51">
        <v>0</v>
      </c>
      <c r="AW30" s="51">
        <v>7850</v>
      </c>
      <c r="AX30" s="51" t="s">
        <v>269</v>
      </c>
      <c r="AY30" s="51"/>
    </row>
    <row r="31" spans="5:51">
      <c r="E31" t="s">
        <v>143</v>
      </c>
      <c r="G31" s="108" t="s">
        <v>77</v>
      </c>
      <c r="H31" s="197">
        <v>501</v>
      </c>
      <c r="I31" s="197"/>
      <c r="AF31" s="51">
        <v>7</v>
      </c>
      <c r="AG31" s="53">
        <v>7.3</v>
      </c>
      <c r="AH31" s="51">
        <v>0</v>
      </c>
      <c r="AI31" s="51">
        <v>0</v>
      </c>
      <c r="AJ31" s="51">
        <v>0</v>
      </c>
      <c r="AK31" s="51" t="b">
        <v>0</v>
      </c>
      <c r="AL31" s="51"/>
      <c r="AM31" s="51"/>
      <c r="AN31" s="51"/>
      <c r="AO31" s="51" t="s">
        <v>83</v>
      </c>
      <c r="AP31" s="51" t="s">
        <v>275</v>
      </c>
      <c r="AQ31" s="51">
        <v>4</v>
      </c>
      <c r="AR31" s="53">
        <v>7.5</v>
      </c>
      <c r="AS31" s="51">
        <v>88</v>
      </c>
      <c r="AT31" s="51">
        <v>0.9</v>
      </c>
      <c r="AU31" s="51">
        <v>2</v>
      </c>
      <c r="AV31" s="51">
        <v>0</v>
      </c>
      <c r="AW31" s="51">
        <v>7850</v>
      </c>
      <c r="AX31" s="51" t="s">
        <v>269</v>
      </c>
      <c r="AY31" s="51"/>
    </row>
    <row r="32" spans="5:51">
      <c r="E32" t="s">
        <v>144</v>
      </c>
      <c r="G32" s="51" t="s">
        <v>205</v>
      </c>
      <c r="H32" s="197">
        <v>4630000000</v>
      </c>
      <c r="I32" s="197"/>
      <c r="AF32" s="51">
        <v>8</v>
      </c>
      <c r="AG32" s="53">
        <v>4.3</v>
      </c>
      <c r="AH32" s="51">
        <v>0</v>
      </c>
      <c r="AI32" s="51">
        <v>0</v>
      </c>
      <c r="AJ32" s="51">
        <v>0</v>
      </c>
      <c r="AK32" s="51" t="b">
        <v>0</v>
      </c>
      <c r="AL32" s="51"/>
      <c r="AM32" s="51"/>
      <c r="AN32" s="51"/>
      <c r="AO32" s="51" t="s">
        <v>83</v>
      </c>
      <c r="AP32" s="51" t="s">
        <v>276</v>
      </c>
      <c r="AQ32" s="51">
        <v>5</v>
      </c>
      <c r="AR32" s="53">
        <v>7.5</v>
      </c>
      <c r="AS32" s="51">
        <v>88</v>
      </c>
      <c r="AT32" s="51">
        <v>0.9</v>
      </c>
      <c r="AU32" s="51">
        <v>2</v>
      </c>
      <c r="AV32" s="51">
        <v>0</v>
      </c>
      <c r="AW32" s="51">
        <v>7850</v>
      </c>
      <c r="AX32" s="51" t="s">
        <v>269</v>
      </c>
      <c r="AY32" s="51"/>
    </row>
    <row r="33" spans="5:51">
      <c r="E33" t="s">
        <v>145</v>
      </c>
      <c r="G33" s="51" t="s">
        <v>205</v>
      </c>
      <c r="H33" s="197">
        <v>900000000000</v>
      </c>
      <c r="I33" s="197"/>
      <c r="AF33" s="51">
        <v>9</v>
      </c>
      <c r="AG33" s="53">
        <v>1.4</v>
      </c>
      <c r="AH33" s="51">
        <v>0</v>
      </c>
      <c r="AI33" s="51">
        <v>0</v>
      </c>
      <c r="AJ33" s="51">
        <v>0</v>
      </c>
      <c r="AK33" s="51" t="b">
        <v>0</v>
      </c>
      <c r="AL33" s="51"/>
      <c r="AM33" s="51"/>
      <c r="AN33" s="51"/>
      <c r="AO33" s="51" t="s">
        <v>83</v>
      </c>
      <c r="AP33" s="51" t="s">
        <v>277</v>
      </c>
      <c r="AQ33" s="51">
        <v>5</v>
      </c>
      <c r="AR33" s="53">
        <v>7.5</v>
      </c>
      <c r="AS33" s="51">
        <v>92</v>
      </c>
      <c r="AT33" s="51">
        <v>0.9</v>
      </c>
      <c r="AU33" s="51">
        <v>2</v>
      </c>
      <c r="AV33" s="51">
        <v>0</v>
      </c>
      <c r="AW33" s="51">
        <v>7850</v>
      </c>
      <c r="AX33" s="51" t="s">
        <v>269</v>
      </c>
      <c r="AY33" s="51"/>
    </row>
    <row r="34" spans="5:51">
      <c r="E34" t="s">
        <v>146</v>
      </c>
      <c r="G34" s="51" t="s">
        <v>205</v>
      </c>
      <c r="H34" s="197">
        <v>-46200000000</v>
      </c>
      <c r="I34" s="197"/>
      <c r="AF34" s="51">
        <v>10</v>
      </c>
      <c r="AG34" s="53">
        <v>1.2990000000000002</v>
      </c>
      <c r="AH34" s="51">
        <v>0</v>
      </c>
      <c r="AI34" s="51">
        <v>0</v>
      </c>
      <c r="AJ34" s="51">
        <v>3794</v>
      </c>
      <c r="AK34" s="51" t="b">
        <v>1</v>
      </c>
      <c r="AL34" s="51" t="s">
        <v>380</v>
      </c>
      <c r="AM34" s="51"/>
      <c r="AN34" s="51"/>
      <c r="AO34" s="51" t="s">
        <v>83</v>
      </c>
      <c r="AP34" s="51" t="s">
        <v>278</v>
      </c>
      <c r="AQ34" s="51">
        <v>6</v>
      </c>
      <c r="AR34" s="53">
        <v>7.5</v>
      </c>
      <c r="AS34" s="51">
        <v>92</v>
      </c>
      <c r="AT34" s="51">
        <v>0.9</v>
      </c>
      <c r="AU34" s="51">
        <v>2</v>
      </c>
      <c r="AV34" s="51">
        <v>0</v>
      </c>
      <c r="AW34" s="51">
        <v>7850</v>
      </c>
      <c r="AX34" s="51" t="s">
        <v>269</v>
      </c>
      <c r="AY34" s="51"/>
    </row>
    <row r="35" spans="5:51">
      <c r="E35" t="s">
        <v>147</v>
      </c>
      <c r="G35" s="51" t="s">
        <v>206</v>
      </c>
      <c r="H35" s="197">
        <v>170000</v>
      </c>
      <c r="I35" s="197"/>
      <c r="AF35" s="51">
        <v>11</v>
      </c>
      <c r="AG35" s="53">
        <v>-2.1</v>
      </c>
      <c r="AH35" s="51">
        <v>0</v>
      </c>
      <c r="AI35" s="51">
        <v>0</v>
      </c>
      <c r="AJ35" s="51">
        <v>0</v>
      </c>
      <c r="AK35" s="51" t="b">
        <v>0</v>
      </c>
      <c r="AL35" s="51"/>
      <c r="AM35" s="51"/>
      <c r="AN35" s="51"/>
      <c r="AO35" s="51" t="s">
        <v>83</v>
      </c>
      <c r="AP35" s="51" t="s">
        <v>279</v>
      </c>
      <c r="AQ35" s="51">
        <v>6</v>
      </c>
      <c r="AR35" s="53">
        <v>7.5</v>
      </c>
      <c r="AS35" s="51">
        <v>100</v>
      </c>
      <c r="AT35" s="51">
        <v>0.9</v>
      </c>
      <c r="AU35" s="51">
        <v>2</v>
      </c>
      <c r="AV35" s="51">
        <v>0</v>
      </c>
      <c r="AW35" s="51">
        <v>7850</v>
      </c>
      <c r="AX35" s="51" t="s">
        <v>269</v>
      </c>
      <c r="AY35" s="51"/>
    </row>
    <row r="36" spans="5:51">
      <c r="E36" t="s">
        <v>148</v>
      </c>
      <c r="G36" s="51" t="s">
        <v>206</v>
      </c>
      <c r="H36" s="197">
        <v>360000000</v>
      </c>
      <c r="I36" s="197"/>
      <c r="AF36" s="51">
        <v>12</v>
      </c>
      <c r="AG36" s="53">
        <v>-5.6</v>
      </c>
      <c r="AH36" s="51">
        <v>0</v>
      </c>
      <c r="AI36" s="51">
        <v>0</v>
      </c>
      <c r="AJ36" s="51">
        <v>0</v>
      </c>
      <c r="AK36" s="51" t="b">
        <v>0</v>
      </c>
      <c r="AL36" s="51"/>
      <c r="AM36" s="51"/>
      <c r="AN36" s="51"/>
      <c r="AO36" s="51" t="s">
        <v>83</v>
      </c>
      <c r="AP36" s="51" t="s">
        <v>280</v>
      </c>
      <c r="AQ36" s="51">
        <v>7</v>
      </c>
      <c r="AR36" s="53">
        <v>7.5</v>
      </c>
      <c r="AS36" s="51">
        <v>100</v>
      </c>
      <c r="AT36" s="51">
        <v>0.9</v>
      </c>
      <c r="AU36" s="51">
        <v>2</v>
      </c>
      <c r="AV36" s="51">
        <v>0</v>
      </c>
      <c r="AW36" s="51">
        <v>7850</v>
      </c>
      <c r="AX36" s="51" t="s">
        <v>269</v>
      </c>
      <c r="AY36" s="51"/>
    </row>
    <row r="37" spans="5:51">
      <c r="E37" t="s">
        <v>149</v>
      </c>
      <c r="G37" s="51" t="s">
        <v>206</v>
      </c>
      <c r="H37" s="197">
        <v>0</v>
      </c>
      <c r="I37" s="197"/>
      <c r="AF37" s="51">
        <v>13</v>
      </c>
      <c r="AG37" s="53">
        <v>-6.2</v>
      </c>
      <c r="AH37" s="51">
        <v>0</v>
      </c>
      <c r="AI37" s="51">
        <v>0</v>
      </c>
      <c r="AJ37" s="51">
        <v>5989</v>
      </c>
      <c r="AK37" s="51" t="b">
        <v>1</v>
      </c>
      <c r="AL37" s="51" t="s">
        <v>381</v>
      </c>
      <c r="AM37" s="51"/>
      <c r="AN37" s="51"/>
      <c r="AO37" s="51" t="s">
        <v>83</v>
      </c>
      <c r="AP37" s="51" t="s">
        <v>281</v>
      </c>
      <c r="AQ37" s="51">
        <v>7</v>
      </c>
      <c r="AR37" s="53">
        <v>7.5</v>
      </c>
      <c r="AS37" s="51">
        <v>60</v>
      </c>
      <c r="AT37" s="51">
        <v>0.9</v>
      </c>
      <c r="AU37" s="51">
        <v>2</v>
      </c>
      <c r="AV37" s="51">
        <v>0</v>
      </c>
      <c r="AW37" s="51">
        <v>7850</v>
      </c>
      <c r="AX37" s="51" t="s">
        <v>269</v>
      </c>
      <c r="AY37" s="51"/>
    </row>
    <row r="38" spans="5:51">
      <c r="E38" t="s">
        <v>150</v>
      </c>
      <c r="G38" s="108"/>
      <c r="H38" s="197">
        <v>2</v>
      </c>
      <c r="I38" s="197"/>
      <c r="AF38" s="51">
        <v>14</v>
      </c>
      <c r="AG38" s="53">
        <v>-9.1</v>
      </c>
      <c r="AH38" s="51">
        <v>0</v>
      </c>
      <c r="AI38" s="51">
        <v>0</v>
      </c>
      <c r="AJ38" s="51">
        <v>0</v>
      </c>
      <c r="AK38" s="51" t="b">
        <v>0</v>
      </c>
      <c r="AL38" s="51"/>
      <c r="AM38" s="51"/>
      <c r="AN38" s="51"/>
      <c r="AO38" s="51" t="s">
        <v>83</v>
      </c>
      <c r="AP38" s="51" t="s">
        <v>282</v>
      </c>
      <c r="AQ38" s="51">
        <v>8</v>
      </c>
      <c r="AR38" s="53">
        <v>7.5</v>
      </c>
      <c r="AS38" s="51">
        <v>60</v>
      </c>
      <c r="AT38" s="51">
        <v>0.9</v>
      </c>
      <c r="AU38" s="51">
        <v>2</v>
      </c>
      <c r="AV38" s="51">
        <v>0</v>
      </c>
      <c r="AW38" s="51">
        <v>7850</v>
      </c>
      <c r="AX38" s="51" t="s">
        <v>269</v>
      </c>
      <c r="AY38" s="51"/>
    </row>
    <row r="39" spans="5:51">
      <c r="E39" t="s">
        <v>210</v>
      </c>
      <c r="G39" s="108"/>
      <c r="H39" s="197">
        <v>10</v>
      </c>
      <c r="I39" s="197"/>
      <c r="AF39" s="51">
        <v>15</v>
      </c>
      <c r="AG39" s="53">
        <v>-12.6</v>
      </c>
      <c r="AH39" s="51">
        <v>0</v>
      </c>
      <c r="AI39" s="51">
        <v>0</v>
      </c>
      <c r="AJ39" s="51">
        <v>0</v>
      </c>
      <c r="AK39" s="51" t="b">
        <v>0</v>
      </c>
      <c r="AL39" s="51"/>
      <c r="AM39" s="51"/>
      <c r="AN39" s="51"/>
      <c r="AO39" s="51" t="s">
        <v>83</v>
      </c>
      <c r="AP39" s="51" t="s">
        <v>283</v>
      </c>
      <c r="AQ39" s="51">
        <v>8</v>
      </c>
      <c r="AR39" s="53">
        <v>7.5</v>
      </c>
      <c r="AS39" s="51">
        <v>60</v>
      </c>
      <c r="AT39" s="51">
        <v>0.9</v>
      </c>
      <c r="AU39" s="51">
        <v>2</v>
      </c>
      <c r="AV39" s="51">
        <v>0</v>
      </c>
      <c r="AW39" s="51">
        <v>7850</v>
      </c>
      <c r="AX39" s="51" t="s">
        <v>269</v>
      </c>
      <c r="AY39" s="51"/>
    </row>
    <row r="40" spans="5:51">
      <c r="E40" t="s">
        <v>151</v>
      </c>
      <c r="G40" s="108" t="s">
        <v>206</v>
      </c>
      <c r="H40" s="197">
        <v>1</v>
      </c>
      <c r="I40" s="197"/>
      <c r="AF40" s="51">
        <v>16</v>
      </c>
      <c r="AG40" s="53">
        <v>-16.100000000000001</v>
      </c>
      <c r="AH40" s="51">
        <v>0</v>
      </c>
      <c r="AI40" s="51">
        <v>0</v>
      </c>
      <c r="AJ40" s="51">
        <v>0</v>
      </c>
      <c r="AK40" s="51" t="b">
        <v>0</v>
      </c>
      <c r="AL40" s="51"/>
      <c r="AM40" s="51"/>
      <c r="AN40" s="51"/>
      <c r="AO40" s="51" t="s">
        <v>83</v>
      </c>
      <c r="AP40" s="51" t="s">
        <v>284</v>
      </c>
      <c r="AQ40" s="51">
        <v>9</v>
      </c>
      <c r="AR40" s="53">
        <v>7.5</v>
      </c>
      <c r="AS40" s="51">
        <v>60</v>
      </c>
      <c r="AT40" s="51">
        <v>0.9</v>
      </c>
      <c r="AU40" s="51">
        <v>2</v>
      </c>
      <c r="AV40" s="51">
        <v>150</v>
      </c>
      <c r="AW40" s="51">
        <v>7850</v>
      </c>
      <c r="AX40" s="51" t="s">
        <v>269</v>
      </c>
      <c r="AY40" s="51"/>
    </row>
    <row r="41" spans="5:51">
      <c r="E41" t="s">
        <v>152</v>
      </c>
      <c r="G41" s="108" t="s">
        <v>207</v>
      </c>
      <c r="H41" s="197">
        <v>1027</v>
      </c>
      <c r="I41" s="197"/>
      <c r="AF41" s="51">
        <v>17</v>
      </c>
      <c r="AG41" s="53">
        <v>-19.600000000000001</v>
      </c>
      <c r="AH41" s="51">
        <v>0</v>
      </c>
      <c r="AI41" s="51">
        <v>0</v>
      </c>
      <c r="AJ41" s="51">
        <v>0</v>
      </c>
      <c r="AK41" s="51" t="b">
        <v>0</v>
      </c>
      <c r="AL41" s="51"/>
      <c r="AM41" s="51"/>
      <c r="AN41" s="51"/>
      <c r="AO41" s="51" t="s">
        <v>69</v>
      </c>
      <c r="AP41" s="51" t="s">
        <v>285</v>
      </c>
      <c r="AQ41" s="51">
        <v>9</v>
      </c>
      <c r="AR41" s="53">
        <v>7.3817181626604764</v>
      </c>
      <c r="AS41" s="51">
        <v>60</v>
      </c>
      <c r="AT41" s="51">
        <v>0.9</v>
      </c>
      <c r="AU41" s="51">
        <v>2</v>
      </c>
      <c r="AV41" s="51">
        <v>150</v>
      </c>
      <c r="AW41" s="51">
        <v>7850</v>
      </c>
      <c r="AX41" s="51" t="s">
        <v>269</v>
      </c>
      <c r="AY41" s="51"/>
    </row>
    <row r="42" spans="5:51">
      <c r="E42" t="s">
        <v>190</v>
      </c>
      <c r="F42" t="s">
        <v>186</v>
      </c>
      <c r="G42" s="108" t="s">
        <v>114</v>
      </c>
      <c r="H42" s="197" t="s">
        <v>182</v>
      </c>
      <c r="I42" s="197" t="s">
        <v>198</v>
      </c>
      <c r="AF42" s="51">
        <v>18</v>
      </c>
      <c r="AG42" s="53">
        <v>-23.1</v>
      </c>
      <c r="AH42" s="51">
        <v>0</v>
      </c>
      <c r="AI42" s="51">
        <v>0</v>
      </c>
      <c r="AJ42" s="51">
        <v>0</v>
      </c>
      <c r="AK42" s="51" t="b">
        <v>0</v>
      </c>
      <c r="AL42" s="51"/>
      <c r="AM42" s="51"/>
      <c r="AN42" s="51"/>
      <c r="AO42" s="51" t="s">
        <v>69</v>
      </c>
      <c r="AP42" s="51" t="s">
        <v>286</v>
      </c>
      <c r="AQ42" s="51">
        <v>10</v>
      </c>
      <c r="AR42" s="53">
        <v>7.7546983296085257</v>
      </c>
      <c r="AS42" s="51">
        <v>60</v>
      </c>
      <c r="AT42" s="51">
        <v>0.9</v>
      </c>
      <c r="AU42" s="51">
        <v>2</v>
      </c>
      <c r="AV42" s="51">
        <v>150</v>
      </c>
      <c r="AW42" s="51">
        <v>7850</v>
      </c>
      <c r="AX42" s="51" t="s">
        <v>269</v>
      </c>
      <c r="AY42" s="51"/>
    </row>
    <row r="43" spans="5:51">
      <c r="E43" t="s">
        <v>191</v>
      </c>
      <c r="F43" t="s">
        <v>186</v>
      </c>
      <c r="G43" s="108" t="s">
        <v>114</v>
      </c>
      <c r="H43" s="197" t="s">
        <v>182</v>
      </c>
      <c r="I43" s="197"/>
      <c r="AF43" s="51"/>
      <c r="AG43" s="53"/>
      <c r="AH43" s="51"/>
      <c r="AI43" s="51"/>
      <c r="AJ43" s="51"/>
      <c r="AK43" s="51"/>
      <c r="AL43" s="51"/>
      <c r="AM43" s="51"/>
      <c r="AN43" s="51"/>
      <c r="AO43" s="51" t="s">
        <v>69</v>
      </c>
      <c r="AP43" s="51" t="s">
        <v>287</v>
      </c>
      <c r="AQ43" s="51">
        <v>10</v>
      </c>
      <c r="AR43" s="53">
        <v>7.3924813046209774</v>
      </c>
      <c r="AS43" s="51">
        <v>60</v>
      </c>
      <c r="AT43" s="51">
        <v>0.9</v>
      </c>
      <c r="AU43" s="51">
        <v>2</v>
      </c>
      <c r="AV43" s="51">
        <v>150</v>
      </c>
      <c r="AW43" s="51">
        <v>7850</v>
      </c>
      <c r="AX43" s="51" t="s">
        <v>269</v>
      </c>
      <c r="AY43" s="51"/>
    </row>
    <row r="44" spans="5:51">
      <c r="E44" t="s">
        <v>153</v>
      </c>
      <c r="G44" s="108" t="s">
        <v>207</v>
      </c>
      <c r="H44" s="197">
        <v>1325</v>
      </c>
      <c r="I44" s="197"/>
      <c r="AF44" s="51"/>
      <c r="AG44" s="53"/>
      <c r="AH44" s="51"/>
      <c r="AI44" s="51"/>
      <c r="AJ44" s="51"/>
      <c r="AK44" s="51"/>
      <c r="AL44" s="51"/>
      <c r="AM44" s="51"/>
      <c r="AN44" s="51"/>
      <c r="AO44" s="51" t="s">
        <v>69</v>
      </c>
      <c r="AP44" s="51" t="s">
        <v>288</v>
      </c>
      <c r="AQ44" s="51">
        <v>11</v>
      </c>
      <c r="AR44" s="53">
        <v>7.7546983296085257</v>
      </c>
      <c r="AS44" s="51">
        <v>60</v>
      </c>
      <c r="AT44" s="51">
        <v>0.9</v>
      </c>
      <c r="AU44" s="51">
        <v>2</v>
      </c>
      <c r="AV44" s="51">
        <v>150</v>
      </c>
      <c r="AW44" s="51">
        <v>7850</v>
      </c>
      <c r="AX44" s="51" t="s">
        <v>269</v>
      </c>
      <c r="AY44" s="51"/>
    </row>
    <row r="45" spans="5:51">
      <c r="E45" t="s">
        <v>154</v>
      </c>
      <c r="G45" s="108"/>
      <c r="H45" s="197">
        <v>2</v>
      </c>
      <c r="I45" s="197"/>
      <c r="AF45" s="51"/>
      <c r="AG45" s="53"/>
      <c r="AH45" s="51"/>
      <c r="AI45" s="51"/>
      <c r="AJ45" s="51"/>
      <c r="AK45" s="51"/>
      <c r="AL45" s="51"/>
      <c r="AM45" s="51"/>
      <c r="AN45" s="51"/>
      <c r="AO45" s="51" t="s">
        <v>69</v>
      </c>
      <c r="AP45" s="51" t="s">
        <v>289</v>
      </c>
      <c r="AQ45" s="51">
        <v>11</v>
      </c>
      <c r="AR45" s="53">
        <v>7.7546983296085257</v>
      </c>
      <c r="AS45" s="51">
        <v>62</v>
      </c>
      <c r="AT45" s="51">
        <v>0.9</v>
      </c>
      <c r="AU45" s="51">
        <v>2</v>
      </c>
      <c r="AV45" s="51">
        <v>150</v>
      </c>
      <c r="AW45" s="51">
        <v>7850</v>
      </c>
      <c r="AX45" s="51" t="s">
        <v>269</v>
      </c>
      <c r="AY45" s="51"/>
    </row>
    <row r="46" spans="5:51">
      <c r="E46" t="s">
        <v>155</v>
      </c>
      <c r="G46" s="108"/>
      <c r="H46" s="197">
        <v>300</v>
      </c>
      <c r="I46" s="197"/>
      <c r="AF46" s="51"/>
      <c r="AG46" s="53"/>
      <c r="AH46" s="51"/>
      <c r="AI46" s="51"/>
      <c r="AJ46" s="51"/>
      <c r="AK46" s="51"/>
      <c r="AL46" s="51"/>
      <c r="AM46" s="51"/>
      <c r="AN46" s="51"/>
      <c r="AO46" s="51" t="s">
        <v>69</v>
      </c>
      <c r="AP46" s="51" t="s">
        <v>290</v>
      </c>
      <c r="AQ46" s="51">
        <v>12</v>
      </c>
      <c r="AR46" s="53">
        <v>8.1276784965565749</v>
      </c>
      <c r="AS46" s="51">
        <v>62</v>
      </c>
      <c r="AT46" s="51">
        <v>0.9</v>
      </c>
      <c r="AU46" s="51">
        <v>2</v>
      </c>
      <c r="AV46" s="51">
        <v>150</v>
      </c>
      <c r="AW46" s="51">
        <v>7850</v>
      </c>
      <c r="AX46" s="51" t="s">
        <v>269</v>
      </c>
      <c r="AY46" s="51"/>
    </row>
    <row r="47" spans="5:51">
      <c r="E47" t="s">
        <v>156</v>
      </c>
      <c r="G47" s="108"/>
      <c r="H47" s="197">
        <v>10</v>
      </c>
      <c r="I47" s="197"/>
      <c r="AF47" s="51"/>
      <c r="AG47" s="53"/>
      <c r="AH47" s="51"/>
      <c r="AI47" s="51"/>
      <c r="AJ47" s="51"/>
      <c r="AK47" s="51"/>
      <c r="AL47" s="51"/>
      <c r="AM47" s="51"/>
      <c r="AN47" s="51"/>
      <c r="AO47" s="51" t="s">
        <v>69</v>
      </c>
      <c r="AP47" s="51" t="s">
        <v>291</v>
      </c>
      <c r="AQ47" s="51">
        <v>12</v>
      </c>
      <c r="AR47" s="53">
        <v>8.1276784965565749</v>
      </c>
      <c r="AS47" s="51">
        <v>64</v>
      </c>
      <c r="AT47" s="51">
        <v>0.9</v>
      </c>
      <c r="AU47" s="51">
        <v>2</v>
      </c>
      <c r="AV47" s="51">
        <v>150</v>
      </c>
      <c r="AW47" s="51">
        <v>7850</v>
      </c>
      <c r="AX47" s="51" t="s">
        <v>269</v>
      </c>
      <c r="AY47" s="51"/>
    </row>
    <row r="48" spans="5:51">
      <c r="E48" t="s">
        <v>157</v>
      </c>
      <c r="G48" s="108" t="s">
        <v>198</v>
      </c>
      <c r="H48" s="197">
        <v>7.4999999999999997E-3</v>
      </c>
      <c r="I48" s="197"/>
      <c r="AF48" s="51"/>
      <c r="AG48" s="53"/>
      <c r="AH48" s="51"/>
      <c r="AI48" s="51"/>
      <c r="AJ48" s="51"/>
      <c r="AK48" s="51"/>
      <c r="AL48" s="51"/>
      <c r="AM48" s="51"/>
      <c r="AN48" s="51"/>
      <c r="AO48" s="51" t="s">
        <v>69</v>
      </c>
      <c r="AP48" s="51" t="s">
        <v>292</v>
      </c>
      <c r="AQ48" s="51">
        <v>13</v>
      </c>
      <c r="AR48" s="53">
        <v>8.5006586635046251</v>
      </c>
      <c r="AS48" s="51">
        <v>64</v>
      </c>
      <c r="AT48" s="51">
        <v>0.9</v>
      </c>
      <c r="AU48" s="51">
        <v>2</v>
      </c>
      <c r="AV48" s="51">
        <v>150</v>
      </c>
      <c r="AW48" s="51">
        <v>7850</v>
      </c>
      <c r="AX48" s="51" t="s">
        <v>269</v>
      </c>
      <c r="AY48" s="51"/>
    </row>
    <row r="49" spans="5:51">
      <c r="E49" t="s">
        <v>158</v>
      </c>
      <c r="G49" s="108" t="s">
        <v>198</v>
      </c>
      <c r="H49" s="197">
        <v>6.4000000000000003E-3</v>
      </c>
      <c r="I49" s="197"/>
      <c r="AF49" s="51"/>
      <c r="AG49" s="53"/>
      <c r="AH49" s="51"/>
      <c r="AI49" s="51"/>
      <c r="AJ49" s="51"/>
      <c r="AK49" s="51"/>
      <c r="AL49" s="51"/>
      <c r="AM49" s="51"/>
      <c r="AN49" s="51"/>
      <c r="AO49" s="51" t="s">
        <v>69</v>
      </c>
      <c r="AP49" s="51" t="s">
        <v>293</v>
      </c>
      <c r="AQ49" s="51">
        <v>13</v>
      </c>
      <c r="AR49" s="53">
        <v>8.1916179537476701</v>
      </c>
      <c r="AS49" s="51">
        <v>64</v>
      </c>
      <c r="AT49" s="51">
        <v>0.9</v>
      </c>
      <c r="AU49" s="51">
        <v>2</v>
      </c>
      <c r="AV49" s="51">
        <v>150</v>
      </c>
      <c r="AW49" s="51">
        <v>7850</v>
      </c>
      <c r="AX49" s="51" t="s">
        <v>269</v>
      </c>
      <c r="AY49" s="51"/>
    </row>
    <row r="50" spans="5:51">
      <c r="E50" t="s">
        <v>159</v>
      </c>
      <c r="G50" s="108" t="s">
        <v>208</v>
      </c>
      <c r="H50" s="197">
        <v>36</v>
      </c>
      <c r="I50" s="197"/>
      <c r="AF50" s="51"/>
      <c r="AG50" s="53"/>
      <c r="AH50" s="51"/>
      <c r="AI50" s="51"/>
      <c r="AJ50" s="51"/>
      <c r="AK50" s="51"/>
      <c r="AL50" s="51"/>
      <c r="AM50" s="51"/>
      <c r="AN50" s="51"/>
      <c r="AO50" s="51" t="s">
        <v>69</v>
      </c>
      <c r="AP50" s="51" t="s">
        <v>294</v>
      </c>
      <c r="AQ50" s="51">
        <v>14</v>
      </c>
      <c r="AR50" s="53">
        <v>8.5006586635046251</v>
      </c>
      <c r="AS50" s="51">
        <v>64</v>
      </c>
      <c r="AT50" s="51">
        <v>0.9</v>
      </c>
      <c r="AU50" s="51">
        <v>2</v>
      </c>
      <c r="AV50" s="51">
        <v>100</v>
      </c>
      <c r="AW50" s="51">
        <v>7850</v>
      </c>
      <c r="AX50" s="51" t="s">
        <v>269</v>
      </c>
      <c r="AY50" s="51"/>
    </row>
    <row r="51" spans="5:51">
      <c r="E51" t="s">
        <v>162</v>
      </c>
      <c r="G51" s="108" t="s">
        <v>198</v>
      </c>
      <c r="H51" s="197">
        <v>5</v>
      </c>
      <c r="I51" s="197" t="s">
        <v>199</v>
      </c>
      <c r="AF51" s="51"/>
      <c r="AG51" s="53"/>
      <c r="AH51" s="51"/>
      <c r="AI51" s="51"/>
      <c r="AJ51" s="51"/>
      <c r="AK51" s="51"/>
      <c r="AL51" s="51"/>
      <c r="AM51" s="51"/>
      <c r="AN51" s="51"/>
      <c r="AO51" s="51" t="s">
        <v>69</v>
      </c>
      <c r="AP51" s="51" t="s">
        <v>295</v>
      </c>
      <c r="AQ51" s="51">
        <v>14</v>
      </c>
      <c r="AR51" s="53">
        <v>8.5006586635046251</v>
      </c>
      <c r="AS51" s="51">
        <v>66</v>
      </c>
      <c r="AT51" s="51">
        <v>0.9</v>
      </c>
      <c r="AU51" s="51">
        <v>2</v>
      </c>
      <c r="AV51" s="51">
        <v>100</v>
      </c>
      <c r="AW51" s="51">
        <v>7850</v>
      </c>
      <c r="AX51" s="51" t="s">
        <v>269</v>
      </c>
      <c r="AY51" s="51"/>
    </row>
    <row r="52" spans="5:51">
      <c r="E52" t="s">
        <v>160</v>
      </c>
      <c r="G52" s="108" t="s">
        <v>198</v>
      </c>
      <c r="H52" s="197">
        <v>10000000</v>
      </c>
      <c r="I52" s="197"/>
      <c r="AF52" s="51"/>
      <c r="AG52" s="53"/>
      <c r="AH52" s="51"/>
      <c r="AI52" s="51"/>
      <c r="AJ52" s="51"/>
      <c r="AK52" s="51"/>
      <c r="AL52" s="51"/>
      <c r="AM52" s="51"/>
      <c r="AN52" s="51"/>
      <c r="AO52" s="51" t="s">
        <v>69</v>
      </c>
      <c r="AP52" s="51" t="s">
        <v>296</v>
      </c>
      <c r="AQ52" s="51">
        <v>15</v>
      </c>
      <c r="AR52" s="53">
        <v>8.8736388304526752</v>
      </c>
      <c r="AS52" s="51">
        <v>66</v>
      </c>
      <c r="AT52" s="51">
        <v>0.9</v>
      </c>
      <c r="AU52" s="51">
        <v>2</v>
      </c>
      <c r="AV52" s="51">
        <v>100</v>
      </c>
      <c r="AW52" s="51">
        <v>7850</v>
      </c>
      <c r="AX52" s="51" t="s">
        <v>269</v>
      </c>
      <c r="AY52" s="51"/>
    </row>
    <row r="53" spans="5:51">
      <c r="E53" t="s">
        <v>161</v>
      </c>
      <c r="G53" s="108" t="s">
        <v>198</v>
      </c>
      <c r="H53" s="197">
        <v>0.89500000000000002</v>
      </c>
      <c r="I53" s="197"/>
      <c r="AF53" s="51"/>
      <c r="AG53" s="53"/>
      <c r="AH53" s="51"/>
      <c r="AI53" s="51"/>
      <c r="AJ53" s="51"/>
      <c r="AK53" s="51"/>
      <c r="AL53" s="51"/>
      <c r="AM53" s="51"/>
      <c r="AN53" s="51"/>
      <c r="AO53" s="51" t="s">
        <v>69</v>
      </c>
      <c r="AP53" s="51" t="s">
        <v>297</v>
      </c>
      <c r="AQ53" s="51">
        <v>15</v>
      </c>
      <c r="AR53" s="53">
        <v>8.8736388304526752</v>
      </c>
      <c r="AS53" s="51">
        <v>68</v>
      </c>
      <c r="AT53" s="51">
        <v>0.9</v>
      </c>
      <c r="AU53" s="51">
        <v>2</v>
      </c>
      <c r="AV53" s="51">
        <v>100</v>
      </c>
      <c r="AW53" s="51">
        <v>7850</v>
      </c>
      <c r="AX53" s="51" t="s">
        <v>269</v>
      </c>
      <c r="AY53" s="51"/>
    </row>
    <row r="54" spans="5:51">
      <c r="E54" t="s">
        <v>163</v>
      </c>
      <c r="F54" t="s">
        <v>189</v>
      </c>
      <c r="G54" s="108" t="s">
        <v>114</v>
      </c>
      <c r="H54" s="197" t="s">
        <v>182</v>
      </c>
      <c r="I54" s="197"/>
      <c r="AF54" s="51"/>
      <c r="AG54" s="53"/>
      <c r="AH54" s="51"/>
      <c r="AI54" s="51"/>
      <c r="AJ54" s="51"/>
      <c r="AK54" s="51"/>
      <c r="AL54" s="51"/>
      <c r="AM54" s="51"/>
      <c r="AN54" s="51"/>
      <c r="AO54" s="51" t="s">
        <v>69</v>
      </c>
      <c r="AP54" s="51" t="s">
        <v>298</v>
      </c>
      <c r="AQ54" s="51">
        <v>16</v>
      </c>
      <c r="AR54" s="53">
        <v>9.2466189974007253</v>
      </c>
      <c r="AS54" s="51">
        <v>68</v>
      </c>
      <c r="AT54" s="51">
        <v>0.9</v>
      </c>
      <c r="AU54" s="51">
        <v>2</v>
      </c>
      <c r="AV54" s="51">
        <v>100</v>
      </c>
      <c r="AW54" s="51">
        <v>7850</v>
      </c>
      <c r="AX54" s="51" t="s">
        <v>269</v>
      </c>
      <c r="AY54" s="51"/>
    </row>
    <row r="55" spans="5:51">
      <c r="E55" t="s">
        <v>164</v>
      </c>
      <c r="F55" t="s">
        <v>186</v>
      </c>
      <c r="G55" s="108" t="s">
        <v>114</v>
      </c>
      <c r="H55" s="197" t="s">
        <v>184</v>
      </c>
      <c r="I55" s="197">
        <v>140</v>
      </c>
      <c r="AF55" s="51"/>
      <c r="AG55" s="53"/>
      <c r="AH55" s="51"/>
      <c r="AI55" s="51"/>
      <c r="AJ55" s="51"/>
      <c r="AK55" s="51"/>
      <c r="AL55" s="51"/>
      <c r="AM55" s="51"/>
      <c r="AN55" s="51"/>
      <c r="AO55" s="51" t="s">
        <v>69</v>
      </c>
      <c r="AP55" s="51" t="s">
        <v>299</v>
      </c>
      <c r="AQ55" s="51">
        <v>16</v>
      </c>
      <c r="AR55" s="53">
        <v>9.2466189974007253</v>
      </c>
      <c r="AS55" s="51">
        <v>72</v>
      </c>
      <c r="AT55" s="51">
        <v>0.9</v>
      </c>
      <c r="AU55" s="51">
        <v>2</v>
      </c>
      <c r="AV55" s="51">
        <v>100</v>
      </c>
      <c r="AW55" s="51">
        <v>7850</v>
      </c>
      <c r="AX55" s="51" t="s">
        <v>269</v>
      </c>
      <c r="AY55" s="51"/>
    </row>
    <row r="56" spans="5:51">
      <c r="E56" t="s">
        <v>165</v>
      </c>
      <c r="G56" s="108" t="s">
        <v>198</v>
      </c>
      <c r="H56" s="197">
        <v>0.11</v>
      </c>
      <c r="I56" s="197"/>
      <c r="AF56" s="51"/>
      <c r="AG56" s="53"/>
      <c r="AH56" s="51"/>
      <c r="AI56" s="51"/>
      <c r="AJ56" s="51"/>
      <c r="AK56" s="51"/>
      <c r="AL56" s="51"/>
      <c r="AM56" s="51"/>
      <c r="AN56" s="51"/>
      <c r="AO56" s="51" t="s">
        <v>69</v>
      </c>
      <c r="AP56" s="51" t="s">
        <v>300</v>
      </c>
      <c r="AQ56" s="51">
        <v>17</v>
      </c>
      <c r="AR56" s="53">
        <v>9.6195991643487755</v>
      </c>
      <c r="AS56" s="51">
        <v>72</v>
      </c>
      <c r="AT56" s="51">
        <v>0.9</v>
      </c>
      <c r="AU56" s="51">
        <v>2</v>
      </c>
      <c r="AV56" s="51">
        <v>100</v>
      </c>
      <c r="AW56" s="51">
        <v>7850</v>
      </c>
      <c r="AX56" s="51" t="s">
        <v>269</v>
      </c>
      <c r="AY56" s="51"/>
    </row>
    <row r="57" spans="5:51">
      <c r="E57" t="s">
        <v>166</v>
      </c>
      <c r="G57" s="108" t="s">
        <v>209</v>
      </c>
      <c r="H57" s="197">
        <v>0</v>
      </c>
      <c r="I57" s="197"/>
      <c r="AF57" s="51"/>
      <c r="AG57" s="53"/>
      <c r="AH57" s="51"/>
      <c r="AI57" s="51"/>
      <c r="AJ57" s="51"/>
      <c r="AK57" s="51"/>
      <c r="AL57" s="51"/>
      <c r="AM57" s="51"/>
      <c r="AN57" s="51"/>
      <c r="AO57" s="51" t="s">
        <v>69</v>
      </c>
      <c r="AP57" s="51" t="s">
        <v>301</v>
      </c>
      <c r="AQ57" s="51">
        <v>17</v>
      </c>
      <c r="AR57" s="53">
        <v>9.6195991643487755</v>
      </c>
      <c r="AS57" s="51">
        <v>77</v>
      </c>
      <c r="AT57" s="51">
        <v>0.9</v>
      </c>
      <c r="AU57" s="51">
        <v>2</v>
      </c>
      <c r="AV57" s="51">
        <v>100</v>
      </c>
      <c r="AW57" s="51">
        <v>7850</v>
      </c>
      <c r="AX57" s="51" t="s">
        <v>269</v>
      </c>
      <c r="AY57" s="51"/>
    </row>
    <row r="58" spans="5:51">
      <c r="E58" t="s">
        <v>167</v>
      </c>
      <c r="G58" s="108" t="s">
        <v>77</v>
      </c>
      <c r="H58" s="197">
        <v>0</v>
      </c>
      <c r="I58" s="197"/>
      <c r="AF58" s="51"/>
      <c r="AG58" s="53"/>
      <c r="AH58" s="51"/>
      <c r="AI58" s="51"/>
      <c r="AJ58" s="51"/>
      <c r="AK58" s="51"/>
      <c r="AL58" s="51"/>
      <c r="AM58" s="51"/>
      <c r="AN58" s="51"/>
      <c r="AO58" s="51" t="s">
        <v>69</v>
      </c>
      <c r="AP58" s="51" t="s">
        <v>302</v>
      </c>
      <c r="AQ58" s="51">
        <v>18</v>
      </c>
      <c r="AR58" s="53">
        <v>9.9925793312968256</v>
      </c>
      <c r="AS58" s="51">
        <v>77</v>
      </c>
      <c r="AT58" s="51">
        <v>0.9</v>
      </c>
      <c r="AU58" s="51">
        <v>2</v>
      </c>
      <c r="AV58" s="51">
        <v>100</v>
      </c>
      <c r="AW58" s="51">
        <v>7850</v>
      </c>
      <c r="AX58" s="51" t="s">
        <v>269</v>
      </c>
      <c r="AY58" s="51"/>
    </row>
    <row r="59" spans="5:51">
      <c r="E59" t="s">
        <v>168</v>
      </c>
      <c r="G59" s="108" t="s">
        <v>77</v>
      </c>
      <c r="H59" s="197">
        <v>1</v>
      </c>
      <c r="I59" s="197"/>
      <c r="AF59" s="51"/>
      <c r="AG59" s="53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3"/>
      <c r="AS59" s="51"/>
      <c r="AT59" s="51"/>
      <c r="AU59" s="51"/>
      <c r="AV59" s="51"/>
      <c r="AW59" s="51"/>
      <c r="AX59" s="51"/>
      <c r="AY59" s="51"/>
    </row>
    <row r="60" spans="5:51">
      <c r="E60" t="s">
        <v>169</v>
      </c>
      <c r="G60" s="108" t="s">
        <v>77</v>
      </c>
      <c r="H60" s="197" t="s">
        <v>185</v>
      </c>
      <c r="I60" s="197"/>
      <c r="AF60" s="51"/>
      <c r="AG60" s="53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3"/>
      <c r="AS60" s="51"/>
      <c r="AT60" s="51"/>
      <c r="AU60" s="51"/>
      <c r="AV60" s="51"/>
      <c r="AW60" s="51"/>
      <c r="AX60" s="51"/>
      <c r="AY60" s="51"/>
    </row>
    <row r="61" spans="5:51">
      <c r="E61" t="s">
        <v>170</v>
      </c>
      <c r="F61" t="s">
        <v>202</v>
      </c>
      <c r="G61" s="108"/>
      <c r="H61" s="197" t="s">
        <v>193</v>
      </c>
      <c r="I61" s="197"/>
      <c r="AF61" s="51"/>
      <c r="AG61" s="53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3"/>
      <c r="AS61" s="51"/>
      <c r="AT61" s="51"/>
      <c r="AU61" s="51"/>
      <c r="AV61" s="51"/>
      <c r="AW61" s="51"/>
      <c r="AX61" s="51"/>
      <c r="AY61" s="51"/>
    </row>
    <row r="62" spans="5:51">
      <c r="AF62" s="51"/>
      <c r="AG62" s="53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3"/>
      <c r="AS62" s="51"/>
      <c r="AT62" s="51"/>
      <c r="AU62" s="51"/>
      <c r="AV62" s="51"/>
      <c r="AW62" s="51"/>
      <c r="AX62" s="51"/>
      <c r="AY62" s="51"/>
    </row>
    <row r="63" spans="5:51">
      <c r="AF63" s="51"/>
      <c r="AG63" s="53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3"/>
      <c r="AS63" s="51"/>
      <c r="AT63" s="51"/>
      <c r="AU63" s="51"/>
      <c r="AV63" s="51"/>
      <c r="AW63" s="51"/>
      <c r="AX63" s="51"/>
      <c r="AY63" s="51"/>
    </row>
    <row r="64" spans="5:51">
      <c r="AF64" s="51"/>
      <c r="AG64" s="53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3"/>
      <c r="AS64" s="51"/>
      <c r="AT64" s="51"/>
      <c r="AU64" s="51"/>
      <c r="AV64" s="51"/>
      <c r="AW64" s="51"/>
      <c r="AX64" s="51"/>
      <c r="AY64" s="51"/>
    </row>
    <row r="65" spans="32:51">
      <c r="AF65" s="51"/>
      <c r="AG65" s="53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3"/>
      <c r="AS65" s="51"/>
      <c r="AT65" s="51"/>
      <c r="AU65" s="51"/>
      <c r="AV65" s="51"/>
      <c r="AW65" s="51"/>
      <c r="AX65" s="51"/>
      <c r="AY65" s="51"/>
    </row>
    <row r="66" spans="32:51">
      <c r="AF66" s="51"/>
      <c r="AG66" s="53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3"/>
      <c r="AS66" s="51"/>
      <c r="AT66" s="51"/>
      <c r="AU66" s="51"/>
      <c r="AV66" s="51"/>
      <c r="AW66" s="51"/>
      <c r="AX66" s="51"/>
      <c r="AY66" s="51"/>
    </row>
    <row r="67" spans="32:51">
      <c r="AF67" s="51"/>
      <c r="AG67" s="53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3"/>
      <c r="AS67" s="51"/>
      <c r="AT67" s="51"/>
      <c r="AU67" s="51"/>
      <c r="AV67" s="51"/>
      <c r="AW67" s="51"/>
      <c r="AX67" s="51"/>
      <c r="AY67" s="51"/>
    </row>
    <row r="68" spans="32:51">
      <c r="AF68" s="51"/>
      <c r="AG68" s="53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3"/>
      <c r="AS68" s="51"/>
      <c r="AT68" s="51"/>
      <c r="AU68" s="51"/>
      <c r="AV68" s="51"/>
      <c r="AW68" s="51"/>
      <c r="AX68" s="51"/>
      <c r="AY68" s="51"/>
    </row>
    <row r="69" spans="32:51">
      <c r="AF69" s="51"/>
      <c r="AG69" s="53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3"/>
      <c r="AS69" s="51"/>
      <c r="AT69" s="51"/>
      <c r="AU69" s="51"/>
      <c r="AV69" s="51"/>
      <c r="AW69" s="51"/>
      <c r="AX69" s="51"/>
      <c r="AY69" s="51"/>
    </row>
    <row r="70" spans="32:51">
      <c r="AF70" s="51"/>
      <c r="AG70" s="53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3"/>
      <c r="AS70" s="51"/>
      <c r="AT70" s="51"/>
      <c r="AU70" s="51"/>
      <c r="AV70" s="51"/>
      <c r="AW70" s="51"/>
      <c r="AX70" s="51"/>
      <c r="AY70" s="51"/>
    </row>
    <row r="71" spans="32:51">
      <c r="AF71" s="51"/>
      <c r="AG71" s="53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3"/>
      <c r="AS71" s="51"/>
      <c r="AT71" s="51"/>
      <c r="AU71" s="51"/>
      <c r="AV71" s="51"/>
      <c r="AW71" s="51"/>
      <c r="AX71" s="51"/>
      <c r="AY71" s="51"/>
    </row>
    <row r="72" spans="32:51">
      <c r="AF72" s="51"/>
      <c r="AG72" s="53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3"/>
      <c r="AS72" s="51"/>
      <c r="AT72" s="51"/>
      <c r="AU72" s="51"/>
      <c r="AV72" s="51"/>
      <c r="AW72" s="51"/>
      <c r="AX72" s="51"/>
      <c r="AY72" s="51"/>
    </row>
    <row r="73" spans="32:51">
      <c r="AF73" s="51"/>
      <c r="AG73" s="53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3"/>
      <c r="AS73" s="51"/>
      <c r="AT73" s="51"/>
      <c r="AU73" s="51"/>
      <c r="AV73" s="51"/>
      <c r="AW73" s="51"/>
      <c r="AX73" s="51"/>
      <c r="AY73" s="51"/>
    </row>
    <row r="74" spans="32:51">
      <c r="AF74" s="51"/>
      <c r="AG74" s="53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3"/>
      <c r="AS74" s="51"/>
      <c r="AT74" s="51"/>
      <c r="AU74" s="51"/>
      <c r="AV74" s="51"/>
      <c r="AW74" s="51"/>
      <c r="AX74" s="51"/>
      <c r="AY74" s="51"/>
    </row>
    <row r="75" spans="32:51">
      <c r="AF75" s="51"/>
      <c r="AG75" s="53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3"/>
      <c r="AS75" s="51"/>
      <c r="AT75" s="51"/>
      <c r="AU75" s="51"/>
      <c r="AV75" s="51"/>
      <c r="AW75" s="51"/>
      <c r="AX75" s="51"/>
      <c r="AY75" s="51"/>
    </row>
    <row r="76" spans="32:51">
      <c r="AF76" s="51"/>
      <c r="AG76" s="53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3"/>
      <c r="AS76" s="51"/>
      <c r="AT76" s="51"/>
      <c r="AU76" s="51"/>
      <c r="AV76" s="51"/>
      <c r="AW76" s="51"/>
      <c r="AX76" s="51"/>
      <c r="AY76" s="51"/>
    </row>
    <row r="77" spans="32:51">
      <c r="AF77" s="51"/>
      <c r="AG77" s="53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3"/>
      <c r="AS77" s="51"/>
      <c r="AT77" s="51"/>
      <c r="AU77" s="51"/>
      <c r="AV77" s="51"/>
      <c r="AW77" s="51"/>
      <c r="AX77" s="51"/>
      <c r="AY77" s="51"/>
    </row>
    <row r="78" spans="32:51">
      <c r="AF78" s="51"/>
      <c r="AG78" s="53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3"/>
      <c r="AS78" s="51"/>
      <c r="AT78" s="51"/>
      <c r="AU78" s="51"/>
      <c r="AV78" s="51"/>
      <c r="AW78" s="51"/>
      <c r="AX78" s="51"/>
      <c r="AY78" s="51"/>
    </row>
    <row r="79" spans="32:51">
      <c r="AF79" s="51"/>
      <c r="AG79" s="53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3"/>
      <c r="AS79" s="51"/>
      <c r="AT79" s="51"/>
      <c r="AU79" s="51"/>
      <c r="AV79" s="51"/>
      <c r="AW79" s="51"/>
      <c r="AX79" s="51"/>
      <c r="AY79" s="51"/>
    </row>
    <row r="80" spans="32:51">
      <c r="AF80" s="51"/>
      <c r="AG80" s="53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3"/>
      <c r="AS80" s="51"/>
      <c r="AT80" s="51"/>
      <c r="AU80" s="51"/>
      <c r="AV80" s="51"/>
      <c r="AW80" s="51"/>
      <c r="AX80" s="51"/>
      <c r="AY80" s="51"/>
    </row>
    <row r="81" spans="32:51">
      <c r="AF81" s="51"/>
      <c r="AG81" s="53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3"/>
      <c r="AS81" s="51"/>
      <c r="AT81" s="51"/>
      <c r="AU81" s="51"/>
      <c r="AV81" s="51"/>
      <c r="AW81" s="51"/>
      <c r="AX81" s="51"/>
      <c r="AY81" s="51"/>
    </row>
    <row r="82" spans="32:51">
      <c r="AF82" s="51"/>
      <c r="AG82" s="53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3"/>
      <c r="AS82" s="51"/>
      <c r="AT82" s="51"/>
      <c r="AU82" s="51"/>
      <c r="AV82" s="51"/>
      <c r="AW82" s="51"/>
      <c r="AX82" s="51"/>
      <c r="AY82" s="51"/>
    </row>
    <row r="83" spans="32:51">
      <c r="AF83" s="51"/>
      <c r="AG83" s="53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3"/>
      <c r="AS83" s="51"/>
      <c r="AT83" s="51"/>
      <c r="AU83" s="51"/>
      <c r="AV83" s="51"/>
      <c r="AW83" s="51"/>
      <c r="AX83" s="51"/>
      <c r="AY83" s="51"/>
    </row>
    <row r="84" spans="32:51">
      <c r="AF84" s="51"/>
      <c r="AG84" s="53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3"/>
      <c r="AS84" s="51"/>
      <c r="AT84" s="51"/>
      <c r="AU84" s="51"/>
      <c r="AV84" s="51"/>
      <c r="AW84" s="51"/>
      <c r="AX84" s="51"/>
      <c r="AY84" s="51"/>
    </row>
    <row r="85" spans="32:51">
      <c r="AF85" s="51"/>
      <c r="AG85" s="53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3"/>
      <c r="AS85" s="51"/>
      <c r="AT85" s="51"/>
      <c r="AU85" s="51"/>
      <c r="AV85" s="51"/>
      <c r="AW85" s="51"/>
      <c r="AX85" s="51"/>
      <c r="AY85" s="51"/>
    </row>
    <row r="86" spans="32:51">
      <c r="AF86" s="51"/>
      <c r="AG86" s="53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3"/>
      <c r="AS86" s="51"/>
      <c r="AT86" s="51"/>
      <c r="AU86" s="51"/>
      <c r="AV86" s="51"/>
      <c r="AW86" s="51"/>
      <c r="AX86" s="51"/>
      <c r="AY86" s="51"/>
    </row>
    <row r="87" spans="32:51">
      <c r="AF87" s="51"/>
      <c r="AG87" s="53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3"/>
      <c r="AS87" s="51"/>
      <c r="AT87" s="51"/>
      <c r="AU87" s="51"/>
      <c r="AV87" s="51"/>
      <c r="AW87" s="51"/>
      <c r="AX87" s="51"/>
      <c r="AY87" s="51"/>
    </row>
    <row r="88" spans="32:51">
      <c r="AF88" s="51"/>
      <c r="AG88" s="53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3"/>
      <c r="AS88" s="51"/>
      <c r="AT88" s="51"/>
      <c r="AU88" s="51"/>
      <c r="AV88" s="51"/>
      <c r="AW88" s="51"/>
      <c r="AX88" s="51"/>
      <c r="AY88" s="51"/>
    </row>
    <row r="89" spans="32:51">
      <c r="AF89" s="51"/>
      <c r="AG89" s="53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3"/>
      <c r="AS89" s="51"/>
      <c r="AT89" s="51"/>
      <c r="AU89" s="51"/>
      <c r="AV89" s="51"/>
      <c r="AW89" s="51"/>
      <c r="AX89" s="51"/>
      <c r="AY89" s="51"/>
    </row>
    <row r="90" spans="32:51">
      <c r="AF90" s="51"/>
      <c r="AG90" s="53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3"/>
      <c r="AS90" s="51"/>
      <c r="AT90" s="51"/>
      <c r="AU90" s="51"/>
      <c r="AV90" s="51"/>
      <c r="AW90" s="51"/>
      <c r="AX90" s="51"/>
      <c r="AY90" s="51"/>
    </row>
    <row r="91" spans="32:51">
      <c r="AF91" s="51"/>
      <c r="AG91" s="53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3"/>
      <c r="AS91" s="51"/>
      <c r="AT91" s="51"/>
      <c r="AU91" s="51"/>
      <c r="AV91" s="51"/>
      <c r="AW91" s="51"/>
      <c r="AX91" s="51"/>
      <c r="AY91" s="51"/>
    </row>
    <row r="92" spans="32:51">
      <c r="AF92" s="51"/>
      <c r="AG92" s="53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3"/>
      <c r="AS92" s="51"/>
      <c r="AT92" s="51"/>
      <c r="AU92" s="51"/>
      <c r="AV92" s="51"/>
      <c r="AW92" s="51"/>
      <c r="AX92" s="51"/>
      <c r="AY92" s="51"/>
    </row>
    <row r="93" spans="32:51">
      <c r="AF93" s="51"/>
      <c r="AG93" s="53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3"/>
      <c r="AS93" s="51"/>
      <c r="AT93" s="51"/>
      <c r="AU93" s="51"/>
      <c r="AV93" s="51"/>
      <c r="AW93" s="51"/>
      <c r="AX93" s="51"/>
      <c r="AY93" s="51"/>
    </row>
    <row r="94" spans="32:51">
      <c r="AF94" s="51"/>
      <c r="AG94" s="53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3"/>
      <c r="AS94" s="51"/>
      <c r="AT94" s="51"/>
      <c r="AU94" s="51"/>
      <c r="AV94" s="51"/>
      <c r="AW94" s="51"/>
      <c r="AX94" s="51"/>
      <c r="AY94" s="51"/>
    </row>
    <row r="95" spans="32:51">
      <c r="AF95" s="51"/>
      <c r="AG95" s="53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3"/>
      <c r="AS95" s="51"/>
      <c r="AT95" s="51"/>
      <c r="AU95" s="51"/>
      <c r="AV95" s="51"/>
      <c r="AW95" s="51"/>
      <c r="AX95" s="51"/>
      <c r="AY95" s="51"/>
    </row>
    <row r="96" spans="32:51">
      <c r="AF96" s="51"/>
      <c r="AG96" s="53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3"/>
      <c r="AS96" s="51"/>
      <c r="AT96" s="51"/>
      <c r="AU96" s="51"/>
      <c r="AV96" s="51"/>
      <c r="AW96" s="51"/>
      <c r="AX96" s="51"/>
      <c r="AY96" s="51"/>
    </row>
    <row r="97" spans="32:51">
      <c r="AF97" s="51"/>
      <c r="AG97" s="53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3"/>
      <c r="AS97" s="51"/>
      <c r="AT97" s="51"/>
      <c r="AU97" s="51"/>
      <c r="AV97" s="51"/>
      <c r="AW97" s="51"/>
      <c r="AX97" s="51"/>
      <c r="AY97" s="51"/>
    </row>
    <row r="98" spans="32:51">
      <c r="AF98" s="51"/>
      <c r="AG98" s="53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3"/>
      <c r="AS98" s="51"/>
      <c r="AT98" s="51"/>
      <c r="AU98" s="51"/>
      <c r="AV98" s="51"/>
      <c r="AW98" s="51"/>
      <c r="AX98" s="51"/>
      <c r="AY98" s="51"/>
    </row>
    <row r="99" spans="32:51">
      <c r="AF99" s="51"/>
      <c r="AG99" s="53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3"/>
      <c r="AS99" s="51"/>
      <c r="AT99" s="51"/>
      <c r="AU99" s="51"/>
      <c r="AV99" s="51"/>
      <c r="AW99" s="51"/>
      <c r="AX99" s="51"/>
      <c r="AY99" s="51"/>
    </row>
    <row r="100" spans="32:51">
      <c r="AF100" s="51"/>
      <c r="AG100" s="53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3"/>
      <c r="AS100" s="51"/>
      <c r="AT100" s="51"/>
      <c r="AU100" s="51"/>
      <c r="AV100" s="51"/>
      <c r="AW100" s="51"/>
      <c r="AX100" s="51"/>
      <c r="AY100" s="51"/>
    </row>
    <row r="101" spans="32:51">
      <c r="AF101" s="51"/>
      <c r="AG101" s="53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3"/>
      <c r="AS101" s="51"/>
      <c r="AT101" s="51"/>
      <c r="AU101" s="51"/>
      <c r="AV101" s="51"/>
      <c r="AW101" s="51"/>
      <c r="AX101" s="51"/>
      <c r="AY101" s="51"/>
    </row>
    <row r="102" spans="32:51">
      <c r="AF102" s="51"/>
      <c r="AG102" s="53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3"/>
      <c r="AS102" s="51"/>
      <c r="AT102" s="51"/>
      <c r="AU102" s="51"/>
      <c r="AV102" s="51"/>
      <c r="AW102" s="51"/>
      <c r="AX102" s="51"/>
      <c r="AY102" s="51"/>
    </row>
    <row r="103" spans="32:51">
      <c r="AF103" s="51"/>
      <c r="AG103" s="53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3"/>
      <c r="AS103" s="51"/>
      <c r="AT103" s="51"/>
      <c r="AU103" s="51"/>
      <c r="AV103" s="51"/>
      <c r="AW103" s="51"/>
      <c r="AX103" s="51"/>
      <c r="AY103" s="51"/>
    </row>
    <row r="104" spans="32:51">
      <c r="AF104" s="51"/>
      <c r="AG104" s="53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3"/>
      <c r="AS104" s="51"/>
      <c r="AT104" s="51"/>
      <c r="AU104" s="51"/>
      <c r="AV104" s="51"/>
      <c r="AW104" s="51"/>
      <c r="AX104" s="51"/>
      <c r="AY104" s="51"/>
    </row>
    <row r="105" spans="32:51">
      <c r="AF105" s="51"/>
      <c r="AG105" s="53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3"/>
      <c r="AS105" s="51"/>
      <c r="AT105" s="51"/>
      <c r="AU105" s="51"/>
      <c r="AV105" s="51"/>
      <c r="AW105" s="51"/>
      <c r="AX105" s="51"/>
      <c r="AY105" s="51"/>
    </row>
    <row r="106" spans="32:51">
      <c r="AF106" s="51"/>
      <c r="AG106" s="53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3"/>
      <c r="AS106" s="51"/>
      <c r="AT106" s="51"/>
      <c r="AU106" s="51"/>
      <c r="AV106" s="51"/>
      <c r="AW106" s="51"/>
      <c r="AX106" s="51"/>
      <c r="AY106" s="51"/>
    </row>
    <row r="107" spans="32:51">
      <c r="AF107" s="51"/>
      <c r="AG107" s="53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3"/>
      <c r="AS107" s="51"/>
      <c r="AT107" s="51"/>
      <c r="AU107" s="51"/>
      <c r="AV107" s="51"/>
      <c r="AW107" s="51"/>
      <c r="AX107" s="51"/>
      <c r="AY107" s="51"/>
    </row>
    <row r="108" spans="32:51">
      <c r="AF108" s="51"/>
      <c r="AG108" s="53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3"/>
      <c r="AS108" s="51"/>
      <c r="AT108" s="51"/>
      <c r="AU108" s="51"/>
      <c r="AV108" s="51"/>
      <c r="AW108" s="51"/>
      <c r="AX108" s="51"/>
      <c r="AY108" s="51"/>
    </row>
    <row r="109" spans="32:51">
      <c r="AF109" s="51"/>
      <c r="AG109" s="53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3"/>
      <c r="AS109" s="51"/>
      <c r="AT109" s="51"/>
      <c r="AU109" s="51"/>
      <c r="AV109" s="51"/>
      <c r="AW109" s="51"/>
      <c r="AX109" s="51"/>
      <c r="AY109" s="51"/>
    </row>
    <row r="110" spans="32:51">
      <c r="AF110" s="51"/>
      <c r="AG110" s="53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3"/>
      <c r="AS110" s="51"/>
      <c r="AT110" s="51"/>
      <c r="AU110" s="51"/>
      <c r="AV110" s="51"/>
      <c r="AW110" s="51"/>
      <c r="AX110" s="51"/>
      <c r="AY110" s="51"/>
    </row>
    <row r="111" spans="32:51">
      <c r="AF111" s="51"/>
      <c r="AG111" s="53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3"/>
      <c r="AS111" s="51"/>
      <c r="AT111" s="51"/>
      <c r="AU111" s="51"/>
      <c r="AV111" s="51"/>
      <c r="AW111" s="51"/>
      <c r="AX111" s="51"/>
      <c r="AY111" s="51"/>
    </row>
    <row r="112" spans="32:51">
      <c r="AF112" s="51"/>
      <c r="AG112" s="53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3"/>
      <c r="AS112" s="51"/>
      <c r="AT112" s="51"/>
      <c r="AU112" s="51"/>
      <c r="AV112" s="51"/>
      <c r="AW112" s="51"/>
      <c r="AX112" s="51"/>
      <c r="AY112" s="51"/>
    </row>
    <row r="113" spans="32:51">
      <c r="AF113" s="51"/>
      <c r="AG113" s="53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3"/>
      <c r="AS113" s="51"/>
      <c r="AT113" s="51"/>
      <c r="AU113" s="51"/>
      <c r="AV113" s="51"/>
      <c r="AW113" s="51"/>
      <c r="AX113" s="51"/>
      <c r="AY113" s="51"/>
    </row>
    <row r="114" spans="32:51">
      <c r="AF114" s="51"/>
      <c r="AG114" s="53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3"/>
      <c r="AS114" s="51"/>
      <c r="AT114" s="51"/>
      <c r="AU114" s="51"/>
      <c r="AV114" s="51"/>
      <c r="AW114" s="51"/>
      <c r="AX114" s="51"/>
      <c r="AY114" s="51"/>
    </row>
    <row r="115" spans="32:51">
      <c r="AF115" s="51"/>
      <c r="AG115" s="53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3"/>
      <c r="AS115" s="51"/>
      <c r="AT115" s="51"/>
      <c r="AU115" s="51"/>
      <c r="AV115" s="51"/>
      <c r="AW115" s="51"/>
      <c r="AX115" s="51"/>
      <c r="AY115" s="51"/>
    </row>
    <row r="116" spans="32:51">
      <c r="AF116" s="51"/>
      <c r="AG116" s="53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3"/>
      <c r="AS116" s="51"/>
      <c r="AT116" s="51"/>
      <c r="AU116" s="51"/>
      <c r="AV116" s="51"/>
      <c r="AW116" s="51"/>
      <c r="AX116" s="51"/>
      <c r="AY116" s="51"/>
    </row>
    <row r="117" spans="32:51">
      <c r="AF117" s="51"/>
      <c r="AG117" s="53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3"/>
      <c r="AS117" s="51"/>
      <c r="AT117" s="51"/>
      <c r="AU117" s="51"/>
      <c r="AV117" s="51"/>
      <c r="AW117" s="51"/>
      <c r="AX117" s="51"/>
      <c r="AY117" s="51"/>
    </row>
    <row r="118" spans="32:51">
      <c r="AF118" s="51"/>
      <c r="AG118" s="53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3"/>
      <c r="AS118" s="51"/>
      <c r="AT118" s="51"/>
      <c r="AU118" s="51"/>
      <c r="AV118" s="51"/>
      <c r="AW118" s="51"/>
      <c r="AX118" s="51"/>
      <c r="AY118" s="51"/>
    </row>
    <row r="119" spans="32:51">
      <c r="AF119" s="51"/>
      <c r="AG119" s="53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3"/>
      <c r="AS119" s="51"/>
      <c r="AT119" s="51"/>
      <c r="AU119" s="51"/>
      <c r="AV119" s="51"/>
      <c r="AW119" s="51"/>
      <c r="AX119" s="51"/>
      <c r="AY119" s="51"/>
    </row>
    <row r="120" spans="32:51">
      <c r="AF120" s="51"/>
      <c r="AG120" s="53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3"/>
      <c r="AS120" s="51"/>
      <c r="AT120" s="51"/>
      <c r="AU120" s="51"/>
      <c r="AV120" s="51"/>
      <c r="AW120" s="51"/>
      <c r="AX120" s="51"/>
      <c r="AY120" s="51"/>
    </row>
    <row r="121" spans="32:51">
      <c r="AF121" s="51"/>
      <c r="AG121" s="53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3"/>
      <c r="AS121" s="51"/>
      <c r="AT121" s="51"/>
      <c r="AU121" s="51"/>
      <c r="AV121" s="51"/>
      <c r="AW121" s="51"/>
      <c r="AX121" s="51"/>
      <c r="AY121" s="51"/>
    </row>
    <row r="122" spans="32:51">
      <c r="AF122" s="51"/>
      <c r="AG122" s="53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3"/>
      <c r="AS122" s="51"/>
      <c r="AT122" s="51"/>
      <c r="AU122" s="51"/>
      <c r="AV122" s="51"/>
      <c r="AW122" s="51"/>
      <c r="AX122" s="51"/>
      <c r="AY122" s="51"/>
    </row>
    <row r="123" spans="32:51">
      <c r="AF123" s="51"/>
      <c r="AG123" s="53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3"/>
      <c r="AS123" s="51"/>
      <c r="AT123" s="51"/>
      <c r="AU123" s="51"/>
      <c r="AV123" s="51"/>
      <c r="AW123" s="51"/>
      <c r="AX123" s="51"/>
      <c r="AY123" s="51"/>
    </row>
    <row r="124" spans="32:51">
      <c r="AF124" s="51"/>
      <c r="AG124" s="53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3"/>
      <c r="AS124" s="51"/>
      <c r="AT124" s="51"/>
      <c r="AU124" s="51"/>
      <c r="AV124" s="51"/>
      <c r="AW124" s="51"/>
      <c r="AX124" s="51"/>
      <c r="AY124" s="51"/>
    </row>
    <row r="125" spans="32:51">
      <c r="AF125" s="51"/>
      <c r="AG125" s="53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3"/>
      <c r="AS125" s="51"/>
      <c r="AT125" s="51"/>
      <c r="AU125" s="51"/>
      <c r="AV125" s="51"/>
      <c r="AW125" s="51"/>
      <c r="AX125" s="51"/>
      <c r="AY125" s="51"/>
    </row>
    <row r="126" spans="32:51">
      <c r="AF126" s="51"/>
      <c r="AG126" s="53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3"/>
      <c r="AS126" s="51"/>
      <c r="AT126" s="51"/>
      <c r="AU126" s="51"/>
      <c r="AV126" s="51"/>
      <c r="AW126" s="51"/>
      <c r="AX126" s="51"/>
      <c r="AY126" s="51"/>
    </row>
    <row r="127" spans="32:51">
      <c r="AF127" s="51"/>
      <c r="AG127" s="53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3"/>
      <c r="AS127" s="51"/>
      <c r="AT127" s="51"/>
      <c r="AU127" s="51"/>
      <c r="AV127" s="51"/>
      <c r="AW127" s="51"/>
      <c r="AX127" s="51"/>
      <c r="AY127" s="51"/>
    </row>
    <row r="128" spans="32:51">
      <c r="AF128" s="51"/>
      <c r="AG128" s="53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3"/>
      <c r="AS128" s="51"/>
      <c r="AT128" s="51"/>
      <c r="AU128" s="51"/>
      <c r="AV128" s="51"/>
      <c r="AW128" s="51"/>
      <c r="AX128" s="51"/>
      <c r="AY128" s="51"/>
    </row>
    <row r="129" spans="32:51">
      <c r="AF129" s="51"/>
      <c r="AG129" s="53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3"/>
      <c r="AS129" s="51"/>
      <c r="AT129" s="51"/>
      <c r="AU129" s="51"/>
      <c r="AV129" s="51"/>
      <c r="AW129" s="51"/>
      <c r="AX129" s="51"/>
      <c r="AY129" s="51"/>
    </row>
    <row r="130" spans="32:51">
      <c r="AF130" s="51"/>
      <c r="AG130" s="53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3"/>
      <c r="AS130" s="51"/>
      <c r="AT130" s="51"/>
      <c r="AU130" s="51"/>
      <c r="AV130" s="51"/>
      <c r="AW130" s="51"/>
      <c r="AX130" s="51"/>
      <c r="AY130" s="51"/>
    </row>
    <row r="131" spans="32:51">
      <c r="AF131" s="51"/>
      <c r="AG131" s="53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3"/>
      <c r="AS131" s="51"/>
      <c r="AT131" s="51"/>
      <c r="AU131" s="51"/>
      <c r="AV131" s="51"/>
      <c r="AW131" s="51"/>
      <c r="AX131" s="51"/>
      <c r="AY131" s="51"/>
    </row>
    <row r="132" spans="32:51">
      <c r="AF132" s="51"/>
      <c r="AG132" s="53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3"/>
      <c r="AS132" s="51"/>
      <c r="AT132" s="51"/>
      <c r="AU132" s="51"/>
      <c r="AV132" s="51"/>
      <c r="AW132" s="51"/>
      <c r="AX132" s="51"/>
      <c r="AY132" s="51"/>
    </row>
    <row r="133" spans="32:51">
      <c r="AF133" s="51"/>
      <c r="AG133" s="53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3"/>
      <c r="AS133" s="51"/>
      <c r="AT133" s="51"/>
      <c r="AU133" s="51"/>
      <c r="AV133" s="51"/>
      <c r="AW133" s="51"/>
      <c r="AX133" s="51"/>
      <c r="AY133" s="51"/>
    </row>
    <row r="134" spans="32:51">
      <c r="AF134" s="51"/>
      <c r="AG134" s="53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3"/>
      <c r="AS134" s="51"/>
      <c r="AT134" s="51"/>
      <c r="AU134" s="51"/>
      <c r="AV134" s="51"/>
      <c r="AW134" s="51"/>
      <c r="AX134" s="51"/>
      <c r="AY134" s="51"/>
    </row>
    <row r="135" spans="32:51">
      <c r="AF135" s="51"/>
      <c r="AG135" s="53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3"/>
      <c r="AS135" s="51"/>
      <c r="AT135" s="51"/>
      <c r="AU135" s="51"/>
      <c r="AV135" s="51"/>
      <c r="AW135" s="51"/>
      <c r="AX135" s="51"/>
      <c r="AY135" s="51"/>
    </row>
    <row r="136" spans="32:51">
      <c r="AF136" s="51"/>
      <c r="AG136" s="53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3"/>
      <c r="AS136" s="51"/>
      <c r="AT136" s="51"/>
      <c r="AU136" s="51"/>
      <c r="AV136" s="51"/>
      <c r="AW136" s="51"/>
      <c r="AX136" s="51"/>
      <c r="AY136" s="51"/>
    </row>
    <row r="137" spans="32:51">
      <c r="AF137" s="51"/>
      <c r="AG137" s="53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3"/>
      <c r="AS137" s="51"/>
      <c r="AT137" s="51"/>
      <c r="AU137" s="51"/>
      <c r="AV137" s="51"/>
      <c r="AW137" s="51"/>
      <c r="AX137" s="51"/>
      <c r="AY137" s="51"/>
    </row>
    <row r="138" spans="32:51">
      <c r="AF138" s="51"/>
      <c r="AG138" s="53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3"/>
      <c r="AS138" s="51"/>
      <c r="AT138" s="51"/>
      <c r="AU138" s="51"/>
      <c r="AV138" s="51"/>
      <c r="AW138" s="51"/>
      <c r="AX138" s="51"/>
      <c r="AY138" s="51"/>
    </row>
    <row r="139" spans="32:51">
      <c r="AF139" s="51"/>
      <c r="AG139" s="53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3"/>
      <c r="AS139" s="51"/>
      <c r="AT139" s="51"/>
      <c r="AU139" s="51"/>
      <c r="AV139" s="51"/>
      <c r="AW139" s="51"/>
      <c r="AX139" s="51"/>
      <c r="AY139" s="51"/>
    </row>
    <row r="140" spans="32:51">
      <c r="AF140" s="51"/>
      <c r="AG140" s="53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3"/>
      <c r="AS140" s="51"/>
      <c r="AT140" s="51"/>
      <c r="AU140" s="51"/>
      <c r="AV140" s="51"/>
      <c r="AW140" s="51"/>
      <c r="AX140" s="51"/>
      <c r="AY140" s="51"/>
    </row>
    <row r="141" spans="32:51">
      <c r="AF141" s="51"/>
      <c r="AG141" s="53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3"/>
      <c r="AS141" s="51"/>
      <c r="AT141" s="51"/>
      <c r="AU141" s="51"/>
      <c r="AV141" s="51"/>
      <c r="AW141" s="51"/>
      <c r="AX141" s="51"/>
      <c r="AY141" s="51"/>
    </row>
    <row r="142" spans="32:51">
      <c r="AF142" s="51"/>
      <c r="AG142" s="53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3"/>
      <c r="AS142" s="51"/>
      <c r="AT142" s="51"/>
      <c r="AU142" s="51"/>
      <c r="AV142" s="51"/>
      <c r="AW142" s="51"/>
      <c r="AX142" s="51"/>
      <c r="AY142" s="51"/>
    </row>
    <row r="143" spans="32:51">
      <c r="AF143" s="51"/>
      <c r="AG143" s="53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3"/>
      <c r="AS143" s="51"/>
      <c r="AT143" s="51"/>
      <c r="AU143" s="51"/>
      <c r="AV143" s="51"/>
      <c r="AW143" s="51"/>
      <c r="AX143" s="51"/>
      <c r="AY143" s="51"/>
    </row>
    <row r="144" spans="32:51">
      <c r="AF144" s="51"/>
      <c r="AG144" s="53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3"/>
      <c r="AS144" s="51"/>
      <c r="AT144" s="51"/>
      <c r="AU144" s="51"/>
      <c r="AV144" s="51"/>
      <c r="AW144" s="51"/>
      <c r="AX144" s="51"/>
      <c r="AY144" s="51"/>
    </row>
    <row r="145" spans="32:51">
      <c r="AF145" s="51"/>
      <c r="AG145" s="53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3"/>
      <c r="AS145" s="51"/>
      <c r="AT145" s="51"/>
      <c r="AU145" s="51"/>
      <c r="AV145" s="51"/>
      <c r="AW145" s="51"/>
      <c r="AX145" s="51"/>
      <c r="AY145" s="51"/>
    </row>
    <row r="146" spans="32:51">
      <c r="AF146" s="51"/>
      <c r="AG146" s="53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3"/>
      <c r="AS146" s="51"/>
      <c r="AT146" s="51"/>
      <c r="AU146" s="51"/>
      <c r="AV146" s="51"/>
      <c r="AW146" s="51"/>
      <c r="AX146" s="51"/>
      <c r="AY146" s="51"/>
    </row>
    <row r="147" spans="32:51">
      <c r="AF147" s="51"/>
      <c r="AG147" s="53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3"/>
      <c r="AS147" s="51"/>
      <c r="AT147" s="51"/>
      <c r="AU147" s="51"/>
      <c r="AV147" s="51"/>
      <c r="AW147" s="51"/>
      <c r="AX147" s="51"/>
      <c r="AY147" s="51"/>
    </row>
    <row r="148" spans="32:51">
      <c r="AF148" s="51"/>
      <c r="AG148" s="53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3"/>
      <c r="AS148" s="51"/>
      <c r="AT148" s="51"/>
      <c r="AU148" s="51"/>
      <c r="AV148" s="51"/>
      <c r="AW148" s="51"/>
      <c r="AX148" s="51"/>
      <c r="AY148" s="51"/>
    </row>
    <row r="149" spans="32:51">
      <c r="AF149" s="51"/>
      <c r="AG149" s="53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3"/>
      <c r="AS149" s="51"/>
      <c r="AT149" s="51"/>
      <c r="AU149" s="51"/>
      <c r="AV149" s="51"/>
      <c r="AW149" s="51"/>
      <c r="AX149" s="51"/>
      <c r="AY149" s="51"/>
    </row>
    <row r="150" spans="32:51">
      <c r="AF150" s="51"/>
      <c r="AG150" s="53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3"/>
      <c r="AS150" s="51"/>
      <c r="AT150" s="51"/>
      <c r="AU150" s="51"/>
      <c r="AV150" s="51"/>
      <c r="AW150" s="51"/>
      <c r="AX150" s="51"/>
      <c r="AY150" s="51"/>
    </row>
    <row r="151" spans="32:51">
      <c r="AF151" s="51"/>
      <c r="AG151" s="53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3"/>
      <c r="AS151" s="51"/>
      <c r="AT151" s="51"/>
      <c r="AU151" s="51"/>
      <c r="AV151" s="51"/>
      <c r="AW151" s="51"/>
      <c r="AX151" s="51"/>
      <c r="AY151" s="51"/>
    </row>
    <row r="152" spans="32:51">
      <c r="AF152" s="51"/>
      <c r="AG152" s="53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3"/>
      <c r="AS152" s="51"/>
      <c r="AT152" s="51"/>
      <c r="AU152" s="51"/>
      <c r="AV152" s="51"/>
      <c r="AW152" s="51"/>
      <c r="AX152" s="51"/>
      <c r="AY152" s="51"/>
    </row>
    <row r="153" spans="32:51">
      <c r="AF153" s="51"/>
      <c r="AG153" s="53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3"/>
      <c r="AS153" s="51"/>
      <c r="AT153" s="51"/>
      <c r="AU153" s="51"/>
      <c r="AV153" s="51"/>
      <c r="AW153" s="51"/>
      <c r="AX153" s="51"/>
      <c r="AY153" s="51"/>
    </row>
    <row r="154" spans="32:51">
      <c r="AF154" s="51"/>
      <c r="AG154" s="53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3"/>
      <c r="AS154" s="51"/>
      <c r="AT154" s="51"/>
      <c r="AU154" s="51"/>
      <c r="AV154" s="51"/>
      <c r="AW154" s="51"/>
      <c r="AX154" s="51"/>
      <c r="AY154" s="51"/>
    </row>
    <row r="155" spans="32:51">
      <c r="AF155" s="51"/>
      <c r="AG155" s="53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3"/>
      <c r="AS155" s="51"/>
      <c r="AT155" s="51"/>
      <c r="AU155" s="51"/>
      <c r="AV155" s="51"/>
      <c r="AW155" s="51"/>
      <c r="AX155" s="51"/>
      <c r="AY155" s="51"/>
    </row>
    <row r="156" spans="32:51">
      <c r="AF156" s="51"/>
      <c r="AG156" s="53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3"/>
      <c r="AS156" s="51"/>
      <c r="AT156" s="51"/>
      <c r="AU156" s="51"/>
      <c r="AV156" s="51"/>
      <c r="AW156" s="51"/>
      <c r="AX156" s="51"/>
      <c r="AY156" s="51"/>
    </row>
    <row r="157" spans="32:51">
      <c r="AF157" s="51"/>
      <c r="AG157" s="53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3"/>
      <c r="AS157" s="51"/>
      <c r="AT157" s="51"/>
      <c r="AU157" s="51"/>
      <c r="AV157" s="51"/>
      <c r="AW157" s="51"/>
      <c r="AX157" s="51"/>
      <c r="AY157" s="51"/>
    </row>
    <row r="158" spans="32:51">
      <c r="AF158" s="51"/>
      <c r="AG158" s="53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3"/>
      <c r="AS158" s="51"/>
      <c r="AT158" s="51"/>
      <c r="AU158" s="51"/>
      <c r="AV158" s="51"/>
      <c r="AW158" s="51"/>
      <c r="AX158" s="51"/>
      <c r="AY158" s="51"/>
    </row>
    <row r="159" spans="32:51">
      <c r="AF159" s="51"/>
      <c r="AG159" s="53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3"/>
      <c r="AS159" s="51"/>
      <c r="AT159" s="51"/>
      <c r="AU159" s="51"/>
      <c r="AV159" s="51"/>
      <c r="AW159" s="51"/>
      <c r="AX159" s="51"/>
      <c r="AY159" s="51"/>
    </row>
    <row r="160" spans="32:51">
      <c r="AF160" s="51"/>
      <c r="AG160" s="53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3"/>
      <c r="AS160" s="51"/>
      <c r="AT160" s="51"/>
      <c r="AU160" s="51"/>
      <c r="AV160" s="51"/>
      <c r="AW160" s="51"/>
      <c r="AX160" s="51"/>
      <c r="AY160" s="51"/>
    </row>
    <row r="161" spans="32:51">
      <c r="AF161" s="51"/>
      <c r="AG161" s="53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3"/>
      <c r="AS161" s="51"/>
      <c r="AT161" s="51"/>
      <c r="AU161" s="51"/>
      <c r="AV161" s="51"/>
      <c r="AW161" s="51"/>
      <c r="AX161" s="51"/>
      <c r="AY161" s="51"/>
    </row>
    <row r="162" spans="32:51">
      <c r="AF162" s="51"/>
      <c r="AG162" s="53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3"/>
      <c r="AS162" s="51"/>
      <c r="AT162" s="51"/>
      <c r="AU162" s="51"/>
      <c r="AV162" s="51"/>
      <c r="AW162" s="51"/>
      <c r="AX162" s="51"/>
      <c r="AY162" s="51"/>
    </row>
    <row r="163" spans="32:51">
      <c r="AF163" s="51"/>
      <c r="AG163" s="53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3"/>
      <c r="AS163" s="51"/>
      <c r="AT163" s="51"/>
      <c r="AU163" s="51"/>
      <c r="AV163" s="51"/>
      <c r="AW163" s="51"/>
      <c r="AX163" s="51"/>
      <c r="AY163" s="51"/>
    </row>
    <row r="164" spans="32:51">
      <c r="AF164" s="51"/>
      <c r="AG164" s="53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3"/>
      <c r="AS164" s="51"/>
      <c r="AT164" s="51"/>
      <c r="AU164" s="51"/>
      <c r="AV164" s="51"/>
      <c r="AW164" s="51"/>
      <c r="AX164" s="51"/>
      <c r="AY164" s="51"/>
    </row>
    <row r="165" spans="32:51">
      <c r="AF165" s="51"/>
      <c r="AG165" s="53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3"/>
      <c r="AS165" s="51"/>
      <c r="AT165" s="51"/>
      <c r="AU165" s="51"/>
      <c r="AV165" s="51"/>
      <c r="AW165" s="51"/>
      <c r="AX165" s="51"/>
      <c r="AY165" s="51"/>
    </row>
    <row r="166" spans="32:51">
      <c r="AF166" s="51"/>
      <c r="AG166" s="53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3"/>
      <c r="AS166" s="51"/>
      <c r="AT166" s="51"/>
      <c r="AU166" s="51"/>
      <c r="AV166" s="51"/>
      <c r="AW166" s="51"/>
      <c r="AX166" s="51"/>
      <c r="AY166" s="51"/>
    </row>
    <row r="167" spans="32:51">
      <c r="AF167" s="51"/>
      <c r="AG167" s="53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3"/>
      <c r="AS167" s="51"/>
      <c r="AT167" s="51"/>
      <c r="AU167" s="51"/>
      <c r="AV167" s="51"/>
      <c r="AW167" s="51"/>
      <c r="AX167" s="51"/>
      <c r="AY167" s="51"/>
    </row>
    <row r="168" spans="32:51">
      <c r="AF168" s="51"/>
      <c r="AG168" s="53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3"/>
      <c r="AS168" s="51"/>
      <c r="AT168" s="51"/>
      <c r="AU168" s="51"/>
      <c r="AV168" s="51"/>
      <c r="AW168" s="51"/>
      <c r="AX168" s="51"/>
      <c r="AY168" s="51"/>
    </row>
    <row r="169" spans="32:51">
      <c r="AF169" s="51"/>
      <c r="AG169" s="53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3"/>
      <c r="AS169" s="51"/>
      <c r="AT169" s="51"/>
      <c r="AU169" s="51"/>
      <c r="AV169" s="51"/>
      <c r="AW169" s="51"/>
      <c r="AX169" s="51"/>
      <c r="AY169" s="51"/>
    </row>
    <row r="170" spans="32:51">
      <c r="AF170" s="51"/>
      <c r="AG170" s="53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3"/>
      <c r="AS170" s="51"/>
      <c r="AT170" s="51"/>
      <c r="AU170" s="51"/>
      <c r="AV170" s="51"/>
      <c r="AW170" s="51"/>
      <c r="AX170" s="51"/>
      <c r="AY170" s="51"/>
    </row>
    <row r="171" spans="32:51">
      <c r="AF171" s="51"/>
      <c r="AG171" s="53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3"/>
      <c r="AS171" s="51"/>
      <c r="AT171" s="51"/>
      <c r="AU171" s="51"/>
      <c r="AV171" s="51"/>
      <c r="AW171" s="51"/>
      <c r="AX171" s="51"/>
      <c r="AY171" s="51"/>
    </row>
    <row r="172" spans="32:51">
      <c r="AF172" s="51"/>
      <c r="AG172" s="53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3"/>
      <c r="AS172" s="51"/>
      <c r="AT172" s="51"/>
      <c r="AU172" s="51"/>
      <c r="AV172" s="51"/>
      <c r="AW172" s="51"/>
      <c r="AX172" s="51"/>
      <c r="AY172" s="51"/>
    </row>
    <row r="173" spans="32:51">
      <c r="AF173" s="51"/>
      <c r="AG173" s="53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3"/>
      <c r="AS173" s="51"/>
      <c r="AT173" s="51"/>
      <c r="AU173" s="51"/>
      <c r="AV173" s="51"/>
      <c r="AW173" s="51"/>
      <c r="AX173" s="51"/>
      <c r="AY173" s="51"/>
    </row>
    <row r="174" spans="32:51">
      <c r="AF174" s="51"/>
      <c r="AG174" s="53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3"/>
      <c r="AS174" s="51"/>
      <c r="AT174" s="51"/>
      <c r="AU174" s="51"/>
      <c r="AV174" s="51"/>
      <c r="AW174" s="51"/>
      <c r="AX174" s="51"/>
      <c r="AY174" s="51"/>
    </row>
    <row r="175" spans="32:51">
      <c r="AF175" s="51"/>
      <c r="AG175" s="53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3"/>
      <c r="AS175" s="51"/>
      <c r="AT175" s="51"/>
      <c r="AU175" s="51"/>
      <c r="AV175" s="51"/>
      <c r="AW175" s="51"/>
      <c r="AX175" s="51"/>
      <c r="AY175" s="51"/>
    </row>
    <row r="176" spans="32:51">
      <c r="AF176" s="51"/>
      <c r="AG176" s="53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3"/>
      <c r="AS176" s="51"/>
      <c r="AT176" s="51"/>
      <c r="AU176" s="51"/>
      <c r="AV176" s="51"/>
      <c r="AW176" s="51"/>
      <c r="AX176" s="51"/>
      <c r="AY176" s="51"/>
    </row>
    <row r="177" spans="32:51">
      <c r="AF177" s="51"/>
      <c r="AG177" s="53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3"/>
      <c r="AS177" s="51"/>
      <c r="AT177" s="51"/>
      <c r="AU177" s="51"/>
      <c r="AV177" s="51"/>
      <c r="AW177" s="51"/>
      <c r="AX177" s="51"/>
      <c r="AY177" s="51"/>
    </row>
    <row r="178" spans="32:51">
      <c r="AF178" s="51"/>
      <c r="AG178" s="53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3"/>
      <c r="AS178" s="51"/>
      <c r="AT178" s="51"/>
      <c r="AU178" s="51"/>
      <c r="AV178" s="51"/>
      <c r="AW178" s="51"/>
      <c r="AX178" s="51"/>
      <c r="AY178" s="51"/>
    </row>
    <row r="179" spans="32:51">
      <c r="AF179" s="51"/>
      <c r="AG179" s="53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3"/>
      <c r="AS179" s="51"/>
      <c r="AT179" s="51"/>
      <c r="AU179" s="51"/>
      <c r="AV179" s="51"/>
      <c r="AW179" s="51"/>
      <c r="AX179" s="51"/>
      <c r="AY179" s="51"/>
    </row>
    <row r="180" spans="32:51">
      <c r="AF180" s="51"/>
      <c r="AG180" s="53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3"/>
      <c r="AS180" s="51"/>
      <c r="AT180" s="51"/>
      <c r="AU180" s="51"/>
      <c r="AV180" s="51"/>
      <c r="AW180" s="51"/>
      <c r="AX180" s="51"/>
      <c r="AY180" s="51"/>
    </row>
    <row r="181" spans="32:51">
      <c r="AF181" s="51"/>
      <c r="AG181" s="53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3"/>
      <c r="AS181" s="51"/>
      <c r="AT181" s="51"/>
      <c r="AU181" s="51"/>
      <c r="AV181" s="51"/>
      <c r="AW181" s="51"/>
      <c r="AX181" s="51"/>
      <c r="AY181" s="51"/>
    </row>
    <row r="182" spans="32:51">
      <c r="AF182" s="51"/>
      <c r="AG182" s="53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3"/>
      <c r="AS182" s="51"/>
      <c r="AT182" s="51"/>
      <c r="AU182" s="51"/>
      <c r="AV182" s="51"/>
      <c r="AW182" s="51"/>
      <c r="AX182" s="51"/>
      <c r="AY182" s="51"/>
    </row>
    <row r="183" spans="32:51">
      <c r="AF183" s="51"/>
      <c r="AG183" s="53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3"/>
      <c r="AS183" s="51"/>
      <c r="AT183" s="51"/>
      <c r="AU183" s="51"/>
      <c r="AV183" s="51"/>
      <c r="AW183" s="51"/>
      <c r="AX183" s="51"/>
      <c r="AY183" s="51"/>
    </row>
    <row r="184" spans="32:51">
      <c r="AF184" s="51"/>
      <c r="AG184" s="53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3"/>
      <c r="AS184" s="51"/>
      <c r="AT184" s="51"/>
      <c r="AU184" s="51"/>
      <c r="AV184" s="51"/>
      <c r="AW184" s="51"/>
      <c r="AX184" s="51"/>
      <c r="AY184" s="51"/>
    </row>
    <row r="185" spans="32:51">
      <c r="AF185" s="51"/>
      <c r="AG185" s="53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3"/>
      <c r="AS185" s="51"/>
      <c r="AT185" s="51"/>
      <c r="AU185" s="51"/>
      <c r="AV185" s="51"/>
      <c r="AW185" s="51"/>
      <c r="AX185" s="51"/>
      <c r="AY185" s="51"/>
    </row>
    <row r="186" spans="32:51">
      <c r="AF186" s="51"/>
      <c r="AG186" s="53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3"/>
      <c r="AS186" s="51"/>
      <c r="AT186" s="51"/>
      <c r="AU186" s="51"/>
      <c r="AV186" s="51"/>
      <c r="AW186" s="51"/>
      <c r="AX186" s="51"/>
      <c r="AY186" s="51"/>
    </row>
    <row r="187" spans="32:51">
      <c r="AF187" s="51"/>
      <c r="AG187" s="53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3"/>
      <c r="AS187" s="51"/>
      <c r="AT187" s="51"/>
      <c r="AU187" s="51"/>
      <c r="AV187" s="51"/>
      <c r="AW187" s="51"/>
      <c r="AX187" s="51"/>
      <c r="AY187" s="51"/>
    </row>
    <row r="188" spans="32:51">
      <c r="AF188" s="51"/>
      <c r="AG188" s="53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3"/>
      <c r="AS188" s="51"/>
      <c r="AT188" s="51"/>
      <c r="AU188" s="51"/>
      <c r="AV188" s="51"/>
      <c r="AW188" s="51"/>
      <c r="AX188" s="51"/>
      <c r="AY188" s="51"/>
    </row>
    <row r="189" spans="32:51">
      <c r="AF189" s="51"/>
      <c r="AG189" s="53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3"/>
      <c r="AS189" s="51"/>
      <c r="AT189" s="51"/>
      <c r="AU189" s="51"/>
      <c r="AV189" s="51"/>
      <c r="AW189" s="51"/>
      <c r="AX189" s="51"/>
      <c r="AY189" s="51"/>
    </row>
    <row r="190" spans="32:51">
      <c r="AF190" s="51"/>
      <c r="AG190" s="53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3"/>
      <c r="AS190" s="51"/>
      <c r="AT190" s="51"/>
      <c r="AU190" s="51"/>
      <c r="AV190" s="51"/>
      <c r="AW190" s="51"/>
      <c r="AX190" s="51"/>
      <c r="AY190" s="51"/>
    </row>
    <row r="191" spans="32:51">
      <c r="AF191" s="51"/>
      <c r="AG191" s="53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3"/>
      <c r="AS191" s="51"/>
      <c r="AT191" s="51"/>
      <c r="AU191" s="51"/>
      <c r="AV191" s="51"/>
      <c r="AW191" s="51"/>
      <c r="AX191" s="51"/>
      <c r="AY191" s="51"/>
    </row>
    <row r="192" spans="32:51">
      <c r="AF192" s="51"/>
      <c r="AG192" s="53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3"/>
      <c r="AS192" s="51"/>
      <c r="AT192" s="51"/>
      <c r="AU192" s="51"/>
      <c r="AV192" s="51"/>
      <c r="AW192" s="51"/>
      <c r="AX192" s="51"/>
      <c r="AY192" s="51"/>
    </row>
    <row r="193" spans="32:51">
      <c r="AF193" s="51"/>
      <c r="AG193" s="53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3"/>
      <c r="AS193" s="51"/>
      <c r="AT193" s="51"/>
      <c r="AU193" s="51"/>
      <c r="AV193" s="51"/>
      <c r="AW193" s="51"/>
      <c r="AX193" s="51"/>
      <c r="AY193" s="51"/>
    </row>
    <row r="194" spans="32:51">
      <c r="AF194" s="51"/>
      <c r="AG194" s="53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3"/>
      <c r="AS194" s="51"/>
      <c r="AT194" s="51"/>
      <c r="AU194" s="51"/>
      <c r="AV194" s="51"/>
      <c r="AW194" s="51"/>
      <c r="AX194" s="51"/>
      <c r="AY194" s="51"/>
    </row>
    <row r="195" spans="32:51">
      <c r="AF195" s="51"/>
      <c r="AG195" s="53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3"/>
      <c r="AS195" s="51"/>
      <c r="AT195" s="51"/>
      <c r="AU195" s="51"/>
      <c r="AV195" s="51"/>
      <c r="AW195" s="51"/>
      <c r="AX195" s="51"/>
      <c r="AY195" s="51"/>
    </row>
    <row r="196" spans="32:51">
      <c r="AF196" s="51"/>
      <c r="AG196" s="53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3"/>
      <c r="AS196" s="51"/>
      <c r="AT196" s="51"/>
      <c r="AU196" s="51"/>
      <c r="AV196" s="51"/>
      <c r="AW196" s="51"/>
      <c r="AX196" s="51"/>
      <c r="AY196" s="51"/>
    </row>
    <row r="197" spans="32:51">
      <c r="AF197" s="51"/>
      <c r="AG197" s="53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3"/>
      <c r="AS197" s="51"/>
      <c r="AT197" s="51"/>
      <c r="AU197" s="51"/>
      <c r="AV197" s="51"/>
      <c r="AW197" s="51"/>
      <c r="AX197" s="51"/>
      <c r="AY197" s="51"/>
    </row>
    <row r="198" spans="32:51">
      <c r="AF198" s="51"/>
      <c r="AG198" s="53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3"/>
      <c r="AS198" s="51"/>
      <c r="AT198" s="51"/>
      <c r="AU198" s="51"/>
      <c r="AV198" s="51"/>
      <c r="AW198" s="51"/>
      <c r="AX198" s="51"/>
      <c r="AY198" s="51"/>
    </row>
    <row r="199" spans="32:51">
      <c r="AF199" s="51"/>
      <c r="AG199" s="53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3"/>
      <c r="AS199" s="51"/>
      <c r="AT199" s="51"/>
      <c r="AU199" s="51"/>
      <c r="AV199" s="51"/>
      <c r="AW199" s="51"/>
      <c r="AX199" s="51"/>
      <c r="AY199" s="51"/>
    </row>
    <row r="200" spans="32:51">
      <c r="AF200" s="51"/>
      <c r="AG200" s="53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3"/>
      <c r="AS200" s="51"/>
      <c r="AT200" s="51"/>
      <c r="AU200" s="51"/>
      <c r="AV200" s="51"/>
      <c r="AW200" s="51"/>
      <c r="AX200" s="51"/>
      <c r="AY200" s="51"/>
    </row>
    <row r="201" spans="32:51">
      <c r="AF201" s="51"/>
      <c r="AG201" s="53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3"/>
      <c r="AS201" s="51"/>
      <c r="AT201" s="51"/>
      <c r="AU201" s="51"/>
      <c r="AV201" s="51"/>
      <c r="AW201" s="51"/>
      <c r="AX201" s="51"/>
      <c r="AY201" s="51"/>
    </row>
    <row r="202" spans="32:51">
      <c r="AF202" s="51"/>
      <c r="AG202" s="53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3"/>
      <c r="AS202" s="51"/>
      <c r="AT202" s="51"/>
      <c r="AU202" s="51"/>
      <c r="AV202" s="51"/>
      <c r="AW202" s="51"/>
      <c r="AX202" s="51"/>
      <c r="AY202" s="51"/>
    </row>
    <row r="203" spans="32:51">
      <c r="AF203" s="51"/>
      <c r="AG203" s="53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3"/>
      <c r="AS203" s="51"/>
      <c r="AT203" s="51"/>
      <c r="AU203" s="51"/>
      <c r="AV203" s="51"/>
      <c r="AW203" s="51"/>
      <c r="AX203" s="51"/>
      <c r="AY203" s="51"/>
    </row>
    <row r="204" spans="32:51">
      <c r="AF204" s="51"/>
      <c r="AG204" s="53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3"/>
      <c r="AS204" s="51"/>
      <c r="AT204" s="51"/>
      <c r="AU204" s="51"/>
      <c r="AV204" s="51"/>
      <c r="AW204" s="51"/>
      <c r="AX204" s="51"/>
      <c r="AY204" s="51"/>
    </row>
    <row r="205" spans="32:51">
      <c r="AF205" s="51"/>
      <c r="AG205" s="53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3"/>
      <c r="AS205" s="51"/>
      <c r="AT205" s="51"/>
      <c r="AU205" s="51"/>
      <c r="AV205" s="51"/>
      <c r="AW205" s="51"/>
      <c r="AX205" s="51"/>
      <c r="AY205" s="51"/>
    </row>
    <row r="206" spans="32:51">
      <c r="AF206" s="51"/>
      <c r="AG206" s="53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3"/>
      <c r="AS206" s="51"/>
      <c r="AT206" s="51"/>
      <c r="AU206" s="51"/>
      <c r="AV206" s="51"/>
      <c r="AW206" s="51"/>
      <c r="AX206" s="51"/>
      <c r="AY206" s="51"/>
    </row>
    <row r="207" spans="32:51">
      <c r="AF207" s="51"/>
      <c r="AG207" s="53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3"/>
      <c r="AS207" s="51"/>
      <c r="AT207" s="51"/>
      <c r="AU207" s="51"/>
      <c r="AV207" s="51"/>
      <c r="AW207" s="51"/>
      <c r="AX207" s="51"/>
      <c r="AY207" s="51"/>
    </row>
    <row r="208" spans="32:51">
      <c r="AF208" s="51"/>
      <c r="AG208" s="53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3"/>
      <c r="AS208" s="51"/>
      <c r="AT208" s="51"/>
      <c r="AU208" s="51"/>
      <c r="AV208" s="51"/>
      <c r="AW208" s="51"/>
      <c r="AX208" s="51"/>
      <c r="AY208" s="51"/>
    </row>
    <row r="209" spans="32:51">
      <c r="AF209" s="51"/>
      <c r="AG209" s="53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3"/>
      <c r="AS209" s="51"/>
      <c r="AT209" s="51"/>
      <c r="AU209" s="51"/>
      <c r="AV209" s="51"/>
      <c r="AW209" s="51"/>
      <c r="AX209" s="51"/>
      <c r="AY209" s="51"/>
    </row>
    <row r="210" spans="32:51">
      <c r="AF210" s="51"/>
      <c r="AG210" s="53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3"/>
      <c r="AS210" s="51"/>
      <c r="AT210" s="51"/>
      <c r="AU210" s="51"/>
      <c r="AV210" s="51"/>
      <c r="AW210" s="51"/>
      <c r="AX210" s="51"/>
      <c r="AY210" s="51"/>
    </row>
    <row r="211" spans="32:51">
      <c r="AF211" s="51"/>
      <c r="AG211" s="53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3"/>
      <c r="AS211" s="51"/>
      <c r="AT211" s="51"/>
      <c r="AU211" s="51"/>
      <c r="AV211" s="51"/>
      <c r="AW211" s="51"/>
      <c r="AX211" s="51"/>
      <c r="AY211" s="51"/>
    </row>
    <row r="212" spans="32:51">
      <c r="AF212" s="51"/>
      <c r="AG212" s="53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3"/>
      <c r="AS212" s="51"/>
      <c r="AT212" s="51"/>
      <c r="AU212" s="51"/>
      <c r="AV212" s="51"/>
      <c r="AW212" s="51"/>
      <c r="AX212" s="51"/>
      <c r="AY212" s="51"/>
    </row>
    <row r="213" spans="32:51">
      <c r="AF213" s="51"/>
      <c r="AG213" s="53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3"/>
      <c r="AS213" s="51"/>
      <c r="AT213" s="51"/>
      <c r="AU213" s="51"/>
      <c r="AV213" s="51"/>
      <c r="AW213" s="51"/>
      <c r="AX213" s="51"/>
      <c r="AY213" s="51"/>
    </row>
    <row r="214" spans="32:51">
      <c r="AF214" s="51"/>
      <c r="AG214" s="53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3"/>
      <c r="AS214" s="51"/>
      <c r="AT214" s="51"/>
      <c r="AU214" s="51"/>
      <c r="AV214" s="51"/>
      <c r="AW214" s="51"/>
      <c r="AX214" s="51"/>
      <c r="AY214" s="51"/>
    </row>
    <row r="215" spans="32:51">
      <c r="AF215" s="51"/>
      <c r="AG215" s="53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3"/>
      <c r="AS215" s="51"/>
      <c r="AT215" s="51"/>
      <c r="AU215" s="51"/>
      <c r="AV215" s="51"/>
      <c r="AW215" s="51"/>
      <c r="AX215" s="51"/>
      <c r="AY215" s="51"/>
    </row>
    <row r="216" spans="32:51">
      <c r="AF216" s="51"/>
      <c r="AG216" s="53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3"/>
      <c r="AS216" s="51"/>
      <c r="AT216" s="51"/>
      <c r="AU216" s="51"/>
      <c r="AV216" s="51"/>
      <c r="AW216" s="51"/>
      <c r="AX216" s="51"/>
      <c r="AY216" s="51"/>
    </row>
    <row r="217" spans="32:51">
      <c r="AF217" s="51"/>
      <c r="AG217" s="53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3"/>
      <c r="AS217" s="51"/>
      <c r="AT217" s="51"/>
      <c r="AU217" s="51"/>
      <c r="AV217" s="51"/>
      <c r="AW217" s="51"/>
      <c r="AX217" s="51"/>
      <c r="AY217" s="51"/>
    </row>
    <row r="218" spans="32:51">
      <c r="AF218" s="51"/>
      <c r="AG218" s="53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3"/>
      <c r="AS218" s="51"/>
      <c r="AT218" s="51"/>
      <c r="AU218" s="51"/>
      <c r="AV218" s="51"/>
      <c r="AW218" s="51"/>
      <c r="AX218" s="51"/>
      <c r="AY218" s="51"/>
    </row>
    <row r="219" spans="32:51">
      <c r="AF219" s="51"/>
      <c r="AG219" s="53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3"/>
      <c r="AS219" s="51"/>
      <c r="AT219" s="51"/>
      <c r="AU219" s="51"/>
      <c r="AV219" s="51"/>
      <c r="AW219" s="51"/>
      <c r="AX219" s="51"/>
      <c r="AY219" s="51"/>
    </row>
    <row r="220" spans="32:51">
      <c r="AF220" s="51"/>
      <c r="AG220" s="53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3"/>
      <c r="AS220" s="51"/>
      <c r="AT220" s="51"/>
      <c r="AU220" s="51"/>
      <c r="AV220" s="51"/>
      <c r="AW220" s="51"/>
      <c r="AX220" s="51"/>
      <c r="AY220" s="51"/>
    </row>
    <row r="221" spans="32:51">
      <c r="AF221" s="51"/>
      <c r="AG221" s="53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3"/>
      <c r="AS221" s="51"/>
      <c r="AT221" s="51"/>
      <c r="AU221" s="51"/>
      <c r="AV221" s="51"/>
      <c r="AW221" s="51"/>
      <c r="AX221" s="51"/>
      <c r="AY221" s="51"/>
    </row>
    <row r="222" spans="32:51">
      <c r="AF222" s="51"/>
      <c r="AG222" s="53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3"/>
      <c r="AS222" s="51"/>
      <c r="AT222" s="51"/>
      <c r="AU222" s="51"/>
      <c r="AV222" s="51"/>
      <c r="AW222" s="51"/>
      <c r="AX222" s="51"/>
      <c r="AY222" s="51"/>
    </row>
    <row r="223" spans="32:51">
      <c r="AF223" s="51"/>
      <c r="AG223" s="53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3"/>
      <c r="AS223" s="51"/>
      <c r="AT223" s="51"/>
      <c r="AU223" s="51"/>
      <c r="AV223" s="51"/>
      <c r="AW223" s="51"/>
      <c r="AX223" s="51"/>
      <c r="AY223" s="51"/>
    </row>
    <row r="224" spans="32:51">
      <c r="AF224" s="51"/>
      <c r="AG224" s="53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3"/>
      <c r="AS224" s="51"/>
      <c r="AT224" s="51"/>
      <c r="AU224" s="51"/>
      <c r="AV224" s="51"/>
      <c r="AW224" s="51"/>
      <c r="AX224" s="51"/>
      <c r="AY224" s="51"/>
    </row>
    <row r="225" spans="32:51">
      <c r="AF225" s="51"/>
      <c r="AG225" s="53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3"/>
      <c r="AS225" s="51"/>
      <c r="AT225" s="51"/>
      <c r="AU225" s="51"/>
      <c r="AV225" s="51"/>
      <c r="AW225" s="51"/>
      <c r="AX225" s="51"/>
      <c r="AY225" s="51"/>
    </row>
    <row r="226" spans="32:51">
      <c r="AF226" s="51"/>
      <c r="AG226" s="53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3"/>
      <c r="AS226" s="51"/>
      <c r="AT226" s="51"/>
      <c r="AU226" s="51"/>
      <c r="AV226" s="51"/>
      <c r="AW226" s="51"/>
      <c r="AX226" s="51"/>
      <c r="AY226" s="51"/>
    </row>
    <row r="227" spans="32:51">
      <c r="AF227" s="51"/>
      <c r="AG227" s="53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3"/>
      <c r="AS227" s="51"/>
      <c r="AT227" s="51"/>
      <c r="AU227" s="51"/>
      <c r="AV227" s="51"/>
      <c r="AW227" s="51"/>
      <c r="AX227" s="51"/>
      <c r="AY227" s="51"/>
    </row>
    <row r="228" spans="32:51">
      <c r="AF228" s="51"/>
      <c r="AG228" s="53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3"/>
      <c r="AS228" s="51"/>
      <c r="AT228" s="51"/>
      <c r="AU228" s="51"/>
      <c r="AV228" s="51"/>
      <c r="AW228" s="51"/>
      <c r="AX228" s="51"/>
      <c r="AY228" s="51"/>
    </row>
    <row r="229" spans="32:51">
      <c r="AF229" s="51"/>
      <c r="AG229" s="53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3"/>
      <c r="AS229" s="51"/>
      <c r="AT229" s="51"/>
      <c r="AU229" s="51"/>
      <c r="AV229" s="51"/>
      <c r="AW229" s="51"/>
      <c r="AX229" s="51"/>
      <c r="AY229" s="51"/>
    </row>
    <row r="230" spans="32:51">
      <c r="AF230" s="51"/>
      <c r="AG230" s="53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3"/>
      <c r="AS230" s="51"/>
      <c r="AT230" s="51"/>
      <c r="AU230" s="51"/>
      <c r="AV230" s="51"/>
      <c r="AW230" s="51"/>
      <c r="AX230" s="51"/>
      <c r="AY230" s="51"/>
    </row>
    <row r="231" spans="32:51">
      <c r="AF231" s="51"/>
      <c r="AG231" s="53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3"/>
      <c r="AS231" s="51"/>
      <c r="AT231" s="51"/>
      <c r="AU231" s="51"/>
      <c r="AV231" s="51"/>
      <c r="AW231" s="51"/>
      <c r="AX231" s="51"/>
      <c r="AY231" s="51"/>
    </row>
    <row r="232" spans="32:51">
      <c r="AF232" s="51"/>
      <c r="AG232" s="53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3"/>
      <c r="AS232" s="51"/>
      <c r="AT232" s="51"/>
      <c r="AU232" s="51"/>
      <c r="AV232" s="51"/>
      <c r="AW232" s="51"/>
      <c r="AX232" s="51"/>
      <c r="AY232" s="51"/>
    </row>
    <row r="233" spans="32:51">
      <c r="AF233" s="51"/>
      <c r="AG233" s="53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3"/>
      <c r="AS233" s="51"/>
      <c r="AT233" s="51"/>
      <c r="AU233" s="51"/>
      <c r="AV233" s="51"/>
      <c r="AW233" s="51"/>
      <c r="AX233" s="51"/>
      <c r="AY233" s="51"/>
    </row>
    <row r="234" spans="32:51">
      <c r="AF234" s="51"/>
      <c r="AG234" s="53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3"/>
      <c r="AS234" s="51"/>
      <c r="AT234" s="51"/>
      <c r="AU234" s="51"/>
      <c r="AV234" s="51"/>
      <c r="AW234" s="51"/>
      <c r="AX234" s="51"/>
      <c r="AY234" s="51"/>
    </row>
    <row r="235" spans="32:51">
      <c r="AF235" s="51"/>
      <c r="AG235" s="53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3"/>
      <c r="AS235" s="51"/>
      <c r="AT235" s="51"/>
      <c r="AU235" s="51"/>
      <c r="AV235" s="51"/>
      <c r="AW235" s="51"/>
      <c r="AX235" s="51"/>
      <c r="AY235" s="51"/>
    </row>
    <row r="236" spans="32:51">
      <c r="AF236" s="51"/>
      <c r="AG236" s="53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3"/>
      <c r="AS236" s="51"/>
      <c r="AT236" s="51"/>
      <c r="AU236" s="51"/>
      <c r="AV236" s="51"/>
      <c r="AW236" s="51"/>
      <c r="AX236" s="51"/>
      <c r="AY236" s="51"/>
    </row>
    <row r="237" spans="32:51">
      <c r="AF237" s="51"/>
      <c r="AG237" s="53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3"/>
      <c r="AS237" s="51"/>
      <c r="AT237" s="51"/>
      <c r="AU237" s="51"/>
      <c r="AV237" s="51"/>
      <c r="AW237" s="51"/>
      <c r="AX237" s="51"/>
      <c r="AY237" s="51"/>
    </row>
    <row r="238" spans="32:51">
      <c r="AF238" s="51"/>
      <c r="AG238" s="53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3"/>
      <c r="AS238" s="51"/>
      <c r="AT238" s="51"/>
      <c r="AU238" s="51"/>
      <c r="AV238" s="51"/>
      <c r="AW238" s="51"/>
      <c r="AX238" s="51"/>
      <c r="AY238" s="51"/>
    </row>
    <row r="239" spans="32:51">
      <c r="AF239" s="51"/>
      <c r="AG239" s="53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3"/>
      <c r="AS239" s="51"/>
      <c r="AT239" s="51"/>
      <c r="AU239" s="51"/>
      <c r="AV239" s="51"/>
      <c r="AW239" s="51"/>
      <c r="AX239" s="51"/>
      <c r="AY239" s="51"/>
    </row>
    <row r="240" spans="32:51">
      <c r="AF240" s="51"/>
      <c r="AG240" s="53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3"/>
      <c r="AS240" s="51"/>
      <c r="AT240" s="51"/>
      <c r="AU240" s="51"/>
      <c r="AV240" s="51"/>
      <c r="AW240" s="51"/>
      <c r="AX240" s="51"/>
      <c r="AY240" s="51"/>
    </row>
    <row r="241" spans="32:51">
      <c r="AF241" s="51"/>
      <c r="AG241" s="53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3"/>
      <c r="AS241" s="51"/>
      <c r="AT241" s="51"/>
      <c r="AU241" s="51"/>
      <c r="AV241" s="51"/>
      <c r="AW241" s="51"/>
      <c r="AX241" s="51"/>
      <c r="AY241" s="51"/>
    </row>
    <row r="242" spans="32:51">
      <c r="AF242" s="51"/>
      <c r="AG242" s="53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3"/>
      <c r="AS242" s="51"/>
      <c r="AT242" s="51"/>
      <c r="AU242" s="51"/>
      <c r="AV242" s="51"/>
      <c r="AW242" s="51"/>
      <c r="AX242" s="51"/>
      <c r="AY242" s="51"/>
    </row>
    <row r="243" spans="32:51">
      <c r="AF243" s="51"/>
      <c r="AG243" s="53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3"/>
      <c r="AS243" s="51"/>
      <c r="AT243" s="51"/>
      <c r="AU243" s="51"/>
      <c r="AV243" s="51"/>
      <c r="AW243" s="51"/>
      <c r="AX243" s="51"/>
      <c r="AY243" s="51"/>
    </row>
    <row r="244" spans="32:51">
      <c r="AF244" s="51"/>
      <c r="AG244" s="53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3"/>
      <c r="AS244" s="51"/>
      <c r="AT244" s="51"/>
      <c r="AU244" s="51"/>
      <c r="AV244" s="51"/>
      <c r="AW244" s="51"/>
      <c r="AX244" s="51"/>
      <c r="AY244" s="51"/>
    </row>
    <row r="245" spans="32:51">
      <c r="AF245" s="51"/>
      <c r="AG245" s="53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3"/>
      <c r="AS245" s="51"/>
      <c r="AT245" s="51"/>
      <c r="AU245" s="51"/>
      <c r="AV245" s="51"/>
      <c r="AW245" s="51"/>
      <c r="AX245" s="51"/>
      <c r="AY245" s="51"/>
    </row>
    <row r="246" spans="32:51">
      <c r="AF246" s="51"/>
      <c r="AG246" s="53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3"/>
      <c r="AS246" s="51"/>
      <c r="AT246" s="51"/>
      <c r="AU246" s="51"/>
      <c r="AV246" s="51"/>
      <c r="AW246" s="51"/>
      <c r="AX246" s="51"/>
      <c r="AY246" s="51"/>
    </row>
    <row r="247" spans="32:51">
      <c r="AF247" s="51"/>
      <c r="AG247" s="53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3"/>
      <c r="AS247" s="51"/>
      <c r="AT247" s="51"/>
      <c r="AU247" s="51"/>
      <c r="AV247" s="51"/>
      <c r="AW247" s="51"/>
      <c r="AX247" s="51"/>
      <c r="AY247" s="51"/>
    </row>
    <row r="248" spans="32:51">
      <c r="AF248" s="51"/>
      <c r="AG248" s="53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3"/>
      <c r="AS248" s="51"/>
      <c r="AT248" s="51"/>
      <c r="AU248" s="51"/>
      <c r="AV248" s="51"/>
      <c r="AW248" s="51"/>
      <c r="AX248" s="51"/>
      <c r="AY248" s="51"/>
    </row>
    <row r="249" spans="32:51">
      <c r="AF249" s="51"/>
      <c r="AG249" s="53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3"/>
      <c r="AS249" s="51"/>
      <c r="AT249" s="51"/>
      <c r="AU249" s="51"/>
      <c r="AV249" s="51"/>
      <c r="AW249" s="51"/>
      <c r="AX249" s="51"/>
      <c r="AY249" s="51"/>
    </row>
    <row r="250" spans="32:51">
      <c r="AF250" s="51"/>
      <c r="AG250" s="53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3"/>
      <c r="AS250" s="51"/>
      <c r="AT250" s="51"/>
      <c r="AU250" s="51"/>
      <c r="AV250" s="51"/>
      <c r="AW250" s="51"/>
      <c r="AX250" s="51"/>
      <c r="AY250" s="51"/>
    </row>
    <row r="251" spans="32:51">
      <c r="AF251" s="51"/>
      <c r="AG251" s="53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3"/>
      <c r="AS251" s="51"/>
      <c r="AT251" s="51"/>
      <c r="AU251" s="51"/>
      <c r="AV251" s="51"/>
      <c r="AW251" s="51"/>
      <c r="AX251" s="51"/>
      <c r="AY251" s="51"/>
    </row>
    <row r="252" spans="32:51">
      <c r="AF252" s="51"/>
      <c r="AG252" s="53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3"/>
      <c r="AS252" s="51"/>
      <c r="AT252" s="51"/>
      <c r="AU252" s="51"/>
      <c r="AV252" s="51"/>
      <c r="AW252" s="51"/>
      <c r="AX252" s="51"/>
      <c r="AY252" s="51"/>
    </row>
    <row r="253" spans="32:51">
      <c r="AF253" s="51"/>
      <c r="AG253" s="53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3"/>
      <c r="AS253" s="51"/>
      <c r="AT253" s="51"/>
      <c r="AU253" s="51"/>
      <c r="AV253" s="51"/>
      <c r="AW253" s="51"/>
      <c r="AX253" s="51"/>
      <c r="AY253" s="51"/>
    </row>
    <row r="254" spans="32:51">
      <c r="AF254" s="51"/>
      <c r="AG254" s="53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3"/>
      <c r="AS254" s="51"/>
      <c r="AT254" s="51"/>
      <c r="AU254" s="51"/>
      <c r="AV254" s="51"/>
      <c r="AW254" s="51"/>
      <c r="AX254" s="51"/>
      <c r="AY254" s="51"/>
    </row>
    <row r="255" spans="32:51">
      <c r="AF255" s="51"/>
      <c r="AG255" s="53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3"/>
      <c r="AS255" s="51"/>
      <c r="AT255" s="51"/>
      <c r="AU255" s="51"/>
      <c r="AV255" s="51"/>
      <c r="AW255" s="51"/>
      <c r="AX255" s="51"/>
      <c r="AY255" s="51"/>
    </row>
    <row r="256" spans="32:51">
      <c r="AF256" s="51"/>
      <c r="AG256" s="53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3"/>
      <c r="AS256" s="51"/>
      <c r="AT256" s="51"/>
      <c r="AU256" s="51"/>
      <c r="AV256" s="51"/>
      <c r="AW256" s="51"/>
      <c r="AX256" s="51"/>
      <c r="AY256" s="51"/>
    </row>
    <row r="257" spans="32:51">
      <c r="AF257" s="51"/>
      <c r="AG257" s="53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3"/>
      <c r="AS257" s="51"/>
      <c r="AT257" s="51"/>
      <c r="AU257" s="51"/>
      <c r="AV257" s="51"/>
      <c r="AW257" s="51"/>
      <c r="AX257" s="51"/>
      <c r="AY257" s="51"/>
    </row>
    <row r="258" spans="32:51">
      <c r="AF258" s="51"/>
      <c r="AG258" s="53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3"/>
      <c r="AS258" s="51"/>
      <c r="AT258" s="51"/>
      <c r="AU258" s="51"/>
      <c r="AV258" s="51"/>
      <c r="AW258" s="51"/>
      <c r="AX258" s="51"/>
      <c r="AY258" s="51"/>
    </row>
    <row r="259" spans="32:51">
      <c r="AF259" s="51"/>
      <c r="AG259" s="53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3"/>
      <c r="AS259" s="51"/>
      <c r="AT259" s="51"/>
      <c r="AU259" s="51"/>
      <c r="AV259" s="51"/>
      <c r="AW259" s="51"/>
      <c r="AX259" s="51"/>
      <c r="AY259" s="51"/>
    </row>
    <row r="260" spans="32:51">
      <c r="AF260" s="51"/>
      <c r="AG260" s="53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3"/>
      <c r="AS260" s="51"/>
      <c r="AT260" s="51"/>
      <c r="AU260" s="51"/>
      <c r="AV260" s="51"/>
      <c r="AW260" s="51"/>
      <c r="AX260" s="51"/>
      <c r="AY260" s="51"/>
    </row>
    <row r="261" spans="32:51">
      <c r="AF261" s="51"/>
      <c r="AG261" s="53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3"/>
      <c r="AS261" s="51"/>
      <c r="AT261" s="51"/>
      <c r="AU261" s="51"/>
      <c r="AV261" s="51"/>
      <c r="AW261" s="51"/>
      <c r="AX261" s="51"/>
      <c r="AY261" s="51"/>
    </row>
    <row r="262" spans="32:51">
      <c r="AF262" s="51"/>
      <c r="AG262" s="53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3"/>
      <c r="AS262" s="51"/>
      <c r="AT262" s="51"/>
      <c r="AU262" s="51"/>
      <c r="AV262" s="51"/>
      <c r="AW262" s="51"/>
      <c r="AX262" s="51"/>
      <c r="AY262" s="51"/>
    </row>
    <row r="263" spans="32:51">
      <c r="AF263" s="51"/>
      <c r="AG263" s="53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3"/>
      <c r="AS263" s="51"/>
      <c r="AT263" s="51"/>
      <c r="AU263" s="51"/>
      <c r="AV263" s="51"/>
      <c r="AW263" s="51"/>
      <c r="AX263" s="51"/>
      <c r="AY263" s="51"/>
    </row>
    <row r="264" spans="32:51">
      <c r="AF264" s="51"/>
      <c r="AG264" s="53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3"/>
      <c r="AS264" s="51"/>
      <c r="AT264" s="51"/>
      <c r="AU264" s="51"/>
      <c r="AV264" s="51"/>
      <c r="AW264" s="51"/>
      <c r="AX264" s="51"/>
      <c r="AY264" s="51"/>
    </row>
    <row r="265" spans="32:51">
      <c r="AF265" s="51"/>
      <c r="AG265" s="53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3"/>
      <c r="AS265" s="51"/>
      <c r="AT265" s="51"/>
      <c r="AU265" s="51"/>
      <c r="AV265" s="51"/>
      <c r="AW265" s="51"/>
      <c r="AX265" s="51"/>
      <c r="AY265" s="51"/>
    </row>
    <row r="266" spans="32:51">
      <c r="AF266" s="51"/>
      <c r="AG266" s="53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3"/>
      <c r="AS266" s="51"/>
      <c r="AT266" s="51"/>
      <c r="AU266" s="51"/>
      <c r="AV266" s="51"/>
      <c r="AW266" s="51"/>
      <c r="AX266" s="51"/>
      <c r="AY266" s="51"/>
    </row>
    <row r="267" spans="32:51">
      <c r="AF267" s="51"/>
      <c r="AG267" s="53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3"/>
      <c r="AS267" s="51"/>
      <c r="AT267" s="51"/>
      <c r="AU267" s="51"/>
      <c r="AV267" s="51"/>
      <c r="AW267" s="51"/>
      <c r="AX267" s="51"/>
      <c r="AY267" s="51"/>
    </row>
    <row r="268" spans="32:51">
      <c r="AF268" s="51"/>
      <c r="AG268" s="53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3"/>
      <c r="AS268" s="51"/>
      <c r="AT268" s="51"/>
      <c r="AU268" s="51"/>
      <c r="AV268" s="51"/>
      <c r="AW268" s="51"/>
      <c r="AX268" s="51"/>
      <c r="AY268" s="51"/>
    </row>
    <row r="269" spans="32:51">
      <c r="AF269" s="51"/>
      <c r="AG269" s="53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3"/>
      <c r="AS269" s="51"/>
      <c r="AT269" s="51"/>
      <c r="AU269" s="51"/>
      <c r="AV269" s="51"/>
      <c r="AW269" s="51"/>
      <c r="AX269" s="51"/>
      <c r="AY269" s="51"/>
    </row>
    <row r="270" spans="32:51">
      <c r="AF270" s="51"/>
      <c r="AG270" s="53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3"/>
      <c r="AS270" s="51"/>
      <c r="AT270" s="51"/>
      <c r="AU270" s="51"/>
      <c r="AV270" s="51"/>
      <c r="AW270" s="51"/>
      <c r="AX270" s="51"/>
      <c r="AY270" s="51"/>
    </row>
    <row r="271" spans="32:51">
      <c r="AF271" s="51"/>
      <c r="AG271" s="53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3"/>
      <c r="AS271" s="51"/>
      <c r="AT271" s="51"/>
      <c r="AU271" s="51"/>
      <c r="AV271" s="51"/>
      <c r="AW271" s="51"/>
      <c r="AX271" s="51"/>
      <c r="AY271" s="51"/>
    </row>
    <row r="272" spans="32:51">
      <c r="AF272" s="51"/>
      <c r="AG272" s="53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3"/>
      <c r="AS272" s="51"/>
      <c r="AT272" s="51"/>
      <c r="AU272" s="51"/>
      <c r="AV272" s="51"/>
      <c r="AW272" s="51"/>
      <c r="AX272" s="51"/>
      <c r="AY272" s="51"/>
    </row>
    <row r="273" spans="32:51">
      <c r="AF273" s="51"/>
      <c r="AG273" s="53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3"/>
      <c r="AS273" s="51"/>
      <c r="AT273" s="51"/>
      <c r="AU273" s="51"/>
      <c r="AV273" s="51"/>
      <c r="AW273" s="51"/>
      <c r="AX273" s="51"/>
      <c r="AY273" s="51"/>
    </row>
    <row r="274" spans="32:51">
      <c r="AF274" s="51"/>
      <c r="AG274" s="53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3"/>
      <c r="AS274" s="51"/>
      <c r="AT274" s="51"/>
      <c r="AU274" s="51"/>
      <c r="AV274" s="51"/>
      <c r="AW274" s="51"/>
      <c r="AX274" s="51"/>
      <c r="AY274" s="51"/>
    </row>
    <row r="275" spans="32:51">
      <c r="AF275" s="51"/>
      <c r="AG275" s="53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3"/>
      <c r="AS275" s="51"/>
      <c r="AT275" s="51"/>
      <c r="AU275" s="51"/>
      <c r="AV275" s="51"/>
      <c r="AW275" s="51"/>
      <c r="AX275" s="51"/>
      <c r="AY275" s="51"/>
    </row>
    <row r="276" spans="32:51">
      <c r="AF276" s="51"/>
      <c r="AG276" s="53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3"/>
      <c r="AS276" s="51"/>
      <c r="AT276" s="51"/>
      <c r="AU276" s="51"/>
      <c r="AV276" s="51"/>
      <c r="AW276" s="51"/>
      <c r="AX276" s="51"/>
      <c r="AY276" s="51"/>
    </row>
    <row r="277" spans="32:51">
      <c r="AF277" s="51"/>
      <c r="AG277" s="53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3"/>
      <c r="AS277" s="51"/>
      <c r="AT277" s="51"/>
      <c r="AU277" s="51"/>
      <c r="AV277" s="51"/>
      <c r="AW277" s="51"/>
      <c r="AX277" s="51"/>
      <c r="AY277" s="51"/>
    </row>
    <row r="278" spans="32:51">
      <c r="AF278" s="51"/>
      <c r="AG278" s="53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3"/>
      <c r="AS278" s="51"/>
      <c r="AT278" s="51"/>
      <c r="AU278" s="51"/>
      <c r="AV278" s="51"/>
      <c r="AW278" s="51"/>
      <c r="AX278" s="51"/>
      <c r="AY278" s="51"/>
    </row>
    <row r="279" spans="32:51">
      <c r="AF279" s="51"/>
      <c r="AG279" s="53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3"/>
      <c r="AS279" s="51"/>
      <c r="AT279" s="51"/>
      <c r="AU279" s="51"/>
      <c r="AV279" s="51"/>
      <c r="AW279" s="51"/>
      <c r="AX279" s="51"/>
      <c r="AY279" s="51"/>
    </row>
    <row r="280" spans="32:51">
      <c r="AF280" s="51"/>
      <c r="AG280" s="53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3"/>
      <c r="AS280" s="51"/>
      <c r="AT280" s="51"/>
      <c r="AU280" s="51"/>
      <c r="AV280" s="51"/>
      <c r="AW280" s="51"/>
      <c r="AX280" s="51"/>
      <c r="AY280" s="51"/>
    </row>
    <row r="281" spans="32:51">
      <c r="AF281" s="51"/>
      <c r="AG281" s="53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3"/>
      <c r="AS281" s="51"/>
      <c r="AT281" s="51"/>
      <c r="AU281" s="51"/>
      <c r="AV281" s="51"/>
      <c r="AW281" s="51"/>
      <c r="AX281" s="51"/>
      <c r="AY281" s="51"/>
    </row>
    <row r="282" spans="32:51">
      <c r="AF282" s="51"/>
      <c r="AG282" s="53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3"/>
      <c r="AS282" s="51"/>
      <c r="AT282" s="51"/>
      <c r="AU282" s="51"/>
      <c r="AV282" s="51"/>
      <c r="AW282" s="51"/>
      <c r="AX282" s="51"/>
      <c r="AY282" s="51"/>
    </row>
    <row r="283" spans="32:51">
      <c r="AF283" s="51"/>
      <c r="AG283" s="53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3"/>
      <c r="AS283" s="51"/>
      <c r="AT283" s="51"/>
      <c r="AU283" s="51"/>
      <c r="AV283" s="51"/>
      <c r="AW283" s="51"/>
      <c r="AX283" s="51"/>
      <c r="AY283" s="51"/>
    </row>
    <row r="284" spans="32:51">
      <c r="AF284" s="51"/>
      <c r="AG284" s="53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3"/>
      <c r="AS284" s="51"/>
      <c r="AT284" s="51"/>
      <c r="AU284" s="51"/>
      <c r="AV284" s="51"/>
      <c r="AW284" s="51"/>
      <c r="AX284" s="51"/>
      <c r="AY284" s="51"/>
    </row>
    <row r="285" spans="32:51">
      <c r="AF285" s="51"/>
      <c r="AG285" s="53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3"/>
      <c r="AS285" s="51"/>
      <c r="AT285" s="51"/>
      <c r="AU285" s="51"/>
      <c r="AV285" s="51"/>
      <c r="AW285" s="51"/>
      <c r="AX285" s="51"/>
      <c r="AY285" s="51"/>
    </row>
    <row r="286" spans="32:51">
      <c r="AF286" s="51"/>
      <c r="AG286" s="53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3"/>
      <c r="AS286" s="51"/>
      <c r="AT286" s="51"/>
      <c r="AU286" s="51"/>
      <c r="AV286" s="51"/>
      <c r="AW286" s="51"/>
      <c r="AX286" s="51"/>
      <c r="AY286" s="51"/>
    </row>
    <row r="287" spans="32:51">
      <c r="AF287" s="51"/>
      <c r="AG287" s="53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3"/>
      <c r="AS287" s="51"/>
      <c r="AT287" s="51"/>
      <c r="AU287" s="51"/>
      <c r="AV287" s="51"/>
      <c r="AW287" s="51"/>
      <c r="AX287" s="51"/>
      <c r="AY287" s="51"/>
    </row>
    <row r="288" spans="32:51">
      <c r="AF288" s="51"/>
      <c r="AG288" s="53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3"/>
      <c r="AS288" s="51"/>
      <c r="AT288" s="51"/>
      <c r="AU288" s="51"/>
      <c r="AV288" s="51"/>
      <c r="AW288" s="51"/>
      <c r="AX288" s="51"/>
      <c r="AY288" s="51"/>
    </row>
    <row r="289" spans="32:51">
      <c r="AF289" s="51"/>
      <c r="AG289" s="53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3"/>
      <c r="AS289" s="51"/>
      <c r="AT289" s="51"/>
      <c r="AU289" s="51"/>
      <c r="AV289" s="51"/>
      <c r="AW289" s="51"/>
      <c r="AX289" s="51"/>
      <c r="AY289" s="51"/>
    </row>
    <row r="290" spans="32:51">
      <c r="AF290" s="51"/>
      <c r="AG290" s="53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3"/>
      <c r="AS290" s="51"/>
      <c r="AT290" s="51"/>
      <c r="AU290" s="51"/>
      <c r="AV290" s="51"/>
      <c r="AW290" s="51"/>
      <c r="AX290" s="51"/>
      <c r="AY290" s="51"/>
    </row>
    <row r="291" spans="32:51">
      <c r="AF291" s="51"/>
      <c r="AG291" s="53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3"/>
      <c r="AS291" s="51"/>
      <c r="AT291" s="51"/>
      <c r="AU291" s="51"/>
      <c r="AV291" s="51"/>
      <c r="AW291" s="51"/>
      <c r="AX291" s="51"/>
      <c r="AY291" s="51"/>
    </row>
    <row r="292" spans="32:51">
      <c r="AF292" s="51"/>
      <c r="AG292" s="53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3"/>
      <c r="AS292" s="51"/>
      <c r="AT292" s="51"/>
      <c r="AU292" s="51"/>
      <c r="AV292" s="51"/>
      <c r="AW292" s="51"/>
      <c r="AX292" s="51"/>
      <c r="AY292" s="51"/>
    </row>
    <row r="293" spans="32:51">
      <c r="AF293" s="51"/>
      <c r="AG293" s="53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3"/>
      <c r="AS293" s="51"/>
      <c r="AT293" s="51"/>
      <c r="AU293" s="51"/>
      <c r="AV293" s="51"/>
      <c r="AW293" s="51"/>
      <c r="AX293" s="51"/>
      <c r="AY293" s="51"/>
    </row>
    <row r="294" spans="32:51">
      <c r="AF294" s="51"/>
      <c r="AG294" s="53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3"/>
      <c r="AS294" s="51"/>
      <c r="AT294" s="51"/>
      <c r="AU294" s="51"/>
      <c r="AV294" s="51"/>
      <c r="AW294" s="51"/>
      <c r="AX294" s="51"/>
      <c r="AY294" s="51"/>
    </row>
    <row r="295" spans="32:51">
      <c r="AF295" s="51"/>
      <c r="AG295" s="53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3"/>
      <c r="AS295" s="51"/>
      <c r="AT295" s="51"/>
      <c r="AU295" s="51"/>
      <c r="AV295" s="51"/>
      <c r="AW295" s="51"/>
      <c r="AX295" s="51"/>
      <c r="AY295" s="51"/>
    </row>
    <row r="296" spans="32:51">
      <c r="AF296" s="51"/>
      <c r="AG296" s="53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3"/>
      <c r="AS296" s="51"/>
      <c r="AT296" s="51"/>
      <c r="AU296" s="51"/>
      <c r="AV296" s="51"/>
      <c r="AW296" s="51"/>
      <c r="AX296" s="51"/>
      <c r="AY296" s="51"/>
    </row>
    <row r="297" spans="32:51">
      <c r="AF297" s="51"/>
      <c r="AG297" s="53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3"/>
      <c r="AS297" s="51"/>
      <c r="AT297" s="51"/>
      <c r="AU297" s="51"/>
      <c r="AV297" s="51"/>
      <c r="AW297" s="51"/>
      <c r="AX297" s="51"/>
      <c r="AY297" s="51"/>
    </row>
    <row r="298" spans="32:51">
      <c r="AF298" s="51"/>
      <c r="AG298" s="53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3"/>
      <c r="AS298" s="51"/>
      <c r="AT298" s="51"/>
      <c r="AU298" s="51"/>
      <c r="AV298" s="51"/>
      <c r="AW298" s="51"/>
      <c r="AX298" s="51"/>
      <c r="AY298" s="51"/>
    </row>
    <row r="299" spans="32:51">
      <c r="AF299" s="51"/>
      <c r="AG299" s="53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3"/>
      <c r="AS299" s="51"/>
      <c r="AT299" s="51"/>
      <c r="AU299" s="51"/>
      <c r="AV299" s="51"/>
      <c r="AW299" s="51"/>
      <c r="AX299" s="51"/>
      <c r="AY299" s="51"/>
    </row>
    <row r="300" spans="32:51">
      <c r="AF300" s="51"/>
      <c r="AG300" s="53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3"/>
      <c r="AS300" s="51"/>
      <c r="AT300" s="51"/>
      <c r="AU300" s="51"/>
      <c r="AV300" s="51"/>
      <c r="AW300" s="51"/>
      <c r="AX300" s="51"/>
      <c r="AY300" s="51"/>
    </row>
    <row r="301" spans="32:51">
      <c r="AF301" s="51"/>
      <c r="AG301" s="53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3"/>
      <c r="AS301" s="51"/>
      <c r="AT301" s="51"/>
      <c r="AU301" s="51"/>
      <c r="AV301" s="51"/>
      <c r="AW301" s="51"/>
      <c r="AX301" s="51"/>
      <c r="AY301" s="51"/>
    </row>
    <row r="302" spans="32:51">
      <c r="AF302" s="51"/>
      <c r="AG302" s="53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3"/>
      <c r="AS302" s="51"/>
      <c r="AT302" s="51"/>
      <c r="AU302" s="51"/>
      <c r="AV302" s="51"/>
      <c r="AW302" s="51"/>
      <c r="AX302" s="51"/>
      <c r="AY302" s="51"/>
    </row>
    <row r="303" spans="32:51">
      <c r="AF303" s="51"/>
      <c r="AG303" s="53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3"/>
      <c r="AS303" s="51"/>
      <c r="AT303" s="51"/>
      <c r="AU303" s="51"/>
      <c r="AV303" s="51"/>
      <c r="AW303" s="51"/>
      <c r="AX303" s="51"/>
      <c r="AY303" s="51"/>
    </row>
    <row r="304" spans="32:51">
      <c r="AF304" s="51"/>
      <c r="AG304" s="53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3"/>
      <c r="AS304" s="51"/>
      <c r="AT304" s="51"/>
      <c r="AU304" s="51"/>
      <c r="AV304" s="51"/>
      <c r="AW304" s="51"/>
      <c r="AX304" s="51"/>
      <c r="AY304" s="51"/>
    </row>
    <row r="305" spans="32:51">
      <c r="AF305" s="51"/>
      <c r="AG305" s="53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3"/>
      <c r="AS305" s="51"/>
      <c r="AT305" s="51"/>
      <c r="AU305" s="51"/>
      <c r="AV305" s="51"/>
      <c r="AW305" s="51"/>
      <c r="AX305" s="51"/>
      <c r="AY305" s="51"/>
    </row>
    <row r="306" spans="32:51">
      <c r="AF306" s="51"/>
      <c r="AG306" s="53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3"/>
      <c r="AS306" s="51"/>
      <c r="AT306" s="51"/>
      <c r="AU306" s="51"/>
      <c r="AV306" s="51"/>
      <c r="AW306" s="51"/>
      <c r="AX306" s="51"/>
      <c r="AY306" s="51"/>
    </row>
    <row r="307" spans="32:51">
      <c r="AF307" s="51"/>
      <c r="AG307" s="53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3"/>
      <c r="AS307" s="51"/>
      <c r="AT307" s="51"/>
      <c r="AU307" s="51"/>
      <c r="AV307" s="51"/>
      <c r="AW307" s="51"/>
      <c r="AX307" s="51"/>
      <c r="AY307" s="51"/>
    </row>
    <row r="308" spans="32:51">
      <c r="AF308" s="51"/>
      <c r="AG308" s="53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3"/>
      <c r="AS308" s="51"/>
      <c r="AT308" s="51"/>
      <c r="AU308" s="51"/>
      <c r="AV308" s="51"/>
      <c r="AW308" s="51"/>
      <c r="AX308" s="51"/>
      <c r="AY308" s="51"/>
    </row>
    <row r="309" spans="32:51">
      <c r="AF309" s="51"/>
      <c r="AG309" s="53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3"/>
      <c r="AS309" s="51"/>
      <c r="AT309" s="51"/>
      <c r="AU309" s="51"/>
      <c r="AV309" s="51"/>
      <c r="AW309" s="51"/>
      <c r="AX309" s="51"/>
      <c r="AY309" s="51"/>
    </row>
    <row r="310" spans="32:51">
      <c r="AF310" s="51"/>
      <c r="AG310" s="53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3"/>
      <c r="AS310" s="51"/>
      <c r="AT310" s="51"/>
      <c r="AU310" s="51"/>
      <c r="AV310" s="51"/>
      <c r="AW310" s="51"/>
      <c r="AX310" s="51"/>
      <c r="AY310" s="51"/>
    </row>
    <row r="311" spans="32:51">
      <c r="AF311" s="51"/>
      <c r="AG311" s="53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3"/>
      <c r="AS311" s="51"/>
      <c r="AT311" s="51"/>
      <c r="AU311" s="51"/>
      <c r="AV311" s="51"/>
      <c r="AW311" s="51"/>
      <c r="AX311" s="51"/>
      <c r="AY311" s="51"/>
    </row>
    <row r="312" spans="32:51">
      <c r="AF312" s="51"/>
      <c r="AG312" s="53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3"/>
      <c r="AS312" s="51"/>
      <c r="AT312" s="51"/>
      <c r="AU312" s="51"/>
      <c r="AV312" s="51"/>
      <c r="AW312" s="51"/>
      <c r="AX312" s="51"/>
      <c r="AY312" s="51"/>
    </row>
    <row r="313" spans="32:51">
      <c r="AF313" s="51"/>
      <c r="AG313" s="53"/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3"/>
      <c r="AS313" s="51"/>
      <c r="AT313" s="51"/>
      <c r="AU313" s="51"/>
      <c r="AV313" s="51"/>
      <c r="AW313" s="51"/>
      <c r="AX313" s="51"/>
      <c r="AY313" s="51"/>
    </row>
    <row r="314" spans="32:51">
      <c r="AF314" s="51"/>
      <c r="AG314" s="53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3"/>
      <c r="AS314" s="51"/>
      <c r="AT314" s="51"/>
      <c r="AU314" s="51"/>
      <c r="AV314" s="51"/>
      <c r="AW314" s="51"/>
      <c r="AX314" s="51"/>
      <c r="AY314" s="51"/>
    </row>
    <row r="315" spans="32:51">
      <c r="AF315" s="51"/>
      <c r="AG315" s="53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3"/>
      <c r="AS315" s="51"/>
      <c r="AT315" s="51"/>
      <c r="AU315" s="51"/>
      <c r="AV315" s="51"/>
      <c r="AW315" s="51"/>
      <c r="AX315" s="51"/>
      <c r="AY315" s="51"/>
    </row>
    <row r="316" spans="32:51">
      <c r="AF316" s="51"/>
      <c r="AG316" s="53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3"/>
      <c r="AS316" s="51"/>
      <c r="AT316" s="51"/>
      <c r="AU316" s="51"/>
      <c r="AV316" s="51"/>
      <c r="AW316" s="51"/>
      <c r="AX316" s="51"/>
      <c r="AY316" s="51"/>
    </row>
    <row r="317" spans="32:51">
      <c r="AF317" s="51"/>
      <c r="AG317" s="53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3"/>
      <c r="AS317" s="51"/>
      <c r="AT317" s="51"/>
      <c r="AU317" s="51"/>
      <c r="AV317" s="51"/>
      <c r="AW317" s="51"/>
      <c r="AX317" s="51"/>
      <c r="AY317" s="51"/>
    </row>
    <row r="318" spans="32:51">
      <c r="AF318" s="51"/>
      <c r="AG318" s="53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3"/>
      <c r="AS318" s="51"/>
      <c r="AT318" s="51"/>
      <c r="AU318" s="51"/>
      <c r="AV318" s="51"/>
      <c r="AW318" s="51"/>
      <c r="AX318" s="51"/>
      <c r="AY318" s="51"/>
    </row>
    <row r="319" spans="32:51">
      <c r="AF319" s="51"/>
      <c r="AG319" s="53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3"/>
      <c r="AS319" s="51"/>
      <c r="AT319" s="51"/>
      <c r="AU319" s="51"/>
      <c r="AV319" s="51"/>
      <c r="AW319" s="51"/>
      <c r="AX319" s="51"/>
      <c r="AY319" s="51"/>
    </row>
    <row r="320" spans="32:51">
      <c r="AF320" s="51"/>
      <c r="AG320" s="53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3"/>
      <c r="AS320" s="51"/>
      <c r="AT320" s="51"/>
      <c r="AU320" s="51"/>
      <c r="AV320" s="51"/>
      <c r="AW320" s="51"/>
      <c r="AX320" s="51"/>
      <c r="AY320" s="51"/>
    </row>
    <row r="321" spans="32:51">
      <c r="AF321" s="51"/>
      <c r="AG321" s="53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3"/>
      <c r="AS321" s="51"/>
      <c r="AT321" s="51"/>
      <c r="AU321" s="51"/>
      <c r="AV321" s="51"/>
      <c r="AW321" s="51"/>
      <c r="AX321" s="51"/>
      <c r="AY321" s="51"/>
    </row>
    <row r="322" spans="32:51">
      <c r="AF322" s="51"/>
      <c r="AG322" s="53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3"/>
      <c r="AS322" s="51"/>
      <c r="AT322" s="51"/>
      <c r="AU322" s="51"/>
      <c r="AV322" s="51"/>
      <c r="AW322" s="51"/>
      <c r="AX322" s="51"/>
      <c r="AY322" s="51"/>
    </row>
    <row r="323" spans="32:51">
      <c r="AF323" s="51"/>
      <c r="AG323" s="53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3"/>
      <c r="AS323" s="51"/>
      <c r="AT323" s="51"/>
      <c r="AU323" s="51"/>
      <c r="AV323" s="51"/>
      <c r="AW323" s="51"/>
      <c r="AX323" s="51"/>
      <c r="AY323" s="51"/>
    </row>
    <row r="324" spans="32:51">
      <c r="AF324" s="51"/>
      <c r="AG324" s="53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3"/>
      <c r="AS324" s="51"/>
      <c r="AT324" s="51"/>
      <c r="AU324" s="51"/>
      <c r="AV324" s="51"/>
      <c r="AW324" s="51"/>
      <c r="AX324" s="51"/>
      <c r="AY324" s="51"/>
    </row>
    <row r="325" spans="32:51">
      <c r="AF325" s="51"/>
      <c r="AG325" s="53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3"/>
      <c r="AS325" s="51"/>
      <c r="AT325" s="51"/>
      <c r="AU325" s="51"/>
      <c r="AV325" s="51"/>
      <c r="AW325" s="51"/>
      <c r="AX325" s="51"/>
      <c r="AY325" s="51"/>
    </row>
    <row r="326" spans="32:51">
      <c r="AF326" s="51"/>
      <c r="AG326" s="53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3"/>
      <c r="AS326" s="51"/>
      <c r="AT326" s="51"/>
      <c r="AU326" s="51"/>
      <c r="AV326" s="51"/>
      <c r="AW326" s="51"/>
      <c r="AX326" s="51"/>
      <c r="AY326" s="51"/>
    </row>
    <row r="327" spans="32:51">
      <c r="AF327" s="51"/>
      <c r="AG327" s="53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3"/>
      <c r="AS327" s="51"/>
      <c r="AT327" s="51"/>
      <c r="AU327" s="51"/>
      <c r="AV327" s="51"/>
      <c r="AW327" s="51"/>
      <c r="AX327" s="51"/>
      <c r="AY327" s="51"/>
    </row>
    <row r="328" spans="32:51">
      <c r="AF328" s="51"/>
      <c r="AG328" s="53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3"/>
      <c r="AS328" s="51"/>
      <c r="AT328" s="51"/>
      <c r="AU328" s="51"/>
      <c r="AV328" s="51"/>
      <c r="AW328" s="51"/>
      <c r="AX328" s="51"/>
      <c r="AY328" s="51"/>
    </row>
    <row r="329" spans="32:51">
      <c r="AF329" s="51"/>
      <c r="AG329" s="53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3"/>
      <c r="AS329" s="51"/>
      <c r="AT329" s="51"/>
      <c r="AU329" s="51"/>
      <c r="AV329" s="51"/>
      <c r="AW329" s="51"/>
      <c r="AX329" s="51"/>
      <c r="AY329" s="51"/>
    </row>
    <row r="330" spans="32:51">
      <c r="AF330" s="51"/>
      <c r="AG330" s="53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3"/>
      <c r="AS330" s="51"/>
      <c r="AT330" s="51"/>
      <c r="AU330" s="51"/>
      <c r="AV330" s="51"/>
      <c r="AW330" s="51"/>
      <c r="AX330" s="51"/>
      <c r="AY330" s="51"/>
    </row>
    <row r="331" spans="32:51">
      <c r="AF331" s="51"/>
      <c r="AG331" s="53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3"/>
      <c r="AS331" s="51"/>
      <c r="AT331" s="51"/>
      <c r="AU331" s="51"/>
      <c r="AV331" s="51"/>
      <c r="AW331" s="51"/>
      <c r="AX331" s="51"/>
      <c r="AY331" s="51"/>
    </row>
    <row r="332" spans="32:51">
      <c r="AF332" s="51"/>
      <c r="AG332" s="53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3"/>
      <c r="AS332" s="51"/>
      <c r="AT332" s="51"/>
      <c r="AU332" s="51"/>
      <c r="AV332" s="51"/>
      <c r="AW332" s="51"/>
      <c r="AX332" s="51"/>
      <c r="AY332" s="51"/>
    </row>
    <row r="333" spans="32:51">
      <c r="AF333" s="51"/>
      <c r="AG333" s="53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3"/>
      <c r="AS333" s="51"/>
      <c r="AT333" s="51"/>
      <c r="AU333" s="51"/>
      <c r="AV333" s="51"/>
      <c r="AW333" s="51"/>
      <c r="AX333" s="51"/>
      <c r="AY333" s="51"/>
    </row>
    <row r="334" spans="32:51">
      <c r="AF334" s="51"/>
      <c r="AG334" s="53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3"/>
      <c r="AS334" s="51"/>
      <c r="AT334" s="51"/>
      <c r="AU334" s="51"/>
      <c r="AV334" s="51"/>
      <c r="AW334" s="51"/>
      <c r="AX334" s="51"/>
      <c r="AY334" s="51"/>
    </row>
    <row r="335" spans="32:51">
      <c r="AF335" s="51"/>
      <c r="AG335" s="53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3"/>
      <c r="AS335" s="51"/>
      <c r="AT335" s="51"/>
      <c r="AU335" s="51"/>
      <c r="AV335" s="51"/>
      <c r="AW335" s="51"/>
      <c r="AX335" s="51"/>
      <c r="AY335" s="51"/>
    </row>
    <row r="336" spans="32:51">
      <c r="AF336" s="51"/>
      <c r="AG336" s="53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3"/>
      <c r="AS336" s="51"/>
      <c r="AT336" s="51"/>
      <c r="AU336" s="51"/>
      <c r="AV336" s="51"/>
      <c r="AW336" s="51"/>
      <c r="AX336" s="51"/>
      <c r="AY336" s="51"/>
    </row>
    <row r="337" spans="32:51">
      <c r="AF337" s="51"/>
      <c r="AG337" s="53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3"/>
      <c r="AS337" s="51"/>
      <c r="AT337" s="51"/>
      <c r="AU337" s="51"/>
      <c r="AV337" s="51"/>
      <c r="AW337" s="51"/>
      <c r="AX337" s="51"/>
      <c r="AY337" s="51"/>
    </row>
    <row r="338" spans="32:51">
      <c r="AF338" s="51"/>
      <c r="AG338" s="53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3"/>
      <c r="AS338" s="51"/>
      <c r="AT338" s="51"/>
      <c r="AU338" s="51"/>
      <c r="AV338" s="51"/>
      <c r="AW338" s="51"/>
      <c r="AX338" s="51"/>
      <c r="AY338" s="51"/>
    </row>
    <row r="339" spans="32:51">
      <c r="AF339" s="51"/>
      <c r="AG339" s="53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3"/>
      <c r="AS339" s="51"/>
      <c r="AT339" s="51"/>
      <c r="AU339" s="51"/>
      <c r="AV339" s="51"/>
      <c r="AW339" s="51"/>
      <c r="AX339" s="51"/>
      <c r="AY339" s="51"/>
    </row>
    <row r="340" spans="32:51">
      <c r="AF340" s="51"/>
      <c r="AG340" s="53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3"/>
      <c r="AS340" s="51"/>
      <c r="AT340" s="51"/>
      <c r="AU340" s="51"/>
      <c r="AV340" s="51"/>
      <c r="AW340" s="51"/>
      <c r="AX340" s="51"/>
      <c r="AY340" s="51"/>
    </row>
    <row r="341" spans="32:51">
      <c r="AF341" s="51"/>
      <c r="AG341" s="53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3"/>
      <c r="AS341" s="51"/>
      <c r="AT341" s="51"/>
      <c r="AU341" s="51"/>
      <c r="AV341" s="51"/>
      <c r="AW341" s="51"/>
      <c r="AX341" s="51"/>
      <c r="AY341" s="51"/>
    </row>
    <row r="342" spans="32:51">
      <c r="AF342" s="51"/>
      <c r="AG342" s="53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3"/>
      <c r="AS342" s="51"/>
      <c r="AT342" s="51"/>
      <c r="AU342" s="51"/>
      <c r="AV342" s="51"/>
      <c r="AW342" s="51"/>
      <c r="AX342" s="51"/>
      <c r="AY342" s="51"/>
    </row>
    <row r="343" spans="32:51">
      <c r="AF343" s="51"/>
      <c r="AG343" s="53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3"/>
      <c r="AS343" s="51"/>
      <c r="AT343" s="51"/>
      <c r="AU343" s="51"/>
      <c r="AV343" s="51"/>
      <c r="AW343" s="51"/>
      <c r="AX343" s="51"/>
      <c r="AY343" s="51"/>
    </row>
    <row r="344" spans="32:51">
      <c r="AF344" s="51"/>
      <c r="AG344" s="53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3"/>
      <c r="AS344" s="51"/>
      <c r="AT344" s="51"/>
      <c r="AU344" s="51"/>
      <c r="AV344" s="51"/>
      <c r="AW344" s="51"/>
      <c r="AX344" s="51"/>
      <c r="AY344" s="51"/>
    </row>
    <row r="345" spans="32:51">
      <c r="AF345" s="51"/>
      <c r="AG345" s="53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3"/>
      <c r="AS345" s="51"/>
      <c r="AT345" s="51"/>
      <c r="AU345" s="51"/>
      <c r="AV345" s="51"/>
      <c r="AW345" s="51"/>
      <c r="AX345" s="51"/>
      <c r="AY345" s="51"/>
    </row>
    <row r="346" spans="32:51">
      <c r="AF346" s="51"/>
      <c r="AG346" s="53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3"/>
      <c r="AS346" s="51"/>
      <c r="AT346" s="51"/>
      <c r="AU346" s="51"/>
      <c r="AV346" s="51"/>
      <c r="AW346" s="51"/>
      <c r="AX346" s="51"/>
      <c r="AY346" s="51"/>
    </row>
    <row r="347" spans="32:51">
      <c r="AF347" s="51"/>
      <c r="AG347" s="53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3"/>
      <c r="AS347" s="51"/>
      <c r="AT347" s="51"/>
      <c r="AU347" s="51"/>
      <c r="AV347" s="51"/>
      <c r="AW347" s="51"/>
      <c r="AX347" s="51"/>
      <c r="AY347" s="51"/>
    </row>
    <row r="348" spans="32:51">
      <c r="AF348" s="51"/>
      <c r="AG348" s="53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3"/>
      <c r="AS348" s="51"/>
      <c r="AT348" s="51"/>
      <c r="AU348" s="51"/>
      <c r="AV348" s="51"/>
      <c r="AW348" s="51"/>
      <c r="AX348" s="51"/>
      <c r="AY348" s="51"/>
    </row>
    <row r="349" spans="32:51">
      <c r="AF349" s="51"/>
      <c r="AG349" s="53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3"/>
      <c r="AS349" s="51"/>
      <c r="AT349" s="51"/>
      <c r="AU349" s="51"/>
      <c r="AV349" s="51"/>
      <c r="AW349" s="51"/>
      <c r="AX349" s="51"/>
      <c r="AY349" s="51"/>
    </row>
    <row r="350" spans="32:51">
      <c r="AF350" s="51"/>
      <c r="AG350" s="53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3"/>
      <c r="AS350" s="51"/>
      <c r="AT350" s="51"/>
      <c r="AU350" s="51"/>
      <c r="AV350" s="51"/>
      <c r="AW350" s="51"/>
      <c r="AX350" s="51"/>
      <c r="AY350" s="51"/>
    </row>
    <row r="351" spans="32:51">
      <c r="AF351" s="51"/>
      <c r="AG351" s="53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3"/>
      <c r="AS351" s="51"/>
      <c r="AT351" s="51"/>
      <c r="AU351" s="51"/>
      <c r="AV351" s="51"/>
      <c r="AW351" s="51"/>
      <c r="AX351" s="51"/>
      <c r="AY351" s="51"/>
    </row>
    <row r="352" spans="32:51">
      <c r="AF352" s="51"/>
      <c r="AG352" s="53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3"/>
      <c r="AS352" s="51"/>
      <c r="AT352" s="51"/>
      <c r="AU352" s="51"/>
      <c r="AV352" s="51"/>
      <c r="AW352" s="51"/>
      <c r="AX352" s="51"/>
      <c r="AY352" s="51"/>
    </row>
    <row r="353" spans="32:51">
      <c r="AF353" s="51"/>
      <c r="AG353" s="53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3"/>
      <c r="AS353" s="51"/>
      <c r="AT353" s="51"/>
      <c r="AU353" s="51"/>
      <c r="AV353" s="51"/>
      <c r="AW353" s="51"/>
      <c r="AX353" s="51"/>
      <c r="AY353" s="51"/>
    </row>
    <row r="354" spans="32:51">
      <c r="AF354" s="51"/>
      <c r="AG354" s="53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3"/>
      <c r="AS354" s="51"/>
      <c r="AT354" s="51"/>
      <c r="AU354" s="51"/>
      <c r="AV354" s="51"/>
      <c r="AW354" s="51"/>
      <c r="AX354" s="51"/>
      <c r="AY354" s="51"/>
    </row>
    <row r="355" spans="32:51">
      <c r="AF355" s="51"/>
      <c r="AG355" s="53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3"/>
      <c r="AS355" s="51"/>
      <c r="AT355" s="51"/>
      <c r="AU355" s="51"/>
      <c r="AV355" s="51"/>
      <c r="AW355" s="51"/>
      <c r="AX355" s="51"/>
      <c r="AY355" s="51"/>
    </row>
    <row r="356" spans="32:51">
      <c r="AF356" s="51"/>
      <c r="AG356" s="53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3"/>
      <c r="AS356" s="51"/>
      <c r="AT356" s="51"/>
      <c r="AU356" s="51"/>
      <c r="AV356" s="51"/>
      <c r="AW356" s="51"/>
      <c r="AX356" s="51"/>
      <c r="AY356" s="51"/>
    </row>
    <row r="357" spans="32:51">
      <c r="AF357" s="51"/>
      <c r="AG357" s="53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3"/>
      <c r="AS357" s="51"/>
      <c r="AT357" s="51"/>
      <c r="AU357" s="51"/>
      <c r="AV357" s="51"/>
      <c r="AW357" s="51"/>
      <c r="AX357" s="51"/>
      <c r="AY357" s="51"/>
    </row>
    <row r="358" spans="32:51">
      <c r="AF358" s="51"/>
      <c r="AG358" s="53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3"/>
      <c r="AS358" s="51"/>
      <c r="AT358" s="51"/>
      <c r="AU358" s="51"/>
      <c r="AV358" s="51"/>
      <c r="AW358" s="51"/>
      <c r="AX358" s="51"/>
      <c r="AY358" s="51"/>
    </row>
    <row r="359" spans="32:51">
      <c r="AF359" s="51"/>
      <c r="AG359" s="53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3"/>
      <c r="AS359" s="51"/>
      <c r="AT359" s="51"/>
      <c r="AU359" s="51"/>
      <c r="AV359" s="51"/>
      <c r="AW359" s="51"/>
      <c r="AX359" s="51"/>
      <c r="AY359" s="51"/>
    </row>
    <row r="360" spans="32:51">
      <c r="AF360" s="51"/>
      <c r="AG360" s="53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3"/>
      <c r="AS360" s="51"/>
      <c r="AT360" s="51"/>
      <c r="AU360" s="51"/>
      <c r="AV360" s="51"/>
      <c r="AW360" s="51"/>
      <c r="AX360" s="51"/>
      <c r="AY360" s="51"/>
    </row>
    <row r="361" spans="32:51">
      <c r="AF361" s="51"/>
      <c r="AG361" s="53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3"/>
      <c r="AS361" s="51"/>
      <c r="AT361" s="51"/>
      <c r="AU361" s="51"/>
      <c r="AV361" s="51"/>
      <c r="AW361" s="51"/>
      <c r="AX361" s="51"/>
      <c r="AY361" s="51"/>
    </row>
    <row r="362" spans="32:51">
      <c r="AF362" s="51"/>
      <c r="AG362" s="53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3"/>
      <c r="AS362" s="51"/>
      <c r="AT362" s="51"/>
      <c r="AU362" s="51"/>
      <c r="AV362" s="51"/>
      <c r="AW362" s="51"/>
      <c r="AX362" s="51"/>
      <c r="AY362" s="51"/>
    </row>
    <row r="363" spans="32:51">
      <c r="AF363" s="51"/>
      <c r="AG363" s="53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3"/>
      <c r="AS363" s="51"/>
      <c r="AT363" s="51"/>
      <c r="AU363" s="51"/>
      <c r="AV363" s="51"/>
      <c r="AW363" s="51"/>
      <c r="AX363" s="51"/>
      <c r="AY363" s="51"/>
    </row>
    <row r="364" spans="32:51">
      <c r="AF364" s="51"/>
      <c r="AG364" s="53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3"/>
      <c r="AS364" s="51"/>
      <c r="AT364" s="51"/>
      <c r="AU364" s="51"/>
      <c r="AV364" s="51"/>
      <c r="AW364" s="51"/>
      <c r="AX364" s="51"/>
      <c r="AY364" s="51"/>
    </row>
    <row r="365" spans="32:51">
      <c r="AF365" s="51"/>
      <c r="AG365" s="53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3"/>
      <c r="AS365" s="51"/>
      <c r="AT365" s="51"/>
      <c r="AU365" s="51"/>
      <c r="AV365" s="51"/>
      <c r="AW365" s="51"/>
      <c r="AX365" s="51"/>
      <c r="AY365" s="51"/>
    </row>
    <row r="366" spans="32:51">
      <c r="AF366" s="51"/>
      <c r="AG366" s="53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3"/>
      <c r="AS366" s="51"/>
      <c r="AT366" s="51"/>
      <c r="AU366" s="51"/>
      <c r="AV366" s="51"/>
      <c r="AW366" s="51"/>
      <c r="AX366" s="51"/>
      <c r="AY366" s="51"/>
    </row>
    <row r="367" spans="32:51">
      <c r="AF367" s="51"/>
      <c r="AG367" s="53"/>
      <c r="AH367" s="51"/>
      <c r="AI367" s="51"/>
      <c r="AJ367" s="51"/>
      <c r="AK367" s="51"/>
      <c r="AL367" s="51"/>
      <c r="AM367" s="51"/>
      <c r="AN367" s="51"/>
      <c r="AO367" s="51"/>
      <c r="AP367" s="51"/>
      <c r="AQ367" s="51"/>
      <c r="AR367" s="53"/>
      <c r="AS367" s="51"/>
      <c r="AT367" s="51"/>
      <c r="AU367" s="51"/>
      <c r="AV367" s="51"/>
      <c r="AW367" s="51"/>
      <c r="AX367" s="51"/>
      <c r="AY367" s="51"/>
    </row>
    <row r="368" spans="32:51">
      <c r="AF368" s="51"/>
      <c r="AG368" s="53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3"/>
      <c r="AS368" s="51"/>
      <c r="AT368" s="51"/>
      <c r="AU368" s="51"/>
      <c r="AV368" s="51"/>
      <c r="AW368" s="51"/>
      <c r="AX368" s="51"/>
      <c r="AY368" s="51"/>
    </row>
    <row r="369" spans="32:51">
      <c r="AF369" s="51"/>
      <c r="AG369" s="53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3"/>
      <c r="AS369" s="51"/>
      <c r="AT369" s="51"/>
      <c r="AU369" s="51"/>
      <c r="AV369" s="51"/>
      <c r="AW369" s="51"/>
      <c r="AX369" s="51"/>
      <c r="AY369" s="51"/>
    </row>
    <row r="370" spans="32:51">
      <c r="AF370" s="51"/>
      <c r="AG370" s="53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3"/>
      <c r="AS370" s="51"/>
      <c r="AT370" s="51"/>
      <c r="AU370" s="51"/>
      <c r="AV370" s="51"/>
      <c r="AW370" s="51"/>
      <c r="AX370" s="51"/>
      <c r="AY370" s="51"/>
    </row>
    <row r="371" spans="32:51">
      <c r="AF371" s="51"/>
      <c r="AG371" s="53"/>
      <c r="AH371" s="51"/>
      <c r="AI371" s="51"/>
      <c r="AJ371" s="51"/>
      <c r="AK371" s="51"/>
      <c r="AL371" s="51"/>
      <c r="AM371" s="51"/>
      <c r="AN371" s="51"/>
      <c r="AO371" s="51"/>
      <c r="AP371" s="51"/>
      <c r="AQ371" s="51"/>
      <c r="AR371" s="53"/>
      <c r="AS371" s="51"/>
      <c r="AT371" s="51"/>
      <c r="AU371" s="51"/>
      <c r="AV371" s="51"/>
      <c r="AW371" s="51"/>
      <c r="AX371" s="51"/>
      <c r="AY371" s="51"/>
    </row>
    <row r="372" spans="32:51">
      <c r="AF372" s="51"/>
      <c r="AG372" s="53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3"/>
      <c r="AS372" s="51"/>
      <c r="AT372" s="51"/>
      <c r="AU372" s="51"/>
      <c r="AV372" s="51"/>
      <c r="AW372" s="51"/>
      <c r="AX372" s="51"/>
      <c r="AY372" s="51"/>
    </row>
    <row r="373" spans="32:51">
      <c r="AF373" s="51"/>
      <c r="AG373" s="53"/>
      <c r="AH373" s="51"/>
      <c r="AI373" s="51"/>
      <c r="AJ373" s="51"/>
      <c r="AK373" s="51"/>
      <c r="AL373" s="51"/>
      <c r="AM373" s="51"/>
      <c r="AN373" s="51"/>
      <c r="AO373" s="51"/>
      <c r="AP373" s="51"/>
      <c r="AQ373" s="51"/>
      <c r="AR373" s="53"/>
      <c r="AS373" s="51"/>
      <c r="AT373" s="51"/>
      <c r="AU373" s="51"/>
      <c r="AV373" s="51"/>
      <c r="AW373" s="51"/>
      <c r="AX373" s="51"/>
      <c r="AY373" s="51"/>
    </row>
    <row r="374" spans="32:51">
      <c r="AF374" s="51"/>
      <c r="AG374" s="53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3"/>
      <c r="AS374" s="51"/>
      <c r="AT374" s="51"/>
      <c r="AU374" s="51"/>
      <c r="AV374" s="51"/>
      <c r="AW374" s="51"/>
      <c r="AX374" s="51"/>
      <c r="AY374" s="51"/>
    </row>
    <row r="375" spans="32:51">
      <c r="AF375" s="51"/>
      <c r="AG375" s="53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3"/>
      <c r="AS375" s="51"/>
      <c r="AT375" s="51"/>
      <c r="AU375" s="51"/>
      <c r="AV375" s="51"/>
      <c r="AW375" s="51"/>
      <c r="AX375" s="51"/>
      <c r="AY375" s="51"/>
    </row>
    <row r="376" spans="32:51">
      <c r="AF376" s="51"/>
      <c r="AG376" s="53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3"/>
      <c r="AS376" s="51"/>
      <c r="AT376" s="51"/>
      <c r="AU376" s="51"/>
      <c r="AV376" s="51"/>
      <c r="AW376" s="51"/>
      <c r="AX376" s="51"/>
      <c r="AY376" s="51"/>
    </row>
    <row r="377" spans="32:51">
      <c r="AF377" s="51"/>
      <c r="AG377" s="53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3"/>
      <c r="AS377" s="51"/>
      <c r="AT377" s="51"/>
      <c r="AU377" s="51"/>
      <c r="AV377" s="51"/>
      <c r="AW377" s="51"/>
      <c r="AX377" s="51"/>
      <c r="AY377" s="51"/>
    </row>
    <row r="378" spans="32:51">
      <c r="AF378" s="51"/>
      <c r="AG378" s="53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3"/>
      <c r="AS378" s="51"/>
      <c r="AT378" s="51"/>
      <c r="AU378" s="51"/>
      <c r="AV378" s="51"/>
      <c r="AW378" s="51"/>
      <c r="AX378" s="51"/>
      <c r="AY378" s="51"/>
    </row>
    <row r="379" spans="32:51">
      <c r="AF379" s="51"/>
      <c r="AG379" s="53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3"/>
      <c r="AS379" s="51"/>
      <c r="AT379" s="51"/>
      <c r="AU379" s="51"/>
      <c r="AV379" s="51"/>
      <c r="AW379" s="51"/>
      <c r="AX379" s="51"/>
      <c r="AY379" s="51"/>
    </row>
    <row r="380" spans="32:51">
      <c r="AF380" s="51"/>
      <c r="AG380" s="53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3"/>
      <c r="AS380" s="51"/>
      <c r="AT380" s="51"/>
      <c r="AU380" s="51"/>
      <c r="AV380" s="51"/>
      <c r="AW380" s="51"/>
      <c r="AX380" s="51"/>
      <c r="AY380" s="51"/>
    </row>
    <row r="381" spans="32:51">
      <c r="AF381" s="51"/>
      <c r="AG381" s="53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3"/>
      <c r="AS381" s="51"/>
      <c r="AT381" s="51"/>
      <c r="AU381" s="51"/>
      <c r="AV381" s="51"/>
      <c r="AW381" s="51"/>
      <c r="AX381" s="51"/>
      <c r="AY381" s="51"/>
    </row>
    <row r="382" spans="32:51">
      <c r="AF382" s="51"/>
      <c r="AG382" s="53"/>
      <c r="AH382" s="51"/>
      <c r="AI382" s="51"/>
      <c r="AJ382" s="51"/>
      <c r="AK382" s="51"/>
      <c r="AL382" s="51"/>
      <c r="AM382" s="51"/>
      <c r="AN382" s="51"/>
      <c r="AO382" s="51"/>
      <c r="AP382" s="51"/>
      <c r="AQ382" s="51"/>
      <c r="AR382" s="53"/>
      <c r="AS382" s="51"/>
      <c r="AT382" s="51"/>
      <c r="AU382" s="51"/>
      <c r="AV382" s="51"/>
      <c r="AW382" s="51"/>
      <c r="AX382" s="51"/>
      <c r="AY382" s="51"/>
    </row>
    <row r="383" spans="32:51">
      <c r="AF383" s="51"/>
      <c r="AG383" s="53"/>
      <c r="AH383" s="51"/>
      <c r="AI383" s="51"/>
      <c r="AJ383" s="51"/>
      <c r="AK383" s="51"/>
      <c r="AL383" s="51"/>
      <c r="AM383" s="51"/>
      <c r="AN383" s="51"/>
      <c r="AO383" s="51"/>
      <c r="AP383" s="51"/>
      <c r="AQ383" s="51"/>
      <c r="AR383" s="53"/>
      <c r="AS383" s="51"/>
      <c r="AT383" s="51"/>
      <c r="AU383" s="51"/>
      <c r="AV383" s="51"/>
      <c r="AW383" s="51"/>
      <c r="AX383" s="51"/>
      <c r="AY383" s="51"/>
    </row>
    <row r="384" spans="32:51">
      <c r="AF384" s="51"/>
      <c r="AG384" s="53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3"/>
      <c r="AS384" s="51"/>
      <c r="AT384" s="51"/>
      <c r="AU384" s="51"/>
      <c r="AV384" s="51"/>
      <c r="AW384" s="51"/>
      <c r="AX384" s="51"/>
      <c r="AY384" s="51"/>
    </row>
    <row r="385" spans="32:51">
      <c r="AF385" s="51"/>
      <c r="AG385" s="53"/>
      <c r="AH385" s="51"/>
      <c r="AI385" s="51"/>
      <c r="AJ385" s="51"/>
      <c r="AK385" s="51"/>
      <c r="AL385" s="51"/>
      <c r="AM385" s="51"/>
      <c r="AN385" s="51"/>
      <c r="AO385" s="51"/>
      <c r="AP385" s="51"/>
      <c r="AQ385" s="51"/>
      <c r="AR385" s="53"/>
      <c r="AS385" s="51"/>
      <c r="AT385" s="51"/>
      <c r="AU385" s="51"/>
      <c r="AV385" s="51"/>
      <c r="AW385" s="51"/>
      <c r="AX385" s="51"/>
      <c r="AY385" s="51"/>
    </row>
    <row r="386" spans="32:51">
      <c r="AF386" s="51"/>
      <c r="AG386" s="53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3"/>
      <c r="AS386" s="51"/>
      <c r="AT386" s="51"/>
      <c r="AU386" s="51"/>
      <c r="AV386" s="51"/>
      <c r="AW386" s="51"/>
      <c r="AX386" s="51"/>
      <c r="AY386" s="51"/>
    </row>
    <row r="387" spans="32:51">
      <c r="AF387" s="51"/>
      <c r="AG387" s="53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3"/>
      <c r="AS387" s="51"/>
      <c r="AT387" s="51"/>
      <c r="AU387" s="51"/>
      <c r="AV387" s="51"/>
      <c r="AW387" s="51"/>
      <c r="AX387" s="51"/>
      <c r="AY387" s="51"/>
    </row>
    <row r="388" spans="32:51">
      <c r="AF388" s="51"/>
      <c r="AG388" s="53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3"/>
      <c r="AS388" s="51"/>
      <c r="AT388" s="51"/>
      <c r="AU388" s="51"/>
      <c r="AV388" s="51"/>
      <c r="AW388" s="51"/>
      <c r="AX388" s="51"/>
      <c r="AY388" s="51"/>
    </row>
    <row r="389" spans="32:51">
      <c r="AF389" s="51"/>
      <c r="AG389" s="53"/>
      <c r="AH389" s="51"/>
      <c r="AI389" s="51"/>
      <c r="AJ389" s="51"/>
      <c r="AK389" s="51"/>
      <c r="AL389" s="51"/>
      <c r="AM389" s="51"/>
      <c r="AN389" s="51"/>
      <c r="AO389" s="51"/>
      <c r="AP389" s="51"/>
      <c r="AQ389" s="51"/>
      <c r="AR389" s="53"/>
      <c r="AS389" s="51"/>
      <c r="AT389" s="51"/>
      <c r="AU389" s="51"/>
      <c r="AV389" s="51"/>
      <c r="AW389" s="51"/>
      <c r="AX389" s="51"/>
      <c r="AY389" s="51"/>
    </row>
    <row r="390" spans="32:51">
      <c r="AF390" s="51"/>
      <c r="AG390" s="53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3"/>
      <c r="AS390" s="51"/>
      <c r="AT390" s="51"/>
      <c r="AU390" s="51"/>
      <c r="AV390" s="51"/>
      <c r="AW390" s="51"/>
      <c r="AX390" s="51"/>
      <c r="AY390" s="51"/>
    </row>
    <row r="391" spans="32:51">
      <c r="AF391" s="51"/>
      <c r="AG391" s="53"/>
      <c r="AH391" s="51"/>
      <c r="AI391" s="51"/>
      <c r="AJ391" s="51"/>
      <c r="AK391" s="51"/>
      <c r="AL391" s="51"/>
      <c r="AM391" s="51"/>
      <c r="AN391" s="51"/>
      <c r="AO391" s="51"/>
      <c r="AP391" s="51"/>
      <c r="AQ391" s="51"/>
      <c r="AR391" s="53"/>
      <c r="AS391" s="51"/>
      <c r="AT391" s="51"/>
      <c r="AU391" s="51"/>
      <c r="AV391" s="51"/>
      <c r="AW391" s="51"/>
      <c r="AX391" s="51"/>
      <c r="AY391" s="51"/>
    </row>
    <row r="392" spans="32:51">
      <c r="AF392" s="51"/>
      <c r="AG392" s="53"/>
      <c r="AH392" s="51"/>
      <c r="AI392" s="51"/>
      <c r="AJ392" s="51"/>
      <c r="AK392" s="51"/>
      <c r="AL392" s="51"/>
      <c r="AM392" s="51"/>
      <c r="AN392" s="51"/>
      <c r="AO392" s="51"/>
      <c r="AP392" s="51"/>
      <c r="AQ392" s="51"/>
      <c r="AR392" s="53"/>
      <c r="AS392" s="51"/>
      <c r="AT392" s="51"/>
      <c r="AU392" s="51"/>
      <c r="AV392" s="51"/>
      <c r="AW392" s="51"/>
      <c r="AX392" s="51"/>
      <c r="AY392" s="51"/>
    </row>
    <row r="393" spans="32:51">
      <c r="AF393" s="51"/>
      <c r="AG393" s="53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3"/>
      <c r="AS393" s="51"/>
      <c r="AT393" s="51"/>
      <c r="AU393" s="51"/>
      <c r="AV393" s="51"/>
      <c r="AW393" s="51"/>
      <c r="AX393" s="51"/>
      <c r="AY393" s="51"/>
    </row>
    <row r="394" spans="32:51">
      <c r="AF394" s="51"/>
      <c r="AG394" s="53"/>
      <c r="AH394" s="51"/>
      <c r="AI394" s="51"/>
      <c r="AJ394" s="51"/>
      <c r="AK394" s="51"/>
      <c r="AL394" s="51"/>
      <c r="AM394" s="51"/>
      <c r="AN394" s="51"/>
      <c r="AO394" s="51"/>
      <c r="AP394" s="51"/>
      <c r="AQ394" s="51"/>
      <c r="AR394" s="53"/>
      <c r="AS394" s="51"/>
      <c r="AT394" s="51"/>
      <c r="AU394" s="51"/>
      <c r="AV394" s="51"/>
      <c r="AW394" s="51"/>
      <c r="AX394" s="51"/>
      <c r="AY394" s="51"/>
    </row>
    <row r="395" spans="32:51">
      <c r="AF395" s="51"/>
      <c r="AG395" s="53"/>
      <c r="AH395" s="51"/>
      <c r="AI395" s="51"/>
      <c r="AJ395" s="51"/>
      <c r="AK395" s="51"/>
      <c r="AL395" s="51"/>
      <c r="AM395" s="51"/>
      <c r="AN395" s="51"/>
      <c r="AO395" s="51"/>
      <c r="AP395" s="51"/>
      <c r="AQ395" s="51"/>
      <c r="AR395" s="53"/>
      <c r="AS395" s="51"/>
      <c r="AT395" s="51"/>
      <c r="AU395" s="51"/>
      <c r="AV395" s="51"/>
      <c r="AW395" s="51"/>
      <c r="AX395" s="51"/>
      <c r="AY395" s="51"/>
    </row>
    <row r="396" spans="32:51">
      <c r="AF396" s="51"/>
      <c r="AG396" s="53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3"/>
      <c r="AS396" s="51"/>
      <c r="AT396" s="51"/>
      <c r="AU396" s="51"/>
      <c r="AV396" s="51"/>
      <c r="AW396" s="51"/>
      <c r="AX396" s="51"/>
      <c r="AY396" s="51"/>
    </row>
    <row r="397" spans="32:51">
      <c r="AF397" s="51"/>
      <c r="AG397" s="53"/>
      <c r="AH397" s="51"/>
      <c r="AI397" s="51"/>
      <c r="AJ397" s="51"/>
      <c r="AK397" s="51"/>
      <c r="AL397" s="51"/>
      <c r="AM397" s="51"/>
      <c r="AN397" s="51"/>
      <c r="AO397" s="51"/>
      <c r="AP397" s="51"/>
      <c r="AQ397" s="51"/>
      <c r="AR397" s="53"/>
      <c r="AS397" s="51"/>
      <c r="AT397" s="51"/>
      <c r="AU397" s="51"/>
      <c r="AV397" s="51"/>
      <c r="AW397" s="51"/>
      <c r="AX397" s="51"/>
      <c r="AY397" s="51"/>
    </row>
    <row r="398" spans="32:51">
      <c r="AF398" s="51"/>
      <c r="AG398" s="53"/>
      <c r="AH398" s="51"/>
      <c r="AI398" s="51"/>
      <c r="AJ398" s="51"/>
      <c r="AK398" s="51"/>
      <c r="AL398" s="51"/>
      <c r="AM398" s="51"/>
      <c r="AN398" s="51"/>
      <c r="AO398" s="51"/>
      <c r="AP398" s="51"/>
      <c r="AQ398" s="51"/>
      <c r="AR398" s="53"/>
      <c r="AS398" s="51"/>
      <c r="AT398" s="51"/>
      <c r="AU398" s="51"/>
      <c r="AV398" s="51"/>
      <c r="AW398" s="51"/>
      <c r="AX398" s="51"/>
      <c r="AY398" s="51"/>
    </row>
    <row r="399" spans="32:51">
      <c r="AF399" s="51"/>
      <c r="AG399" s="53"/>
      <c r="AH399" s="51"/>
      <c r="AI399" s="51"/>
      <c r="AJ399" s="51"/>
      <c r="AK399" s="51"/>
      <c r="AL399" s="51"/>
      <c r="AM399" s="51"/>
      <c r="AN399" s="51"/>
      <c r="AO399" s="51"/>
      <c r="AP399" s="51"/>
      <c r="AQ399" s="51"/>
      <c r="AR399" s="53"/>
      <c r="AS399" s="51"/>
      <c r="AT399" s="51"/>
      <c r="AU399" s="51"/>
      <c r="AV399" s="51"/>
      <c r="AW399" s="51"/>
      <c r="AX399" s="51"/>
      <c r="AY399" s="51"/>
    </row>
    <row r="400" spans="32:51">
      <c r="AF400" s="51"/>
      <c r="AG400" s="53"/>
      <c r="AH400" s="51"/>
      <c r="AI400" s="51"/>
      <c r="AJ400" s="51"/>
      <c r="AK400" s="51"/>
      <c r="AL400" s="51"/>
      <c r="AM400" s="51"/>
      <c r="AN400" s="51"/>
      <c r="AO400" s="51"/>
      <c r="AP400" s="51"/>
      <c r="AQ400" s="51"/>
      <c r="AR400" s="53"/>
      <c r="AS400" s="51"/>
      <c r="AT400" s="51"/>
      <c r="AU400" s="51"/>
      <c r="AV400" s="51"/>
      <c r="AW400" s="51"/>
      <c r="AX400" s="51"/>
      <c r="AY400" s="51"/>
    </row>
    <row r="401" spans="32:51">
      <c r="AF401" s="51"/>
      <c r="AG401" s="53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3"/>
      <c r="AS401" s="51"/>
      <c r="AT401" s="51"/>
      <c r="AU401" s="51"/>
      <c r="AV401" s="51"/>
      <c r="AW401" s="51"/>
      <c r="AX401" s="51"/>
      <c r="AY401" s="51"/>
    </row>
    <row r="402" spans="32:51">
      <c r="AF402" s="51"/>
      <c r="AG402" s="53"/>
      <c r="AH402" s="51"/>
      <c r="AI402" s="51"/>
      <c r="AJ402" s="51"/>
      <c r="AK402" s="51"/>
      <c r="AL402" s="51"/>
      <c r="AM402" s="51"/>
      <c r="AN402" s="51"/>
      <c r="AO402" s="51"/>
      <c r="AP402" s="51"/>
      <c r="AQ402" s="51"/>
      <c r="AR402" s="53"/>
      <c r="AS402" s="51"/>
      <c r="AT402" s="51"/>
      <c r="AU402" s="51"/>
      <c r="AV402" s="51"/>
      <c r="AW402" s="51"/>
      <c r="AX402" s="51"/>
      <c r="AY402" s="51"/>
    </row>
    <row r="403" spans="32:51">
      <c r="AF403" s="51"/>
      <c r="AG403" s="53"/>
      <c r="AH403" s="51"/>
      <c r="AI403" s="51"/>
      <c r="AJ403" s="51"/>
      <c r="AK403" s="51"/>
      <c r="AL403" s="51"/>
      <c r="AM403" s="51"/>
      <c r="AN403" s="51"/>
      <c r="AO403" s="51"/>
      <c r="AP403" s="51"/>
      <c r="AQ403" s="51"/>
      <c r="AR403" s="53"/>
      <c r="AS403" s="51"/>
      <c r="AT403" s="51"/>
      <c r="AU403" s="51"/>
      <c r="AV403" s="51"/>
      <c r="AW403" s="51"/>
      <c r="AX403" s="51"/>
      <c r="AY403" s="51"/>
    </row>
    <row r="404" spans="32:51">
      <c r="AF404" s="51"/>
      <c r="AG404" s="53"/>
      <c r="AH404" s="51"/>
      <c r="AI404" s="51"/>
      <c r="AJ404" s="51"/>
      <c r="AK404" s="51"/>
      <c r="AL404" s="51"/>
      <c r="AM404" s="51"/>
      <c r="AN404" s="51"/>
      <c r="AO404" s="51"/>
      <c r="AP404" s="51"/>
      <c r="AQ404" s="51"/>
      <c r="AR404" s="53"/>
      <c r="AS404" s="51"/>
      <c r="AT404" s="51"/>
      <c r="AU404" s="51"/>
      <c r="AV404" s="51"/>
      <c r="AW404" s="51"/>
      <c r="AX404" s="51"/>
      <c r="AY404" s="51"/>
    </row>
    <row r="405" spans="32:51">
      <c r="AF405" s="51"/>
      <c r="AG405" s="53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3"/>
      <c r="AS405" s="51"/>
      <c r="AT405" s="51"/>
      <c r="AU405" s="51"/>
      <c r="AV405" s="51"/>
      <c r="AW405" s="51"/>
      <c r="AX405" s="51"/>
      <c r="AY405" s="51"/>
    </row>
    <row r="406" spans="32:51">
      <c r="AF406" s="51"/>
      <c r="AG406" s="53"/>
      <c r="AH406" s="51"/>
      <c r="AI406" s="51"/>
      <c r="AJ406" s="51"/>
      <c r="AK406" s="51"/>
      <c r="AL406" s="51"/>
      <c r="AM406" s="51"/>
      <c r="AN406" s="51"/>
      <c r="AO406" s="51"/>
      <c r="AP406" s="51"/>
      <c r="AQ406" s="51"/>
      <c r="AR406" s="53"/>
      <c r="AS406" s="51"/>
      <c r="AT406" s="51"/>
      <c r="AU406" s="51"/>
      <c r="AV406" s="51"/>
      <c r="AW406" s="51"/>
      <c r="AX406" s="51"/>
      <c r="AY406" s="51"/>
    </row>
    <row r="407" spans="32:51">
      <c r="AF407" s="51"/>
      <c r="AG407" s="53"/>
      <c r="AH407" s="51"/>
      <c r="AI407" s="51"/>
      <c r="AJ407" s="51"/>
      <c r="AK407" s="51"/>
      <c r="AL407" s="51"/>
      <c r="AM407" s="51"/>
      <c r="AN407" s="51"/>
      <c r="AO407" s="51"/>
      <c r="AP407" s="51"/>
      <c r="AQ407" s="51"/>
      <c r="AR407" s="53"/>
      <c r="AS407" s="51"/>
      <c r="AT407" s="51"/>
      <c r="AU407" s="51"/>
      <c r="AV407" s="51"/>
      <c r="AW407" s="51"/>
      <c r="AX407" s="51"/>
      <c r="AY407" s="51"/>
    </row>
    <row r="408" spans="32:51">
      <c r="AF408" s="51"/>
      <c r="AG408" s="53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3"/>
      <c r="AS408" s="51"/>
      <c r="AT408" s="51"/>
      <c r="AU408" s="51"/>
      <c r="AV408" s="51"/>
      <c r="AW408" s="51"/>
      <c r="AX408" s="51"/>
      <c r="AY408" s="51"/>
    </row>
    <row r="409" spans="32:51">
      <c r="AF409" s="51"/>
      <c r="AG409" s="53"/>
      <c r="AH409" s="51"/>
      <c r="AI409" s="51"/>
      <c r="AJ409" s="51"/>
      <c r="AK409" s="51"/>
      <c r="AL409" s="51"/>
      <c r="AM409" s="51"/>
      <c r="AN409" s="51"/>
      <c r="AO409" s="51"/>
      <c r="AP409" s="51"/>
      <c r="AQ409" s="51"/>
      <c r="AR409" s="53"/>
      <c r="AS409" s="51"/>
      <c r="AT409" s="51"/>
      <c r="AU409" s="51"/>
      <c r="AV409" s="51"/>
      <c r="AW409" s="51"/>
      <c r="AX409" s="51"/>
      <c r="AY409" s="51"/>
    </row>
    <row r="410" spans="32:51">
      <c r="AF410" s="51"/>
      <c r="AG410" s="53"/>
      <c r="AH410" s="51"/>
      <c r="AI410" s="51"/>
      <c r="AJ410" s="51"/>
      <c r="AK410" s="51"/>
      <c r="AL410" s="51"/>
      <c r="AM410" s="51"/>
      <c r="AN410" s="51"/>
      <c r="AO410" s="51"/>
      <c r="AP410" s="51"/>
      <c r="AQ410" s="51"/>
      <c r="AR410" s="53"/>
      <c r="AS410" s="51"/>
      <c r="AT410" s="51"/>
      <c r="AU410" s="51"/>
      <c r="AV410" s="51"/>
      <c r="AW410" s="51"/>
      <c r="AX410" s="51"/>
      <c r="AY410" s="51"/>
    </row>
    <row r="411" spans="32:51">
      <c r="AF411" s="51"/>
      <c r="AG411" s="53"/>
      <c r="AH411" s="51"/>
      <c r="AI411" s="51"/>
      <c r="AJ411" s="51"/>
      <c r="AK411" s="51"/>
      <c r="AL411" s="51"/>
      <c r="AM411" s="51"/>
      <c r="AN411" s="51"/>
      <c r="AO411" s="51"/>
      <c r="AP411" s="51"/>
      <c r="AQ411" s="51"/>
      <c r="AR411" s="53"/>
      <c r="AS411" s="51"/>
      <c r="AT411" s="51"/>
      <c r="AU411" s="51"/>
      <c r="AV411" s="51"/>
      <c r="AW411" s="51"/>
      <c r="AX411" s="51"/>
      <c r="AY411" s="51"/>
    </row>
    <row r="412" spans="32:51">
      <c r="AF412" s="51"/>
      <c r="AG412" s="53"/>
      <c r="AH412" s="51"/>
      <c r="AI412" s="51"/>
      <c r="AJ412" s="51"/>
      <c r="AK412" s="51"/>
      <c r="AL412" s="51"/>
      <c r="AM412" s="51"/>
      <c r="AN412" s="51"/>
      <c r="AO412" s="51"/>
      <c r="AP412" s="51"/>
      <c r="AQ412" s="51"/>
      <c r="AR412" s="53"/>
      <c r="AS412" s="51"/>
      <c r="AT412" s="51"/>
      <c r="AU412" s="51"/>
      <c r="AV412" s="51"/>
      <c r="AW412" s="51"/>
      <c r="AX412" s="51"/>
      <c r="AY412" s="51"/>
    </row>
    <row r="413" spans="32:51">
      <c r="AF413" s="51"/>
      <c r="AG413" s="53"/>
      <c r="AH413" s="51"/>
      <c r="AI413" s="51"/>
      <c r="AJ413" s="51"/>
      <c r="AK413" s="51"/>
      <c r="AL413" s="51"/>
      <c r="AM413" s="51"/>
      <c r="AN413" s="51"/>
      <c r="AO413" s="51"/>
      <c r="AP413" s="51"/>
      <c r="AQ413" s="51"/>
      <c r="AR413" s="53"/>
      <c r="AS413" s="51"/>
      <c r="AT413" s="51"/>
      <c r="AU413" s="51"/>
      <c r="AV413" s="51"/>
      <c r="AW413" s="51"/>
      <c r="AX413" s="51"/>
      <c r="AY413" s="51"/>
    </row>
    <row r="414" spans="32:51">
      <c r="AF414" s="51"/>
      <c r="AG414" s="53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3"/>
      <c r="AS414" s="51"/>
      <c r="AT414" s="51"/>
      <c r="AU414" s="51"/>
      <c r="AV414" s="51"/>
      <c r="AW414" s="51"/>
      <c r="AX414" s="51"/>
      <c r="AY414" s="51"/>
    </row>
    <row r="415" spans="32:51">
      <c r="AF415" s="51"/>
      <c r="AG415" s="53"/>
      <c r="AH415" s="51"/>
      <c r="AI415" s="51"/>
      <c r="AJ415" s="51"/>
      <c r="AK415" s="51"/>
      <c r="AL415" s="51"/>
      <c r="AM415" s="51"/>
      <c r="AN415" s="51"/>
      <c r="AO415" s="51"/>
      <c r="AP415" s="51"/>
      <c r="AQ415" s="51"/>
      <c r="AR415" s="53"/>
      <c r="AS415" s="51"/>
      <c r="AT415" s="51"/>
      <c r="AU415" s="51"/>
      <c r="AV415" s="51"/>
      <c r="AW415" s="51"/>
      <c r="AX415" s="51"/>
      <c r="AY415" s="51"/>
    </row>
    <row r="416" spans="32:51">
      <c r="AF416" s="51"/>
      <c r="AG416" s="53"/>
      <c r="AH416" s="51"/>
      <c r="AI416" s="51"/>
      <c r="AJ416" s="51"/>
      <c r="AK416" s="51"/>
      <c r="AL416" s="51"/>
      <c r="AM416" s="51"/>
      <c r="AN416" s="51"/>
      <c r="AO416" s="51"/>
      <c r="AP416" s="51"/>
      <c r="AQ416" s="51"/>
      <c r="AR416" s="53"/>
      <c r="AS416" s="51"/>
      <c r="AT416" s="51"/>
      <c r="AU416" s="51"/>
      <c r="AV416" s="51"/>
      <c r="AW416" s="51"/>
      <c r="AX416" s="51"/>
      <c r="AY416" s="51"/>
    </row>
    <row r="417" spans="32:51">
      <c r="AF417" s="51"/>
      <c r="AG417" s="53"/>
      <c r="AH417" s="51"/>
      <c r="AI417" s="51"/>
      <c r="AJ417" s="51"/>
      <c r="AK417" s="51"/>
      <c r="AL417" s="51"/>
      <c r="AM417" s="51"/>
      <c r="AN417" s="51"/>
      <c r="AO417" s="51"/>
      <c r="AP417" s="51"/>
      <c r="AQ417" s="51"/>
      <c r="AR417" s="53"/>
      <c r="AS417" s="51"/>
      <c r="AT417" s="51"/>
      <c r="AU417" s="51"/>
      <c r="AV417" s="51"/>
      <c r="AW417" s="51"/>
      <c r="AX417" s="51"/>
      <c r="AY417" s="51"/>
    </row>
    <row r="418" spans="32:51">
      <c r="AF418" s="51"/>
      <c r="AG418" s="53"/>
      <c r="AH418" s="51"/>
      <c r="AI418" s="51"/>
      <c r="AJ418" s="51"/>
      <c r="AK418" s="51"/>
      <c r="AL418" s="51"/>
      <c r="AM418" s="51"/>
      <c r="AN418" s="51"/>
      <c r="AO418" s="51"/>
      <c r="AP418" s="51"/>
      <c r="AQ418" s="51"/>
      <c r="AR418" s="53"/>
      <c r="AS418" s="51"/>
      <c r="AT418" s="51"/>
      <c r="AU418" s="51"/>
      <c r="AV418" s="51"/>
      <c r="AW418" s="51"/>
      <c r="AX418" s="51"/>
      <c r="AY418" s="51"/>
    </row>
    <row r="419" spans="32:51">
      <c r="AF419" s="51"/>
      <c r="AG419" s="53"/>
      <c r="AH419" s="51"/>
      <c r="AI419" s="51"/>
      <c r="AJ419" s="51"/>
      <c r="AK419" s="51"/>
      <c r="AL419" s="51"/>
      <c r="AM419" s="51"/>
      <c r="AN419" s="51"/>
      <c r="AO419" s="51"/>
      <c r="AP419" s="51"/>
      <c r="AQ419" s="51"/>
      <c r="AR419" s="53"/>
      <c r="AS419" s="51"/>
      <c r="AT419" s="51"/>
      <c r="AU419" s="51"/>
      <c r="AV419" s="51"/>
      <c r="AW419" s="51"/>
      <c r="AX419" s="51"/>
      <c r="AY419" s="51"/>
    </row>
    <row r="420" spans="32:51">
      <c r="AF420" s="51"/>
      <c r="AG420" s="53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3"/>
      <c r="AS420" s="51"/>
      <c r="AT420" s="51"/>
      <c r="AU420" s="51"/>
      <c r="AV420" s="51"/>
      <c r="AW420" s="51"/>
      <c r="AX420" s="51"/>
      <c r="AY420" s="51"/>
    </row>
    <row r="421" spans="32:51">
      <c r="AF421" s="51"/>
      <c r="AG421" s="53"/>
      <c r="AH421" s="51"/>
      <c r="AI421" s="51"/>
      <c r="AJ421" s="51"/>
      <c r="AK421" s="51"/>
      <c r="AL421" s="51"/>
      <c r="AM421" s="51"/>
      <c r="AN421" s="51"/>
      <c r="AO421" s="51"/>
      <c r="AP421" s="51"/>
      <c r="AQ421" s="51"/>
      <c r="AR421" s="53"/>
      <c r="AS421" s="51"/>
      <c r="AT421" s="51"/>
      <c r="AU421" s="51"/>
      <c r="AV421" s="51"/>
      <c r="AW421" s="51"/>
      <c r="AX421" s="51"/>
      <c r="AY421" s="51"/>
    </row>
    <row r="422" spans="32:51">
      <c r="AF422" s="51"/>
      <c r="AG422" s="53"/>
      <c r="AH422" s="51"/>
      <c r="AI422" s="51"/>
      <c r="AJ422" s="51"/>
      <c r="AK422" s="51"/>
      <c r="AL422" s="51"/>
      <c r="AM422" s="51"/>
      <c r="AN422" s="51"/>
      <c r="AO422" s="51"/>
      <c r="AP422" s="51"/>
      <c r="AQ422" s="51"/>
      <c r="AR422" s="53"/>
      <c r="AS422" s="51"/>
      <c r="AT422" s="51"/>
      <c r="AU422" s="51"/>
      <c r="AV422" s="51"/>
      <c r="AW422" s="51"/>
      <c r="AX422" s="51"/>
      <c r="AY422" s="51"/>
    </row>
    <row r="423" spans="32:51">
      <c r="AF423" s="51"/>
      <c r="AG423" s="53"/>
      <c r="AH423" s="51"/>
      <c r="AI423" s="51"/>
      <c r="AJ423" s="51"/>
      <c r="AK423" s="51"/>
      <c r="AL423" s="51"/>
      <c r="AM423" s="51"/>
      <c r="AN423" s="51"/>
      <c r="AO423" s="51"/>
      <c r="AP423" s="51"/>
      <c r="AQ423" s="51"/>
      <c r="AR423" s="53"/>
      <c r="AS423" s="51"/>
      <c r="AT423" s="51"/>
      <c r="AU423" s="51"/>
      <c r="AV423" s="51"/>
      <c r="AW423" s="51"/>
      <c r="AX423" s="51"/>
      <c r="AY423" s="51"/>
    </row>
    <row r="424" spans="32:51">
      <c r="AF424" s="51"/>
      <c r="AG424" s="53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3"/>
      <c r="AS424" s="51"/>
      <c r="AT424" s="51"/>
      <c r="AU424" s="51"/>
      <c r="AV424" s="51"/>
      <c r="AW424" s="51"/>
      <c r="AX424" s="51"/>
      <c r="AY424" s="51"/>
    </row>
    <row r="425" spans="32:51">
      <c r="AF425" s="51"/>
      <c r="AG425" s="53"/>
      <c r="AH425" s="51"/>
      <c r="AI425" s="51"/>
      <c r="AJ425" s="51"/>
      <c r="AK425" s="51"/>
      <c r="AL425" s="51"/>
      <c r="AM425" s="51"/>
      <c r="AN425" s="51"/>
      <c r="AO425" s="51"/>
      <c r="AP425" s="51"/>
      <c r="AQ425" s="51"/>
      <c r="AR425" s="53"/>
      <c r="AS425" s="51"/>
      <c r="AT425" s="51"/>
      <c r="AU425" s="51"/>
      <c r="AV425" s="51"/>
      <c r="AW425" s="51"/>
      <c r="AX425" s="51"/>
      <c r="AY425" s="51"/>
    </row>
    <row r="426" spans="32:51">
      <c r="AF426" s="51"/>
      <c r="AG426" s="53"/>
      <c r="AH426" s="51"/>
      <c r="AI426" s="51"/>
      <c r="AJ426" s="51"/>
      <c r="AK426" s="51"/>
      <c r="AL426" s="51"/>
      <c r="AM426" s="51"/>
      <c r="AN426" s="51"/>
      <c r="AO426" s="51"/>
      <c r="AP426" s="51"/>
      <c r="AQ426" s="51"/>
      <c r="AR426" s="53"/>
      <c r="AS426" s="51"/>
      <c r="AT426" s="51"/>
      <c r="AU426" s="51"/>
      <c r="AV426" s="51"/>
      <c r="AW426" s="51"/>
      <c r="AX426" s="51"/>
      <c r="AY426" s="51"/>
    </row>
    <row r="427" spans="32:51">
      <c r="AF427" s="51"/>
      <c r="AG427" s="53"/>
      <c r="AH427" s="51"/>
      <c r="AI427" s="51"/>
      <c r="AJ427" s="51"/>
      <c r="AK427" s="51"/>
      <c r="AL427" s="51"/>
      <c r="AM427" s="51"/>
      <c r="AN427" s="51"/>
      <c r="AO427" s="51"/>
      <c r="AP427" s="51"/>
      <c r="AQ427" s="51"/>
      <c r="AR427" s="53"/>
      <c r="AS427" s="51"/>
      <c r="AT427" s="51"/>
      <c r="AU427" s="51"/>
      <c r="AV427" s="51"/>
      <c r="AW427" s="51"/>
      <c r="AX427" s="51"/>
      <c r="AY427" s="51"/>
    </row>
    <row r="428" spans="32:51">
      <c r="AF428" s="51"/>
      <c r="AG428" s="53"/>
      <c r="AH428" s="51"/>
      <c r="AI428" s="51"/>
      <c r="AJ428" s="51"/>
      <c r="AK428" s="51"/>
      <c r="AL428" s="51"/>
      <c r="AM428" s="51"/>
      <c r="AN428" s="51"/>
      <c r="AO428" s="51"/>
      <c r="AP428" s="51"/>
      <c r="AQ428" s="51"/>
      <c r="AR428" s="53"/>
      <c r="AS428" s="51"/>
      <c r="AT428" s="51"/>
      <c r="AU428" s="51"/>
      <c r="AV428" s="51"/>
      <c r="AW428" s="51"/>
      <c r="AX428" s="51"/>
      <c r="AY428" s="51"/>
    </row>
    <row r="429" spans="32:51">
      <c r="AF429" s="51"/>
      <c r="AG429" s="53"/>
      <c r="AH429" s="51"/>
      <c r="AI429" s="51"/>
      <c r="AJ429" s="51"/>
      <c r="AK429" s="51"/>
      <c r="AL429" s="51"/>
      <c r="AM429" s="51"/>
      <c r="AN429" s="51"/>
      <c r="AO429" s="51"/>
      <c r="AP429" s="51"/>
      <c r="AQ429" s="51"/>
      <c r="AR429" s="53"/>
      <c r="AS429" s="51"/>
      <c r="AT429" s="51"/>
      <c r="AU429" s="51"/>
      <c r="AV429" s="51"/>
      <c r="AW429" s="51"/>
      <c r="AX429" s="51"/>
      <c r="AY429" s="51"/>
    </row>
    <row r="430" spans="32:51">
      <c r="AF430" s="51"/>
      <c r="AG430" s="53"/>
      <c r="AH430" s="51"/>
      <c r="AI430" s="51"/>
      <c r="AJ430" s="51"/>
      <c r="AK430" s="51"/>
      <c r="AL430" s="51"/>
      <c r="AM430" s="51"/>
      <c r="AN430" s="51"/>
      <c r="AO430" s="51"/>
      <c r="AP430" s="51"/>
      <c r="AQ430" s="51"/>
      <c r="AR430" s="53"/>
      <c r="AS430" s="51"/>
      <c r="AT430" s="51"/>
      <c r="AU430" s="51"/>
      <c r="AV430" s="51"/>
      <c r="AW430" s="51"/>
      <c r="AX430" s="51"/>
      <c r="AY430" s="51"/>
    </row>
    <row r="431" spans="32:51">
      <c r="AF431" s="51"/>
      <c r="AG431" s="53"/>
      <c r="AH431" s="51"/>
      <c r="AI431" s="51"/>
      <c r="AJ431" s="51"/>
      <c r="AK431" s="51"/>
      <c r="AL431" s="51"/>
      <c r="AM431" s="51"/>
      <c r="AN431" s="51"/>
      <c r="AO431" s="51"/>
      <c r="AP431" s="51"/>
      <c r="AQ431" s="51"/>
      <c r="AR431" s="53"/>
      <c r="AS431" s="51"/>
      <c r="AT431" s="51"/>
      <c r="AU431" s="51"/>
      <c r="AV431" s="51"/>
      <c r="AW431" s="51"/>
      <c r="AX431" s="51"/>
      <c r="AY431" s="51"/>
    </row>
    <row r="432" spans="32:51">
      <c r="AF432" s="51"/>
      <c r="AG432" s="53"/>
      <c r="AH432" s="51"/>
      <c r="AI432" s="51"/>
      <c r="AJ432" s="51"/>
      <c r="AK432" s="51"/>
      <c r="AL432" s="51"/>
      <c r="AM432" s="51"/>
      <c r="AN432" s="51"/>
      <c r="AO432" s="51"/>
      <c r="AP432" s="51"/>
      <c r="AQ432" s="51"/>
      <c r="AR432" s="53"/>
      <c r="AS432" s="51"/>
      <c r="AT432" s="51"/>
      <c r="AU432" s="51"/>
      <c r="AV432" s="51"/>
      <c r="AW432" s="51"/>
      <c r="AX432" s="51"/>
      <c r="AY432" s="51"/>
    </row>
    <row r="433" spans="32:51">
      <c r="AF433" s="51"/>
      <c r="AG433" s="53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3"/>
      <c r="AS433" s="51"/>
      <c r="AT433" s="51"/>
      <c r="AU433" s="51"/>
      <c r="AV433" s="51"/>
      <c r="AW433" s="51"/>
      <c r="AX433" s="51"/>
      <c r="AY433" s="51"/>
    </row>
    <row r="434" spans="32:51">
      <c r="AF434" s="51"/>
      <c r="AG434" s="53"/>
      <c r="AH434" s="51"/>
      <c r="AI434" s="51"/>
      <c r="AJ434" s="51"/>
      <c r="AK434" s="51"/>
      <c r="AL434" s="51"/>
      <c r="AM434" s="51"/>
      <c r="AN434" s="51"/>
      <c r="AO434" s="51"/>
      <c r="AP434" s="51"/>
      <c r="AQ434" s="51"/>
      <c r="AR434" s="53"/>
      <c r="AS434" s="51"/>
      <c r="AT434" s="51"/>
      <c r="AU434" s="51"/>
      <c r="AV434" s="51"/>
      <c r="AW434" s="51"/>
      <c r="AX434" s="51"/>
      <c r="AY434" s="51"/>
    </row>
    <row r="435" spans="32:51">
      <c r="AF435" s="51"/>
      <c r="AG435" s="53"/>
      <c r="AH435" s="51"/>
      <c r="AI435" s="51"/>
      <c r="AJ435" s="51"/>
      <c r="AK435" s="51"/>
      <c r="AL435" s="51"/>
      <c r="AM435" s="51"/>
      <c r="AN435" s="51"/>
      <c r="AO435" s="51"/>
      <c r="AP435" s="51"/>
      <c r="AQ435" s="51"/>
      <c r="AR435" s="53"/>
      <c r="AS435" s="51"/>
      <c r="AT435" s="51"/>
      <c r="AU435" s="51"/>
      <c r="AV435" s="51"/>
      <c r="AW435" s="51"/>
      <c r="AX435" s="51"/>
      <c r="AY435" s="51"/>
    </row>
    <row r="436" spans="32:51">
      <c r="AF436" s="51"/>
      <c r="AG436" s="53"/>
      <c r="AH436" s="51"/>
      <c r="AI436" s="51"/>
      <c r="AJ436" s="51"/>
      <c r="AK436" s="51"/>
      <c r="AL436" s="51"/>
      <c r="AM436" s="51"/>
      <c r="AN436" s="51"/>
      <c r="AO436" s="51"/>
      <c r="AP436" s="51"/>
      <c r="AQ436" s="51"/>
      <c r="AR436" s="53"/>
      <c r="AS436" s="51"/>
      <c r="AT436" s="51"/>
      <c r="AU436" s="51"/>
      <c r="AV436" s="51"/>
      <c r="AW436" s="51"/>
      <c r="AX436" s="51"/>
      <c r="AY436" s="51"/>
    </row>
    <row r="437" spans="32:51">
      <c r="AF437" s="51"/>
      <c r="AG437" s="53"/>
      <c r="AH437" s="51"/>
      <c r="AI437" s="51"/>
      <c r="AJ437" s="51"/>
      <c r="AK437" s="51"/>
      <c r="AL437" s="51"/>
      <c r="AM437" s="51"/>
      <c r="AN437" s="51"/>
      <c r="AO437" s="51"/>
      <c r="AP437" s="51"/>
      <c r="AQ437" s="51"/>
      <c r="AR437" s="53"/>
      <c r="AS437" s="51"/>
      <c r="AT437" s="51"/>
      <c r="AU437" s="51"/>
      <c r="AV437" s="51"/>
      <c r="AW437" s="51"/>
      <c r="AX437" s="51"/>
      <c r="AY437" s="51"/>
    </row>
    <row r="438" spans="32:51">
      <c r="AF438" s="51"/>
      <c r="AG438" s="53"/>
      <c r="AH438" s="51"/>
      <c r="AI438" s="51"/>
      <c r="AJ438" s="51"/>
      <c r="AK438" s="51"/>
      <c r="AL438" s="51"/>
      <c r="AM438" s="51"/>
      <c r="AN438" s="51"/>
      <c r="AO438" s="51"/>
      <c r="AP438" s="51"/>
      <c r="AQ438" s="51"/>
      <c r="AR438" s="53"/>
      <c r="AS438" s="51"/>
      <c r="AT438" s="51"/>
      <c r="AU438" s="51"/>
      <c r="AV438" s="51"/>
      <c r="AW438" s="51"/>
      <c r="AX438" s="51"/>
      <c r="AY438" s="51"/>
    </row>
    <row r="439" spans="32:51">
      <c r="AF439" s="51"/>
      <c r="AG439" s="53"/>
      <c r="AH439" s="51"/>
      <c r="AI439" s="51"/>
      <c r="AJ439" s="51"/>
      <c r="AK439" s="51"/>
      <c r="AL439" s="51"/>
      <c r="AM439" s="51"/>
      <c r="AN439" s="51"/>
      <c r="AO439" s="51"/>
      <c r="AP439" s="51"/>
      <c r="AQ439" s="51"/>
      <c r="AR439" s="53"/>
      <c r="AS439" s="51"/>
      <c r="AT439" s="51"/>
      <c r="AU439" s="51"/>
      <c r="AV439" s="51"/>
      <c r="AW439" s="51"/>
      <c r="AX439" s="51"/>
      <c r="AY439" s="51"/>
    </row>
    <row r="440" spans="32:51">
      <c r="AF440" s="51"/>
      <c r="AG440" s="53"/>
      <c r="AH440" s="51"/>
      <c r="AI440" s="51"/>
      <c r="AJ440" s="51"/>
      <c r="AK440" s="51"/>
      <c r="AL440" s="51"/>
      <c r="AM440" s="51"/>
      <c r="AN440" s="51"/>
      <c r="AO440" s="51"/>
      <c r="AP440" s="51"/>
      <c r="AQ440" s="51"/>
      <c r="AR440" s="53"/>
      <c r="AS440" s="51"/>
      <c r="AT440" s="51"/>
      <c r="AU440" s="51"/>
      <c r="AV440" s="51"/>
      <c r="AW440" s="51"/>
      <c r="AX440" s="51"/>
      <c r="AY440" s="51"/>
    </row>
    <row r="441" spans="32:51">
      <c r="AF441" s="51"/>
      <c r="AG441" s="53"/>
      <c r="AH441" s="51"/>
      <c r="AI441" s="51"/>
      <c r="AJ441" s="51"/>
      <c r="AK441" s="51"/>
      <c r="AL441" s="51"/>
      <c r="AM441" s="51"/>
      <c r="AN441" s="51"/>
      <c r="AO441" s="51"/>
      <c r="AP441" s="51"/>
      <c r="AQ441" s="51"/>
      <c r="AR441" s="53"/>
      <c r="AS441" s="51"/>
      <c r="AT441" s="51"/>
      <c r="AU441" s="51"/>
      <c r="AV441" s="51"/>
      <c r="AW441" s="51"/>
      <c r="AX441" s="51"/>
      <c r="AY441" s="51"/>
    </row>
    <row r="442" spans="32:51">
      <c r="AF442" s="51"/>
      <c r="AG442" s="53"/>
      <c r="AH442" s="51"/>
      <c r="AI442" s="51"/>
      <c r="AJ442" s="51"/>
      <c r="AK442" s="51"/>
      <c r="AL442" s="51"/>
      <c r="AM442" s="51"/>
      <c r="AN442" s="51"/>
      <c r="AO442" s="51"/>
      <c r="AP442" s="51"/>
      <c r="AQ442" s="51"/>
      <c r="AR442" s="53"/>
      <c r="AS442" s="51"/>
      <c r="AT442" s="51"/>
      <c r="AU442" s="51"/>
      <c r="AV442" s="51"/>
      <c r="AW442" s="51"/>
      <c r="AX442" s="51"/>
      <c r="AY442" s="51"/>
    </row>
    <row r="443" spans="32:51">
      <c r="AF443" s="51"/>
      <c r="AG443" s="53"/>
      <c r="AH443" s="51"/>
      <c r="AI443" s="51"/>
      <c r="AJ443" s="51"/>
      <c r="AK443" s="51"/>
      <c r="AL443" s="51"/>
      <c r="AM443" s="51"/>
      <c r="AN443" s="51"/>
      <c r="AO443" s="51"/>
      <c r="AP443" s="51"/>
      <c r="AQ443" s="51"/>
      <c r="AR443" s="53"/>
      <c r="AS443" s="51"/>
      <c r="AT443" s="51"/>
      <c r="AU443" s="51"/>
      <c r="AV443" s="51"/>
      <c r="AW443" s="51"/>
      <c r="AX443" s="51"/>
      <c r="AY443" s="51"/>
    </row>
    <row r="444" spans="32:51">
      <c r="AF444" s="51"/>
      <c r="AG444" s="53"/>
      <c r="AH444" s="51"/>
      <c r="AI444" s="51"/>
      <c r="AJ444" s="51"/>
      <c r="AK444" s="51"/>
      <c r="AL444" s="51"/>
      <c r="AM444" s="51"/>
      <c r="AN444" s="51"/>
      <c r="AO444" s="51"/>
      <c r="AP444" s="51"/>
      <c r="AQ444" s="51"/>
      <c r="AR444" s="53"/>
      <c r="AS444" s="51"/>
      <c r="AT444" s="51"/>
      <c r="AU444" s="51"/>
      <c r="AV444" s="51"/>
      <c r="AW444" s="51"/>
      <c r="AX444" s="51"/>
      <c r="AY444" s="51"/>
    </row>
    <row r="445" spans="32:51">
      <c r="AF445" s="51"/>
      <c r="AG445" s="53"/>
      <c r="AH445" s="51"/>
      <c r="AI445" s="51"/>
      <c r="AJ445" s="51"/>
      <c r="AK445" s="51"/>
      <c r="AL445" s="51"/>
      <c r="AM445" s="51"/>
      <c r="AN445" s="51"/>
      <c r="AO445" s="51"/>
      <c r="AP445" s="51"/>
      <c r="AQ445" s="51"/>
      <c r="AR445" s="53"/>
      <c r="AS445" s="51"/>
      <c r="AT445" s="51"/>
      <c r="AU445" s="51"/>
      <c r="AV445" s="51"/>
      <c r="AW445" s="51"/>
      <c r="AX445" s="51"/>
      <c r="AY445" s="51"/>
    </row>
    <row r="446" spans="32:51">
      <c r="AF446" s="51"/>
      <c r="AG446" s="53"/>
      <c r="AH446" s="51"/>
      <c r="AI446" s="51"/>
      <c r="AJ446" s="51"/>
      <c r="AK446" s="51"/>
      <c r="AL446" s="51"/>
      <c r="AM446" s="51"/>
      <c r="AN446" s="51"/>
      <c r="AO446" s="51"/>
      <c r="AP446" s="51"/>
      <c r="AQ446" s="51"/>
      <c r="AR446" s="53"/>
      <c r="AS446" s="51"/>
      <c r="AT446" s="51"/>
      <c r="AU446" s="51"/>
      <c r="AV446" s="51"/>
      <c r="AW446" s="51"/>
      <c r="AX446" s="51"/>
      <c r="AY446" s="51"/>
    </row>
    <row r="447" spans="32:51">
      <c r="AF447" s="51"/>
      <c r="AG447" s="53"/>
      <c r="AH447" s="51"/>
      <c r="AI447" s="51"/>
      <c r="AJ447" s="51"/>
      <c r="AK447" s="51"/>
      <c r="AL447" s="51"/>
      <c r="AM447" s="51"/>
      <c r="AN447" s="51"/>
      <c r="AO447" s="51"/>
      <c r="AP447" s="51"/>
      <c r="AQ447" s="51"/>
      <c r="AR447" s="53"/>
      <c r="AS447" s="51"/>
      <c r="AT447" s="51"/>
      <c r="AU447" s="51"/>
      <c r="AV447" s="51"/>
      <c r="AW447" s="51"/>
      <c r="AX447" s="51"/>
      <c r="AY447" s="51"/>
    </row>
    <row r="448" spans="32:51">
      <c r="AF448" s="51"/>
      <c r="AG448" s="53"/>
      <c r="AH448" s="51"/>
      <c r="AI448" s="51"/>
      <c r="AJ448" s="51"/>
      <c r="AK448" s="51"/>
      <c r="AL448" s="51"/>
      <c r="AM448" s="51"/>
      <c r="AN448" s="51"/>
      <c r="AO448" s="51"/>
      <c r="AP448" s="51"/>
      <c r="AQ448" s="51"/>
      <c r="AR448" s="53"/>
      <c r="AS448" s="51"/>
      <c r="AT448" s="51"/>
      <c r="AU448" s="51"/>
      <c r="AV448" s="51"/>
      <c r="AW448" s="51"/>
      <c r="AX448" s="51"/>
      <c r="AY448" s="51"/>
    </row>
    <row r="449" spans="32:51">
      <c r="AF449" s="51"/>
      <c r="AG449" s="53"/>
      <c r="AH449" s="51"/>
      <c r="AI449" s="51"/>
      <c r="AJ449" s="51"/>
      <c r="AK449" s="51"/>
      <c r="AL449" s="51"/>
      <c r="AM449" s="51"/>
      <c r="AN449" s="51"/>
      <c r="AO449" s="51"/>
      <c r="AP449" s="51"/>
      <c r="AQ449" s="51"/>
      <c r="AR449" s="53"/>
      <c r="AS449" s="51"/>
      <c r="AT449" s="51"/>
      <c r="AU449" s="51"/>
      <c r="AV449" s="51"/>
      <c r="AW449" s="51"/>
      <c r="AX449" s="51"/>
      <c r="AY449" s="51"/>
    </row>
    <row r="450" spans="32:51">
      <c r="AF450" s="51"/>
      <c r="AG450" s="53"/>
      <c r="AH450" s="51"/>
      <c r="AI450" s="51"/>
      <c r="AJ450" s="51"/>
      <c r="AK450" s="51"/>
      <c r="AL450" s="51"/>
      <c r="AM450" s="51"/>
      <c r="AN450" s="51"/>
      <c r="AO450" s="51"/>
      <c r="AP450" s="51"/>
      <c r="AQ450" s="51"/>
      <c r="AR450" s="53"/>
      <c r="AS450" s="51"/>
      <c r="AT450" s="51"/>
      <c r="AU450" s="51"/>
      <c r="AV450" s="51"/>
      <c r="AW450" s="51"/>
      <c r="AX450" s="51"/>
      <c r="AY450" s="51"/>
    </row>
    <row r="451" spans="32:51">
      <c r="AF451" s="51"/>
      <c r="AG451" s="53"/>
      <c r="AH451" s="51"/>
      <c r="AI451" s="51"/>
      <c r="AJ451" s="51"/>
      <c r="AK451" s="51"/>
      <c r="AL451" s="51"/>
      <c r="AM451" s="51"/>
      <c r="AN451" s="51"/>
      <c r="AO451" s="51"/>
      <c r="AP451" s="51"/>
      <c r="AQ451" s="51"/>
      <c r="AR451" s="53"/>
      <c r="AS451" s="51"/>
      <c r="AT451" s="51"/>
      <c r="AU451" s="51"/>
      <c r="AV451" s="51"/>
      <c r="AW451" s="51"/>
      <c r="AX451" s="51"/>
      <c r="AY451" s="51"/>
    </row>
    <row r="452" spans="32:51">
      <c r="AF452" s="51"/>
      <c r="AG452" s="53"/>
      <c r="AH452" s="51"/>
      <c r="AI452" s="51"/>
      <c r="AJ452" s="51"/>
      <c r="AK452" s="51"/>
      <c r="AL452" s="51"/>
      <c r="AM452" s="51"/>
      <c r="AN452" s="51"/>
      <c r="AO452" s="51"/>
      <c r="AP452" s="51"/>
      <c r="AQ452" s="51"/>
      <c r="AR452" s="53"/>
      <c r="AS452" s="51"/>
      <c r="AT452" s="51"/>
      <c r="AU452" s="51"/>
      <c r="AV452" s="51"/>
      <c r="AW452" s="51"/>
      <c r="AX452" s="51"/>
      <c r="AY452" s="51"/>
    </row>
    <row r="453" spans="32:51">
      <c r="AF453" s="51"/>
      <c r="AG453" s="53"/>
      <c r="AH453" s="51"/>
      <c r="AI453" s="51"/>
      <c r="AJ453" s="51"/>
      <c r="AK453" s="51"/>
      <c r="AL453" s="51"/>
      <c r="AM453" s="51"/>
      <c r="AN453" s="51"/>
      <c r="AO453" s="51"/>
      <c r="AP453" s="51"/>
      <c r="AQ453" s="51"/>
      <c r="AR453" s="53"/>
      <c r="AS453" s="51"/>
      <c r="AT453" s="51"/>
      <c r="AU453" s="51"/>
      <c r="AV453" s="51"/>
      <c r="AW453" s="51"/>
      <c r="AX453" s="51"/>
      <c r="AY453" s="51"/>
    </row>
    <row r="454" spans="32:51">
      <c r="AF454" s="51"/>
      <c r="AG454" s="53"/>
      <c r="AH454" s="51"/>
      <c r="AI454" s="51"/>
      <c r="AJ454" s="51"/>
      <c r="AK454" s="51"/>
      <c r="AL454" s="51"/>
      <c r="AM454" s="51"/>
      <c r="AN454" s="51"/>
      <c r="AO454" s="51"/>
      <c r="AP454" s="51"/>
      <c r="AQ454" s="51"/>
      <c r="AR454" s="53"/>
      <c r="AS454" s="51"/>
      <c r="AT454" s="51"/>
      <c r="AU454" s="51"/>
      <c r="AV454" s="51"/>
      <c r="AW454" s="51"/>
      <c r="AX454" s="51"/>
      <c r="AY454" s="51"/>
    </row>
    <row r="455" spans="32:51">
      <c r="AF455" s="51"/>
      <c r="AG455" s="53"/>
      <c r="AH455" s="51"/>
      <c r="AI455" s="51"/>
      <c r="AJ455" s="51"/>
      <c r="AK455" s="51"/>
      <c r="AL455" s="51"/>
      <c r="AM455" s="51"/>
      <c r="AN455" s="51"/>
      <c r="AO455" s="51"/>
      <c r="AP455" s="51"/>
      <c r="AQ455" s="51"/>
      <c r="AR455" s="53"/>
      <c r="AS455" s="51"/>
      <c r="AT455" s="51"/>
      <c r="AU455" s="51"/>
      <c r="AV455" s="51"/>
      <c r="AW455" s="51"/>
      <c r="AX455" s="51"/>
      <c r="AY455" s="51"/>
    </row>
    <row r="456" spans="32:51">
      <c r="AF456" s="51"/>
      <c r="AG456" s="53"/>
      <c r="AH456" s="51"/>
      <c r="AI456" s="51"/>
      <c r="AJ456" s="51"/>
      <c r="AK456" s="51"/>
      <c r="AL456" s="51"/>
      <c r="AM456" s="51"/>
      <c r="AN456" s="51"/>
      <c r="AO456" s="51"/>
      <c r="AP456" s="51"/>
      <c r="AQ456" s="51"/>
      <c r="AR456" s="53"/>
      <c r="AS456" s="51"/>
      <c r="AT456" s="51"/>
      <c r="AU456" s="51"/>
      <c r="AV456" s="51"/>
      <c r="AW456" s="51"/>
      <c r="AX456" s="51"/>
      <c r="AY456" s="51"/>
    </row>
    <row r="457" spans="32:51">
      <c r="AF457" s="51"/>
      <c r="AG457" s="53"/>
      <c r="AH457" s="51"/>
      <c r="AI457" s="51"/>
      <c r="AJ457" s="51"/>
      <c r="AK457" s="51"/>
      <c r="AL457" s="51"/>
      <c r="AM457" s="51"/>
      <c r="AN457" s="51"/>
      <c r="AO457" s="51"/>
      <c r="AP457" s="51"/>
      <c r="AQ457" s="51"/>
      <c r="AR457" s="53"/>
      <c r="AS457" s="51"/>
      <c r="AT457" s="51"/>
      <c r="AU457" s="51"/>
      <c r="AV457" s="51"/>
      <c r="AW457" s="51"/>
      <c r="AX457" s="51"/>
      <c r="AY457" s="51"/>
    </row>
    <row r="458" spans="32:51">
      <c r="AF458" s="51"/>
      <c r="AG458" s="53"/>
      <c r="AH458" s="51"/>
      <c r="AI458" s="51"/>
      <c r="AJ458" s="51"/>
      <c r="AK458" s="51"/>
      <c r="AL458" s="51"/>
      <c r="AM458" s="51"/>
      <c r="AN458" s="51"/>
      <c r="AO458" s="51"/>
      <c r="AP458" s="51"/>
      <c r="AQ458" s="51"/>
      <c r="AR458" s="53"/>
      <c r="AS458" s="51"/>
      <c r="AT458" s="51"/>
      <c r="AU458" s="51"/>
      <c r="AV458" s="51"/>
      <c r="AW458" s="51"/>
      <c r="AX458" s="51"/>
      <c r="AY458" s="51"/>
    </row>
    <row r="459" spans="32:51">
      <c r="AF459" s="51"/>
      <c r="AG459" s="53"/>
      <c r="AH459" s="51"/>
      <c r="AI459" s="51"/>
      <c r="AJ459" s="51"/>
      <c r="AK459" s="51"/>
      <c r="AL459" s="51"/>
      <c r="AM459" s="51"/>
      <c r="AN459" s="51"/>
      <c r="AO459" s="51"/>
      <c r="AP459" s="51"/>
      <c r="AQ459" s="51"/>
      <c r="AR459" s="53"/>
      <c r="AS459" s="51"/>
      <c r="AT459" s="51"/>
      <c r="AU459" s="51"/>
      <c r="AV459" s="51"/>
      <c r="AW459" s="51"/>
      <c r="AX459" s="51"/>
      <c r="AY459" s="51"/>
    </row>
    <row r="460" spans="32:51">
      <c r="AF460" s="51"/>
      <c r="AG460" s="53"/>
      <c r="AH460" s="51"/>
      <c r="AI460" s="51"/>
      <c r="AJ460" s="51"/>
      <c r="AK460" s="51"/>
      <c r="AL460" s="51"/>
      <c r="AM460" s="51"/>
      <c r="AN460" s="51"/>
      <c r="AO460" s="51"/>
      <c r="AP460" s="51"/>
      <c r="AQ460" s="51"/>
      <c r="AR460" s="53"/>
      <c r="AS460" s="51"/>
      <c r="AT460" s="51"/>
      <c r="AU460" s="51"/>
      <c r="AV460" s="51"/>
      <c r="AW460" s="51"/>
      <c r="AX460" s="51"/>
      <c r="AY460" s="51"/>
    </row>
    <row r="461" spans="32:51">
      <c r="AF461" s="51"/>
      <c r="AG461" s="53"/>
      <c r="AH461" s="51"/>
      <c r="AI461" s="51"/>
      <c r="AJ461" s="51"/>
      <c r="AK461" s="51"/>
      <c r="AL461" s="51"/>
      <c r="AM461" s="51"/>
      <c r="AN461" s="51"/>
      <c r="AO461" s="51"/>
      <c r="AP461" s="51"/>
      <c r="AQ461" s="51"/>
      <c r="AR461" s="53"/>
      <c r="AS461" s="51"/>
      <c r="AT461" s="51"/>
      <c r="AU461" s="51"/>
      <c r="AV461" s="51"/>
      <c r="AW461" s="51"/>
      <c r="AX461" s="51"/>
      <c r="AY461" s="51"/>
    </row>
    <row r="462" spans="32:51">
      <c r="AF462" s="51"/>
      <c r="AG462" s="53"/>
      <c r="AH462" s="51"/>
      <c r="AI462" s="51"/>
      <c r="AJ462" s="51"/>
      <c r="AK462" s="51"/>
      <c r="AL462" s="51"/>
      <c r="AM462" s="51"/>
      <c r="AN462" s="51"/>
      <c r="AO462" s="51"/>
      <c r="AP462" s="51"/>
      <c r="AQ462" s="51"/>
      <c r="AR462" s="53"/>
      <c r="AS462" s="51"/>
      <c r="AT462" s="51"/>
      <c r="AU462" s="51"/>
      <c r="AV462" s="51"/>
      <c r="AW462" s="51"/>
      <c r="AX462" s="51"/>
      <c r="AY462" s="51"/>
    </row>
    <row r="463" spans="32:51">
      <c r="AF463" s="51"/>
      <c r="AG463" s="53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3"/>
      <c r="AS463" s="51"/>
      <c r="AT463" s="51"/>
      <c r="AU463" s="51"/>
      <c r="AV463" s="51"/>
      <c r="AW463" s="51"/>
      <c r="AX463" s="51"/>
      <c r="AY463" s="51"/>
    </row>
    <row r="464" spans="32:51">
      <c r="AF464" s="51"/>
      <c r="AG464" s="53"/>
      <c r="AH464" s="51"/>
      <c r="AI464" s="51"/>
      <c r="AJ464" s="51"/>
      <c r="AK464" s="51"/>
      <c r="AL464" s="51"/>
      <c r="AM464" s="51"/>
      <c r="AN464" s="51"/>
      <c r="AO464" s="51"/>
      <c r="AP464" s="51"/>
      <c r="AQ464" s="51"/>
      <c r="AR464" s="53"/>
      <c r="AS464" s="51"/>
      <c r="AT464" s="51"/>
      <c r="AU464" s="51"/>
      <c r="AV464" s="51"/>
      <c r="AW464" s="51"/>
      <c r="AX464" s="51"/>
      <c r="AY464" s="51"/>
    </row>
    <row r="465" spans="32:51">
      <c r="AF465" s="51"/>
      <c r="AG465" s="53"/>
      <c r="AH465" s="51"/>
      <c r="AI465" s="51"/>
      <c r="AJ465" s="51"/>
      <c r="AK465" s="51"/>
      <c r="AL465" s="51"/>
      <c r="AM465" s="51"/>
      <c r="AN465" s="51"/>
      <c r="AO465" s="51"/>
      <c r="AP465" s="51"/>
      <c r="AQ465" s="51"/>
      <c r="AR465" s="53"/>
      <c r="AS465" s="51"/>
      <c r="AT465" s="51"/>
      <c r="AU465" s="51"/>
      <c r="AV465" s="51"/>
      <c r="AW465" s="51"/>
      <c r="AX465" s="51"/>
      <c r="AY465" s="51"/>
    </row>
    <row r="466" spans="32:51">
      <c r="AF466" s="51"/>
      <c r="AG466" s="53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3"/>
      <c r="AS466" s="51"/>
      <c r="AT466" s="51"/>
      <c r="AU466" s="51"/>
      <c r="AV466" s="51"/>
      <c r="AW466" s="51"/>
      <c r="AX466" s="51"/>
      <c r="AY466" s="51"/>
    </row>
    <row r="467" spans="32:51">
      <c r="AF467" s="51"/>
      <c r="AG467" s="53"/>
      <c r="AH467" s="51"/>
      <c r="AI467" s="51"/>
      <c r="AJ467" s="51"/>
      <c r="AK467" s="51"/>
      <c r="AL467" s="51"/>
      <c r="AM467" s="51"/>
      <c r="AN467" s="51"/>
      <c r="AO467" s="51"/>
      <c r="AP467" s="51"/>
      <c r="AQ467" s="51"/>
      <c r="AR467" s="53"/>
      <c r="AS467" s="51"/>
      <c r="AT467" s="51"/>
      <c r="AU467" s="51"/>
      <c r="AV467" s="51"/>
      <c r="AW467" s="51"/>
      <c r="AX467" s="51"/>
      <c r="AY467" s="51"/>
    </row>
    <row r="468" spans="32:51">
      <c r="AF468" s="51"/>
      <c r="AG468" s="53"/>
      <c r="AH468" s="51"/>
      <c r="AI468" s="51"/>
      <c r="AJ468" s="51"/>
      <c r="AK468" s="51"/>
      <c r="AL468" s="51"/>
      <c r="AM468" s="51"/>
      <c r="AN468" s="51"/>
      <c r="AO468" s="51"/>
      <c r="AP468" s="51"/>
      <c r="AQ468" s="51"/>
      <c r="AR468" s="53"/>
      <c r="AS468" s="51"/>
      <c r="AT468" s="51"/>
      <c r="AU468" s="51"/>
      <c r="AV468" s="51"/>
      <c r="AW468" s="51"/>
      <c r="AX468" s="51"/>
      <c r="AY468" s="51"/>
    </row>
    <row r="469" spans="32:51">
      <c r="AF469" s="51"/>
      <c r="AG469" s="53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3"/>
      <c r="AS469" s="51"/>
      <c r="AT469" s="51"/>
      <c r="AU469" s="51"/>
      <c r="AV469" s="51"/>
      <c r="AW469" s="51"/>
      <c r="AX469" s="51"/>
      <c r="AY469" s="51"/>
    </row>
    <row r="470" spans="32:51">
      <c r="AF470" s="51"/>
      <c r="AG470" s="53"/>
      <c r="AH470" s="51"/>
      <c r="AI470" s="51"/>
      <c r="AJ470" s="51"/>
      <c r="AK470" s="51"/>
      <c r="AL470" s="51"/>
      <c r="AM470" s="51"/>
      <c r="AN470" s="51"/>
      <c r="AO470" s="51"/>
      <c r="AP470" s="51"/>
      <c r="AQ470" s="51"/>
      <c r="AR470" s="53"/>
      <c r="AS470" s="51"/>
      <c r="AT470" s="51"/>
      <c r="AU470" s="51"/>
      <c r="AV470" s="51"/>
      <c r="AW470" s="51"/>
      <c r="AX470" s="51"/>
      <c r="AY470" s="51"/>
    </row>
    <row r="471" spans="32:51">
      <c r="AF471" s="51"/>
      <c r="AG471" s="53"/>
      <c r="AH471" s="51"/>
      <c r="AI471" s="51"/>
      <c r="AJ471" s="51"/>
      <c r="AK471" s="51"/>
      <c r="AL471" s="51"/>
      <c r="AM471" s="51"/>
      <c r="AN471" s="51"/>
      <c r="AO471" s="51"/>
      <c r="AP471" s="51"/>
      <c r="AQ471" s="51"/>
      <c r="AR471" s="53"/>
      <c r="AS471" s="51"/>
      <c r="AT471" s="51"/>
      <c r="AU471" s="51"/>
      <c r="AV471" s="51"/>
      <c r="AW471" s="51"/>
      <c r="AX471" s="51"/>
      <c r="AY471" s="51"/>
    </row>
    <row r="472" spans="32:51">
      <c r="AF472" s="51"/>
      <c r="AG472" s="53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3"/>
      <c r="AS472" s="51"/>
      <c r="AT472" s="51"/>
      <c r="AU472" s="51"/>
      <c r="AV472" s="51"/>
      <c r="AW472" s="51"/>
      <c r="AX472" s="51"/>
      <c r="AY472" s="51"/>
    </row>
    <row r="473" spans="32:51">
      <c r="AF473" s="51"/>
      <c r="AG473" s="53"/>
      <c r="AH473" s="51"/>
      <c r="AI473" s="51"/>
      <c r="AJ473" s="51"/>
      <c r="AK473" s="51"/>
      <c r="AL473" s="51"/>
      <c r="AM473" s="51"/>
      <c r="AN473" s="51"/>
      <c r="AO473" s="51"/>
      <c r="AP473" s="51"/>
      <c r="AQ473" s="51"/>
      <c r="AR473" s="53"/>
      <c r="AS473" s="51"/>
      <c r="AT473" s="51"/>
      <c r="AU473" s="51"/>
      <c r="AV473" s="51"/>
      <c r="AW473" s="51"/>
      <c r="AX473" s="51"/>
      <c r="AY473" s="51"/>
    </row>
    <row r="474" spans="32:51">
      <c r="AF474" s="51"/>
      <c r="AG474" s="53"/>
      <c r="AH474" s="51"/>
      <c r="AI474" s="51"/>
      <c r="AJ474" s="51"/>
      <c r="AK474" s="51"/>
      <c r="AL474" s="51"/>
      <c r="AM474" s="51"/>
      <c r="AN474" s="51"/>
      <c r="AO474" s="51"/>
      <c r="AP474" s="51"/>
      <c r="AQ474" s="51"/>
      <c r="AR474" s="53"/>
      <c r="AS474" s="51"/>
      <c r="AT474" s="51"/>
      <c r="AU474" s="51"/>
      <c r="AV474" s="51"/>
      <c r="AW474" s="51"/>
      <c r="AX474" s="51"/>
      <c r="AY474" s="51"/>
    </row>
    <row r="475" spans="32:51">
      <c r="AF475" s="51"/>
      <c r="AG475" s="53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3"/>
      <c r="AS475" s="51"/>
      <c r="AT475" s="51"/>
      <c r="AU475" s="51"/>
      <c r="AV475" s="51"/>
      <c r="AW475" s="51"/>
      <c r="AX475" s="51"/>
      <c r="AY475" s="51"/>
    </row>
    <row r="476" spans="32:51">
      <c r="AF476" s="51"/>
      <c r="AG476" s="53"/>
      <c r="AH476" s="51"/>
      <c r="AI476" s="51"/>
      <c r="AJ476" s="51"/>
      <c r="AK476" s="51"/>
      <c r="AL476" s="51"/>
      <c r="AM476" s="51"/>
      <c r="AN476" s="51"/>
      <c r="AO476" s="51"/>
      <c r="AP476" s="51"/>
      <c r="AQ476" s="51"/>
      <c r="AR476" s="53"/>
      <c r="AS476" s="51"/>
      <c r="AT476" s="51"/>
      <c r="AU476" s="51"/>
      <c r="AV476" s="51"/>
      <c r="AW476" s="51"/>
      <c r="AX476" s="51"/>
      <c r="AY476" s="51"/>
    </row>
    <row r="477" spans="32:51">
      <c r="AF477" s="51"/>
      <c r="AG477" s="53"/>
      <c r="AH477" s="51"/>
      <c r="AI477" s="51"/>
      <c r="AJ477" s="51"/>
      <c r="AK477" s="51"/>
      <c r="AL477" s="51"/>
      <c r="AM477" s="51"/>
      <c r="AN477" s="51"/>
      <c r="AO477" s="51"/>
      <c r="AP477" s="51"/>
      <c r="AQ477" s="51"/>
      <c r="AR477" s="53"/>
      <c r="AS477" s="51"/>
      <c r="AT477" s="51"/>
      <c r="AU477" s="51"/>
      <c r="AV477" s="51"/>
      <c r="AW477" s="51"/>
      <c r="AX477" s="51"/>
      <c r="AY477" s="51"/>
    </row>
    <row r="478" spans="32:51">
      <c r="AF478" s="51"/>
      <c r="AG478" s="53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3"/>
      <c r="AS478" s="51"/>
      <c r="AT478" s="51"/>
      <c r="AU478" s="51"/>
      <c r="AV478" s="51"/>
      <c r="AW478" s="51"/>
      <c r="AX478" s="51"/>
      <c r="AY478" s="51"/>
    </row>
    <row r="479" spans="32:51">
      <c r="AF479" s="51"/>
      <c r="AG479" s="53"/>
      <c r="AH479" s="51"/>
      <c r="AI479" s="51"/>
      <c r="AJ479" s="51"/>
      <c r="AK479" s="51"/>
      <c r="AL479" s="51"/>
      <c r="AM479" s="51"/>
      <c r="AN479" s="51"/>
      <c r="AO479" s="51"/>
      <c r="AP479" s="51"/>
      <c r="AQ479" s="51"/>
      <c r="AR479" s="53"/>
      <c r="AS479" s="51"/>
      <c r="AT479" s="51"/>
      <c r="AU479" s="51"/>
      <c r="AV479" s="51"/>
      <c r="AW479" s="51"/>
      <c r="AX479" s="51"/>
      <c r="AY479" s="51"/>
    </row>
    <row r="480" spans="32:51">
      <c r="AF480" s="51"/>
      <c r="AG480" s="53"/>
      <c r="AH480" s="51"/>
      <c r="AI480" s="51"/>
      <c r="AJ480" s="51"/>
      <c r="AK480" s="51"/>
      <c r="AL480" s="51"/>
      <c r="AM480" s="51"/>
      <c r="AN480" s="51"/>
      <c r="AO480" s="51"/>
      <c r="AP480" s="51"/>
      <c r="AQ480" s="51"/>
      <c r="AR480" s="53"/>
      <c r="AS480" s="51"/>
      <c r="AT480" s="51"/>
      <c r="AU480" s="51"/>
      <c r="AV480" s="51"/>
      <c r="AW480" s="51"/>
      <c r="AX480" s="51"/>
      <c r="AY480" s="51"/>
    </row>
    <row r="481" spans="32:51">
      <c r="AF481" s="51"/>
      <c r="AG481" s="53"/>
      <c r="AH481" s="51"/>
      <c r="AI481" s="51"/>
      <c r="AJ481" s="51"/>
      <c r="AK481" s="51"/>
      <c r="AL481" s="51"/>
      <c r="AM481" s="51"/>
      <c r="AN481" s="51"/>
      <c r="AO481" s="51"/>
      <c r="AP481" s="51"/>
      <c r="AQ481" s="51"/>
      <c r="AR481" s="53"/>
      <c r="AS481" s="51"/>
      <c r="AT481" s="51"/>
      <c r="AU481" s="51"/>
      <c r="AV481" s="51"/>
      <c r="AW481" s="51"/>
      <c r="AX481" s="51"/>
      <c r="AY481" s="51"/>
    </row>
    <row r="482" spans="32:51">
      <c r="AF482" s="51"/>
      <c r="AG482" s="53"/>
      <c r="AH482" s="51"/>
      <c r="AI482" s="51"/>
      <c r="AJ482" s="51"/>
      <c r="AK482" s="51"/>
      <c r="AL482" s="51"/>
      <c r="AM482" s="51"/>
      <c r="AN482" s="51"/>
      <c r="AO482" s="51"/>
      <c r="AP482" s="51"/>
      <c r="AQ482" s="51"/>
      <c r="AR482" s="53"/>
      <c r="AS482" s="51"/>
      <c r="AT482" s="51"/>
      <c r="AU482" s="51"/>
      <c r="AV482" s="51"/>
      <c r="AW482" s="51"/>
      <c r="AX482" s="51"/>
      <c r="AY482" s="51"/>
    </row>
    <row r="483" spans="32:51">
      <c r="AF483" s="51"/>
      <c r="AG483" s="53"/>
      <c r="AH483" s="51"/>
      <c r="AI483" s="51"/>
      <c r="AJ483" s="51"/>
      <c r="AK483" s="51"/>
      <c r="AL483" s="51"/>
      <c r="AM483" s="51"/>
      <c r="AN483" s="51"/>
      <c r="AO483" s="51"/>
      <c r="AP483" s="51"/>
      <c r="AQ483" s="51"/>
      <c r="AR483" s="53"/>
      <c r="AS483" s="51"/>
      <c r="AT483" s="51"/>
      <c r="AU483" s="51"/>
      <c r="AV483" s="51"/>
      <c r="AW483" s="51"/>
      <c r="AX483" s="51"/>
      <c r="AY483" s="51"/>
    </row>
    <row r="484" spans="32:51">
      <c r="AF484" s="51"/>
      <c r="AG484" s="53"/>
      <c r="AH484" s="51"/>
      <c r="AI484" s="51"/>
      <c r="AJ484" s="51"/>
      <c r="AK484" s="51"/>
      <c r="AL484" s="51"/>
      <c r="AM484" s="51"/>
      <c r="AN484" s="51"/>
      <c r="AO484" s="51"/>
      <c r="AP484" s="51"/>
      <c r="AQ484" s="51"/>
      <c r="AR484" s="53"/>
      <c r="AS484" s="51"/>
      <c r="AT484" s="51"/>
      <c r="AU484" s="51"/>
      <c r="AV484" s="51"/>
      <c r="AW484" s="51"/>
      <c r="AX484" s="51"/>
      <c r="AY484" s="51"/>
    </row>
    <row r="485" spans="32:51">
      <c r="AF485" s="51"/>
      <c r="AG485" s="53"/>
      <c r="AH485" s="51"/>
      <c r="AI485" s="51"/>
      <c r="AJ485" s="51"/>
      <c r="AK485" s="51"/>
      <c r="AL485" s="51"/>
      <c r="AM485" s="51"/>
      <c r="AN485" s="51"/>
      <c r="AO485" s="51"/>
      <c r="AP485" s="51"/>
      <c r="AQ485" s="51"/>
      <c r="AR485" s="53"/>
      <c r="AS485" s="51"/>
      <c r="AT485" s="51"/>
      <c r="AU485" s="51"/>
      <c r="AV485" s="51"/>
      <c r="AW485" s="51"/>
      <c r="AX485" s="51"/>
      <c r="AY485" s="51"/>
    </row>
    <row r="486" spans="32:51">
      <c r="AF486" s="51"/>
      <c r="AG486" s="53"/>
      <c r="AH486" s="51"/>
      <c r="AI486" s="51"/>
      <c r="AJ486" s="51"/>
      <c r="AK486" s="51"/>
      <c r="AL486" s="51"/>
      <c r="AM486" s="51"/>
      <c r="AN486" s="51"/>
      <c r="AO486" s="51"/>
      <c r="AP486" s="51"/>
      <c r="AQ486" s="51"/>
      <c r="AR486" s="53"/>
      <c r="AS486" s="51"/>
      <c r="AT486" s="51"/>
      <c r="AU486" s="51"/>
      <c r="AV486" s="51"/>
      <c r="AW486" s="51"/>
      <c r="AX486" s="51"/>
      <c r="AY486" s="51"/>
    </row>
    <row r="487" spans="32:51">
      <c r="AF487" s="51"/>
      <c r="AG487" s="53"/>
      <c r="AH487" s="51"/>
      <c r="AI487" s="51"/>
      <c r="AJ487" s="51"/>
      <c r="AK487" s="51"/>
      <c r="AL487" s="51"/>
      <c r="AM487" s="51"/>
      <c r="AN487" s="51"/>
      <c r="AO487" s="51"/>
      <c r="AP487" s="51"/>
      <c r="AQ487" s="51"/>
      <c r="AR487" s="53"/>
      <c r="AS487" s="51"/>
      <c r="AT487" s="51"/>
      <c r="AU487" s="51"/>
      <c r="AV487" s="51"/>
      <c r="AW487" s="51"/>
      <c r="AX487" s="51"/>
      <c r="AY487" s="51"/>
    </row>
    <row r="488" spans="32:51">
      <c r="AF488" s="51"/>
      <c r="AG488" s="53"/>
      <c r="AH488" s="51"/>
      <c r="AI488" s="51"/>
      <c r="AJ488" s="51"/>
      <c r="AK488" s="51"/>
      <c r="AL488" s="51"/>
      <c r="AM488" s="51"/>
      <c r="AN488" s="51"/>
      <c r="AO488" s="51"/>
      <c r="AP488" s="51"/>
      <c r="AQ488" s="51"/>
      <c r="AR488" s="53"/>
      <c r="AS488" s="51"/>
      <c r="AT488" s="51"/>
      <c r="AU488" s="51"/>
      <c r="AV488" s="51"/>
      <c r="AW488" s="51"/>
      <c r="AX488" s="51"/>
      <c r="AY488" s="51"/>
    </row>
    <row r="489" spans="32:51">
      <c r="AF489" s="51"/>
      <c r="AG489" s="53"/>
      <c r="AH489" s="51"/>
      <c r="AI489" s="51"/>
      <c r="AJ489" s="51"/>
      <c r="AK489" s="51"/>
      <c r="AL489" s="51"/>
      <c r="AM489" s="51"/>
      <c r="AN489" s="51"/>
      <c r="AO489" s="51"/>
      <c r="AP489" s="51"/>
      <c r="AQ489" s="51"/>
      <c r="AR489" s="53"/>
      <c r="AS489" s="51"/>
      <c r="AT489" s="51"/>
      <c r="AU489" s="51"/>
      <c r="AV489" s="51"/>
      <c r="AW489" s="51"/>
      <c r="AX489" s="51"/>
      <c r="AY489" s="51"/>
    </row>
    <row r="490" spans="32:51">
      <c r="AF490" s="51"/>
      <c r="AG490" s="53"/>
      <c r="AH490" s="51"/>
      <c r="AI490" s="51"/>
      <c r="AJ490" s="51"/>
      <c r="AK490" s="51"/>
      <c r="AL490" s="51"/>
      <c r="AM490" s="51"/>
      <c r="AN490" s="51"/>
      <c r="AO490" s="51"/>
      <c r="AP490" s="51"/>
      <c r="AQ490" s="51"/>
      <c r="AR490" s="53"/>
      <c r="AS490" s="51"/>
      <c r="AT490" s="51"/>
      <c r="AU490" s="51"/>
      <c r="AV490" s="51"/>
      <c r="AW490" s="51"/>
      <c r="AX490" s="51"/>
      <c r="AY490" s="51"/>
    </row>
    <row r="491" spans="32:51">
      <c r="AF491" s="51"/>
      <c r="AG491" s="53"/>
      <c r="AH491" s="51"/>
      <c r="AI491" s="51"/>
      <c r="AJ491" s="51"/>
      <c r="AK491" s="51"/>
      <c r="AL491" s="51"/>
      <c r="AM491" s="51"/>
      <c r="AN491" s="51"/>
      <c r="AO491" s="51"/>
      <c r="AP491" s="51"/>
      <c r="AQ491" s="51"/>
      <c r="AR491" s="53"/>
      <c r="AS491" s="51"/>
      <c r="AT491" s="51"/>
      <c r="AU491" s="51"/>
      <c r="AV491" s="51"/>
      <c r="AW491" s="51"/>
      <c r="AX491" s="51"/>
      <c r="AY491" s="51"/>
    </row>
    <row r="492" spans="32:51">
      <c r="AF492" s="51"/>
      <c r="AG492" s="53"/>
      <c r="AH492" s="51"/>
      <c r="AI492" s="51"/>
      <c r="AJ492" s="51"/>
      <c r="AK492" s="51"/>
      <c r="AL492" s="51"/>
      <c r="AM492" s="51"/>
      <c r="AN492" s="51"/>
      <c r="AO492" s="51"/>
      <c r="AP492" s="51"/>
      <c r="AQ492" s="51"/>
      <c r="AR492" s="53"/>
      <c r="AS492" s="51"/>
      <c r="AT492" s="51"/>
      <c r="AU492" s="51"/>
      <c r="AV492" s="51"/>
      <c r="AW492" s="51"/>
      <c r="AX492" s="51"/>
      <c r="AY492" s="51"/>
    </row>
    <row r="493" spans="32:51">
      <c r="AF493" s="51"/>
      <c r="AG493" s="53"/>
      <c r="AH493" s="51"/>
      <c r="AI493" s="51"/>
      <c r="AJ493" s="51"/>
      <c r="AK493" s="51"/>
      <c r="AL493" s="51"/>
      <c r="AM493" s="51"/>
      <c r="AN493" s="51"/>
      <c r="AO493" s="51"/>
      <c r="AP493" s="51"/>
      <c r="AQ493" s="51"/>
      <c r="AR493" s="53"/>
      <c r="AS493" s="51"/>
      <c r="AT493" s="51"/>
      <c r="AU493" s="51"/>
      <c r="AV493" s="51"/>
      <c r="AW493" s="51"/>
      <c r="AX493" s="51"/>
      <c r="AY493" s="51"/>
    </row>
    <row r="494" spans="32:51">
      <c r="AF494" s="51"/>
      <c r="AG494" s="53"/>
      <c r="AH494" s="51"/>
      <c r="AI494" s="51"/>
      <c r="AJ494" s="51"/>
      <c r="AK494" s="51"/>
      <c r="AL494" s="51"/>
      <c r="AM494" s="51"/>
      <c r="AN494" s="51"/>
      <c r="AO494" s="51"/>
      <c r="AP494" s="51"/>
      <c r="AQ494" s="51"/>
      <c r="AR494" s="53"/>
      <c r="AS494" s="51"/>
      <c r="AT494" s="51"/>
      <c r="AU494" s="51"/>
      <c r="AV494" s="51"/>
      <c r="AW494" s="51"/>
      <c r="AX494" s="51"/>
      <c r="AY494" s="51"/>
    </row>
    <row r="495" spans="32:51">
      <c r="AF495" s="51"/>
      <c r="AG495" s="53"/>
      <c r="AH495" s="51"/>
      <c r="AI495" s="51"/>
      <c r="AJ495" s="51"/>
      <c r="AK495" s="51"/>
      <c r="AL495" s="51"/>
      <c r="AM495" s="51"/>
      <c r="AN495" s="51"/>
      <c r="AO495" s="51"/>
      <c r="AP495" s="51"/>
      <c r="AQ495" s="51"/>
      <c r="AR495" s="53"/>
      <c r="AS495" s="51"/>
      <c r="AT495" s="51"/>
      <c r="AU495" s="51"/>
      <c r="AV495" s="51"/>
      <c r="AW495" s="51"/>
      <c r="AX495" s="51"/>
      <c r="AY495" s="51"/>
    </row>
    <row r="496" spans="32:51">
      <c r="AF496" s="51"/>
      <c r="AG496" s="53"/>
      <c r="AH496" s="51"/>
      <c r="AI496" s="51"/>
      <c r="AJ496" s="51"/>
      <c r="AK496" s="51"/>
      <c r="AL496" s="51"/>
      <c r="AM496" s="51"/>
      <c r="AN496" s="51"/>
      <c r="AO496" s="51"/>
      <c r="AP496" s="51"/>
      <c r="AQ496" s="51"/>
      <c r="AR496" s="53"/>
      <c r="AS496" s="51"/>
      <c r="AT496" s="51"/>
      <c r="AU496" s="51"/>
      <c r="AV496" s="51"/>
      <c r="AW496" s="51"/>
      <c r="AX496" s="51"/>
      <c r="AY496" s="51"/>
    </row>
    <row r="497" spans="32:51">
      <c r="AF497" s="51"/>
      <c r="AG497" s="53"/>
      <c r="AH497" s="51"/>
      <c r="AI497" s="51"/>
      <c r="AJ497" s="51"/>
      <c r="AK497" s="51"/>
      <c r="AL497" s="51"/>
      <c r="AM497" s="51"/>
      <c r="AN497" s="51"/>
      <c r="AO497" s="51"/>
      <c r="AP497" s="51"/>
      <c r="AQ497" s="51"/>
      <c r="AR497" s="53"/>
      <c r="AS497" s="51"/>
      <c r="AT497" s="51"/>
      <c r="AU497" s="51"/>
      <c r="AV497" s="51"/>
      <c r="AW497" s="51"/>
      <c r="AX497" s="51"/>
      <c r="AY497" s="51"/>
    </row>
    <row r="498" spans="32:51">
      <c r="AF498" s="51"/>
      <c r="AG498" s="53"/>
      <c r="AH498" s="51"/>
      <c r="AI498" s="51"/>
      <c r="AJ498" s="51"/>
      <c r="AK498" s="51"/>
      <c r="AL498" s="51"/>
      <c r="AM498" s="51"/>
      <c r="AN498" s="51"/>
      <c r="AO498" s="51"/>
      <c r="AP498" s="51"/>
      <c r="AQ498" s="51"/>
      <c r="AR498" s="53"/>
      <c r="AS498" s="51"/>
      <c r="AT498" s="51"/>
      <c r="AU498" s="51"/>
      <c r="AV498" s="51"/>
      <c r="AW498" s="51"/>
      <c r="AX498" s="51"/>
      <c r="AY498" s="51"/>
    </row>
    <row r="499" spans="32:51">
      <c r="AF499" s="51"/>
      <c r="AG499" s="53"/>
      <c r="AH499" s="51"/>
      <c r="AI499" s="51"/>
      <c r="AJ499" s="51"/>
      <c r="AK499" s="51"/>
      <c r="AL499" s="51"/>
      <c r="AM499" s="51"/>
      <c r="AN499" s="51"/>
      <c r="AO499" s="51"/>
      <c r="AP499" s="51"/>
      <c r="AQ499" s="51"/>
      <c r="AR499" s="53"/>
      <c r="AS499" s="51"/>
      <c r="AT499" s="51"/>
      <c r="AU499" s="51"/>
      <c r="AV499" s="51"/>
      <c r="AW499" s="51"/>
      <c r="AX499" s="51"/>
      <c r="AY499" s="51"/>
    </row>
    <row r="500" spans="32:51">
      <c r="AF500" s="51"/>
      <c r="AG500" s="53"/>
      <c r="AH500" s="51"/>
      <c r="AI500" s="51"/>
      <c r="AJ500" s="51"/>
      <c r="AK500" s="51"/>
      <c r="AL500" s="51"/>
      <c r="AM500" s="51"/>
      <c r="AN500" s="51"/>
      <c r="AO500" s="51"/>
      <c r="AP500" s="51"/>
      <c r="AQ500" s="51"/>
      <c r="AR500" s="53"/>
      <c r="AS500" s="51"/>
      <c r="AT500" s="51"/>
      <c r="AU500" s="51"/>
      <c r="AV500" s="51"/>
      <c r="AW500" s="51"/>
      <c r="AX500" s="51"/>
      <c r="AY500" s="51"/>
    </row>
    <row r="501" spans="32:51">
      <c r="AF501" s="51"/>
      <c r="AG501" s="53"/>
      <c r="AH501" s="51"/>
      <c r="AI501" s="51"/>
      <c r="AJ501" s="51"/>
      <c r="AK501" s="51"/>
      <c r="AL501" s="51"/>
      <c r="AM501" s="51"/>
      <c r="AN501" s="51"/>
      <c r="AO501" s="51"/>
      <c r="AP501" s="51"/>
      <c r="AQ501" s="51"/>
      <c r="AR501" s="53"/>
      <c r="AS501" s="51"/>
      <c r="AT501" s="51"/>
      <c r="AU501" s="51"/>
      <c r="AV501" s="51"/>
      <c r="AW501" s="51"/>
      <c r="AX501" s="51"/>
      <c r="AY501" s="51"/>
    </row>
    <row r="502" spans="32:51">
      <c r="AF502" s="51"/>
      <c r="AG502" s="53"/>
      <c r="AH502" s="51"/>
      <c r="AI502" s="51"/>
      <c r="AJ502" s="51"/>
      <c r="AK502" s="51"/>
      <c r="AL502" s="51"/>
      <c r="AM502" s="51"/>
      <c r="AN502" s="51"/>
      <c r="AO502" s="51"/>
      <c r="AP502" s="51"/>
      <c r="AQ502" s="51"/>
      <c r="AR502" s="53"/>
      <c r="AS502" s="51"/>
      <c r="AT502" s="51"/>
      <c r="AU502" s="51"/>
      <c r="AV502" s="51"/>
      <c r="AW502" s="51"/>
      <c r="AX502" s="51"/>
      <c r="AY502" s="51"/>
    </row>
    <row r="503" spans="32:51">
      <c r="AF503" s="51"/>
      <c r="AG503" s="53"/>
      <c r="AH503" s="51"/>
      <c r="AI503" s="51"/>
      <c r="AJ503" s="51"/>
      <c r="AK503" s="51"/>
      <c r="AL503" s="51"/>
      <c r="AM503" s="51"/>
      <c r="AN503" s="51"/>
      <c r="AO503" s="51"/>
      <c r="AP503" s="51"/>
      <c r="AQ503" s="51"/>
      <c r="AR503" s="53"/>
      <c r="AS503" s="51"/>
      <c r="AT503" s="51"/>
      <c r="AU503" s="51"/>
      <c r="AV503" s="51"/>
      <c r="AW503" s="51"/>
      <c r="AX503" s="51"/>
      <c r="AY503" s="51"/>
    </row>
    <row r="504" spans="32:51">
      <c r="AF504" s="51"/>
      <c r="AG504" s="53"/>
      <c r="AH504" s="51"/>
      <c r="AI504" s="51"/>
      <c r="AJ504" s="51"/>
      <c r="AK504" s="51"/>
      <c r="AL504" s="51"/>
      <c r="AM504" s="51"/>
      <c r="AN504" s="51"/>
      <c r="AO504" s="51"/>
      <c r="AP504" s="51"/>
      <c r="AQ504" s="51"/>
      <c r="AR504" s="53"/>
      <c r="AS504" s="51"/>
      <c r="AT504" s="51"/>
      <c r="AU504" s="51"/>
      <c r="AV504" s="51"/>
      <c r="AW504" s="51"/>
      <c r="AX504" s="51"/>
      <c r="AY504" s="51"/>
    </row>
    <row r="505" spans="32:51">
      <c r="AF505" s="51"/>
      <c r="AG505" s="53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3"/>
      <c r="AS505" s="51"/>
      <c r="AT505" s="51"/>
      <c r="AU505" s="51"/>
      <c r="AV505" s="51"/>
      <c r="AW505" s="51"/>
      <c r="AX505" s="51"/>
      <c r="AY505" s="51"/>
    </row>
    <row r="506" spans="32:51">
      <c r="AF506" s="51"/>
      <c r="AG506" s="53"/>
      <c r="AH506" s="51"/>
      <c r="AI506" s="51"/>
      <c r="AJ506" s="51"/>
      <c r="AK506" s="51"/>
      <c r="AL506" s="51"/>
      <c r="AM506" s="51"/>
      <c r="AN506" s="51"/>
      <c r="AO506" s="51"/>
      <c r="AP506" s="51"/>
      <c r="AQ506" s="51"/>
      <c r="AR506" s="53"/>
      <c r="AS506" s="51"/>
      <c r="AT506" s="51"/>
      <c r="AU506" s="51"/>
      <c r="AV506" s="51"/>
      <c r="AW506" s="51"/>
      <c r="AX506" s="51"/>
      <c r="AY506" s="51"/>
    </row>
    <row r="507" spans="32:51">
      <c r="AF507" s="51"/>
      <c r="AG507" s="53"/>
      <c r="AH507" s="51"/>
      <c r="AI507" s="51"/>
      <c r="AJ507" s="51"/>
      <c r="AK507" s="51"/>
      <c r="AL507" s="51"/>
      <c r="AM507" s="51"/>
      <c r="AN507" s="51"/>
      <c r="AO507" s="51"/>
      <c r="AP507" s="51"/>
      <c r="AQ507" s="51"/>
      <c r="AR507" s="53"/>
      <c r="AS507" s="51"/>
      <c r="AT507" s="51"/>
      <c r="AU507" s="51"/>
      <c r="AV507" s="51"/>
      <c r="AW507" s="51"/>
      <c r="AX507" s="51"/>
      <c r="AY507" s="51"/>
    </row>
    <row r="508" spans="32:51">
      <c r="AF508" s="51"/>
      <c r="AG508" s="53"/>
      <c r="AH508" s="51"/>
      <c r="AI508" s="51"/>
      <c r="AJ508" s="51"/>
      <c r="AK508" s="51"/>
      <c r="AL508" s="51"/>
      <c r="AM508" s="51"/>
      <c r="AN508" s="51"/>
      <c r="AO508" s="51"/>
      <c r="AP508" s="51"/>
      <c r="AQ508" s="51"/>
      <c r="AR508" s="53"/>
      <c r="AS508" s="51"/>
      <c r="AT508" s="51"/>
      <c r="AU508" s="51"/>
      <c r="AV508" s="51"/>
      <c r="AW508" s="51"/>
      <c r="AX508" s="51"/>
      <c r="AY508" s="51"/>
    </row>
    <row r="509" spans="32:51">
      <c r="AF509" s="51"/>
      <c r="AG509" s="53"/>
      <c r="AH509" s="51"/>
      <c r="AI509" s="51"/>
      <c r="AJ509" s="51"/>
      <c r="AK509" s="51"/>
      <c r="AL509" s="51"/>
      <c r="AM509" s="51"/>
      <c r="AN509" s="51"/>
      <c r="AO509" s="51"/>
      <c r="AP509" s="51"/>
      <c r="AQ509" s="51"/>
      <c r="AR509" s="53"/>
      <c r="AS509" s="51"/>
      <c r="AT509" s="51"/>
      <c r="AU509" s="51"/>
      <c r="AV509" s="51"/>
      <c r="AW509" s="51"/>
      <c r="AX509" s="51"/>
      <c r="AY509" s="51"/>
    </row>
    <row r="510" spans="32:51">
      <c r="AF510" s="51"/>
      <c r="AG510" s="53"/>
      <c r="AH510" s="51"/>
      <c r="AI510" s="51"/>
      <c r="AJ510" s="51"/>
      <c r="AK510" s="51"/>
      <c r="AL510" s="51"/>
      <c r="AM510" s="51"/>
      <c r="AN510" s="51"/>
      <c r="AO510" s="51"/>
      <c r="AP510" s="51"/>
      <c r="AQ510" s="51"/>
      <c r="AR510" s="53"/>
      <c r="AS510" s="51"/>
      <c r="AT510" s="51"/>
      <c r="AU510" s="51"/>
      <c r="AV510" s="51"/>
      <c r="AW510" s="51"/>
      <c r="AX510" s="51"/>
      <c r="AY510" s="51"/>
    </row>
    <row r="511" spans="32:51">
      <c r="AF511" s="51"/>
      <c r="AG511" s="53"/>
      <c r="AH511" s="51"/>
      <c r="AI511" s="51"/>
      <c r="AJ511" s="51"/>
      <c r="AK511" s="51"/>
      <c r="AL511" s="51"/>
      <c r="AM511" s="51"/>
      <c r="AN511" s="51"/>
      <c r="AO511" s="51"/>
      <c r="AP511" s="51"/>
      <c r="AQ511" s="51"/>
      <c r="AR511" s="53"/>
      <c r="AS511" s="51"/>
      <c r="AT511" s="51"/>
      <c r="AU511" s="51"/>
      <c r="AV511" s="51"/>
      <c r="AW511" s="51"/>
      <c r="AX511" s="51"/>
      <c r="AY511" s="51"/>
    </row>
    <row r="512" spans="32:51">
      <c r="AF512" s="51"/>
      <c r="AG512" s="53"/>
      <c r="AH512" s="51"/>
      <c r="AI512" s="51"/>
      <c r="AJ512" s="51"/>
      <c r="AK512" s="51"/>
      <c r="AL512" s="51"/>
      <c r="AM512" s="51"/>
      <c r="AN512" s="51"/>
      <c r="AO512" s="51"/>
      <c r="AP512" s="51"/>
      <c r="AQ512" s="51"/>
      <c r="AR512" s="53"/>
      <c r="AS512" s="51"/>
      <c r="AT512" s="51"/>
      <c r="AU512" s="51"/>
      <c r="AV512" s="51"/>
      <c r="AW512" s="51"/>
      <c r="AX512" s="51"/>
      <c r="AY512" s="51"/>
    </row>
    <row r="513" spans="32:51">
      <c r="AF513" s="51"/>
      <c r="AG513" s="53"/>
      <c r="AH513" s="51"/>
      <c r="AI513" s="51"/>
      <c r="AJ513" s="51"/>
      <c r="AK513" s="51"/>
      <c r="AL513" s="51"/>
      <c r="AM513" s="51"/>
      <c r="AN513" s="51"/>
      <c r="AO513" s="51"/>
      <c r="AP513" s="51"/>
      <c r="AQ513" s="51"/>
      <c r="AR513" s="53"/>
      <c r="AS513" s="51"/>
      <c r="AT513" s="51"/>
      <c r="AU513" s="51"/>
      <c r="AV513" s="51"/>
      <c r="AW513" s="51"/>
      <c r="AX513" s="51"/>
      <c r="AY513" s="51"/>
    </row>
    <row r="514" spans="32:51">
      <c r="AF514" s="51"/>
      <c r="AG514" s="53"/>
      <c r="AH514" s="51"/>
      <c r="AI514" s="51"/>
      <c r="AJ514" s="51"/>
      <c r="AK514" s="51"/>
      <c r="AL514" s="51"/>
      <c r="AM514" s="51"/>
      <c r="AN514" s="51"/>
      <c r="AO514" s="51"/>
      <c r="AP514" s="51"/>
      <c r="AQ514" s="51"/>
      <c r="AR514" s="53"/>
      <c r="AS514" s="51"/>
      <c r="AT514" s="51"/>
      <c r="AU514" s="51"/>
      <c r="AV514" s="51"/>
      <c r="AW514" s="51"/>
      <c r="AX514" s="51"/>
      <c r="AY514" s="51"/>
    </row>
    <row r="515" spans="32:51">
      <c r="AF515" s="51"/>
      <c r="AG515" s="53"/>
      <c r="AH515" s="51"/>
      <c r="AI515" s="51"/>
      <c r="AJ515" s="51"/>
      <c r="AK515" s="51"/>
      <c r="AL515" s="51"/>
      <c r="AM515" s="51"/>
      <c r="AN515" s="51"/>
      <c r="AO515" s="51"/>
      <c r="AP515" s="51"/>
      <c r="AQ515" s="51"/>
      <c r="AR515" s="53"/>
      <c r="AS515" s="51"/>
      <c r="AT515" s="51"/>
      <c r="AU515" s="51"/>
      <c r="AV515" s="51"/>
      <c r="AW515" s="51"/>
      <c r="AX515" s="51"/>
      <c r="AY515" s="51"/>
    </row>
    <row r="516" spans="32:51">
      <c r="AF516" s="51"/>
      <c r="AG516" s="53"/>
      <c r="AH516" s="51"/>
      <c r="AI516" s="51"/>
      <c r="AJ516" s="51"/>
      <c r="AK516" s="51"/>
      <c r="AL516" s="51"/>
      <c r="AM516" s="51"/>
      <c r="AN516" s="51"/>
      <c r="AO516" s="51"/>
      <c r="AP516" s="51"/>
      <c r="AQ516" s="51"/>
      <c r="AR516" s="53"/>
      <c r="AS516" s="51"/>
      <c r="AT516" s="51"/>
      <c r="AU516" s="51"/>
      <c r="AV516" s="51"/>
      <c r="AW516" s="51"/>
      <c r="AX516" s="51"/>
      <c r="AY516" s="51"/>
    </row>
    <row r="517" spans="32:51">
      <c r="AF517" s="51"/>
      <c r="AG517" s="53"/>
      <c r="AH517" s="51"/>
      <c r="AI517" s="51"/>
      <c r="AJ517" s="51"/>
      <c r="AK517" s="51"/>
      <c r="AL517" s="51"/>
      <c r="AM517" s="51"/>
      <c r="AN517" s="51"/>
      <c r="AO517" s="51"/>
      <c r="AP517" s="51"/>
      <c r="AQ517" s="51"/>
      <c r="AR517" s="53"/>
      <c r="AS517" s="51"/>
      <c r="AT517" s="51"/>
      <c r="AU517" s="51"/>
      <c r="AV517" s="51"/>
      <c r="AW517" s="51"/>
      <c r="AX517" s="51"/>
      <c r="AY517" s="51"/>
    </row>
    <row r="518" spans="32:51">
      <c r="AF518" s="51"/>
      <c r="AG518" s="53"/>
      <c r="AH518" s="51"/>
      <c r="AI518" s="51"/>
      <c r="AJ518" s="51"/>
      <c r="AK518" s="51"/>
      <c r="AL518" s="51"/>
      <c r="AM518" s="51"/>
      <c r="AN518" s="51"/>
      <c r="AO518" s="51"/>
      <c r="AP518" s="51"/>
      <c r="AQ518" s="51"/>
      <c r="AR518" s="53"/>
      <c r="AS518" s="51"/>
      <c r="AT518" s="51"/>
      <c r="AU518" s="51"/>
      <c r="AV518" s="51"/>
      <c r="AW518" s="51"/>
      <c r="AX518" s="51"/>
      <c r="AY518" s="51"/>
    </row>
    <row r="519" spans="32:51">
      <c r="AF519" s="51"/>
      <c r="AG519" s="53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3"/>
      <c r="AS519" s="51"/>
      <c r="AT519" s="51"/>
      <c r="AU519" s="51"/>
      <c r="AV519" s="51"/>
      <c r="AW519" s="51"/>
      <c r="AX519" s="51"/>
      <c r="AY519" s="51"/>
    </row>
    <row r="520" spans="32:51">
      <c r="AF520" s="51"/>
      <c r="AG520" s="53"/>
      <c r="AH520" s="51"/>
      <c r="AI520" s="51"/>
      <c r="AJ520" s="51"/>
      <c r="AK520" s="51"/>
      <c r="AL520" s="51"/>
      <c r="AM520" s="51"/>
      <c r="AN520" s="51"/>
      <c r="AO520" s="51"/>
      <c r="AP520" s="51"/>
      <c r="AQ520" s="51"/>
      <c r="AR520" s="53"/>
      <c r="AS520" s="51"/>
      <c r="AT520" s="51"/>
      <c r="AU520" s="51"/>
      <c r="AV520" s="51"/>
      <c r="AW520" s="51"/>
      <c r="AX520" s="51"/>
      <c r="AY520" s="51"/>
    </row>
    <row r="521" spans="32:51">
      <c r="AF521" s="51"/>
      <c r="AG521" s="53"/>
      <c r="AH521" s="51"/>
      <c r="AI521" s="51"/>
      <c r="AJ521" s="51"/>
      <c r="AK521" s="51"/>
      <c r="AL521" s="51"/>
      <c r="AM521" s="51"/>
      <c r="AN521" s="51"/>
      <c r="AO521" s="51"/>
      <c r="AP521" s="51"/>
      <c r="AQ521" s="51"/>
      <c r="AR521" s="53"/>
      <c r="AS521" s="51"/>
      <c r="AT521" s="51"/>
      <c r="AU521" s="51"/>
      <c r="AV521" s="51"/>
      <c r="AW521" s="51"/>
      <c r="AX521" s="51"/>
      <c r="AY521" s="51"/>
    </row>
    <row r="522" spans="32:51">
      <c r="AF522" s="51"/>
      <c r="AG522" s="53"/>
      <c r="AH522" s="51"/>
      <c r="AI522" s="51"/>
      <c r="AJ522" s="51"/>
      <c r="AK522" s="51"/>
      <c r="AL522" s="51"/>
      <c r="AM522" s="51"/>
      <c r="AN522" s="51"/>
      <c r="AO522" s="51"/>
      <c r="AP522" s="51"/>
      <c r="AQ522" s="51"/>
      <c r="AR522" s="53"/>
      <c r="AS522" s="51"/>
      <c r="AT522" s="51"/>
      <c r="AU522" s="51"/>
      <c r="AV522" s="51"/>
      <c r="AW522" s="51"/>
      <c r="AX522" s="51"/>
      <c r="AY522" s="51"/>
    </row>
    <row r="523" spans="32:51">
      <c r="AF523" s="51"/>
      <c r="AG523" s="53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3"/>
      <c r="AS523" s="51"/>
      <c r="AT523" s="51"/>
      <c r="AU523" s="51"/>
      <c r="AV523" s="51"/>
      <c r="AW523" s="51"/>
      <c r="AX523" s="51"/>
      <c r="AY523" s="51"/>
    </row>
    <row r="524" spans="32:51">
      <c r="AF524" s="51"/>
      <c r="AG524" s="53"/>
      <c r="AH524" s="51"/>
      <c r="AI524" s="51"/>
      <c r="AJ524" s="51"/>
      <c r="AK524" s="51"/>
      <c r="AL524" s="51"/>
      <c r="AM524" s="51"/>
      <c r="AN524" s="51"/>
      <c r="AO524" s="51"/>
      <c r="AP524" s="51"/>
      <c r="AQ524" s="51"/>
      <c r="AR524" s="53"/>
      <c r="AS524" s="51"/>
      <c r="AT524" s="51"/>
      <c r="AU524" s="51"/>
      <c r="AV524" s="51"/>
      <c r="AW524" s="51"/>
      <c r="AX524" s="51"/>
      <c r="AY524" s="51"/>
    </row>
    <row r="525" spans="32:51">
      <c r="AF525" s="51"/>
      <c r="AG525" s="53"/>
      <c r="AH525" s="51"/>
      <c r="AI525" s="51"/>
      <c r="AJ525" s="51"/>
      <c r="AK525" s="51"/>
      <c r="AL525" s="51"/>
      <c r="AM525" s="51"/>
      <c r="AN525" s="51"/>
      <c r="AO525" s="51"/>
      <c r="AP525" s="51"/>
      <c r="AQ525" s="51"/>
      <c r="AR525" s="53"/>
      <c r="AS525" s="51"/>
      <c r="AT525" s="51"/>
      <c r="AU525" s="51"/>
      <c r="AV525" s="51"/>
      <c r="AW525" s="51"/>
      <c r="AX525" s="51"/>
      <c r="AY525" s="51"/>
    </row>
    <row r="526" spans="32:51">
      <c r="AF526" s="51"/>
      <c r="AG526" s="53"/>
      <c r="AH526" s="51"/>
      <c r="AI526" s="51"/>
      <c r="AJ526" s="51"/>
      <c r="AK526" s="51"/>
      <c r="AL526" s="51"/>
      <c r="AM526" s="51"/>
      <c r="AN526" s="51"/>
      <c r="AO526" s="51"/>
      <c r="AP526" s="51"/>
      <c r="AQ526" s="51"/>
      <c r="AR526" s="53"/>
      <c r="AS526" s="51"/>
      <c r="AT526" s="51"/>
      <c r="AU526" s="51"/>
      <c r="AV526" s="51"/>
      <c r="AW526" s="51"/>
      <c r="AX526" s="51"/>
      <c r="AY526" s="51"/>
    </row>
    <row r="527" spans="32:51">
      <c r="AF527" s="51"/>
      <c r="AG527" s="53"/>
      <c r="AH527" s="51"/>
      <c r="AI527" s="51"/>
      <c r="AJ527" s="51"/>
      <c r="AK527" s="51"/>
      <c r="AL527" s="51"/>
      <c r="AM527" s="51"/>
      <c r="AN527" s="51"/>
      <c r="AO527" s="51"/>
      <c r="AP527" s="51"/>
      <c r="AQ527" s="51"/>
      <c r="AR527" s="53"/>
      <c r="AS527" s="51"/>
      <c r="AT527" s="51"/>
      <c r="AU527" s="51"/>
      <c r="AV527" s="51"/>
      <c r="AW527" s="51"/>
      <c r="AX527" s="51"/>
      <c r="AY527" s="51"/>
    </row>
    <row r="528" spans="32:51">
      <c r="AF528" s="51"/>
      <c r="AG528" s="53"/>
      <c r="AH528" s="51"/>
      <c r="AI528" s="51"/>
      <c r="AJ528" s="51"/>
      <c r="AK528" s="51"/>
      <c r="AL528" s="51"/>
      <c r="AM528" s="51"/>
      <c r="AN528" s="51"/>
      <c r="AO528" s="51"/>
      <c r="AP528" s="51"/>
      <c r="AQ528" s="51"/>
      <c r="AR528" s="53"/>
      <c r="AS528" s="51"/>
      <c r="AT528" s="51"/>
      <c r="AU528" s="51"/>
      <c r="AV528" s="51"/>
      <c r="AW528" s="51"/>
      <c r="AX528" s="51"/>
      <c r="AY528" s="51"/>
    </row>
    <row r="529" spans="32:51">
      <c r="AF529" s="51"/>
      <c r="AG529" s="53"/>
      <c r="AH529" s="51"/>
      <c r="AI529" s="51"/>
      <c r="AJ529" s="51"/>
      <c r="AK529" s="51"/>
      <c r="AL529" s="51"/>
      <c r="AM529" s="51"/>
      <c r="AN529" s="51"/>
      <c r="AO529" s="51"/>
      <c r="AP529" s="51"/>
      <c r="AQ529" s="51"/>
      <c r="AR529" s="53"/>
      <c r="AS529" s="51"/>
      <c r="AT529" s="51"/>
      <c r="AU529" s="51"/>
      <c r="AV529" s="51"/>
      <c r="AW529" s="51"/>
      <c r="AX529" s="51"/>
      <c r="AY529" s="51"/>
    </row>
    <row r="530" spans="32:51">
      <c r="AF530" s="51"/>
      <c r="AG530" s="53"/>
      <c r="AH530" s="51"/>
      <c r="AI530" s="51"/>
      <c r="AJ530" s="51"/>
      <c r="AK530" s="51"/>
      <c r="AL530" s="51"/>
      <c r="AM530" s="51"/>
      <c r="AN530" s="51"/>
      <c r="AO530" s="51"/>
      <c r="AP530" s="51"/>
      <c r="AQ530" s="51"/>
      <c r="AR530" s="53"/>
      <c r="AS530" s="51"/>
      <c r="AT530" s="51"/>
      <c r="AU530" s="51"/>
      <c r="AV530" s="51"/>
      <c r="AW530" s="51"/>
      <c r="AX530" s="51"/>
      <c r="AY530" s="51"/>
    </row>
    <row r="531" spans="32:51">
      <c r="AF531" s="51"/>
      <c r="AG531" s="53"/>
      <c r="AH531" s="51"/>
      <c r="AI531" s="51"/>
      <c r="AJ531" s="51"/>
      <c r="AK531" s="51"/>
      <c r="AL531" s="51"/>
      <c r="AM531" s="51"/>
      <c r="AN531" s="51"/>
      <c r="AO531" s="51"/>
      <c r="AP531" s="51"/>
      <c r="AQ531" s="51"/>
      <c r="AR531" s="53"/>
      <c r="AS531" s="51"/>
      <c r="AT531" s="51"/>
      <c r="AU531" s="51"/>
      <c r="AV531" s="51"/>
      <c r="AW531" s="51"/>
      <c r="AX531" s="51"/>
      <c r="AY531" s="51"/>
    </row>
    <row r="532" spans="32:51">
      <c r="AF532" s="51"/>
      <c r="AG532" s="53"/>
      <c r="AH532" s="51"/>
      <c r="AI532" s="51"/>
      <c r="AJ532" s="51"/>
      <c r="AK532" s="51"/>
      <c r="AL532" s="51"/>
      <c r="AM532" s="51"/>
      <c r="AN532" s="51"/>
      <c r="AO532" s="51"/>
      <c r="AP532" s="51"/>
      <c r="AQ532" s="51"/>
      <c r="AR532" s="53"/>
      <c r="AS532" s="51"/>
      <c r="AT532" s="51"/>
      <c r="AU532" s="51"/>
      <c r="AV532" s="51"/>
      <c r="AW532" s="51"/>
      <c r="AX532" s="51"/>
      <c r="AY532" s="51"/>
    </row>
    <row r="533" spans="32:51">
      <c r="AF533" s="51"/>
      <c r="AG533" s="53"/>
      <c r="AH533" s="51"/>
      <c r="AI533" s="51"/>
      <c r="AJ533" s="51"/>
      <c r="AK533" s="51"/>
      <c r="AL533" s="51"/>
      <c r="AM533" s="51"/>
      <c r="AN533" s="51"/>
      <c r="AO533" s="51"/>
      <c r="AP533" s="51"/>
      <c r="AQ533" s="51"/>
      <c r="AR533" s="53"/>
      <c r="AS533" s="51"/>
      <c r="AT533" s="51"/>
      <c r="AU533" s="51"/>
      <c r="AV533" s="51"/>
      <c r="AW533" s="51"/>
      <c r="AX533" s="51"/>
      <c r="AY533" s="51"/>
    </row>
    <row r="534" spans="32:51">
      <c r="AF534" s="51"/>
      <c r="AG534" s="53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3"/>
      <c r="AS534" s="51"/>
      <c r="AT534" s="51"/>
      <c r="AU534" s="51"/>
      <c r="AV534" s="51"/>
      <c r="AW534" s="51"/>
      <c r="AX534" s="51"/>
      <c r="AY534" s="51"/>
    </row>
    <row r="535" spans="32:51">
      <c r="AF535" s="51"/>
      <c r="AG535" s="53"/>
      <c r="AH535" s="51"/>
      <c r="AI535" s="51"/>
      <c r="AJ535" s="51"/>
      <c r="AK535" s="51"/>
      <c r="AL535" s="51"/>
      <c r="AM535" s="51"/>
      <c r="AN535" s="51"/>
      <c r="AO535" s="51"/>
      <c r="AP535" s="51"/>
      <c r="AQ535" s="51"/>
      <c r="AR535" s="53"/>
      <c r="AS535" s="51"/>
      <c r="AT535" s="51"/>
      <c r="AU535" s="51"/>
      <c r="AV535" s="51"/>
      <c r="AW535" s="51"/>
      <c r="AX535" s="51"/>
      <c r="AY535" s="51"/>
    </row>
    <row r="536" spans="32:51">
      <c r="AF536" s="51"/>
      <c r="AG536" s="53"/>
      <c r="AH536" s="51"/>
      <c r="AI536" s="51"/>
      <c r="AJ536" s="51"/>
      <c r="AK536" s="51"/>
      <c r="AL536" s="51"/>
      <c r="AM536" s="51"/>
      <c r="AN536" s="51"/>
      <c r="AO536" s="51"/>
      <c r="AP536" s="51"/>
      <c r="AQ536" s="51"/>
      <c r="AR536" s="53"/>
      <c r="AS536" s="51"/>
      <c r="AT536" s="51"/>
      <c r="AU536" s="51"/>
      <c r="AV536" s="51"/>
      <c r="AW536" s="51"/>
      <c r="AX536" s="51"/>
      <c r="AY536" s="51"/>
    </row>
    <row r="537" spans="32:51">
      <c r="AF537" s="51"/>
      <c r="AG537" s="53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3"/>
      <c r="AS537" s="51"/>
      <c r="AT537" s="51"/>
      <c r="AU537" s="51"/>
      <c r="AV537" s="51"/>
      <c r="AW537" s="51"/>
      <c r="AX537" s="51"/>
      <c r="AY537" s="51"/>
    </row>
    <row r="538" spans="32:51">
      <c r="AF538" s="51"/>
      <c r="AG538" s="53"/>
      <c r="AH538" s="51"/>
      <c r="AI538" s="51"/>
      <c r="AJ538" s="51"/>
      <c r="AK538" s="51"/>
      <c r="AL538" s="51"/>
      <c r="AM538" s="51"/>
      <c r="AN538" s="51"/>
      <c r="AO538" s="51"/>
      <c r="AP538" s="51"/>
      <c r="AQ538" s="51"/>
      <c r="AR538" s="53"/>
      <c r="AS538" s="51"/>
      <c r="AT538" s="51"/>
      <c r="AU538" s="51"/>
      <c r="AV538" s="51"/>
      <c r="AW538" s="51"/>
      <c r="AX538" s="51"/>
      <c r="AY538" s="51"/>
    </row>
    <row r="539" spans="32:51">
      <c r="AF539" s="51"/>
      <c r="AG539" s="53"/>
      <c r="AH539" s="51"/>
      <c r="AI539" s="51"/>
      <c r="AJ539" s="51"/>
      <c r="AK539" s="51"/>
      <c r="AL539" s="51"/>
      <c r="AM539" s="51"/>
      <c r="AN539" s="51"/>
      <c r="AO539" s="51"/>
      <c r="AP539" s="51"/>
      <c r="AQ539" s="51"/>
      <c r="AR539" s="53"/>
      <c r="AS539" s="51"/>
      <c r="AT539" s="51"/>
      <c r="AU539" s="51"/>
      <c r="AV539" s="51"/>
      <c r="AW539" s="51"/>
      <c r="AX539" s="51"/>
      <c r="AY539" s="51"/>
    </row>
    <row r="540" spans="32:51">
      <c r="AF540" s="51"/>
      <c r="AG540" s="53"/>
      <c r="AH540" s="51"/>
      <c r="AI540" s="51"/>
      <c r="AJ540" s="51"/>
      <c r="AK540" s="51"/>
      <c r="AL540" s="51"/>
      <c r="AM540" s="51"/>
      <c r="AN540" s="51"/>
      <c r="AO540" s="51"/>
      <c r="AP540" s="51"/>
      <c r="AQ540" s="51"/>
      <c r="AR540" s="53"/>
      <c r="AS540" s="51"/>
      <c r="AT540" s="51"/>
      <c r="AU540" s="51"/>
      <c r="AV540" s="51"/>
      <c r="AW540" s="51"/>
      <c r="AX540" s="51"/>
      <c r="AY540" s="51"/>
    </row>
    <row r="541" spans="32:51">
      <c r="AF541" s="51"/>
      <c r="AG541" s="53"/>
      <c r="AH541" s="51"/>
      <c r="AI541" s="51"/>
      <c r="AJ541" s="51"/>
      <c r="AK541" s="51"/>
      <c r="AL541" s="51"/>
      <c r="AM541" s="51"/>
      <c r="AN541" s="51"/>
      <c r="AO541" s="51"/>
      <c r="AP541" s="51"/>
      <c r="AQ541" s="51"/>
      <c r="AR541" s="53"/>
      <c r="AS541" s="51"/>
      <c r="AT541" s="51"/>
      <c r="AU541" s="51"/>
      <c r="AV541" s="51"/>
      <c r="AW541" s="51"/>
      <c r="AX541" s="51"/>
      <c r="AY541" s="51"/>
    </row>
    <row r="542" spans="32:51">
      <c r="AF542" s="51"/>
      <c r="AG542" s="53"/>
      <c r="AH542" s="51"/>
      <c r="AI542" s="51"/>
      <c r="AJ542" s="51"/>
      <c r="AK542" s="51"/>
      <c r="AL542" s="51"/>
      <c r="AM542" s="51"/>
      <c r="AN542" s="51"/>
      <c r="AO542" s="51"/>
      <c r="AP542" s="51"/>
      <c r="AQ542" s="51"/>
      <c r="AR542" s="53"/>
      <c r="AS542" s="51"/>
      <c r="AT542" s="51"/>
      <c r="AU542" s="51"/>
      <c r="AV542" s="51"/>
      <c r="AW542" s="51"/>
      <c r="AX542" s="51"/>
      <c r="AY542" s="51"/>
    </row>
    <row r="543" spans="32:51">
      <c r="AF543" s="51"/>
      <c r="AG543" s="53"/>
      <c r="AH543" s="51"/>
      <c r="AI543" s="51"/>
      <c r="AJ543" s="51"/>
      <c r="AK543" s="51"/>
      <c r="AL543" s="51"/>
      <c r="AM543" s="51"/>
      <c r="AN543" s="51"/>
      <c r="AO543" s="51"/>
      <c r="AP543" s="51"/>
      <c r="AQ543" s="51"/>
      <c r="AR543" s="53"/>
      <c r="AS543" s="51"/>
      <c r="AT543" s="51"/>
      <c r="AU543" s="51"/>
      <c r="AV543" s="51"/>
      <c r="AW543" s="51"/>
      <c r="AX543" s="51"/>
      <c r="AY543" s="51"/>
    </row>
    <row r="544" spans="32:51">
      <c r="AF544" s="51"/>
      <c r="AG544" s="53"/>
      <c r="AH544" s="51"/>
      <c r="AI544" s="51"/>
      <c r="AJ544" s="51"/>
      <c r="AK544" s="51"/>
      <c r="AL544" s="51"/>
      <c r="AM544" s="51"/>
      <c r="AN544" s="51"/>
      <c r="AO544" s="51"/>
      <c r="AP544" s="51"/>
      <c r="AQ544" s="51"/>
      <c r="AR544" s="53"/>
      <c r="AS544" s="51"/>
      <c r="AT544" s="51"/>
      <c r="AU544" s="51"/>
      <c r="AV544" s="51"/>
      <c r="AW544" s="51"/>
      <c r="AX544" s="51"/>
      <c r="AY544" s="51"/>
    </row>
    <row r="545" spans="32:51">
      <c r="AF545" s="51"/>
      <c r="AG545" s="53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3"/>
      <c r="AS545" s="51"/>
      <c r="AT545" s="51"/>
      <c r="AU545" s="51"/>
      <c r="AV545" s="51"/>
      <c r="AW545" s="51"/>
      <c r="AX545" s="51"/>
      <c r="AY545" s="51"/>
    </row>
    <row r="546" spans="32:51">
      <c r="AF546" s="51"/>
      <c r="AG546" s="53"/>
      <c r="AH546" s="51"/>
      <c r="AI546" s="51"/>
      <c r="AJ546" s="51"/>
      <c r="AK546" s="51"/>
      <c r="AL546" s="51"/>
      <c r="AM546" s="51"/>
      <c r="AN546" s="51"/>
      <c r="AO546" s="51"/>
      <c r="AP546" s="51"/>
      <c r="AQ546" s="51"/>
      <c r="AR546" s="53"/>
      <c r="AS546" s="51"/>
      <c r="AT546" s="51"/>
      <c r="AU546" s="51"/>
      <c r="AV546" s="51"/>
      <c r="AW546" s="51"/>
      <c r="AX546" s="51"/>
      <c r="AY546" s="51"/>
    </row>
    <row r="547" spans="32:51">
      <c r="AF547" s="51"/>
      <c r="AG547" s="53"/>
      <c r="AH547" s="51"/>
      <c r="AI547" s="51"/>
      <c r="AJ547" s="51"/>
      <c r="AK547" s="51"/>
      <c r="AL547" s="51"/>
      <c r="AM547" s="51"/>
      <c r="AN547" s="51"/>
      <c r="AO547" s="51"/>
      <c r="AP547" s="51"/>
      <c r="AQ547" s="51"/>
      <c r="AR547" s="53"/>
      <c r="AS547" s="51"/>
      <c r="AT547" s="51"/>
      <c r="AU547" s="51"/>
      <c r="AV547" s="51"/>
      <c r="AW547" s="51"/>
      <c r="AX547" s="51"/>
      <c r="AY547" s="51"/>
    </row>
    <row r="548" spans="32:51">
      <c r="AF548" s="51"/>
      <c r="AG548" s="53"/>
      <c r="AH548" s="51"/>
      <c r="AI548" s="51"/>
      <c r="AJ548" s="51"/>
      <c r="AK548" s="51"/>
      <c r="AL548" s="51"/>
      <c r="AM548" s="51"/>
      <c r="AN548" s="51"/>
      <c r="AO548" s="51"/>
      <c r="AP548" s="51"/>
      <c r="AQ548" s="51"/>
      <c r="AR548" s="53"/>
      <c r="AS548" s="51"/>
      <c r="AT548" s="51"/>
      <c r="AU548" s="51"/>
      <c r="AV548" s="51"/>
      <c r="AW548" s="51"/>
      <c r="AX548" s="51"/>
      <c r="AY548" s="51"/>
    </row>
    <row r="549" spans="32:51">
      <c r="AF549" s="51"/>
      <c r="AG549" s="53"/>
      <c r="AH549" s="51"/>
      <c r="AI549" s="51"/>
      <c r="AJ549" s="51"/>
      <c r="AK549" s="51"/>
      <c r="AL549" s="51"/>
      <c r="AM549" s="51"/>
      <c r="AN549" s="51"/>
      <c r="AO549" s="51"/>
      <c r="AP549" s="51"/>
      <c r="AQ549" s="51"/>
      <c r="AR549" s="53"/>
      <c r="AS549" s="51"/>
      <c r="AT549" s="51"/>
      <c r="AU549" s="51"/>
      <c r="AV549" s="51"/>
      <c r="AW549" s="51"/>
      <c r="AX549" s="51"/>
      <c r="AY549" s="51"/>
    </row>
    <row r="550" spans="32:51">
      <c r="AF550" s="51"/>
      <c r="AG550" s="53"/>
      <c r="AH550" s="51"/>
      <c r="AI550" s="51"/>
      <c r="AJ550" s="51"/>
      <c r="AK550" s="51"/>
      <c r="AL550" s="51"/>
      <c r="AM550" s="51"/>
      <c r="AN550" s="51"/>
      <c r="AO550" s="51"/>
      <c r="AP550" s="51"/>
      <c r="AQ550" s="51"/>
      <c r="AR550" s="53"/>
      <c r="AS550" s="51"/>
      <c r="AT550" s="51"/>
      <c r="AU550" s="51"/>
      <c r="AV550" s="51"/>
      <c r="AW550" s="51"/>
      <c r="AX550" s="51"/>
      <c r="AY550" s="51"/>
    </row>
    <row r="551" spans="32:51">
      <c r="AF551" s="51"/>
      <c r="AG551" s="53"/>
      <c r="AH551" s="51"/>
      <c r="AI551" s="51"/>
      <c r="AJ551" s="51"/>
      <c r="AK551" s="51"/>
      <c r="AL551" s="51"/>
      <c r="AM551" s="51"/>
      <c r="AN551" s="51"/>
      <c r="AO551" s="51"/>
      <c r="AP551" s="51"/>
      <c r="AQ551" s="51"/>
      <c r="AR551" s="53"/>
      <c r="AS551" s="51"/>
      <c r="AT551" s="51"/>
      <c r="AU551" s="51"/>
      <c r="AV551" s="51"/>
      <c r="AW551" s="51"/>
      <c r="AX551" s="51"/>
      <c r="AY551" s="51"/>
    </row>
    <row r="552" spans="32:51">
      <c r="AF552" s="51"/>
      <c r="AG552" s="53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3"/>
      <c r="AS552" s="51"/>
      <c r="AT552" s="51"/>
      <c r="AU552" s="51"/>
      <c r="AV552" s="51"/>
      <c r="AW552" s="51"/>
      <c r="AX552" s="51"/>
      <c r="AY552" s="51"/>
    </row>
    <row r="553" spans="32:51">
      <c r="AF553" s="51"/>
      <c r="AG553" s="53"/>
      <c r="AH553" s="51"/>
      <c r="AI553" s="51"/>
      <c r="AJ553" s="51"/>
      <c r="AK553" s="51"/>
      <c r="AL553" s="51"/>
      <c r="AM553" s="51"/>
      <c r="AN553" s="51"/>
      <c r="AO553" s="51"/>
      <c r="AP553" s="51"/>
      <c r="AQ553" s="51"/>
      <c r="AR553" s="53"/>
      <c r="AS553" s="51"/>
      <c r="AT553" s="51"/>
      <c r="AU553" s="51"/>
      <c r="AV553" s="51"/>
      <c r="AW553" s="51"/>
      <c r="AX553" s="51"/>
      <c r="AY553" s="51"/>
    </row>
    <row r="554" spans="32:51">
      <c r="AF554" s="51"/>
      <c r="AG554" s="53"/>
      <c r="AH554" s="51"/>
      <c r="AI554" s="51"/>
      <c r="AJ554" s="51"/>
      <c r="AK554" s="51"/>
      <c r="AL554" s="51"/>
      <c r="AM554" s="51"/>
      <c r="AN554" s="51"/>
      <c r="AO554" s="51"/>
      <c r="AP554" s="51"/>
      <c r="AQ554" s="51"/>
      <c r="AR554" s="53"/>
      <c r="AS554" s="51"/>
      <c r="AT554" s="51"/>
      <c r="AU554" s="51"/>
      <c r="AV554" s="51"/>
      <c r="AW554" s="51"/>
      <c r="AX554" s="51"/>
      <c r="AY554" s="51"/>
    </row>
    <row r="555" spans="32:51">
      <c r="AF555" s="51"/>
      <c r="AG555" s="53"/>
      <c r="AH555" s="51"/>
      <c r="AI555" s="51"/>
      <c r="AJ555" s="51"/>
      <c r="AK555" s="51"/>
      <c r="AL555" s="51"/>
      <c r="AM555" s="51"/>
      <c r="AN555" s="51"/>
      <c r="AO555" s="51"/>
      <c r="AP555" s="51"/>
      <c r="AQ555" s="51"/>
      <c r="AR555" s="53"/>
      <c r="AS555" s="51"/>
      <c r="AT555" s="51"/>
      <c r="AU555" s="51"/>
      <c r="AV555" s="51"/>
      <c r="AW555" s="51"/>
      <c r="AX555" s="51"/>
      <c r="AY555" s="51"/>
    </row>
    <row r="556" spans="32:51">
      <c r="AF556" s="51"/>
      <c r="AG556" s="53"/>
      <c r="AH556" s="51"/>
      <c r="AI556" s="51"/>
      <c r="AJ556" s="51"/>
      <c r="AK556" s="51"/>
      <c r="AL556" s="51"/>
      <c r="AM556" s="51"/>
      <c r="AN556" s="51"/>
      <c r="AO556" s="51"/>
      <c r="AP556" s="51"/>
      <c r="AQ556" s="51"/>
      <c r="AR556" s="53"/>
      <c r="AS556" s="51"/>
      <c r="AT556" s="51"/>
      <c r="AU556" s="51"/>
      <c r="AV556" s="51"/>
      <c r="AW556" s="51"/>
      <c r="AX556" s="51"/>
      <c r="AY556" s="51"/>
    </row>
    <row r="557" spans="32:51">
      <c r="AF557" s="51"/>
      <c r="AG557" s="53"/>
      <c r="AH557" s="51"/>
      <c r="AI557" s="51"/>
      <c r="AJ557" s="51"/>
      <c r="AK557" s="51"/>
      <c r="AL557" s="51"/>
      <c r="AM557" s="51"/>
      <c r="AN557" s="51"/>
      <c r="AO557" s="51"/>
      <c r="AP557" s="51"/>
      <c r="AQ557" s="51"/>
      <c r="AR557" s="53"/>
      <c r="AS557" s="51"/>
      <c r="AT557" s="51"/>
      <c r="AU557" s="51"/>
      <c r="AV557" s="51"/>
      <c r="AW557" s="51"/>
      <c r="AX557" s="51"/>
      <c r="AY557" s="51"/>
    </row>
    <row r="558" spans="32:51">
      <c r="AF558" s="51"/>
      <c r="AG558" s="53"/>
      <c r="AH558" s="51"/>
      <c r="AI558" s="51"/>
      <c r="AJ558" s="51"/>
      <c r="AK558" s="51"/>
      <c r="AL558" s="51"/>
      <c r="AM558" s="51"/>
      <c r="AN558" s="51"/>
      <c r="AO558" s="51"/>
      <c r="AP558" s="51"/>
      <c r="AQ558" s="51"/>
      <c r="AR558" s="53"/>
      <c r="AS558" s="51"/>
      <c r="AT558" s="51"/>
      <c r="AU558" s="51"/>
      <c r="AV558" s="51"/>
      <c r="AW558" s="51"/>
      <c r="AX558" s="51"/>
      <c r="AY558" s="51"/>
    </row>
    <row r="559" spans="32:51">
      <c r="AF559" s="51"/>
      <c r="AG559" s="53"/>
      <c r="AH559" s="51"/>
      <c r="AI559" s="51"/>
      <c r="AJ559" s="51"/>
      <c r="AK559" s="51"/>
      <c r="AL559" s="51"/>
      <c r="AM559" s="51"/>
      <c r="AN559" s="51"/>
      <c r="AO559" s="51"/>
      <c r="AP559" s="51"/>
      <c r="AQ559" s="51"/>
      <c r="AR559" s="53"/>
      <c r="AS559" s="51"/>
      <c r="AT559" s="51"/>
      <c r="AU559" s="51"/>
      <c r="AV559" s="51"/>
      <c r="AW559" s="51"/>
      <c r="AX559" s="51"/>
      <c r="AY559" s="51"/>
    </row>
    <row r="560" spans="32:51">
      <c r="AF560" s="51"/>
      <c r="AG560" s="53"/>
      <c r="AH560" s="51"/>
      <c r="AI560" s="51"/>
      <c r="AJ560" s="51"/>
      <c r="AK560" s="51"/>
      <c r="AL560" s="51"/>
      <c r="AM560" s="51"/>
      <c r="AN560" s="51"/>
      <c r="AO560" s="51"/>
      <c r="AP560" s="51"/>
      <c r="AQ560" s="51"/>
      <c r="AR560" s="53"/>
      <c r="AS560" s="51"/>
      <c r="AT560" s="51"/>
      <c r="AU560" s="51"/>
      <c r="AV560" s="51"/>
      <c r="AW560" s="51"/>
      <c r="AX560" s="51"/>
      <c r="AY560" s="51"/>
    </row>
    <row r="561" spans="32:51">
      <c r="AF561" s="51"/>
      <c r="AG561" s="53"/>
      <c r="AH561" s="51"/>
      <c r="AI561" s="51"/>
      <c r="AJ561" s="51"/>
      <c r="AK561" s="51"/>
      <c r="AL561" s="51"/>
      <c r="AM561" s="51"/>
      <c r="AN561" s="51"/>
      <c r="AO561" s="51"/>
      <c r="AP561" s="51"/>
      <c r="AQ561" s="51"/>
      <c r="AR561" s="53"/>
      <c r="AS561" s="51"/>
      <c r="AT561" s="51"/>
      <c r="AU561" s="51"/>
      <c r="AV561" s="51"/>
      <c r="AW561" s="51"/>
      <c r="AX561" s="51"/>
      <c r="AY561" s="51"/>
    </row>
    <row r="562" spans="32:51">
      <c r="AF562" s="51"/>
      <c r="AG562" s="53"/>
      <c r="AH562" s="51"/>
      <c r="AI562" s="51"/>
      <c r="AJ562" s="51"/>
      <c r="AK562" s="51"/>
      <c r="AL562" s="51"/>
      <c r="AM562" s="51"/>
      <c r="AN562" s="51"/>
      <c r="AO562" s="51"/>
      <c r="AP562" s="51"/>
      <c r="AQ562" s="51"/>
      <c r="AR562" s="53"/>
      <c r="AS562" s="51"/>
      <c r="AT562" s="51"/>
      <c r="AU562" s="51"/>
      <c r="AV562" s="51"/>
      <c r="AW562" s="51"/>
      <c r="AX562" s="51"/>
      <c r="AY562" s="51"/>
    </row>
    <row r="563" spans="32:51">
      <c r="AF563" s="51"/>
      <c r="AG563" s="53"/>
      <c r="AH563" s="51"/>
      <c r="AI563" s="51"/>
      <c r="AJ563" s="51"/>
      <c r="AK563" s="51"/>
      <c r="AL563" s="51"/>
      <c r="AM563" s="51"/>
      <c r="AN563" s="51"/>
      <c r="AO563" s="51"/>
      <c r="AP563" s="51"/>
      <c r="AQ563" s="51"/>
      <c r="AR563" s="53"/>
      <c r="AS563" s="51"/>
      <c r="AT563" s="51"/>
      <c r="AU563" s="51"/>
      <c r="AV563" s="51"/>
      <c r="AW563" s="51"/>
      <c r="AX563" s="51"/>
      <c r="AY563" s="51"/>
    </row>
    <row r="564" spans="32:51">
      <c r="AF564" s="51"/>
      <c r="AG564" s="53"/>
      <c r="AH564" s="51"/>
      <c r="AI564" s="51"/>
      <c r="AJ564" s="51"/>
      <c r="AK564" s="51"/>
      <c r="AL564" s="51"/>
      <c r="AM564" s="51"/>
      <c r="AN564" s="51"/>
      <c r="AO564" s="51"/>
      <c r="AP564" s="51"/>
      <c r="AQ564" s="51"/>
      <c r="AR564" s="53"/>
      <c r="AS564" s="51"/>
      <c r="AT564" s="51"/>
      <c r="AU564" s="51"/>
      <c r="AV564" s="51"/>
      <c r="AW564" s="51"/>
      <c r="AX564" s="51"/>
      <c r="AY564" s="51"/>
    </row>
    <row r="565" spans="32:51">
      <c r="AF565" s="51"/>
      <c r="AG565" s="53"/>
      <c r="AH565" s="51"/>
      <c r="AI565" s="51"/>
      <c r="AJ565" s="51"/>
      <c r="AK565" s="51"/>
      <c r="AL565" s="51"/>
      <c r="AM565" s="51"/>
      <c r="AN565" s="51"/>
      <c r="AO565" s="51"/>
      <c r="AP565" s="51"/>
      <c r="AQ565" s="51"/>
      <c r="AR565" s="53"/>
      <c r="AS565" s="51"/>
      <c r="AT565" s="51"/>
      <c r="AU565" s="51"/>
      <c r="AV565" s="51"/>
      <c r="AW565" s="51"/>
      <c r="AX565" s="51"/>
      <c r="AY565" s="51"/>
    </row>
    <row r="566" spans="32:51">
      <c r="AF566" s="51"/>
      <c r="AG566" s="53"/>
      <c r="AH566" s="51"/>
      <c r="AI566" s="51"/>
      <c r="AJ566" s="51"/>
      <c r="AK566" s="51"/>
      <c r="AL566" s="51"/>
      <c r="AM566" s="51"/>
      <c r="AN566" s="51"/>
      <c r="AO566" s="51"/>
      <c r="AP566" s="51"/>
      <c r="AQ566" s="51"/>
      <c r="AR566" s="53"/>
      <c r="AS566" s="51"/>
      <c r="AT566" s="51"/>
      <c r="AU566" s="51"/>
      <c r="AV566" s="51"/>
      <c r="AW566" s="51"/>
      <c r="AX566" s="51"/>
      <c r="AY566" s="51"/>
    </row>
    <row r="567" spans="32:51">
      <c r="AF567" s="51"/>
      <c r="AG567" s="53"/>
      <c r="AH567" s="51"/>
      <c r="AI567" s="51"/>
      <c r="AJ567" s="51"/>
      <c r="AK567" s="51"/>
      <c r="AL567" s="51"/>
      <c r="AM567" s="51"/>
      <c r="AN567" s="51"/>
      <c r="AO567" s="51"/>
      <c r="AP567" s="51"/>
      <c r="AQ567" s="51"/>
      <c r="AR567" s="53"/>
      <c r="AS567" s="51"/>
      <c r="AT567" s="51"/>
      <c r="AU567" s="51"/>
      <c r="AV567" s="51"/>
      <c r="AW567" s="51"/>
      <c r="AX567" s="51"/>
      <c r="AY567" s="51"/>
    </row>
    <row r="568" spans="32:51">
      <c r="AF568" s="51"/>
      <c r="AG568" s="53"/>
      <c r="AH568" s="51"/>
      <c r="AI568" s="51"/>
      <c r="AJ568" s="51"/>
      <c r="AK568" s="51"/>
      <c r="AL568" s="51"/>
      <c r="AM568" s="51"/>
      <c r="AN568" s="51"/>
      <c r="AO568" s="51"/>
      <c r="AP568" s="51"/>
      <c r="AQ568" s="51"/>
      <c r="AR568" s="53"/>
      <c r="AS568" s="51"/>
      <c r="AT568" s="51"/>
      <c r="AU568" s="51"/>
      <c r="AV568" s="51"/>
      <c r="AW568" s="51"/>
      <c r="AX568" s="51"/>
      <c r="AY568" s="51"/>
    </row>
    <row r="569" spans="32:51">
      <c r="AF569" s="51"/>
      <c r="AG569" s="53"/>
      <c r="AH569" s="51"/>
      <c r="AI569" s="51"/>
      <c r="AJ569" s="51"/>
      <c r="AK569" s="51"/>
      <c r="AL569" s="51"/>
      <c r="AM569" s="51"/>
      <c r="AN569" s="51"/>
      <c r="AO569" s="51"/>
      <c r="AP569" s="51"/>
      <c r="AQ569" s="51"/>
      <c r="AR569" s="53"/>
      <c r="AS569" s="51"/>
      <c r="AT569" s="51"/>
      <c r="AU569" s="51"/>
      <c r="AV569" s="51"/>
      <c r="AW569" s="51"/>
      <c r="AX569" s="51"/>
      <c r="AY569" s="51"/>
    </row>
    <row r="570" spans="32:51">
      <c r="AF570" s="51"/>
      <c r="AG570" s="53"/>
      <c r="AH570" s="51"/>
      <c r="AI570" s="51"/>
      <c r="AJ570" s="51"/>
      <c r="AK570" s="51"/>
      <c r="AL570" s="51"/>
      <c r="AM570" s="51"/>
      <c r="AN570" s="51"/>
      <c r="AO570" s="51"/>
      <c r="AP570" s="51"/>
      <c r="AQ570" s="51"/>
      <c r="AR570" s="53"/>
      <c r="AS570" s="51"/>
      <c r="AT570" s="51"/>
      <c r="AU570" s="51"/>
      <c r="AV570" s="51"/>
      <c r="AW570" s="51"/>
      <c r="AX570" s="51"/>
      <c r="AY570" s="51"/>
    </row>
    <row r="571" spans="32:51">
      <c r="AF571" s="51"/>
      <c r="AG571" s="53"/>
      <c r="AH571" s="51"/>
      <c r="AI571" s="51"/>
      <c r="AJ571" s="51"/>
      <c r="AK571" s="51"/>
      <c r="AL571" s="51"/>
      <c r="AM571" s="51"/>
      <c r="AN571" s="51"/>
      <c r="AO571" s="51"/>
      <c r="AP571" s="51"/>
      <c r="AQ571" s="51"/>
      <c r="AR571" s="53"/>
      <c r="AS571" s="51"/>
      <c r="AT571" s="51"/>
      <c r="AU571" s="51"/>
      <c r="AV571" s="51"/>
      <c r="AW571" s="51"/>
      <c r="AX571" s="51"/>
      <c r="AY571" s="51"/>
    </row>
    <row r="572" spans="32:51">
      <c r="AF572" s="51"/>
      <c r="AG572" s="53"/>
      <c r="AH572" s="51"/>
      <c r="AI572" s="51"/>
      <c r="AJ572" s="51"/>
      <c r="AK572" s="51"/>
      <c r="AL572" s="51"/>
      <c r="AM572" s="51"/>
      <c r="AN572" s="51"/>
      <c r="AO572" s="51"/>
      <c r="AP572" s="51"/>
      <c r="AQ572" s="51"/>
      <c r="AR572" s="53"/>
      <c r="AS572" s="51"/>
      <c r="AT572" s="51"/>
      <c r="AU572" s="51"/>
      <c r="AV572" s="51"/>
      <c r="AW572" s="51"/>
      <c r="AX572" s="51"/>
      <c r="AY572" s="51"/>
    </row>
    <row r="573" spans="32:51">
      <c r="AF573" s="51"/>
      <c r="AG573" s="53"/>
      <c r="AH573" s="51"/>
      <c r="AI573" s="51"/>
      <c r="AJ573" s="51"/>
      <c r="AK573" s="51"/>
      <c r="AL573" s="51"/>
      <c r="AM573" s="51"/>
      <c r="AN573" s="51"/>
      <c r="AO573" s="51"/>
      <c r="AP573" s="51"/>
      <c r="AQ573" s="51"/>
      <c r="AR573" s="53"/>
      <c r="AS573" s="51"/>
      <c r="AT573" s="51"/>
      <c r="AU573" s="51"/>
      <c r="AV573" s="51"/>
      <c r="AW573" s="51"/>
      <c r="AX573" s="51"/>
      <c r="AY573" s="51"/>
    </row>
    <row r="574" spans="32:51">
      <c r="AF574" s="51"/>
      <c r="AG574" s="53"/>
      <c r="AH574" s="51"/>
      <c r="AI574" s="51"/>
      <c r="AJ574" s="51"/>
      <c r="AK574" s="51"/>
      <c r="AL574" s="51"/>
      <c r="AM574" s="51"/>
      <c r="AN574" s="51"/>
      <c r="AO574" s="51"/>
      <c r="AP574" s="51"/>
      <c r="AQ574" s="51"/>
      <c r="AR574" s="53"/>
      <c r="AS574" s="51"/>
      <c r="AT574" s="51"/>
      <c r="AU574" s="51"/>
      <c r="AV574" s="51"/>
      <c r="AW574" s="51"/>
      <c r="AX574" s="51"/>
      <c r="AY574" s="51"/>
    </row>
    <row r="575" spans="32:51">
      <c r="AF575" s="51"/>
      <c r="AG575" s="53"/>
      <c r="AH575" s="51"/>
      <c r="AI575" s="51"/>
      <c r="AJ575" s="51"/>
      <c r="AK575" s="51"/>
      <c r="AL575" s="51"/>
      <c r="AM575" s="51"/>
      <c r="AN575" s="51"/>
      <c r="AO575" s="51"/>
      <c r="AP575" s="51"/>
      <c r="AQ575" s="51"/>
      <c r="AR575" s="53"/>
      <c r="AS575" s="51"/>
      <c r="AT575" s="51"/>
      <c r="AU575" s="51"/>
      <c r="AV575" s="51"/>
      <c r="AW575" s="51"/>
      <c r="AX575" s="51"/>
      <c r="AY575" s="51"/>
    </row>
    <row r="576" spans="32:51">
      <c r="AF576" s="51"/>
      <c r="AG576" s="53"/>
      <c r="AH576" s="51"/>
      <c r="AI576" s="51"/>
      <c r="AJ576" s="51"/>
      <c r="AK576" s="51"/>
      <c r="AL576" s="51"/>
      <c r="AM576" s="51"/>
      <c r="AN576" s="51"/>
      <c r="AO576" s="51"/>
      <c r="AP576" s="51"/>
      <c r="AQ576" s="51"/>
      <c r="AR576" s="53"/>
      <c r="AS576" s="51"/>
      <c r="AT576" s="51"/>
      <c r="AU576" s="51"/>
      <c r="AV576" s="51"/>
      <c r="AW576" s="51"/>
      <c r="AX576" s="51"/>
      <c r="AY576" s="51"/>
    </row>
    <row r="577" spans="32:51">
      <c r="AF577" s="51"/>
      <c r="AG577" s="53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3"/>
      <c r="AS577" s="51"/>
      <c r="AT577" s="51"/>
      <c r="AU577" s="51"/>
      <c r="AV577" s="51"/>
      <c r="AW577" s="51"/>
      <c r="AX577" s="51"/>
      <c r="AY577" s="51"/>
    </row>
    <row r="578" spans="32:51">
      <c r="AF578" s="51"/>
      <c r="AG578" s="53"/>
      <c r="AH578" s="51"/>
      <c r="AI578" s="51"/>
      <c r="AJ578" s="51"/>
      <c r="AK578" s="51"/>
      <c r="AL578" s="51"/>
      <c r="AM578" s="51"/>
      <c r="AN578" s="51"/>
      <c r="AO578" s="51"/>
      <c r="AP578" s="51"/>
      <c r="AQ578" s="51"/>
      <c r="AR578" s="53"/>
      <c r="AS578" s="51"/>
      <c r="AT578" s="51"/>
      <c r="AU578" s="51"/>
      <c r="AV578" s="51"/>
      <c r="AW578" s="51"/>
      <c r="AX578" s="51"/>
      <c r="AY578" s="51"/>
    </row>
    <row r="579" spans="32:51">
      <c r="AF579" s="51"/>
      <c r="AG579" s="53"/>
      <c r="AH579" s="51"/>
      <c r="AI579" s="51"/>
      <c r="AJ579" s="51"/>
      <c r="AK579" s="51"/>
      <c r="AL579" s="51"/>
      <c r="AM579" s="51"/>
      <c r="AN579" s="51"/>
      <c r="AO579" s="51"/>
      <c r="AP579" s="51"/>
      <c r="AQ579" s="51"/>
      <c r="AR579" s="53"/>
      <c r="AS579" s="51"/>
      <c r="AT579" s="51"/>
      <c r="AU579" s="51"/>
      <c r="AV579" s="51"/>
      <c r="AW579" s="51"/>
      <c r="AX579" s="51"/>
      <c r="AY579" s="51"/>
    </row>
    <row r="580" spans="32:51">
      <c r="AF580" s="51"/>
      <c r="AG580" s="53"/>
      <c r="AH580" s="51"/>
      <c r="AI580" s="51"/>
      <c r="AJ580" s="51"/>
      <c r="AK580" s="51"/>
      <c r="AL580" s="51"/>
      <c r="AM580" s="51"/>
      <c r="AN580" s="51"/>
      <c r="AO580" s="51"/>
      <c r="AP580" s="51"/>
      <c r="AQ580" s="51"/>
      <c r="AR580" s="53"/>
      <c r="AS580" s="51"/>
      <c r="AT580" s="51"/>
      <c r="AU580" s="51"/>
      <c r="AV580" s="51"/>
      <c r="AW580" s="51"/>
      <c r="AX580" s="51"/>
      <c r="AY580" s="51"/>
    </row>
    <row r="581" spans="32:51">
      <c r="AF581" s="51"/>
      <c r="AG581" s="53"/>
      <c r="AH581" s="51"/>
      <c r="AI581" s="51"/>
      <c r="AJ581" s="51"/>
      <c r="AK581" s="51"/>
      <c r="AL581" s="51"/>
      <c r="AM581" s="51"/>
      <c r="AN581" s="51"/>
      <c r="AO581" s="51"/>
      <c r="AP581" s="51"/>
      <c r="AQ581" s="51"/>
      <c r="AR581" s="53"/>
      <c r="AS581" s="51"/>
      <c r="AT581" s="51"/>
      <c r="AU581" s="51"/>
      <c r="AV581" s="51"/>
      <c r="AW581" s="51"/>
      <c r="AX581" s="51"/>
      <c r="AY581" s="51"/>
    </row>
    <row r="582" spans="32:51">
      <c r="AF582" s="51"/>
      <c r="AG582" s="53"/>
      <c r="AH582" s="51"/>
      <c r="AI582" s="51"/>
      <c r="AJ582" s="51"/>
      <c r="AK582" s="51"/>
      <c r="AL582" s="51"/>
      <c r="AM582" s="51"/>
      <c r="AN582" s="51"/>
      <c r="AO582" s="51"/>
      <c r="AP582" s="51"/>
      <c r="AQ582" s="51"/>
      <c r="AR582" s="53"/>
      <c r="AS582" s="51"/>
      <c r="AT582" s="51"/>
      <c r="AU582" s="51"/>
      <c r="AV582" s="51"/>
      <c r="AW582" s="51"/>
      <c r="AX582" s="51"/>
      <c r="AY582" s="51"/>
    </row>
    <row r="583" spans="32:51">
      <c r="AF583" s="51"/>
      <c r="AG583" s="53"/>
      <c r="AH583" s="51"/>
      <c r="AI583" s="51"/>
      <c r="AJ583" s="51"/>
      <c r="AK583" s="51"/>
      <c r="AL583" s="51"/>
      <c r="AM583" s="51"/>
      <c r="AN583" s="51"/>
      <c r="AO583" s="51"/>
      <c r="AP583" s="51"/>
      <c r="AQ583" s="51"/>
      <c r="AR583" s="53"/>
      <c r="AS583" s="51"/>
      <c r="AT583" s="51"/>
      <c r="AU583" s="51"/>
      <c r="AV583" s="51"/>
      <c r="AW583" s="51"/>
      <c r="AX583" s="51"/>
      <c r="AY583" s="51"/>
    </row>
    <row r="584" spans="32:51">
      <c r="AF584" s="51"/>
      <c r="AG584" s="53"/>
      <c r="AH584" s="51"/>
      <c r="AI584" s="51"/>
      <c r="AJ584" s="51"/>
      <c r="AK584" s="51"/>
      <c r="AL584" s="51"/>
      <c r="AM584" s="51"/>
      <c r="AN584" s="51"/>
      <c r="AO584" s="51"/>
      <c r="AP584" s="51"/>
      <c r="AQ584" s="51"/>
      <c r="AR584" s="53"/>
      <c r="AS584" s="51"/>
      <c r="AT584" s="51"/>
      <c r="AU584" s="51"/>
      <c r="AV584" s="51"/>
      <c r="AW584" s="51"/>
      <c r="AX584" s="51"/>
      <c r="AY584" s="51"/>
    </row>
    <row r="585" spans="32:51">
      <c r="AF585" s="51"/>
      <c r="AG585" s="53"/>
      <c r="AH585" s="51"/>
      <c r="AI585" s="51"/>
      <c r="AJ585" s="51"/>
      <c r="AK585" s="51"/>
      <c r="AL585" s="51"/>
      <c r="AM585" s="51"/>
      <c r="AN585" s="51"/>
      <c r="AO585" s="51"/>
      <c r="AP585" s="51"/>
      <c r="AQ585" s="51"/>
      <c r="AR585" s="53"/>
      <c r="AS585" s="51"/>
      <c r="AT585" s="51"/>
      <c r="AU585" s="51"/>
      <c r="AV585" s="51"/>
      <c r="AW585" s="51"/>
      <c r="AX585" s="51"/>
      <c r="AY585" s="51"/>
    </row>
    <row r="586" spans="32:51">
      <c r="AF586" s="51"/>
      <c r="AG586" s="53"/>
      <c r="AH586" s="51"/>
      <c r="AI586" s="51"/>
      <c r="AJ586" s="51"/>
      <c r="AK586" s="51"/>
      <c r="AL586" s="51"/>
      <c r="AM586" s="51"/>
      <c r="AN586" s="51"/>
      <c r="AO586" s="51"/>
      <c r="AP586" s="51"/>
      <c r="AQ586" s="51"/>
      <c r="AR586" s="53"/>
      <c r="AS586" s="51"/>
      <c r="AT586" s="51"/>
      <c r="AU586" s="51"/>
      <c r="AV586" s="51"/>
      <c r="AW586" s="51"/>
      <c r="AX586" s="51"/>
      <c r="AY586" s="51"/>
    </row>
    <row r="587" spans="32:51">
      <c r="AF587" s="51"/>
      <c r="AG587" s="53"/>
      <c r="AH587" s="51"/>
      <c r="AI587" s="51"/>
      <c r="AJ587" s="51"/>
      <c r="AK587" s="51"/>
      <c r="AL587" s="51"/>
      <c r="AM587" s="51"/>
      <c r="AN587" s="51"/>
      <c r="AO587" s="51"/>
      <c r="AP587" s="51"/>
      <c r="AQ587" s="51"/>
      <c r="AR587" s="53"/>
      <c r="AS587" s="51"/>
      <c r="AT587" s="51"/>
      <c r="AU587" s="51"/>
      <c r="AV587" s="51"/>
      <c r="AW587" s="51"/>
      <c r="AX587" s="51"/>
      <c r="AY587" s="51"/>
    </row>
    <row r="588" spans="32:51">
      <c r="AF588" s="51"/>
      <c r="AG588" s="53"/>
      <c r="AH588" s="51"/>
      <c r="AI588" s="51"/>
      <c r="AJ588" s="51"/>
      <c r="AK588" s="51"/>
      <c r="AL588" s="51"/>
      <c r="AM588" s="51"/>
      <c r="AN588" s="51"/>
      <c r="AO588" s="51"/>
      <c r="AP588" s="51"/>
      <c r="AQ588" s="51"/>
      <c r="AR588" s="53"/>
      <c r="AS588" s="51"/>
      <c r="AT588" s="51"/>
      <c r="AU588" s="51"/>
      <c r="AV588" s="51"/>
      <c r="AW588" s="51"/>
      <c r="AX588" s="51"/>
      <c r="AY588" s="51"/>
    </row>
    <row r="589" spans="32:51">
      <c r="AF589" s="51"/>
      <c r="AG589" s="53"/>
      <c r="AH589" s="51"/>
      <c r="AI589" s="51"/>
      <c r="AJ589" s="51"/>
      <c r="AK589" s="51"/>
      <c r="AL589" s="51"/>
      <c r="AM589" s="51"/>
      <c r="AN589" s="51"/>
      <c r="AO589" s="51"/>
      <c r="AP589" s="51"/>
      <c r="AQ589" s="51"/>
      <c r="AR589" s="53"/>
      <c r="AS589" s="51"/>
      <c r="AT589" s="51"/>
      <c r="AU589" s="51"/>
      <c r="AV589" s="51"/>
      <c r="AW589" s="51"/>
      <c r="AX589" s="51"/>
      <c r="AY589" s="51"/>
    </row>
    <row r="590" spans="32:51">
      <c r="AF590" s="51"/>
      <c r="AG590" s="53"/>
      <c r="AH590" s="51"/>
      <c r="AI590" s="51"/>
      <c r="AJ590" s="51"/>
      <c r="AK590" s="51"/>
      <c r="AL590" s="51"/>
      <c r="AM590" s="51"/>
      <c r="AN590" s="51"/>
      <c r="AO590" s="51"/>
      <c r="AP590" s="51"/>
      <c r="AQ590" s="51"/>
      <c r="AR590" s="53"/>
      <c r="AS590" s="51"/>
      <c r="AT590" s="51"/>
      <c r="AU590" s="51"/>
      <c r="AV590" s="51"/>
      <c r="AW590" s="51"/>
      <c r="AX590" s="51"/>
      <c r="AY590" s="51"/>
    </row>
    <row r="591" spans="32:51">
      <c r="AF591" s="51"/>
      <c r="AG591" s="53"/>
      <c r="AH591" s="51"/>
      <c r="AI591" s="51"/>
      <c r="AJ591" s="51"/>
      <c r="AK591" s="51"/>
      <c r="AL591" s="51"/>
      <c r="AM591" s="51"/>
      <c r="AN591" s="51"/>
      <c r="AO591" s="51"/>
      <c r="AP591" s="51"/>
      <c r="AQ591" s="51"/>
      <c r="AR591" s="53"/>
      <c r="AS591" s="51"/>
      <c r="AT591" s="51"/>
      <c r="AU591" s="51"/>
      <c r="AV591" s="51"/>
      <c r="AW591" s="51"/>
      <c r="AX591" s="51"/>
      <c r="AY591" s="51"/>
    </row>
    <row r="592" spans="32:51">
      <c r="AF592" s="51"/>
      <c r="AG592" s="53"/>
      <c r="AH592" s="51"/>
      <c r="AI592" s="51"/>
      <c r="AJ592" s="51"/>
      <c r="AK592" s="51"/>
      <c r="AL592" s="51"/>
      <c r="AM592" s="51"/>
      <c r="AN592" s="51"/>
      <c r="AO592" s="51"/>
      <c r="AP592" s="51"/>
      <c r="AQ592" s="51"/>
      <c r="AR592" s="53"/>
      <c r="AS592" s="51"/>
      <c r="AT592" s="51"/>
      <c r="AU592" s="51"/>
      <c r="AV592" s="51"/>
      <c r="AW592" s="51"/>
      <c r="AX592" s="51"/>
      <c r="AY592" s="51"/>
    </row>
    <row r="593" spans="32:51">
      <c r="AF593" s="51"/>
      <c r="AG593" s="53"/>
      <c r="AH593" s="51"/>
      <c r="AI593" s="51"/>
      <c r="AJ593" s="51"/>
      <c r="AK593" s="51"/>
      <c r="AL593" s="51"/>
      <c r="AM593" s="51"/>
      <c r="AN593" s="51"/>
      <c r="AO593" s="51"/>
      <c r="AP593" s="51"/>
      <c r="AQ593" s="51"/>
      <c r="AR593" s="53"/>
      <c r="AS593" s="51"/>
      <c r="AT593" s="51"/>
      <c r="AU593" s="51"/>
      <c r="AV593" s="51"/>
      <c r="AW593" s="51"/>
      <c r="AX593" s="51"/>
      <c r="AY593" s="51"/>
    </row>
    <row r="594" spans="32:51">
      <c r="AF594" s="51"/>
      <c r="AG594" s="53"/>
      <c r="AH594" s="51"/>
      <c r="AI594" s="51"/>
      <c r="AJ594" s="51"/>
      <c r="AK594" s="51"/>
      <c r="AL594" s="51"/>
      <c r="AM594" s="51"/>
      <c r="AN594" s="51"/>
      <c r="AO594" s="51"/>
      <c r="AP594" s="51"/>
      <c r="AQ594" s="51"/>
      <c r="AR594" s="53"/>
      <c r="AS594" s="51"/>
      <c r="AT594" s="51"/>
      <c r="AU594" s="51"/>
      <c r="AV594" s="51"/>
      <c r="AW594" s="51"/>
      <c r="AX594" s="51"/>
      <c r="AY594" s="51"/>
    </row>
    <row r="595" spans="32:51">
      <c r="AF595" s="51"/>
      <c r="AG595" s="53"/>
      <c r="AH595" s="51"/>
      <c r="AI595" s="51"/>
      <c r="AJ595" s="51"/>
      <c r="AK595" s="51"/>
      <c r="AL595" s="51"/>
      <c r="AM595" s="51"/>
      <c r="AN595" s="51"/>
      <c r="AO595" s="51"/>
      <c r="AP595" s="51"/>
      <c r="AQ595" s="51"/>
      <c r="AR595" s="53"/>
      <c r="AS595" s="51"/>
      <c r="AT595" s="51"/>
      <c r="AU595" s="51"/>
      <c r="AV595" s="51"/>
      <c r="AW595" s="51"/>
      <c r="AX595" s="51"/>
      <c r="AY595" s="51"/>
    </row>
    <row r="596" spans="32:51">
      <c r="AF596" s="51"/>
      <c r="AG596" s="53"/>
      <c r="AH596" s="51"/>
      <c r="AI596" s="51"/>
      <c r="AJ596" s="51"/>
      <c r="AK596" s="51"/>
      <c r="AL596" s="51"/>
      <c r="AM596" s="51"/>
      <c r="AN596" s="51"/>
      <c r="AO596" s="51"/>
      <c r="AP596" s="51"/>
      <c r="AQ596" s="51"/>
      <c r="AR596" s="53"/>
      <c r="AS596" s="51"/>
      <c r="AT596" s="51"/>
      <c r="AU596" s="51"/>
      <c r="AV596" s="51"/>
      <c r="AW596" s="51"/>
      <c r="AX596" s="51"/>
      <c r="AY596" s="51"/>
    </row>
    <row r="597" spans="32:51">
      <c r="AF597" s="51"/>
      <c r="AG597" s="53"/>
      <c r="AH597" s="51"/>
      <c r="AI597" s="51"/>
      <c r="AJ597" s="51"/>
      <c r="AK597" s="51"/>
      <c r="AL597" s="51"/>
      <c r="AM597" s="51"/>
      <c r="AN597" s="51"/>
      <c r="AO597" s="51"/>
      <c r="AP597" s="51"/>
      <c r="AQ597" s="51"/>
      <c r="AR597" s="53"/>
      <c r="AS597" s="51"/>
      <c r="AT597" s="51"/>
      <c r="AU597" s="51"/>
      <c r="AV597" s="51"/>
      <c r="AW597" s="51"/>
      <c r="AX597" s="51"/>
      <c r="AY597" s="51"/>
    </row>
    <row r="598" spans="32:51">
      <c r="AF598" s="51"/>
      <c r="AG598" s="53"/>
      <c r="AH598" s="51"/>
      <c r="AI598" s="51"/>
      <c r="AJ598" s="51"/>
      <c r="AK598" s="51"/>
      <c r="AL598" s="51"/>
      <c r="AM598" s="51"/>
      <c r="AN598" s="51"/>
      <c r="AO598" s="51"/>
      <c r="AP598" s="51"/>
      <c r="AQ598" s="51"/>
      <c r="AR598" s="53"/>
      <c r="AS598" s="51"/>
      <c r="AT598" s="51"/>
      <c r="AU598" s="51"/>
      <c r="AV598" s="51"/>
      <c r="AW598" s="51"/>
      <c r="AX598" s="51"/>
      <c r="AY598" s="51"/>
    </row>
    <row r="599" spans="32:51">
      <c r="AF599" s="51"/>
      <c r="AG599" s="53"/>
      <c r="AH599" s="51"/>
      <c r="AI599" s="51"/>
      <c r="AJ599" s="51"/>
      <c r="AK599" s="51"/>
      <c r="AL599" s="51"/>
      <c r="AM599" s="51"/>
      <c r="AN599" s="51"/>
      <c r="AO599" s="51"/>
      <c r="AP599" s="51"/>
      <c r="AQ599" s="51"/>
      <c r="AR599" s="53"/>
      <c r="AS599" s="51"/>
      <c r="AT599" s="51"/>
      <c r="AU599" s="51"/>
      <c r="AV599" s="51"/>
      <c r="AW599" s="51"/>
      <c r="AX599" s="51"/>
      <c r="AY599" s="51"/>
    </row>
    <row r="600" spans="32:51">
      <c r="AF600" s="51"/>
      <c r="AG600" s="53"/>
      <c r="AH600" s="51"/>
      <c r="AI600" s="51"/>
      <c r="AJ600" s="51"/>
      <c r="AK600" s="51"/>
      <c r="AL600" s="51"/>
      <c r="AM600" s="51"/>
      <c r="AN600" s="51"/>
      <c r="AO600" s="51"/>
      <c r="AP600" s="51"/>
      <c r="AQ600" s="51"/>
      <c r="AR600" s="53"/>
      <c r="AS600" s="51"/>
      <c r="AT600" s="51"/>
      <c r="AU600" s="51"/>
      <c r="AV600" s="51"/>
      <c r="AW600" s="51"/>
      <c r="AX600" s="51"/>
      <c r="AY600" s="51"/>
    </row>
    <row r="601" spans="32:51">
      <c r="AF601" s="51"/>
      <c r="AG601" s="53"/>
      <c r="AH601" s="51"/>
      <c r="AI601" s="51"/>
      <c r="AJ601" s="51"/>
      <c r="AK601" s="51"/>
      <c r="AL601" s="51"/>
      <c r="AM601" s="51"/>
      <c r="AN601" s="51"/>
      <c r="AO601" s="51"/>
      <c r="AP601" s="51"/>
      <c r="AQ601" s="51"/>
      <c r="AR601" s="53"/>
      <c r="AS601" s="51"/>
      <c r="AT601" s="51"/>
      <c r="AU601" s="51"/>
      <c r="AV601" s="51"/>
      <c r="AW601" s="51"/>
      <c r="AX601" s="51"/>
      <c r="AY601" s="51"/>
    </row>
    <row r="602" spans="32:51">
      <c r="AF602" s="51"/>
      <c r="AG602" s="53"/>
      <c r="AH602" s="51"/>
      <c r="AI602" s="51"/>
      <c r="AJ602" s="51"/>
      <c r="AK602" s="51"/>
      <c r="AL602" s="51"/>
      <c r="AM602" s="51"/>
      <c r="AN602" s="51"/>
      <c r="AO602" s="51"/>
      <c r="AP602" s="51"/>
      <c r="AQ602" s="51"/>
      <c r="AR602" s="53"/>
      <c r="AS602" s="51"/>
      <c r="AT602" s="51"/>
      <c r="AU602" s="51"/>
      <c r="AV602" s="51"/>
      <c r="AW602" s="51"/>
      <c r="AX602" s="51"/>
      <c r="AY602" s="51"/>
    </row>
    <row r="603" spans="32:51">
      <c r="AF603" s="51"/>
      <c r="AG603" s="53"/>
      <c r="AH603" s="51"/>
      <c r="AI603" s="51"/>
      <c r="AJ603" s="51"/>
      <c r="AK603" s="51"/>
      <c r="AL603" s="51"/>
      <c r="AM603" s="51"/>
      <c r="AN603" s="51"/>
      <c r="AO603" s="51"/>
      <c r="AP603" s="51"/>
      <c r="AQ603" s="51"/>
      <c r="AR603" s="53"/>
      <c r="AS603" s="51"/>
      <c r="AT603" s="51"/>
      <c r="AU603" s="51"/>
      <c r="AV603" s="51"/>
      <c r="AW603" s="51"/>
      <c r="AX603" s="51"/>
      <c r="AY603" s="51"/>
    </row>
    <row r="604" spans="32:51">
      <c r="AF604" s="51"/>
      <c r="AG604" s="53"/>
      <c r="AH604" s="51"/>
      <c r="AI604" s="51"/>
      <c r="AJ604" s="51"/>
      <c r="AK604" s="51"/>
      <c r="AL604" s="51"/>
      <c r="AM604" s="51"/>
      <c r="AN604" s="51"/>
      <c r="AO604" s="51"/>
      <c r="AP604" s="51"/>
      <c r="AQ604" s="51"/>
      <c r="AR604" s="53"/>
      <c r="AS604" s="51"/>
      <c r="AT604" s="51"/>
      <c r="AU604" s="51"/>
      <c r="AV604" s="51"/>
      <c r="AW604" s="51"/>
      <c r="AX604" s="51"/>
      <c r="AY604" s="51"/>
    </row>
    <row r="605" spans="32:51">
      <c r="AF605" s="51"/>
      <c r="AG605" s="53"/>
      <c r="AH605" s="51"/>
      <c r="AI605" s="51"/>
      <c r="AJ605" s="51"/>
      <c r="AK605" s="51"/>
      <c r="AL605" s="51"/>
      <c r="AM605" s="51"/>
      <c r="AN605" s="51"/>
      <c r="AO605" s="51"/>
      <c r="AP605" s="51"/>
      <c r="AQ605" s="51"/>
      <c r="AR605" s="53"/>
      <c r="AS605" s="51"/>
      <c r="AT605" s="51"/>
      <c r="AU605" s="51"/>
      <c r="AV605" s="51"/>
      <c r="AW605" s="51"/>
      <c r="AX605" s="51"/>
      <c r="AY605" s="51"/>
    </row>
    <row r="606" spans="32:51">
      <c r="AF606" s="51"/>
      <c r="AG606" s="53"/>
      <c r="AH606" s="51"/>
      <c r="AI606" s="51"/>
      <c r="AJ606" s="51"/>
      <c r="AK606" s="51"/>
      <c r="AL606" s="51"/>
      <c r="AM606" s="51"/>
      <c r="AN606" s="51"/>
      <c r="AO606" s="51"/>
      <c r="AP606" s="51"/>
      <c r="AQ606" s="51"/>
      <c r="AR606" s="53"/>
      <c r="AS606" s="51"/>
      <c r="AT606" s="51"/>
      <c r="AU606" s="51"/>
      <c r="AV606" s="51"/>
      <c r="AW606" s="51"/>
      <c r="AX606" s="51"/>
      <c r="AY606" s="51"/>
    </row>
    <row r="607" spans="32:51">
      <c r="AF607" s="51"/>
      <c r="AG607" s="53"/>
      <c r="AH607" s="51"/>
      <c r="AI607" s="51"/>
      <c r="AJ607" s="51"/>
      <c r="AK607" s="51"/>
      <c r="AL607" s="51"/>
      <c r="AM607" s="51"/>
      <c r="AN607" s="51"/>
      <c r="AO607" s="51"/>
      <c r="AP607" s="51"/>
      <c r="AQ607" s="51"/>
      <c r="AR607" s="53"/>
      <c r="AS607" s="51"/>
      <c r="AT607" s="51"/>
      <c r="AU607" s="51"/>
      <c r="AV607" s="51"/>
      <c r="AW607" s="51"/>
      <c r="AX607" s="51"/>
      <c r="AY607" s="51"/>
    </row>
    <row r="608" spans="32:51">
      <c r="AF608" s="51"/>
      <c r="AG608" s="53"/>
      <c r="AH608" s="51"/>
      <c r="AI608" s="51"/>
      <c r="AJ608" s="51"/>
      <c r="AK608" s="51"/>
      <c r="AL608" s="51"/>
      <c r="AM608" s="51"/>
      <c r="AN608" s="51"/>
      <c r="AO608" s="51"/>
      <c r="AP608" s="51"/>
      <c r="AQ608" s="51"/>
      <c r="AR608" s="53"/>
      <c r="AS608" s="51"/>
      <c r="AT608" s="51"/>
      <c r="AU608" s="51"/>
      <c r="AV608" s="51"/>
      <c r="AW608" s="51"/>
      <c r="AX608" s="51"/>
      <c r="AY608" s="51"/>
    </row>
    <row r="609" spans="32:51">
      <c r="AF609" s="51"/>
      <c r="AG609" s="53"/>
      <c r="AH609" s="51"/>
      <c r="AI609" s="51"/>
      <c r="AJ609" s="51"/>
      <c r="AK609" s="51"/>
      <c r="AL609" s="51"/>
      <c r="AM609" s="51"/>
      <c r="AN609" s="51"/>
      <c r="AO609" s="51"/>
      <c r="AP609" s="51"/>
      <c r="AQ609" s="51"/>
      <c r="AR609" s="53"/>
      <c r="AS609" s="51"/>
      <c r="AT609" s="51"/>
      <c r="AU609" s="51"/>
      <c r="AV609" s="51"/>
      <c r="AW609" s="51"/>
      <c r="AX609" s="51"/>
      <c r="AY609" s="51"/>
    </row>
    <row r="610" spans="32:51">
      <c r="AF610" s="51"/>
      <c r="AG610" s="53"/>
      <c r="AH610" s="51"/>
      <c r="AI610" s="51"/>
      <c r="AJ610" s="51"/>
      <c r="AK610" s="51"/>
      <c r="AL610" s="51"/>
      <c r="AM610" s="51"/>
      <c r="AN610" s="51"/>
      <c r="AO610" s="51"/>
      <c r="AP610" s="51"/>
      <c r="AQ610" s="51"/>
      <c r="AR610" s="53"/>
      <c r="AS610" s="51"/>
      <c r="AT610" s="51"/>
      <c r="AU610" s="51"/>
      <c r="AV610" s="51"/>
      <c r="AW610" s="51"/>
      <c r="AX610" s="51"/>
      <c r="AY610" s="51"/>
    </row>
    <row r="611" spans="32:51">
      <c r="AF611" s="51"/>
      <c r="AG611" s="53"/>
      <c r="AH611" s="51"/>
      <c r="AI611" s="51"/>
      <c r="AJ611" s="51"/>
      <c r="AK611" s="51"/>
      <c r="AL611" s="51"/>
      <c r="AM611" s="51"/>
      <c r="AN611" s="51"/>
      <c r="AO611" s="51"/>
      <c r="AP611" s="51"/>
      <c r="AQ611" s="51"/>
      <c r="AR611" s="53"/>
      <c r="AS611" s="51"/>
      <c r="AT611" s="51"/>
      <c r="AU611" s="51"/>
      <c r="AV611" s="51"/>
      <c r="AW611" s="51"/>
      <c r="AX611" s="51"/>
      <c r="AY611" s="51"/>
    </row>
    <row r="612" spans="32:51">
      <c r="AF612" s="51"/>
      <c r="AG612" s="53"/>
      <c r="AH612" s="51"/>
      <c r="AI612" s="51"/>
      <c r="AJ612" s="51"/>
      <c r="AK612" s="51"/>
      <c r="AL612" s="51"/>
      <c r="AM612" s="51"/>
      <c r="AN612" s="51"/>
      <c r="AO612" s="51"/>
      <c r="AP612" s="51"/>
      <c r="AQ612" s="51"/>
      <c r="AR612" s="53"/>
      <c r="AS612" s="51"/>
      <c r="AT612" s="51"/>
      <c r="AU612" s="51"/>
      <c r="AV612" s="51"/>
      <c r="AW612" s="51"/>
      <c r="AX612" s="51"/>
      <c r="AY612" s="51"/>
    </row>
    <row r="613" spans="32:51">
      <c r="AF613" s="51"/>
      <c r="AG613" s="53"/>
      <c r="AH613" s="51"/>
      <c r="AI613" s="51"/>
      <c r="AJ613" s="51"/>
      <c r="AK613" s="51"/>
      <c r="AL613" s="51"/>
      <c r="AM613" s="51"/>
      <c r="AN613" s="51"/>
      <c r="AO613" s="51"/>
      <c r="AP613" s="51"/>
      <c r="AQ613" s="51"/>
      <c r="AR613" s="53"/>
      <c r="AS613" s="51"/>
      <c r="AT613" s="51"/>
      <c r="AU613" s="51"/>
      <c r="AV613" s="51"/>
      <c r="AW613" s="51"/>
      <c r="AX613" s="51"/>
      <c r="AY613" s="51"/>
    </row>
    <row r="614" spans="32:51">
      <c r="AF614" s="51"/>
      <c r="AG614" s="53"/>
      <c r="AH614" s="51"/>
      <c r="AI614" s="51"/>
      <c r="AJ614" s="51"/>
      <c r="AK614" s="51"/>
      <c r="AL614" s="51"/>
      <c r="AM614" s="51"/>
      <c r="AN614" s="51"/>
      <c r="AO614" s="51"/>
      <c r="AP614" s="51"/>
      <c r="AQ614" s="51"/>
      <c r="AR614" s="53"/>
      <c r="AS614" s="51"/>
      <c r="AT614" s="51"/>
      <c r="AU614" s="51"/>
      <c r="AV614" s="51"/>
      <c r="AW614" s="51"/>
      <c r="AX614" s="51"/>
      <c r="AY614" s="51"/>
    </row>
    <row r="615" spans="32:51">
      <c r="AF615" s="51"/>
      <c r="AG615" s="53"/>
      <c r="AH615" s="51"/>
      <c r="AI615" s="51"/>
      <c r="AJ615" s="51"/>
      <c r="AK615" s="51"/>
      <c r="AL615" s="51"/>
      <c r="AM615" s="51"/>
      <c r="AN615" s="51"/>
      <c r="AO615" s="51"/>
      <c r="AP615" s="51"/>
      <c r="AQ615" s="51"/>
      <c r="AR615" s="53"/>
      <c r="AS615" s="51"/>
      <c r="AT615" s="51"/>
      <c r="AU615" s="51"/>
      <c r="AV615" s="51"/>
      <c r="AW615" s="51"/>
      <c r="AX615" s="51"/>
      <c r="AY615" s="51"/>
    </row>
    <row r="616" spans="32:51">
      <c r="AF616" s="51"/>
      <c r="AG616" s="53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3"/>
      <c r="AS616" s="51"/>
      <c r="AT616" s="51"/>
      <c r="AU616" s="51"/>
      <c r="AV616" s="51"/>
      <c r="AW616" s="51"/>
      <c r="AX616" s="51"/>
      <c r="AY616" s="51"/>
    </row>
    <row r="617" spans="32:51">
      <c r="AF617" s="51"/>
      <c r="AG617" s="53"/>
      <c r="AH617" s="51"/>
      <c r="AI617" s="51"/>
      <c r="AJ617" s="51"/>
      <c r="AK617" s="51"/>
      <c r="AL617" s="51"/>
      <c r="AM617" s="51"/>
      <c r="AN617" s="51"/>
      <c r="AO617" s="51"/>
      <c r="AP617" s="51"/>
      <c r="AQ617" s="51"/>
      <c r="AR617" s="53"/>
      <c r="AS617" s="51"/>
      <c r="AT617" s="51"/>
      <c r="AU617" s="51"/>
      <c r="AV617" s="51"/>
      <c r="AW617" s="51"/>
      <c r="AX617" s="51"/>
      <c r="AY617" s="51"/>
    </row>
    <row r="618" spans="32:51">
      <c r="AF618" s="51"/>
      <c r="AG618" s="53"/>
      <c r="AH618" s="51"/>
      <c r="AI618" s="51"/>
      <c r="AJ618" s="51"/>
      <c r="AK618" s="51"/>
      <c r="AL618" s="51"/>
      <c r="AM618" s="51"/>
      <c r="AN618" s="51"/>
      <c r="AO618" s="51"/>
      <c r="AP618" s="51"/>
      <c r="AQ618" s="51"/>
      <c r="AR618" s="53"/>
      <c r="AS618" s="51"/>
      <c r="AT618" s="51"/>
      <c r="AU618" s="51"/>
      <c r="AV618" s="51"/>
      <c r="AW618" s="51"/>
      <c r="AX618" s="51"/>
      <c r="AY618" s="51"/>
    </row>
    <row r="619" spans="32:51">
      <c r="AF619" s="51"/>
      <c r="AG619" s="53"/>
      <c r="AH619" s="51"/>
      <c r="AI619" s="51"/>
      <c r="AJ619" s="51"/>
      <c r="AK619" s="51"/>
      <c r="AL619" s="51"/>
      <c r="AM619" s="51"/>
      <c r="AN619" s="51"/>
      <c r="AO619" s="51"/>
      <c r="AP619" s="51"/>
      <c r="AQ619" s="51"/>
      <c r="AR619" s="53"/>
      <c r="AS619" s="51"/>
      <c r="AT619" s="51"/>
      <c r="AU619" s="51"/>
      <c r="AV619" s="51"/>
      <c r="AW619" s="51"/>
      <c r="AX619" s="51"/>
      <c r="AY619" s="51"/>
    </row>
    <row r="620" spans="32:51">
      <c r="AF620" s="51"/>
      <c r="AG620" s="53"/>
      <c r="AH620" s="51"/>
      <c r="AI620" s="51"/>
      <c r="AJ620" s="51"/>
      <c r="AK620" s="51"/>
      <c r="AL620" s="51"/>
      <c r="AM620" s="51"/>
      <c r="AN620" s="51"/>
      <c r="AO620" s="51"/>
      <c r="AP620" s="51"/>
      <c r="AQ620" s="51"/>
      <c r="AR620" s="53"/>
      <c r="AS620" s="51"/>
      <c r="AT620" s="51"/>
      <c r="AU620" s="51"/>
      <c r="AV620" s="51"/>
      <c r="AW620" s="51"/>
      <c r="AX620" s="51"/>
      <c r="AY620" s="51"/>
    </row>
    <row r="621" spans="32:51">
      <c r="AF621" s="51"/>
      <c r="AG621" s="53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3"/>
      <c r="AS621" s="51"/>
      <c r="AT621" s="51"/>
      <c r="AU621" s="51"/>
      <c r="AV621" s="51"/>
      <c r="AW621" s="51"/>
      <c r="AX621" s="51"/>
      <c r="AY621" s="51"/>
    </row>
    <row r="622" spans="32:51">
      <c r="AF622" s="51"/>
      <c r="AG622" s="53"/>
      <c r="AH622" s="51"/>
      <c r="AI622" s="51"/>
      <c r="AJ622" s="51"/>
      <c r="AK622" s="51"/>
      <c r="AL622" s="51"/>
      <c r="AM622" s="51"/>
      <c r="AN622" s="51"/>
      <c r="AO622" s="51"/>
      <c r="AP622" s="51"/>
      <c r="AQ622" s="51"/>
      <c r="AR622" s="53"/>
      <c r="AS622" s="51"/>
      <c r="AT622" s="51"/>
      <c r="AU622" s="51"/>
      <c r="AV622" s="51"/>
      <c r="AW622" s="51"/>
      <c r="AX622" s="51"/>
      <c r="AY622" s="51"/>
    </row>
    <row r="623" spans="32:51">
      <c r="AF623" s="51"/>
      <c r="AG623" s="53"/>
      <c r="AH623" s="51"/>
      <c r="AI623" s="51"/>
      <c r="AJ623" s="51"/>
      <c r="AK623" s="51"/>
      <c r="AL623" s="51"/>
      <c r="AM623" s="51"/>
      <c r="AN623" s="51"/>
      <c r="AO623" s="51"/>
      <c r="AP623" s="51"/>
      <c r="AQ623" s="51"/>
      <c r="AR623" s="53"/>
      <c r="AS623" s="51"/>
      <c r="AT623" s="51"/>
      <c r="AU623" s="51"/>
      <c r="AV623" s="51"/>
      <c r="AW623" s="51"/>
      <c r="AX623" s="51"/>
      <c r="AY623" s="51"/>
    </row>
    <row r="624" spans="32:51">
      <c r="AF624" s="51"/>
      <c r="AG624" s="53"/>
      <c r="AH624" s="51"/>
      <c r="AI624" s="51"/>
      <c r="AJ624" s="51"/>
      <c r="AK624" s="51"/>
      <c r="AL624" s="51"/>
      <c r="AM624" s="51"/>
      <c r="AN624" s="51"/>
      <c r="AO624" s="51"/>
      <c r="AP624" s="51"/>
      <c r="AQ624" s="51"/>
      <c r="AR624" s="53"/>
      <c r="AS624" s="51"/>
      <c r="AT624" s="51"/>
      <c r="AU624" s="51"/>
      <c r="AV624" s="51"/>
      <c r="AW624" s="51"/>
      <c r="AX624" s="51"/>
      <c r="AY624" s="51"/>
    </row>
    <row r="625" spans="32:51">
      <c r="AF625" s="51"/>
      <c r="AG625" s="53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3"/>
      <c r="AS625" s="51"/>
      <c r="AT625" s="51"/>
      <c r="AU625" s="51"/>
      <c r="AV625" s="51"/>
      <c r="AW625" s="51"/>
      <c r="AX625" s="51"/>
      <c r="AY625" s="51"/>
    </row>
    <row r="626" spans="32:51">
      <c r="AF626" s="51"/>
      <c r="AG626" s="53"/>
      <c r="AH626" s="51"/>
      <c r="AI626" s="51"/>
      <c r="AJ626" s="51"/>
      <c r="AK626" s="51"/>
      <c r="AL626" s="51"/>
      <c r="AM626" s="51"/>
      <c r="AN626" s="51"/>
      <c r="AO626" s="51"/>
      <c r="AP626" s="51"/>
      <c r="AQ626" s="51"/>
      <c r="AR626" s="53"/>
      <c r="AS626" s="51"/>
      <c r="AT626" s="51"/>
      <c r="AU626" s="51"/>
      <c r="AV626" s="51"/>
      <c r="AW626" s="51"/>
      <c r="AX626" s="51"/>
      <c r="AY626" s="51"/>
    </row>
    <row r="627" spans="32:51">
      <c r="AF627" s="51"/>
      <c r="AG627" s="53"/>
      <c r="AH627" s="51"/>
      <c r="AI627" s="51"/>
      <c r="AJ627" s="51"/>
      <c r="AK627" s="51"/>
      <c r="AL627" s="51"/>
      <c r="AM627" s="51"/>
      <c r="AN627" s="51"/>
      <c r="AO627" s="51"/>
      <c r="AP627" s="51"/>
      <c r="AQ627" s="51"/>
      <c r="AR627" s="53"/>
      <c r="AS627" s="51"/>
      <c r="AT627" s="51"/>
      <c r="AU627" s="51"/>
      <c r="AV627" s="51"/>
      <c r="AW627" s="51"/>
      <c r="AX627" s="51"/>
      <c r="AY627" s="51"/>
    </row>
    <row r="628" spans="32:51">
      <c r="AF628" s="51"/>
      <c r="AG628" s="53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3"/>
      <c r="AS628" s="51"/>
      <c r="AT628" s="51"/>
      <c r="AU628" s="51"/>
      <c r="AV628" s="51"/>
      <c r="AW628" s="51"/>
      <c r="AX628" s="51"/>
      <c r="AY628" s="51"/>
    </row>
    <row r="629" spans="32:51">
      <c r="AF629" s="51"/>
      <c r="AG629" s="53"/>
      <c r="AH629" s="51"/>
      <c r="AI629" s="51"/>
      <c r="AJ629" s="51"/>
      <c r="AK629" s="51"/>
      <c r="AL629" s="51"/>
      <c r="AM629" s="51"/>
      <c r="AN629" s="51"/>
      <c r="AO629" s="51"/>
      <c r="AP629" s="51"/>
      <c r="AQ629" s="51"/>
      <c r="AR629" s="53"/>
      <c r="AS629" s="51"/>
      <c r="AT629" s="51"/>
      <c r="AU629" s="51"/>
      <c r="AV629" s="51"/>
      <c r="AW629" s="51"/>
      <c r="AX629" s="51"/>
      <c r="AY629" s="51"/>
    </row>
    <row r="630" spans="32:51">
      <c r="AF630" s="51"/>
      <c r="AG630" s="53"/>
      <c r="AH630" s="51"/>
      <c r="AI630" s="51"/>
      <c r="AJ630" s="51"/>
      <c r="AK630" s="51"/>
      <c r="AL630" s="51"/>
      <c r="AM630" s="51"/>
      <c r="AN630" s="51"/>
      <c r="AO630" s="51"/>
      <c r="AP630" s="51"/>
      <c r="AQ630" s="51"/>
      <c r="AR630" s="53"/>
      <c r="AS630" s="51"/>
      <c r="AT630" s="51"/>
      <c r="AU630" s="51"/>
      <c r="AV630" s="51"/>
      <c r="AW630" s="51"/>
      <c r="AX630" s="51"/>
      <c r="AY630" s="51"/>
    </row>
    <row r="631" spans="32:51">
      <c r="AF631" s="51"/>
      <c r="AG631" s="53"/>
      <c r="AH631" s="51"/>
      <c r="AI631" s="51"/>
      <c r="AJ631" s="51"/>
      <c r="AK631" s="51"/>
      <c r="AL631" s="51"/>
      <c r="AM631" s="51"/>
      <c r="AN631" s="51"/>
      <c r="AO631" s="51"/>
      <c r="AP631" s="51"/>
      <c r="AQ631" s="51"/>
      <c r="AR631" s="53"/>
      <c r="AS631" s="51"/>
      <c r="AT631" s="51"/>
      <c r="AU631" s="51"/>
      <c r="AV631" s="51"/>
      <c r="AW631" s="51"/>
      <c r="AX631" s="51"/>
      <c r="AY631" s="51"/>
    </row>
    <row r="632" spans="32:51">
      <c r="AF632" s="51"/>
      <c r="AG632" s="53"/>
      <c r="AH632" s="51"/>
      <c r="AI632" s="51"/>
      <c r="AJ632" s="51"/>
      <c r="AK632" s="51"/>
      <c r="AL632" s="51"/>
      <c r="AM632" s="51"/>
      <c r="AN632" s="51"/>
      <c r="AO632" s="51"/>
      <c r="AP632" s="51"/>
      <c r="AQ632" s="51"/>
      <c r="AR632" s="53"/>
      <c r="AS632" s="51"/>
      <c r="AT632" s="51"/>
      <c r="AU632" s="51"/>
      <c r="AV632" s="51"/>
      <c r="AW632" s="51"/>
      <c r="AX632" s="51"/>
      <c r="AY632" s="51"/>
    </row>
    <row r="633" spans="32:51">
      <c r="AF633" s="51"/>
      <c r="AG633" s="53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3"/>
      <c r="AS633" s="51"/>
      <c r="AT633" s="51"/>
      <c r="AU633" s="51"/>
      <c r="AV633" s="51"/>
      <c r="AW633" s="51"/>
      <c r="AX633" s="51"/>
      <c r="AY633" s="51"/>
    </row>
    <row r="634" spans="32:51">
      <c r="AF634" s="51"/>
      <c r="AG634" s="53"/>
      <c r="AH634" s="51"/>
      <c r="AI634" s="51"/>
      <c r="AJ634" s="51"/>
      <c r="AK634" s="51"/>
      <c r="AL634" s="51"/>
      <c r="AM634" s="51"/>
      <c r="AN634" s="51"/>
      <c r="AO634" s="51"/>
      <c r="AP634" s="51"/>
      <c r="AQ634" s="51"/>
      <c r="AR634" s="53"/>
      <c r="AS634" s="51"/>
      <c r="AT634" s="51"/>
      <c r="AU634" s="51"/>
      <c r="AV634" s="51"/>
      <c r="AW634" s="51"/>
      <c r="AX634" s="51"/>
      <c r="AY634" s="51"/>
    </row>
    <row r="635" spans="32:51">
      <c r="AF635" s="51"/>
      <c r="AG635" s="53"/>
      <c r="AH635" s="51"/>
      <c r="AI635" s="51"/>
      <c r="AJ635" s="51"/>
      <c r="AK635" s="51"/>
      <c r="AL635" s="51"/>
      <c r="AM635" s="51"/>
      <c r="AN635" s="51"/>
      <c r="AO635" s="51"/>
      <c r="AP635" s="51"/>
      <c r="AQ635" s="51"/>
      <c r="AR635" s="53"/>
      <c r="AS635" s="51"/>
      <c r="AT635" s="51"/>
      <c r="AU635" s="51"/>
      <c r="AV635" s="51"/>
      <c r="AW635" s="51"/>
      <c r="AX635" s="51"/>
      <c r="AY635" s="51"/>
    </row>
    <row r="636" spans="32:51">
      <c r="AF636" s="51"/>
      <c r="AG636" s="53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3"/>
      <c r="AS636" s="51"/>
      <c r="AT636" s="51"/>
      <c r="AU636" s="51"/>
      <c r="AV636" s="51"/>
      <c r="AW636" s="51"/>
      <c r="AX636" s="51"/>
      <c r="AY636" s="51"/>
    </row>
    <row r="637" spans="32:51">
      <c r="AF637" s="51"/>
      <c r="AG637" s="53"/>
      <c r="AH637" s="51"/>
      <c r="AI637" s="51"/>
      <c r="AJ637" s="51"/>
      <c r="AK637" s="51"/>
      <c r="AL637" s="51"/>
      <c r="AM637" s="51"/>
      <c r="AN637" s="51"/>
      <c r="AO637" s="51"/>
      <c r="AP637" s="51"/>
      <c r="AQ637" s="51"/>
      <c r="AR637" s="53"/>
      <c r="AS637" s="51"/>
      <c r="AT637" s="51"/>
      <c r="AU637" s="51"/>
      <c r="AV637" s="51"/>
      <c r="AW637" s="51"/>
      <c r="AX637" s="51"/>
      <c r="AY637" s="51"/>
    </row>
    <row r="638" spans="32:51">
      <c r="AF638" s="51"/>
      <c r="AG638" s="53"/>
      <c r="AH638" s="51"/>
      <c r="AI638" s="51"/>
      <c r="AJ638" s="51"/>
      <c r="AK638" s="51"/>
      <c r="AL638" s="51"/>
      <c r="AM638" s="51"/>
      <c r="AN638" s="51"/>
      <c r="AO638" s="51"/>
      <c r="AP638" s="51"/>
      <c r="AQ638" s="51"/>
      <c r="AR638" s="53"/>
      <c r="AS638" s="51"/>
      <c r="AT638" s="51"/>
      <c r="AU638" s="51"/>
      <c r="AV638" s="51"/>
      <c r="AW638" s="51"/>
      <c r="AX638" s="51"/>
      <c r="AY638" s="51"/>
    </row>
    <row r="639" spans="32:51">
      <c r="AF639" s="51"/>
      <c r="AG639" s="53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3"/>
      <c r="AS639" s="51"/>
      <c r="AT639" s="51"/>
      <c r="AU639" s="51"/>
      <c r="AV639" s="51"/>
      <c r="AW639" s="51"/>
      <c r="AX639" s="51"/>
      <c r="AY639" s="51"/>
    </row>
    <row r="640" spans="32:51">
      <c r="AF640" s="51"/>
      <c r="AG640" s="53"/>
      <c r="AH640" s="51"/>
      <c r="AI640" s="51"/>
      <c r="AJ640" s="51"/>
      <c r="AK640" s="51"/>
      <c r="AL640" s="51"/>
      <c r="AM640" s="51"/>
      <c r="AN640" s="51"/>
      <c r="AO640" s="51"/>
      <c r="AP640" s="51"/>
      <c r="AQ640" s="51"/>
      <c r="AR640" s="53"/>
      <c r="AS640" s="51"/>
      <c r="AT640" s="51"/>
      <c r="AU640" s="51"/>
      <c r="AV640" s="51"/>
      <c r="AW640" s="51"/>
      <c r="AX640" s="51"/>
      <c r="AY640" s="51"/>
    </row>
    <row r="641" spans="32:51">
      <c r="AF641" s="51"/>
      <c r="AG641" s="53"/>
      <c r="AH641" s="51"/>
      <c r="AI641" s="51"/>
      <c r="AJ641" s="51"/>
      <c r="AK641" s="51"/>
      <c r="AL641" s="51"/>
      <c r="AM641" s="51"/>
      <c r="AN641" s="51"/>
      <c r="AO641" s="51"/>
      <c r="AP641" s="51"/>
      <c r="AQ641" s="51"/>
      <c r="AR641" s="53"/>
      <c r="AS641" s="51"/>
      <c r="AT641" s="51"/>
      <c r="AU641" s="51"/>
      <c r="AV641" s="51"/>
      <c r="AW641" s="51"/>
      <c r="AX641" s="51"/>
      <c r="AY641" s="51"/>
    </row>
    <row r="642" spans="32:51">
      <c r="AF642" s="51"/>
      <c r="AG642" s="53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3"/>
      <c r="AS642" s="51"/>
      <c r="AT642" s="51"/>
      <c r="AU642" s="51"/>
      <c r="AV642" s="51"/>
      <c r="AW642" s="51"/>
      <c r="AX642" s="51"/>
      <c r="AY642" s="51"/>
    </row>
    <row r="643" spans="32:51">
      <c r="AF643" s="51"/>
      <c r="AG643" s="53"/>
      <c r="AH643" s="51"/>
      <c r="AI643" s="51"/>
      <c r="AJ643" s="51"/>
      <c r="AK643" s="51"/>
      <c r="AL643" s="51"/>
      <c r="AM643" s="51"/>
      <c r="AN643" s="51"/>
      <c r="AO643" s="51"/>
      <c r="AP643" s="51"/>
      <c r="AQ643" s="51"/>
      <c r="AR643" s="53"/>
      <c r="AS643" s="51"/>
      <c r="AT643" s="51"/>
      <c r="AU643" s="51"/>
      <c r="AV643" s="51"/>
      <c r="AW643" s="51"/>
      <c r="AX643" s="51"/>
      <c r="AY643" s="51"/>
    </row>
    <row r="644" spans="32:51">
      <c r="AF644" s="51"/>
      <c r="AG644" s="53"/>
      <c r="AH644" s="51"/>
      <c r="AI644" s="51"/>
      <c r="AJ644" s="51"/>
      <c r="AK644" s="51"/>
      <c r="AL644" s="51"/>
      <c r="AM644" s="51"/>
      <c r="AN644" s="51"/>
      <c r="AO644" s="51"/>
      <c r="AP644" s="51"/>
      <c r="AQ644" s="51"/>
      <c r="AR644" s="53"/>
      <c r="AS644" s="51"/>
      <c r="AT644" s="51"/>
      <c r="AU644" s="51"/>
      <c r="AV644" s="51"/>
      <c r="AW644" s="51"/>
      <c r="AX644" s="51"/>
      <c r="AY644" s="51"/>
    </row>
    <row r="645" spans="32:51">
      <c r="AF645" s="51"/>
      <c r="AG645" s="53"/>
      <c r="AH645" s="51"/>
      <c r="AI645" s="51"/>
      <c r="AJ645" s="51"/>
      <c r="AK645" s="51"/>
      <c r="AL645" s="51"/>
      <c r="AM645" s="51"/>
      <c r="AN645" s="51"/>
      <c r="AO645" s="51"/>
      <c r="AP645" s="51"/>
      <c r="AQ645" s="51"/>
      <c r="AR645" s="53"/>
      <c r="AS645" s="51"/>
      <c r="AT645" s="51"/>
      <c r="AU645" s="51"/>
      <c r="AV645" s="51"/>
      <c r="AW645" s="51"/>
      <c r="AX645" s="51"/>
      <c r="AY645" s="51"/>
    </row>
    <row r="646" spans="32:51">
      <c r="AF646" s="51"/>
      <c r="AG646" s="53"/>
      <c r="AH646" s="51"/>
      <c r="AI646" s="51"/>
      <c r="AJ646" s="51"/>
      <c r="AK646" s="51"/>
      <c r="AL646" s="51"/>
      <c r="AM646" s="51"/>
      <c r="AN646" s="51"/>
      <c r="AO646" s="51"/>
      <c r="AP646" s="51"/>
      <c r="AQ646" s="51"/>
      <c r="AR646" s="53"/>
      <c r="AS646" s="51"/>
      <c r="AT646" s="51"/>
      <c r="AU646" s="51"/>
      <c r="AV646" s="51"/>
      <c r="AW646" s="51"/>
      <c r="AX646" s="51"/>
      <c r="AY646" s="51"/>
    </row>
    <row r="647" spans="32:51">
      <c r="AF647" s="51"/>
      <c r="AG647" s="53"/>
      <c r="AH647" s="51"/>
      <c r="AI647" s="51"/>
      <c r="AJ647" s="51"/>
      <c r="AK647" s="51"/>
      <c r="AL647" s="51"/>
      <c r="AM647" s="51"/>
      <c r="AN647" s="51"/>
      <c r="AO647" s="51"/>
      <c r="AP647" s="51"/>
      <c r="AQ647" s="51"/>
      <c r="AR647" s="53"/>
      <c r="AS647" s="51"/>
      <c r="AT647" s="51"/>
      <c r="AU647" s="51"/>
      <c r="AV647" s="51"/>
      <c r="AW647" s="51"/>
      <c r="AX647" s="51"/>
      <c r="AY647" s="51"/>
    </row>
    <row r="648" spans="32:51">
      <c r="AF648" s="51"/>
      <c r="AG648" s="53"/>
      <c r="AH648" s="51"/>
      <c r="AI648" s="51"/>
      <c r="AJ648" s="51"/>
      <c r="AK648" s="51"/>
      <c r="AL648" s="51"/>
      <c r="AM648" s="51"/>
      <c r="AN648" s="51"/>
      <c r="AO648" s="51"/>
      <c r="AP648" s="51"/>
      <c r="AQ648" s="51"/>
      <c r="AR648" s="53"/>
      <c r="AS648" s="51"/>
      <c r="AT648" s="51"/>
      <c r="AU648" s="51"/>
      <c r="AV648" s="51"/>
      <c r="AW648" s="51"/>
      <c r="AX648" s="51"/>
      <c r="AY648" s="51"/>
    </row>
    <row r="649" spans="32:51">
      <c r="AF649" s="51"/>
      <c r="AG649" s="53"/>
      <c r="AH649" s="51"/>
      <c r="AI649" s="51"/>
      <c r="AJ649" s="51"/>
      <c r="AK649" s="51"/>
      <c r="AL649" s="51"/>
      <c r="AM649" s="51"/>
      <c r="AN649" s="51"/>
      <c r="AO649" s="51"/>
      <c r="AP649" s="51"/>
      <c r="AQ649" s="51"/>
      <c r="AR649" s="53"/>
      <c r="AS649" s="51"/>
      <c r="AT649" s="51"/>
      <c r="AU649" s="51"/>
      <c r="AV649" s="51"/>
      <c r="AW649" s="51"/>
      <c r="AX649" s="51"/>
      <c r="AY649" s="51"/>
    </row>
    <row r="650" spans="32:51">
      <c r="AF650" s="51"/>
      <c r="AG650" s="53"/>
      <c r="AH650" s="51"/>
      <c r="AI650" s="51"/>
      <c r="AJ650" s="51"/>
      <c r="AK650" s="51"/>
      <c r="AL650" s="51"/>
      <c r="AM650" s="51"/>
      <c r="AN650" s="51"/>
      <c r="AO650" s="51"/>
      <c r="AP650" s="51"/>
      <c r="AQ650" s="51"/>
      <c r="AR650" s="53"/>
      <c r="AS650" s="51"/>
      <c r="AT650" s="51"/>
      <c r="AU650" s="51"/>
      <c r="AV650" s="51"/>
      <c r="AW650" s="51"/>
      <c r="AX650" s="51"/>
      <c r="AY650" s="51"/>
    </row>
    <row r="651" spans="32:51">
      <c r="AF651" s="51"/>
      <c r="AG651" s="53"/>
      <c r="AH651" s="51"/>
      <c r="AI651" s="51"/>
      <c r="AJ651" s="51"/>
      <c r="AK651" s="51"/>
      <c r="AL651" s="51"/>
      <c r="AM651" s="51"/>
      <c r="AN651" s="51"/>
      <c r="AO651" s="51"/>
      <c r="AP651" s="51"/>
      <c r="AQ651" s="51"/>
      <c r="AR651" s="53"/>
      <c r="AS651" s="51"/>
      <c r="AT651" s="51"/>
      <c r="AU651" s="51"/>
      <c r="AV651" s="51"/>
      <c r="AW651" s="51"/>
      <c r="AX651" s="51"/>
      <c r="AY651" s="51"/>
    </row>
    <row r="652" spans="32:51">
      <c r="AF652" s="51"/>
      <c r="AG652" s="53"/>
      <c r="AH652" s="51"/>
      <c r="AI652" s="51"/>
      <c r="AJ652" s="51"/>
      <c r="AK652" s="51"/>
      <c r="AL652" s="51"/>
      <c r="AM652" s="51"/>
      <c r="AN652" s="51"/>
      <c r="AO652" s="51"/>
      <c r="AP652" s="51"/>
      <c r="AQ652" s="51"/>
      <c r="AR652" s="53"/>
      <c r="AS652" s="51"/>
      <c r="AT652" s="51"/>
      <c r="AU652" s="51"/>
      <c r="AV652" s="51"/>
      <c r="AW652" s="51"/>
      <c r="AX652" s="51"/>
      <c r="AY652" s="51"/>
    </row>
    <row r="653" spans="32:51">
      <c r="AF653" s="51"/>
      <c r="AG653" s="53"/>
      <c r="AH653" s="51"/>
      <c r="AI653" s="51"/>
      <c r="AJ653" s="51"/>
      <c r="AK653" s="51"/>
      <c r="AL653" s="51"/>
      <c r="AM653" s="51"/>
      <c r="AN653" s="51"/>
      <c r="AO653" s="51"/>
      <c r="AP653" s="51"/>
      <c r="AQ653" s="51"/>
      <c r="AR653" s="53"/>
      <c r="AS653" s="51"/>
      <c r="AT653" s="51"/>
      <c r="AU653" s="51"/>
      <c r="AV653" s="51"/>
      <c r="AW653" s="51"/>
      <c r="AX653" s="51"/>
      <c r="AY653" s="51"/>
    </row>
    <row r="654" spans="32:51">
      <c r="AF654" s="51"/>
      <c r="AG654" s="53"/>
      <c r="AH654" s="51"/>
      <c r="AI654" s="51"/>
      <c r="AJ654" s="51"/>
      <c r="AK654" s="51"/>
      <c r="AL654" s="51"/>
      <c r="AM654" s="51"/>
      <c r="AN654" s="51"/>
      <c r="AO654" s="51"/>
      <c r="AP654" s="51"/>
      <c r="AQ654" s="51"/>
      <c r="AR654" s="53"/>
      <c r="AS654" s="51"/>
      <c r="AT654" s="51"/>
      <c r="AU654" s="51"/>
      <c r="AV654" s="51"/>
      <c r="AW654" s="51"/>
      <c r="AX654" s="51"/>
      <c r="AY654" s="51"/>
    </row>
    <row r="655" spans="32:51">
      <c r="AF655" s="51"/>
      <c r="AG655" s="53"/>
      <c r="AH655" s="51"/>
      <c r="AI655" s="51"/>
      <c r="AJ655" s="51"/>
      <c r="AK655" s="51"/>
      <c r="AL655" s="51"/>
      <c r="AM655" s="51"/>
      <c r="AN655" s="51"/>
      <c r="AO655" s="51"/>
      <c r="AP655" s="51"/>
      <c r="AQ655" s="51"/>
      <c r="AR655" s="53"/>
      <c r="AS655" s="51"/>
      <c r="AT655" s="51"/>
      <c r="AU655" s="51"/>
      <c r="AV655" s="51"/>
      <c r="AW655" s="51"/>
      <c r="AX655" s="51"/>
      <c r="AY655" s="51"/>
    </row>
    <row r="656" spans="32:51">
      <c r="AF656" s="51"/>
      <c r="AG656" s="53"/>
      <c r="AH656" s="51"/>
      <c r="AI656" s="51"/>
      <c r="AJ656" s="51"/>
      <c r="AK656" s="51"/>
      <c r="AL656" s="51"/>
      <c r="AM656" s="51"/>
      <c r="AN656" s="51"/>
      <c r="AO656" s="51"/>
      <c r="AP656" s="51"/>
      <c r="AQ656" s="51"/>
      <c r="AR656" s="53"/>
      <c r="AS656" s="51"/>
      <c r="AT656" s="51"/>
      <c r="AU656" s="51"/>
      <c r="AV656" s="51"/>
      <c r="AW656" s="51"/>
      <c r="AX656" s="51"/>
      <c r="AY656" s="51"/>
    </row>
    <row r="657" spans="32:51">
      <c r="AF657" s="51"/>
      <c r="AG657" s="53"/>
      <c r="AH657" s="51"/>
      <c r="AI657" s="51"/>
      <c r="AJ657" s="51"/>
      <c r="AK657" s="51"/>
      <c r="AL657" s="51"/>
      <c r="AM657" s="51"/>
      <c r="AN657" s="51"/>
      <c r="AO657" s="51"/>
      <c r="AP657" s="51"/>
      <c r="AQ657" s="51"/>
      <c r="AR657" s="53"/>
      <c r="AS657" s="51"/>
      <c r="AT657" s="51"/>
      <c r="AU657" s="51"/>
      <c r="AV657" s="51"/>
      <c r="AW657" s="51"/>
      <c r="AX657" s="51"/>
      <c r="AY657" s="51"/>
    </row>
    <row r="658" spans="32:51">
      <c r="AF658" s="51"/>
      <c r="AG658" s="53"/>
      <c r="AH658" s="51"/>
      <c r="AI658" s="51"/>
      <c r="AJ658" s="51"/>
      <c r="AK658" s="51"/>
      <c r="AL658" s="51"/>
      <c r="AM658" s="51"/>
      <c r="AN658" s="51"/>
      <c r="AO658" s="51"/>
      <c r="AP658" s="51"/>
      <c r="AQ658" s="51"/>
      <c r="AR658" s="53"/>
      <c r="AS658" s="51"/>
      <c r="AT658" s="51"/>
      <c r="AU658" s="51"/>
      <c r="AV658" s="51"/>
      <c r="AW658" s="51"/>
      <c r="AX658" s="51"/>
      <c r="AY658" s="51"/>
    </row>
    <row r="659" spans="32:51">
      <c r="AF659" s="51"/>
      <c r="AG659" s="53"/>
      <c r="AH659" s="51"/>
      <c r="AI659" s="51"/>
      <c r="AJ659" s="51"/>
      <c r="AK659" s="51"/>
      <c r="AL659" s="51"/>
      <c r="AM659" s="51"/>
      <c r="AN659" s="51"/>
      <c r="AO659" s="51"/>
      <c r="AP659" s="51"/>
      <c r="AQ659" s="51"/>
      <c r="AR659" s="53"/>
      <c r="AS659" s="51"/>
      <c r="AT659" s="51"/>
      <c r="AU659" s="51"/>
      <c r="AV659" s="51"/>
      <c r="AW659" s="51"/>
      <c r="AX659" s="51"/>
      <c r="AY659" s="51"/>
    </row>
    <row r="660" spans="32:51">
      <c r="AF660" s="51"/>
      <c r="AG660" s="53"/>
      <c r="AH660" s="51"/>
      <c r="AI660" s="51"/>
      <c r="AJ660" s="51"/>
      <c r="AK660" s="51"/>
      <c r="AL660" s="51"/>
      <c r="AM660" s="51"/>
      <c r="AN660" s="51"/>
      <c r="AO660" s="51"/>
      <c r="AP660" s="51"/>
      <c r="AQ660" s="51"/>
      <c r="AR660" s="53"/>
      <c r="AS660" s="51"/>
      <c r="AT660" s="51"/>
      <c r="AU660" s="51"/>
      <c r="AV660" s="51"/>
      <c r="AW660" s="51"/>
      <c r="AX660" s="51"/>
      <c r="AY660" s="51"/>
    </row>
    <row r="661" spans="32:51">
      <c r="AF661" s="51"/>
      <c r="AG661" s="53"/>
      <c r="AH661" s="51"/>
      <c r="AI661" s="51"/>
      <c r="AJ661" s="51"/>
      <c r="AK661" s="51"/>
      <c r="AL661" s="51"/>
      <c r="AM661" s="51"/>
      <c r="AN661" s="51"/>
      <c r="AO661" s="51"/>
      <c r="AP661" s="51"/>
      <c r="AQ661" s="51"/>
      <c r="AR661" s="53"/>
      <c r="AS661" s="51"/>
      <c r="AT661" s="51"/>
      <c r="AU661" s="51"/>
      <c r="AV661" s="51"/>
      <c r="AW661" s="51"/>
      <c r="AX661" s="51"/>
      <c r="AY661" s="51"/>
    </row>
    <row r="662" spans="32:51">
      <c r="AF662" s="51"/>
      <c r="AG662" s="53"/>
      <c r="AH662" s="51"/>
      <c r="AI662" s="51"/>
      <c r="AJ662" s="51"/>
      <c r="AK662" s="51"/>
      <c r="AL662" s="51"/>
      <c r="AM662" s="51"/>
      <c r="AN662" s="51"/>
      <c r="AO662" s="51"/>
      <c r="AP662" s="51"/>
      <c r="AQ662" s="51"/>
      <c r="AR662" s="53"/>
      <c r="AS662" s="51"/>
      <c r="AT662" s="51"/>
      <c r="AU662" s="51"/>
      <c r="AV662" s="51"/>
      <c r="AW662" s="51"/>
      <c r="AX662" s="51"/>
      <c r="AY662" s="51"/>
    </row>
    <row r="663" spans="32:51">
      <c r="AF663" s="51"/>
      <c r="AG663" s="53"/>
      <c r="AH663" s="51"/>
      <c r="AI663" s="51"/>
      <c r="AJ663" s="51"/>
      <c r="AK663" s="51"/>
      <c r="AL663" s="51"/>
      <c r="AM663" s="51"/>
      <c r="AN663" s="51"/>
      <c r="AO663" s="51"/>
      <c r="AP663" s="51"/>
      <c r="AQ663" s="51"/>
      <c r="AR663" s="53"/>
      <c r="AS663" s="51"/>
      <c r="AT663" s="51"/>
      <c r="AU663" s="51"/>
      <c r="AV663" s="51"/>
      <c r="AW663" s="51"/>
      <c r="AX663" s="51"/>
      <c r="AY663" s="51"/>
    </row>
    <row r="664" spans="32:51">
      <c r="AF664" s="51"/>
      <c r="AG664" s="53"/>
      <c r="AH664" s="51"/>
      <c r="AI664" s="51"/>
      <c r="AJ664" s="51"/>
      <c r="AK664" s="51"/>
      <c r="AL664" s="51"/>
      <c r="AM664" s="51"/>
      <c r="AN664" s="51"/>
      <c r="AO664" s="51"/>
      <c r="AP664" s="51"/>
      <c r="AQ664" s="51"/>
      <c r="AR664" s="53"/>
      <c r="AS664" s="51"/>
      <c r="AT664" s="51"/>
      <c r="AU664" s="51"/>
      <c r="AV664" s="51"/>
      <c r="AW664" s="51"/>
      <c r="AX664" s="51"/>
      <c r="AY664" s="51"/>
    </row>
    <row r="665" spans="32:51">
      <c r="AF665" s="51"/>
      <c r="AG665" s="53"/>
      <c r="AH665" s="51"/>
      <c r="AI665" s="51"/>
      <c r="AJ665" s="51"/>
      <c r="AK665" s="51"/>
      <c r="AL665" s="51"/>
      <c r="AM665" s="51"/>
      <c r="AN665" s="51"/>
      <c r="AO665" s="51"/>
      <c r="AP665" s="51"/>
      <c r="AQ665" s="51"/>
      <c r="AR665" s="53"/>
      <c r="AS665" s="51"/>
      <c r="AT665" s="51"/>
      <c r="AU665" s="51"/>
      <c r="AV665" s="51"/>
      <c r="AW665" s="51"/>
      <c r="AX665" s="51"/>
      <c r="AY665" s="51"/>
    </row>
    <row r="666" spans="32:51">
      <c r="AF666" s="51"/>
      <c r="AG666" s="53"/>
      <c r="AH666" s="51"/>
      <c r="AI666" s="51"/>
      <c r="AJ666" s="51"/>
      <c r="AK666" s="51"/>
      <c r="AL666" s="51"/>
      <c r="AM666" s="51"/>
      <c r="AN666" s="51"/>
      <c r="AO666" s="51"/>
      <c r="AP666" s="51"/>
      <c r="AQ666" s="51"/>
      <c r="AR666" s="53"/>
      <c r="AS666" s="51"/>
      <c r="AT666" s="51"/>
      <c r="AU666" s="51"/>
      <c r="AV666" s="51"/>
      <c r="AW666" s="51"/>
      <c r="AX666" s="51"/>
      <c r="AY666" s="51"/>
    </row>
    <row r="667" spans="32:51">
      <c r="AF667" s="51"/>
      <c r="AG667" s="53"/>
      <c r="AH667" s="51"/>
      <c r="AI667" s="51"/>
      <c r="AJ667" s="51"/>
      <c r="AK667" s="51"/>
      <c r="AL667" s="51"/>
      <c r="AM667" s="51"/>
      <c r="AN667" s="51"/>
      <c r="AO667" s="51"/>
      <c r="AP667" s="51"/>
      <c r="AQ667" s="51"/>
      <c r="AR667" s="53"/>
      <c r="AS667" s="51"/>
      <c r="AT667" s="51"/>
      <c r="AU667" s="51"/>
      <c r="AV667" s="51"/>
      <c r="AW667" s="51"/>
      <c r="AX667" s="51"/>
      <c r="AY667" s="51"/>
    </row>
    <row r="668" spans="32:51">
      <c r="AF668" s="51"/>
      <c r="AG668" s="53"/>
      <c r="AH668" s="51"/>
      <c r="AI668" s="51"/>
      <c r="AJ668" s="51"/>
      <c r="AK668" s="51"/>
      <c r="AL668" s="51"/>
      <c r="AM668" s="51"/>
      <c r="AN668" s="51"/>
      <c r="AO668" s="51"/>
      <c r="AP668" s="51"/>
      <c r="AQ668" s="51"/>
      <c r="AR668" s="53"/>
      <c r="AS668" s="51"/>
      <c r="AT668" s="51"/>
      <c r="AU668" s="51"/>
      <c r="AV668" s="51"/>
      <c r="AW668" s="51"/>
      <c r="AX668" s="51"/>
      <c r="AY668" s="51"/>
    </row>
    <row r="669" spans="32:51">
      <c r="AF669" s="51"/>
      <c r="AG669" s="53"/>
      <c r="AH669" s="51"/>
      <c r="AI669" s="51"/>
      <c r="AJ669" s="51"/>
      <c r="AK669" s="51"/>
      <c r="AL669" s="51"/>
      <c r="AM669" s="51"/>
      <c r="AN669" s="51"/>
      <c r="AO669" s="51"/>
      <c r="AP669" s="51"/>
      <c r="AQ669" s="51"/>
      <c r="AR669" s="53"/>
      <c r="AS669" s="51"/>
      <c r="AT669" s="51"/>
      <c r="AU669" s="51"/>
      <c r="AV669" s="51"/>
      <c r="AW669" s="51"/>
      <c r="AX669" s="51"/>
      <c r="AY669" s="51"/>
    </row>
    <row r="670" spans="32:51">
      <c r="AF670" s="51"/>
      <c r="AG670" s="53"/>
      <c r="AH670" s="51"/>
      <c r="AI670" s="51"/>
      <c r="AJ670" s="51"/>
      <c r="AK670" s="51"/>
      <c r="AL670" s="51"/>
      <c r="AM670" s="51"/>
      <c r="AN670" s="51"/>
      <c r="AO670" s="51"/>
      <c r="AP670" s="51"/>
      <c r="AQ670" s="51"/>
      <c r="AR670" s="53"/>
      <c r="AS670" s="51"/>
      <c r="AT670" s="51"/>
      <c r="AU670" s="51"/>
      <c r="AV670" s="51"/>
      <c r="AW670" s="51"/>
      <c r="AX670" s="51"/>
      <c r="AY670" s="51"/>
    </row>
    <row r="671" spans="32:51">
      <c r="AF671" s="51"/>
      <c r="AG671" s="53"/>
      <c r="AH671" s="51"/>
      <c r="AI671" s="51"/>
      <c r="AJ671" s="51"/>
      <c r="AK671" s="51"/>
      <c r="AL671" s="51"/>
      <c r="AM671" s="51"/>
      <c r="AN671" s="51"/>
      <c r="AO671" s="51"/>
      <c r="AP671" s="51"/>
      <c r="AQ671" s="51"/>
      <c r="AR671" s="53"/>
      <c r="AS671" s="51"/>
      <c r="AT671" s="51"/>
      <c r="AU671" s="51"/>
      <c r="AV671" s="51"/>
      <c r="AW671" s="51"/>
      <c r="AX671" s="51"/>
      <c r="AY671" s="51"/>
    </row>
    <row r="672" spans="32:51">
      <c r="AF672" s="51"/>
      <c r="AG672" s="53"/>
      <c r="AH672" s="51"/>
      <c r="AI672" s="51"/>
      <c r="AJ672" s="51"/>
      <c r="AK672" s="51"/>
      <c r="AL672" s="51"/>
      <c r="AM672" s="51"/>
      <c r="AN672" s="51"/>
      <c r="AO672" s="51"/>
      <c r="AP672" s="51"/>
      <c r="AQ672" s="51"/>
      <c r="AR672" s="53"/>
      <c r="AS672" s="51"/>
      <c r="AT672" s="51"/>
      <c r="AU672" s="51"/>
      <c r="AV672" s="51"/>
      <c r="AW672" s="51"/>
      <c r="AX672" s="51"/>
      <c r="AY672" s="51"/>
    </row>
    <row r="673" spans="32:51">
      <c r="AF673" s="51"/>
      <c r="AG673" s="53"/>
      <c r="AH673" s="51"/>
      <c r="AI673" s="51"/>
      <c r="AJ673" s="51"/>
      <c r="AK673" s="51"/>
      <c r="AL673" s="51"/>
      <c r="AM673" s="51"/>
      <c r="AN673" s="51"/>
      <c r="AO673" s="51"/>
      <c r="AP673" s="51"/>
      <c r="AQ673" s="51"/>
      <c r="AR673" s="53"/>
      <c r="AS673" s="51"/>
      <c r="AT673" s="51"/>
      <c r="AU673" s="51"/>
      <c r="AV673" s="51"/>
      <c r="AW673" s="51"/>
      <c r="AX673" s="51"/>
      <c r="AY673" s="51"/>
    </row>
    <row r="674" spans="32:51">
      <c r="AF674" s="51"/>
      <c r="AG674" s="53"/>
      <c r="AH674" s="51"/>
      <c r="AI674" s="51"/>
      <c r="AJ674" s="51"/>
      <c r="AK674" s="51"/>
      <c r="AL674" s="51"/>
      <c r="AM674" s="51"/>
      <c r="AN674" s="51"/>
      <c r="AO674" s="51"/>
      <c r="AP674" s="51"/>
      <c r="AQ674" s="51"/>
      <c r="AR674" s="53"/>
      <c r="AS674" s="51"/>
      <c r="AT674" s="51"/>
      <c r="AU674" s="51"/>
      <c r="AV674" s="51"/>
      <c r="AW674" s="51"/>
      <c r="AX674" s="51"/>
      <c r="AY674" s="51"/>
    </row>
    <row r="675" spans="32:51">
      <c r="AF675" s="51"/>
      <c r="AG675" s="53"/>
      <c r="AH675" s="51"/>
      <c r="AI675" s="51"/>
      <c r="AJ675" s="51"/>
      <c r="AK675" s="51"/>
      <c r="AL675" s="51"/>
      <c r="AM675" s="51"/>
      <c r="AN675" s="51"/>
      <c r="AO675" s="51"/>
      <c r="AP675" s="51"/>
      <c r="AQ675" s="51"/>
      <c r="AR675" s="53"/>
      <c r="AS675" s="51"/>
      <c r="AT675" s="51"/>
      <c r="AU675" s="51"/>
      <c r="AV675" s="51"/>
      <c r="AW675" s="51"/>
      <c r="AX675" s="51"/>
      <c r="AY675" s="51"/>
    </row>
    <row r="676" spans="32:51">
      <c r="AF676" s="51"/>
      <c r="AG676" s="53"/>
      <c r="AH676" s="51"/>
      <c r="AI676" s="51"/>
      <c r="AJ676" s="51"/>
      <c r="AK676" s="51"/>
      <c r="AL676" s="51"/>
      <c r="AM676" s="51"/>
      <c r="AN676" s="51"/>
      <c r="AO676" s="51"/>
      <c r="AP676" s="51"/>
      <c r="AQ676" s="51"/>
      <c r="AR676" s="53"/>
      <c r="AS676" s="51"/>
      <c r="AT676" s="51"/>
      <c r="AU676" s="51"/>
      <c r="AV676" s="51"/>
      <c r="AW676" s="51"/>
      <c r="AX676" s="51"/>
      <c r="AY676" s="51"/>
    </row>
    <row r="677" spans="32:51">
      <c r="AF677" s="51"/>
      <c r="AG677" s="53"/>
      <c r="AH677" s="51"/>
      <c r="AI677" s="51"/>
      <c r="AJ677" s="51"/>
      <c r="AK677" s="51"/>
      <c r="AL677" s="51"/>
      <c r="AM677" s="51"/>
      <c r="AN677" s="51"/>
      <c r="AO677" s="51"/>
      <c r="AP677" s="51"/>
      <c r="AQ677" s="51"/>
      <c r="AR677" s="53"/>
      <c r="AS677" s="51"/>
      <c r="AT677" s="51"/>
      <c r="AU677" s="51"/>
      <c r="AV677" s="51"/>
      <c r="AW677" s="51"/>
      <c r="AX677" s="51"/>
      <c r="AY677" s="51"/>
    </row>
    <row r="678" spans="32:51">
      <c r="AF678" s="51"/>
      <c r="AG678" s="53"/>
      <c r="AH678" s="51"/>
      <c r="AI678" s="51"/>
      <c r="AJ678" s="51"/>
      <c r="AK678" s="51"/>
      <c r="AL678" s="51"/>
      <c r="AM678" s="51"/>
      <c r="AN678" s="51"/>
      <c r="AO678" s="51"/>
      <c r="AP678" s="51"/>
      <c r="AQ678" s="51"/>
      <c r="AR678" s="53"/>
      <c r="AS678" s="51"/>
      <c r="AT678" s="51"/>
      <c r="AU678" s="51"/>
      <c r="AV678" s="51"/>
      <c r="AW678" s="51"/>
      <c r="AX678" s="51"/>
      <c r="AY678" s="51"/>
    </row>
    <row r="679" spans="32:51">
      <c r="AF679" s="51"/>
      <c r="AG679" s="53"/>
      <c r="AH679" s="51"/>
      <c r="AI679" s="51"/>
      <c r="AJ679" s="51"/>
      <c r="AK679" s="51"/>
      <c r="AL679" s="51"/>
      <c r="AM679" s="51"/>
      <c r="AN679" s="51"/>
      <c r="AO679" s="51"/>
      <c r="AP679" s="51"/>
      <c r="AQ679" s="51"/>
      <c r="AR679" s="53"/>
      <c r="AS679" s="51"/>
      <c r="AT679" s="51"/>
      <c r="AU679" s="51"/>
      <c r="AV679" s="51"/>
      <c r="AW679" s="51"/>
      <c r="AX679" s="51"/>
      <c r="AY679" s="51"/>
    </row>
    <row r="680" spans="32:51">
      <c r="AF680" s="51"/>
      <c r="AG680" s="53"/>
      <c r="AH680" s="51"/>
      <c r="AI680" s="51"/>
      <c r="AJ680" s="51"/>
      <c r="AK680" s="51"/>
      <c r="AL680" s="51"/>
      <c r="AM680" s="51"/>
      <c r="AN680" s="51"/>
      <c r="AO680" s="51"/>
      <c r="AP680" s="51"/>
      <c r="AQ680" s="51"/>
      <c r="AR680" s="53"/>
      <c r="AS680" s="51"/>
      <c r="AT680" s="51"/>
      <c r="AU680" s="51"/>
      <c r="AV680" s="51"/>
      <c r="AW680" s="51"/>
      <c r="AX680" s="51"/>
      <c r="AY680" s="51"/>
    </row>
    <row r="681" spans="32:51">
      <c r="AF681" s="51"/>
      <c r="AG681" s="53"/>
      <c r="AH681" s="51"/>
      <c r="AI681" s="51"/>
      <c r="AJ681" s="51"/>
      <c r="AK681" s="51"/>
      <c r="AL681" s="51"/>
      <c r="AM681" s="51"/>
      <c r="AN681" s="51"/>
      <c r="AO681" s="51"/>
      <c r="AP681" s="51"/>
      <c r="AQ681" s="51"/>
      <c r="AR681" s="53"/>
      <c r="AS681" s="51"/>
      <c r="AT681" s="51"/>
      <c r="AU681" s="51"/>
      <c r="AV681" s="51"/>
      <c r="AW681" s="51"/>
      <c r="AX681" s="51"/>
      <c r="AY681" s="51"/>
    </row>
    <row r="682" spans="32:51">
      <c r="AF682" s="51"/>
      <c r="AG682" s="53"/>
      <c r="AH682" s="51"/>
      <c r="AI682" s="51"/>
      <c r="AJ682" s="51"/>
      <c r="AK682" s="51"/>
      <c r="AL682" s="51"/>
      <c r="AM682" s="51"/>
      <c r="AN682" s="51"/>
      <c r="AO682" s="51"/>
      <c r="AP682" s="51"/>
      <c r="AQ682" s="51"/>
      <c r="AR682" s="53"/>
      <c r="AS682" s="51"/>
      <c r="AT682" s="51"/>
      <c r="AU682" s="51"/>
      <c r="AV682" s="51"/>
      <c r="AW682" s="51"/>
      <c r="AX682" s="51"/>
      <c r="AY682" s="51"/>
    </row>
    <row r="683" spans="32:51">
      <c r="AF683" s="51"/>
      <c r="AG683" s="53"/>
      <c r="AH683" s="51"/>
      <c r="AI683" s="51"/>
      <c r="AJ683" s="51"/>
      <c r="AK683" s="51"/>
      <c r="AL683" s="51"/>
      <c r="AM683" s="51"/>
      <c r="AN683" s="51"/>
      <c r="AO683" s="51"/>
      <c r="AP683" s="51"/>
      <c r="AQ683" s="51"/>
      <c r="AR683" s="53"/>
      <c r="AS683" s="51"/>
      <c r="AT683" s="51"/>
      <c r="AU683" s="51"/>
      <c r="AV683" s="51"/>
      <c r="AW683" s="51"/>
      <c r="AX683" s="51"/>
      <c r="AY683" s="51"/>
    </row>
    <row r="684" spans="32:51">
      <c r="AF684" s="51"/>
      <c r="AG684" s="53"/>
      <c r="AH684" s="51"/>
      <c r="AI684" s="51"/>
      <c r="AJ684" s="51"/>
      <c r="AK684" s="51"/>
      <c r="AL684" s="51"/>
      <c r="AM684" s="51"/>
      <c r="AN684" s="51"/>
      <c r="AO684" s="51"/>
      <c r="AP684" s="51"/>
      <c r="AQ684" s="51"/>
      <c r="AR684" s="53"/>
      <c r="AS684" s="51"/>
      <c r="AT684" s="51"/>
      <c r="AU684" s="51"/>
      <c r="AV684" s="51"/>
      <c r="AW684" s="51"/>
      <c r="AX684" s="51"/>
      <c r="AY684" s="51"/>
    </row>
    <row r="685" spans="32:51">
      <c r="AF685" s="51"/>
      <c r="AG685" s="53"/>
      <c r="AH685" s="51"/>
      <c r="AI685" s="51"/>
      <c r="AJ685" s="51"/>
      <c r="AK685" s="51"/>
      <c r="AL685" s="51"/>
      <c r="AM685" s="51"/>
      <c r="AN685" s="51"/>
      <c r="AO685" s="51"/>
      <c r="AP685" s="51"/>
      <c r="AQ685" s="51"/>
      <c r="AR685" s="53"/>
      <c r="AS685" s="51"/>
      <c r="AT685" s="51"/>
      <c r="AU685" s="51"/>
      <c r="AV685" s="51"/>
      <c r="AW685" s="51"/>
      <c r="AX685" s="51"/>
      <c r="AY685" s="51"/>
    </row>
    <row r="686" spans="32:51">
      <c r="AF686" s="51"/>
      <c r="AG686" s="53"/>
      <c r="AH686" s="51"/>
      <c r="AI686" s="51"/>
      <c r="AJ686" s="51"/>
      <c r="AK686" s="51"/>
      <c r="AL686" s="51"/>
      <c r="AM686" s="51"/>
      <c r="AN686" s="51"/>
      <c r="AO686" s="51"/>
      <c r="AP686" s="51"/>
      <c r="AQ686" s="51"/>
      <c r="AR686" s="53"/>
      <c r="AS686" s="51"/>
      <c r="AT686" s="51"/>
      <c r="AU686" s="51"/>
      <c r="AV686" s="51"/>
      <c r="AW686" s="51"/>
      <c r="AX686" s="51"/>
      <c r="AY686" s="51"/>
    </row>
    <row r="687" spans="32:51">
      <c r="AF687" s="51"/>
      <c r="AG687" s="53"/>
      <c r="AH687" s="51"/>
      <c r="AI687" s="51"/>
      <c r="AJ687" s="51"/>
      <c r="AK687" s="51"/>
      <c r="AL687" s="51"/>
      <c r="AM687" s="51"/>
      <c r="AN687" s="51"/>
      <c r="AO687" s="51"/>
      <c r="AP687" s="51"/>
      <c r="AQ687" s="51"/>
      <c r="AR687" s="53"/>
      <c r="AS687" s="51"/>
      <c r="AT687" s="51"/>
      <c r="AU687" s="51"/>
      <c r="AV687" s="51"/>
      <c r="AW687" s="51"/>
      <c r="AX687" s="51"/>
      <c r="AY687" s="51"/>
    </row>
    <row r="688" spans="32:51">
      <c r="AF688" s="51"/>
      <c r="AG688" s="53"/>
      <c r="AH688" s="51"/>
      <c r="AI688" s="51"/>
      <c r="AJ688" s="51"/>
      <c r="AK688" s="51"/>
      <c r="AL688" s="51"/>
      <c r="AM688" s="51"/>
      <c r="AN688" s="51"/>
      <c r="AO688" s="51"/>
      <c r="AP688" s="51"/>
      <c r="AQ688" s="51"/>
      <c r="AR688" s="53"/>
      <c r="AS688" s="51"/>
      <c r="AT688" s="51"/>
      <c r="AU688" s="51"/>
      <c r="AV688" s="51"/>
      <c r="AW688" s="51"/>
      <c r="AX688" s="51"/>
      <c r="AY688" s="51"/>
    </row>
    <row r="689" spans="32:51">
      <c r="AF689" s="51"/>
      <c r="AG689" s="53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3"/>
      <c r="AS689" s="51"/>
      <c r="AT689" s="51"/>
      <c r="AU689" s="51"/>
      <c r="AV689" s="51"/>
      <c r="AW689" s="51"/>
      <c r="AX689" s="51"/>
      <c r="AY689" s="51"/>
    </row>
    <row r="690" spans="32:51">
      <c r="AF690" s="51"/>
      <c r="AG690" s="53"/>
      <c r="AH690" s="51"/>
      <c r="AI690" s="51"/>
      <c r="AJ690" s="51"/>
      <c r="AK690" s="51"/>
      <c r="AL690" s="51"/>
      <c r="AM690" s="51"/>
      <c r="AN690" s="51"/>
      <c r="AO690" s="51"/>
      <c r="AP690" s="51"/>
      <c r="AQ690" s="51"/>
      <c r="AR690" s="53"/>
      <c r="AS690" s="51"/>
      <c r="AT690" s="51"/>
      <c r="AU690" s="51"/>
      <c r="AV690" s="51"/>
      <c r="AW690" s="51"/>
      <c r="AX690" s="51"/>
      <c r="AY690" s="51"/>
    </row>
    <row r="691" spans="32:51">
      <c r="AF691" s="51"/>
      <c r="AG691" s="53"/>
      <c r="AH691" s="51"/>
      <c r="AI691" s="51"/>
      <c r="AJ691" s="51"/>
      <c r="AK691" s="51"/>
      <c r="AL691" s="51"/>
      <c r="AM691" s="51"/>
      <c r="AN691" s="51"/>
      <c r="AO691" s="51"/>
      <c r="AP691" s="51"/>
      <c r="AQ691" s="51"/>
      <c r="AR691" s="53"/>
      <c r="AS691" s="51"/>
      <c r="AT691" s="51"/>
      <c r="AU691" s="51"/>
      <c r="AV691" s="51"/>
      <c r="AW691" s="51"/>
      <c r="AX691" s="51"/>
      <c r="AY691" s="51"/>
    </row>
    <row r="692" spans="32:51">
      <c r="AF692" s="51"/>
      <c r="AG692" s="53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3"/>
      <c r="AS692" s="51"/>
      <c r="AT692" s="51"/>
      <c r="AU692" s="51"/>
      <c r="AV692" s="51"/>
      <c r="AW692" s="51"/>
      <c r="AX692" s="51"/>
      <c r="AY692" s="51"/>
    </row>
    <row r="693" spans="32:51">
      <c r="AF693" s="51"/>
      <c r="AG693" s="53"/>
      <c r="AH693" s="51"/>
      <c r="AI693" s="51"/>
      <c r="AJ693" s="51"/>
      <c r="AK693" s="51"/>
      <c r="AL693" s="51"/>
      <c r="AM693" s="51"/>
      <c r="AN693" s="51"/>
      <c r="AO693" s="51"/>
      <c r="AP693" s="51"/>
      <c r="AQ693" s="51"/>
      <c r="AR693" s="53"/>
      <c r="AS693" s="51"/>
      <c r="AT693" s="51"/>
      <c r="AU693" s="51"/>
      <c r="AV693" s="51"/>
      <c r="AW693" s="51"/>
      <c r="AX693" s="51"/>
      <c r="AY693" s="51"/>
    </row>
    <row r="694" spans="32:51">
      <c r="AF694" s="51"/>
      <c r="AG694" s="53"/>
      <c r="AH694" s="51"/>
      <c r="AI694" s="51"/>
      <c r="AJ694" s="51"/>
      <c r="AK694" s="51"/>
      <c r="AL694" s="51"/>
      <c r="AM694" s="51"/>
      <c r="AN694" s="51"/>
      <c r="AO694" s="51"/>
      <c r="AP694" s="51"/>
      <c r="AQ694" s="51"/>
      <c r="AR694" s="53"/>
      <c r="AS694" s="51"/>
      <c r="AT694" s="51"/>
      <c r="AU694" s="51"/>
      <c r="AV694" s="51"/>
      <c r="AW694" s="51"/>
      <c r="AX694" s="51"/>
      <c r="AY694" s="51"/>
    </row>
    <row r="695" spans="32:51">
      <c r="AF695" s="51"/>
      <c r="AG695" s="53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3"/>
      <c r="AS695" s="51"/>
      <c r="AT695" s="51"/>
      <c r="AU695" s="51"/>
      <c r="AV695" s="51"/>
      <c r="AW695" s="51"/>
      <c r="AX695" s="51"/>
      <c r="AY695" s="51"/>
    </row>
    <row r="696" spans="32:51">
      <c r="AF696" s="51"/>
      <c r="AG696" s="53"/>
      <c r="AH696" s="51"/>
      <c r="AI696" s="51"/>
      <c r="AJ696" s="51"/>
      <c r="AK696" s="51"/>
      <c r="AL696" s="51"/>
      <c r="AM696" s="51"/>
      <c r="AN696" s="51"/>
      <c r="AO696" s="51"/>
      <c r="AP696" s="51"/>
      <c r="AQ696" s="51"/>
      <c r="AR696" s="53"/>
      <c r="AS696" s="51"/>
      <c r="AT696" s="51"/>
      <c r="AU696" s="51"/>
      <c r="AV696" s="51"/>
      <c r="AW696" s="51"/>
      <c r="AX696" s="51"/>
      <c r="AY696" s="51"/>
    </row>
    <row r="697" spans="32:51">
      <c r="AF697" s="51"/>
      <c r="AG697" s="53"/>
      <c r="AH697" s="51"/>
      <c r="AI697" s="51"/>
      <c r="AJ697" s="51"/>
      <c r="AK697" s="51"/>
      <c r="AL697" s="51"/>
      <c r="AM697" s="51"/>
      <c r="AN697" s="51"/>
      <c r="AO697" s="51"/>
      <c r="AP697" s="51"/>
      <c r="AQ697" s="51"/>
      <c r="AR697" s="53"/>
      <c r="AS697" s="51"/>
      <c r="AT697" s="51"/>
      <c r="AU697" s="51"/>
      <c r="AV697" s="51"/>
      <c r="AW697" s="51"/>
      <c r="AX697" s="51"/>
      <c r="AY697" s="51"/>
    </row>
    <row r="698" spans="32:51">
      <c r="AF698" s="51"/>
      <c r="AG698" s="53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3"/>
      <c r="AS698" s="51"/>
      <c r="AT698" s="51"/>
      <c r="AU698" s="51"/>
      <c r="AV698" s="51"/>
      <c r="AW698" s="51"/>
      <c r="AX698" s="51"/>
      <c r="AY698" s="51"/>
    </row>
    <row r="699" spans="32:51">
      <c r="AF699" s="51"/>
      <c r="AG699" s="53"/>
      <c r="AH699" s="51"/>
      <c r="AI699" s="51"/>
      <c r="AJ699" s="51"/>
      <c r="AK699" s="51"/>
      <c r="AL699" s="51"/>
      <c r="AM699" s="51"/>
      <c r="AN699" s="51"/>
      <c r="AO699" s="51"/>
      <c r="AP699" s="51"/>
      <c r="AQ699" s="51"/>
      <c r="AR699" s="53"/>
      <c r="AS699" s="51"/>
      <c r="AT699" s="51"/>
      <c r="AU699" s="51"/>
      <c r="AV699" s="51"/>
      <c r="AW699" s="51"/>
      <c r="AX699" s="51"/>
      <c r="AY699" s="51"/>
    </row>
    <row r="700" spans="32:51">
      <c r="AF700" s="51"/>
      <c r="AG700" s="53"/>
      <c r="AH700" s="51"/>
      <c r="AI700" s="51"/>
      <c r="AJ700" s="51"/>
      <c r="AK700" s="51"/>
      <c r="AL700" s="51"/>
      <c r="AM700" s="51"/>
      <c r="AN700" s="51"/>
      <c r="AO700" s="51"/>
      <c r="AP700" s="51"/>
      <c r="AQ700" s="51"/>
      <c r="AR700" s="53"/>
      <c r="AS700" s="51"/>
      <c r="AT700" s="51"/>
      <c r="AU700" s="51"/>
      <c r="AV700" s="51"/>
      <c r="AW700" s="51"/>
      <c r="AX700" s="51"/>
      <c r="AY700" s="51"/>
    </row>
    <row r="701" spans="32:51">
      <c r="AF701" s="51"/>
      <c r="AG701" s="53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3"/>
      <c r="AS701" s="51"/>
      <c r="AT701" s="51"/>
      <c r="AU701" s="51"/>
      <c r="AV701" s="51"/>
      <c r="AW701" s="51"/>
      <c r="AX701" s="51"/>
      <c r="AY701" s="51"/>
    </row>
    <row r="702" spans="32:51">
      <c r="AF702" s="51"/>
      <c r="AG702" s="53"/>
      <c r="AH702" s="51"/>
      <c r="AI702" s="51"/>
      <c r="AJ702" s="51"/>
      <c r="AK702" s="51"/>
      <c r="AL702" s="51"/>
      <c r="AM702" s="51"/>
      <c r="AN702" s="51"/>
      <c r="AO702" s="51"/>
      <c r="AP702" s="51"/>
      <c r="AQ702" s="51"/>
      <c r="AR702" s="53"/>
      <c r="AS702" s="51"/>
      <c r="AT702" s="51"/>
      <c r="AU702" s="51"/>
      <c r="AV702" s="51"/>
      <c r="AW702" s="51"/>
      <c r="AX702" s="51"/>
      <c r="AY702" s="51"/>
    </row>
    <row r="703" spans="32:51">
      <c r="AF703" s="51"/>
      <c r="AG703" s="53"/>
      <c r="AH703" s="51"/>
      <c r="AI703" s="51"/>
      <c r="AJ703" s="51"/>
      <c r="AK703" s="51"/>
      <c r="AL703" s="51"/>
      <c r="AM703" s="51"/>
      <c r="AN703" s="51"/>
      <c r="AO703" s="51"/>
      <c r="AP703" s="51"/>
      <c r="AQ703" s="51"/>
      <c r="AR703" s="53"/>
      <c r="AS703" s="51"/>
      <c r="AT703" s="51"/>
      <c r="AU703" s="51"/>
      <c r="AV703" s="51"/>
      <c r="AW703" s="51"/>
      <c r="AX703" s="51"/>
      <c r="AY703" s="51"/>
    </row>
    <row r="704" spans="32:51">
      <c r="AF704" s="51"/>
      <c r="AG704" s="53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3"/>
      <c r="AS704" s="51"/>
      <c r="AT704" s="51"/>
      <c r="AU704" s="51"/>
      <c r="AV704" s="51"/>
      <c r="AW704" s="51"/>
      <c r="AX704" s="51"/>
      <c r="AY704" s="51"/>
    </row>
    <row r="705" spans="32:51">
      <c r="AF705" s="51"/>
      <c r="AG705" s="53"/>
      <c r="AH705" s="51"/>
      <c r="AI705" s="51"/>
      <c r="AJ705" s="51"/>
      <c r="AK705" s="51"/>
      <c r="AL705" s="51"/>
      <c r="AM705" s="51"/>
      <c r="AN705" s="51"/>
      <c r="AO705" s="51"/>
      <c r="AP705" s="51"/>
      <c r="AQ705" s="51"/>
      <c r="AR705" s="53"/>
      <c r="AS705" s="51"/>
      <c r="AT705" s="51"/>
      <c r="AU705" s="51"/>
      <c r="AV705" s="51"/>
      <c r="AW705" s="51"/>
      <c r="AX705" s="51"/>
      <c r="AY705" s="51"/>
    </row>
    <row r="706" spans="32:51">
      <c r="AF706" s="51"/>
      <c r="AG706" s="53"/>
      <c r="AH706" s="51"/>
      <c r="AI706" s="51"/>
      <c r="AJ706" s="51"/>
      <c r="AK706" s="51"/>
      <c r="AL706" s="51"/>
      <c r="AM706" s="51"/>
      <c r="AN706" s="51"/>
      <c r="AO706" s="51"/>
      <c r="AP706" s="51"/>
      <c r="AQ706" s="51"/>
      <c r="AR706" s="53"/>
      <c r="AS706" s="51"/>
      <c r="AT706" s="51"/>
      <c r="AU706" s="51"/>
      <c r="AV706" s="51"/>
      <c r="AW706" s="51"/>
      <c r="AX706" s="51"/>
      <c r="AY706" s="51"/>
    </row>
    <row r="707" spans="32:51">
      <c r="AF707" s="51"/>
      <c r="AG707" s="53"/>
      <c r="AH707" s="51"/>
      <c r="AI707" s="51"/>
      <c r="AJ707" s="51"/>
      <c r="AK707" s="51"/>
      <c r="AL707" s="51"/>
      <c r="AM707" s="51"/>
      <c r="AN707" s="51"/>
      <c r="AO707" s="51"/>
      <c r="AP707" s="51"/>
      <c r="AQ707" s="51"/>
      <c r="AR707" s="53"/>
      <c r="AS707" s="51"/>
      <c r="AT707" s="51"/>
      <c r="AU707" s="51"/>
      <c r="AV707" s="51"/>
      <c r="AW707" s="51"/>
      <c r="AX707" s="51"/>
      <c r="AY707" s="51"/>
    </row>
    <row r="708" spans="32:51">
      <c r="AF708" s="51"/>
      <c r="AG708" s="53"/>
      <c r="AH708" s="51"/>
      <c r="AI708" s="51"/>
      <c r="AJ708" s="51"/>
      <c r="AK708" s="51"/>
      <c r="AL708" s="51"/>
      <c r="AM708" s="51"/>
      <c r="AN708" s="51"/>
      <c r="AO708" s="51"/>
      <c r="AP708" s="51"/>
      <c r="AQ708" s="51"/>
      <c r="AR708" s="53"/>
      <c r="AS708" s="51"/>
      <c r="AT708" s="51"/>
      <c r="AU708" s="51"/>
      <c r="AV708" s="51"/>
      <c r="AW708" s="51"/>
      <c r="AX708" s="51"/>
      <c r="AY708" s="51"/>
    </row>
    <row r="709" spans="32:51">
      <c r="AF709" s="51"/>
      <c r="AG709" s="53"/>
      <c r="AH709" s="51"/>
      <c r="AI709" s="51"/>
      <c r="AJ709" s="51"/>
      <c r="AK709" s="51"/>
      <c r="AL709" s="51"/>
      <c r="AM709" s="51"/>
      <c r="AN709" s="51"/>
      <c r="AO709" s="51"/>
      <c r="AP709" s="51"/>
      <c r="AQ709" s="51"/>
      <c r="AR709" s="53"/>
      <c r="AS709" s="51"/>
      <c r="AT709" s="51"/>
      <c r="AU709" s="51"/>
      <c r="AV709" s="51"/>
      <c r="AW709" s="51"/>
      <c r="AX709" s="51"/>
      <c r="AY709" s="51"/>
    </row>
    <row r="710" spans="32:51">
      <c r="AF710" s="51"/>
      <c r="AG710" s="53"/>
      <c r="AH710" s="51"/>
      <c r="AI710" s="51"/>
      <c r="AJ710" s="51"/>
      <c r="AK710" s="51"/>
      <c r="AL710" s="51"/>
      <c r="AM710" s="51"/>
      <c r="AN710" s="51"/>
      <c r="AO710" s="51"/>
      <c r="AP710" s="51"/>
      <c r="AQ710" s="51"/>
      <c r="AR710" s="53"/>
      <c r="AS710" s="51"/>
      <c r="AT710" s="51"/>
      <c r="AU710" s="51"/>
      <c r="AV710" s="51"/>
      <c r="AW710" s="51"/>
      <c r="AX710" s="51"/>
      <c r="AY710" s="51"/>
    </row>
    <row r="711" spans="32:51">
      <c r="AF711" s="51"/>
      <c r="AG711" s="53"/>
      <c r="AH711" s="51"/>
      <c r="AI711" s="51"/>
      <c r="AJ711" s="51"/>
      <c r="AK711" s="51"/>
      <c r="AL711" s="51"/>
      <c r="AM711" s="51"/>
      <c r="AN711" s="51"/>
      <c r="AO711" s="51"/>
      <c r="AP711" s="51"/>
      <c r="AQ711" s="51"/>
      <c r="AR711" s="53"/>
      <c r="AS711" s="51"/>
      <c r="AT711" s="51"/>
      <c r="AU711" s="51"/>
      <c r="AV711" s="51"/>
      <c r="AW711" s="51"/>
      <c r="AX711" s="51"/>
      <c r="AY711" s="51"/>
    </row>
    <row r="712" spans="32:51">
      <c r="AF712" s="51"/>
      <c r="AG712" s="53"/>
      <c r="AH712" s="51"/>
      <c r="AI712" s="51"/>
      <c r="AJ712" s="51"/>
      <c r="AK712" s="51"/>
      <c r="AL712" s="51"/>
      <c r="AM712" s="51"/>
      <c r="AN712" s="51"/>
      <c r="AO712" s="51"/>
      <c r="AP712" s="51"/>
      <c r="AQ712" s="51"/>
      <c r="AR712" s="53"/>
      <c r="AS712" s="51"/>
      <c r="AT712" s="51"/>
      <c r="AU712" s="51"/>
      <c r="AV712" s="51"/>
      <c r="AW712" s="51"/>
      <c r="AX712" s="51"/>
      <c r="AY712" s="51"/>
    </row>
    <row r="713" spans="32:51">
      <c r="AF713" s="51"/>
      <c r="AG713" s="53"/>
      <c r="AH713" s="51"/>
      <c r="AI713" s="51"/>
      <c r="AJ713" s="51"/>
      <c r="AK713" s="51"/>
      <c r="AL713" s="51"/>
      <c r="AM713" s="51"/>
      <c r="AN713" s="51"/>
      <c r="AO713" s="51"/>
      <c r="AP713" s="51"/>
      <c r="AQ713" s="51"/>
      <c r="AR713" s="53"/>
      <c r="AS713" s="51"/>
      <c r="AT713" s="51"/>
      <c r="AU713" s="51"/>
      <c r="AV713" s="51"/>
      <c r="AW713" s="51"/>
      <c r="AX713" s="51"/>
      <c r="AY713" s="51"/>
    </row>
    <row r="714" spans="32:51">
      <c r="AF714" s="51"/>
      <c r="AG714" s="53"/>
      <c r="AH714" s="51"/>
      <c r="AI714" s="51"/>
      <c r="AJ714" s="51"/>
      <c r="AK714" s="51"/>
      <c r="AL714" s="51"/>
      <c r="AM714" s="51"/>
      <c r="AN714" s="51"/>
      <c r="AO714" s="51"/>
      <c r="AP714" s="51"/>
      <c r="AQ714" s="51"/>
      <c r="AR714" s="53"/>
      <c r="AS714" s="51"/>
      <c r="AT714" s="51"/>
      <c r="AU714" s="51"/>
      <c r="AV714" s="51"/>
      <c r="AW714" s="51"/>
      <c r="AX714" s="51"/>
      <c r="AY714" s="51"/>
    </row>
    <row r="715" spans="32:51">
      <c r="AF715" s="51"/>
      <c r="AG715" s="53"/>
      <c r="AH715" s="51"/>
      <c r="AI715" s="51"/>
      <c r="AJ715" s="51"/>
      <c r="AK715" s="51"/>
      <c r="AL715" s="51"/>
      <c r="AM715" s="51"/>
      <c r="AN715" s="51"/>
      <c r="AO715" s="51"/>
      <c r="AP715" s="51"/>
      <c r="AQ715" s="51"/>
      <c r="AR715" s="53"/>
      <c r="AS715" s="51"/>
      <c r="AT715" s="51"/>
      <c r="AU715" s="51"/>
      <c r="AV715" s="51"/>
      <c r="AW715" s="51"/>
      <c r="AX715" s="51"/>
      <c r="AY715" s="51"/>
    </row>
    <row r="716" spans="32:51">
      <c r="AF716" s="51"/>
      <c r="AG716" s="53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3"/>
      <c r="AS716" s="51"/>
      <c r="AT716" s="51"/>
      <c r="AU716" s="51"/>
      <c r="AV716" s="51"/>
      <c r="AW716" s="51"/>
      <c r="AX716" s="51"/>
      <c r="AY716" s="51"/>
    </row>
    <row r="717" spans="32:51">
      <c r="AF717" s="51"/>
      <c r="AG717" s="53"/>
      <c r="AH717" s="51"/>
      <c r="AI717" s="51"/>
      <c r="AJ717" s="51"/>
      <c r="AK717" s="51"/>
      <c r="AL717" s="51"/>
      <c r="AM717" s="51"/>
      <c r="AN717" s="51"/>
      <c r="AO717" s="51"/>
      <c r="AP717" s="51"/>
      <c r="AQ717" s="51"/>
      <c r="AR717" s="53"/>
      <c r="AS717" s="51"/>
      <c r="AT717" s="51"/>
      <c r="AU717" s="51"/>
      <c r="AV717" s="51"/>
      <c r="AW717" s="51"/>
      <c r="AX717" s="51"/>
      <c r="AY717" s="51"/>
    </row>
    <row r="718" spans="32:51">
      <c r="AF718" s="51"/>
      <c r="AG718" s="53"/>
      <c r="AH718" s="51"/>
      <c r="AI718" s="51"/>
      <c r="AJ718" s="51"/>
      <c r="AK718" s="51"/>
      <c r="AL718" s="51"/>
      <c r="AM718" s="51"/>
      <c r="AN718" s="51"/>
      <c r="AO718" s="51"/>
      <c r="AP718" s="51"/>
      <c r="AQ718" s="51"/>
      <c r="AR718" s="53"/>
      <c r="AS718" s="51"/>
      <c r="AT718" s="51"/>
      <c r="AU718" s="51"/>
      <c r="AV718" s="51"/>
      <c r="AW718" s="51"/>
      <c r="AX718" s="51"/>
      <c r="AY718" s="51"/>
    </row>
    <row r="719" spans="32:51">
      <c r="AF719" s="51"/>
      <c r="AG719" s="53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3"/>
      <c r="AS719" s="51"/>
      <c r="AT719" s="51"/>
      <c r="AU719" s="51"/>
      <c r="AV719" s="51"/>
      <c r="AW719" s="51"/>
      <c r="AX719" s="51"/>
      <c r="AY719" s="51"/>
    </row>
    <row r="720" spans="32:51">
      <c r="AF720" s="51"/>
      <c r="AG720" s="53"/>
      <c r="AH720" s="51"/>
      <c r="AI720" s="51"/>
      <c r="AJ720" s="51"/>
      <c r="AK720" s="51"/>
      <c r="AL720" s="51"/>
      <c r="AM720" s="51"/>
      <c r="AN720" s="51"/>
      <c r="AO720" s="51"/>
      <c r="AP720" s="51"/>
      <c r="AQ720" s="51"/>
      <c r="AR720" s="53"/>
      <c r="AS720" s="51"/>
      <c r="AT720" s="51"/>
      <c r="AU720" s="51"/>
      <c r="AV720" s="51"/>
      <c r="AW720" s="51"/>
      <c r="AX720" s="51"/>
      <c r="AY720" s="51"/>
    </row>
    <row r="721" spans="32:51">
      <c r="AF721" s="51"/>
      <c r="AG721" s="53"/>
      <c r="AH721" s="51"/>
      <c r="AI721" s="51"/>
      <c r="AJ721" s="51"/>
      <c r="AK721" s="51"/>
      <c r="AL721" s="51"/>
      <c r="AM721" s="51"/>
      <c r="AN721" s="51"/>
      <c r="AO721" s="51"/>
      <c r="AP721" s="51"/>
      <c r="AQ721" s="51"/>
      <c r="AR721" s="53"/>
      <c r="AS721" s="51"/>
      <c r="AT721" s="51"/>
      <c r="AU721" s="51"/>
      <c r="AV721" s="51"/>
      <c r="AW721" s="51"/>
      <c r="AX721" s="51"/>
      <c r="AY721" s="51"/>
    </row>
    <row r="722" spans="32:51">
      <c r="AF722" s="51"/>
      <c r="AG722" s="53"/>
      <c r="AH722" s="51"/>
      <c r="AI722" s="51"/>
      <c r="AJ722" s="51"/>
      <c r="AK722" s="51"/>
      <c r="AL722" s="51"/>
      <c r="AM722" s="51"/>
      <c r="AN722" s="51"/>
      <c r="AO722" s="51"/>
      <c r="AP722" s="51"/>
      <c r="AQ722" s="51"/>
      <c r="AR722" s="53"/>
      <c r="AS722" s="51"/>
      <c r="AT722" s="51"/>
      <c r="AU722" s="51"/>
      <c r="AV722" s="51"/>
      <c r="AW722" s="51"/>
      <c r="AX722" s="51"/>
      <c r="AY722" s="51"/>
    </row>
    <row r="723" spans="32:51">
      <c r="AF723" s="51"/>
      <c r="AG723" s="53"/>
      <c r="AH723" s="51"/>
      <c r="AI723" s="51"/>
      <c r="AJ723" s="51"/>
      <c r="AK723" s="51"/>
      <c r="AL723" s="51"/>
      <c r="AM723" s="51"/>
      <c r="AN723" s="51"/>
      <c r="AO723" s="51"/>
      <c r="AP723" s="51"/>
      <c r="AQ723" s="51"/>
      <c r="AR723" s="53"/>
      <c r="AS723" s="51"/>
      <c r="AT723" s="51"/>
      <c r="AU723" s="51"/>
      <c r="AV723" s="51"/>
      <c r="AW723" s="51"/>
      <c r="AX723" s="51"/>
      <c r="AY723" s="51"/>
    </row>
    <row r="724" spans="32:51">
      <c r="AF724" s="51"/>
      <c r="AG724" s="53"/>
      <c r="AH724" s="51"/>
      <c r="AI724" s="51"/>
      <c r="AJ724" s="51"/>
      <c r="AK724" s="51"/>
      <c r="AL724" s="51"/>
      <c r="AM724" s="51"/>
      <c r="AN724" s="51"/>
      <c r="AO724" s="51"/>
      <c r="AP724" s="51"/>
      <c r="AQ724" s="51"/>
      <c r="AR724" s="53"/>
      <c r="AS724" s="51"/>
      <c r="AT724" s="51"/>
      <c r="AU724" s="51"/>
      <c r="AV724" s="51"/>
      <c r="AW724" s="51"/>
      <c r="AX724" s="51"/>
      <c r="AY724" s="51"/>
    </row>
    <row r="725" spans="32:51">
      <c r="AF725" s="51"/>
      <c r="AG725" s="53"/>
      <c r="AH725" s="51"/>
      <c r="AI725" s="51"/>
      <c r="AJ725" s="51"/>
      <c r="AK725" s="51"/>
      <c r="AL725" s="51"/>
      <c r="AM725" s="51"/>
      <c r="AN725" s="51"/>
      <c r="AO725" s="51"/>
      <c r="AP725" s="51"/>
      <c r="AQ725" s="51"/>
      <c r="AR725" s="53"/>
      <c r="AS725" s="51"/>
      <c r="AT725" s="51"/>
      <c r="AU725" s="51"/>
      <c r="AV725" s="51"/>
      <c r="AW725" s="51"/>
      <c r="AX725" s="51"/>
      <c r="AY725" s="51"/>
    </row>
    <row r="726" spans="32:51">
      <c r="AF726" s="51"/>
      <c r="AG726" s="53"/>
      <c r="AH726" s="51"/>
      <c r="AI726" s="51"/>
      <c r="AJ726" s="51"/>
      <c r="AK726" s="51"/>
      <c r="AL726" s="51"/>
      <c r="AM726" s="51"/>
      <c r="AN726" s="51"/>
      <c r="AO726" s="51"/>
      <c r="AP726" s="51"/>
      <c r="AQ726" s="51"/>
      <c r="AR726" s="53"/>
      <c r="AS726" s="51"/>
      <c r="AT726" s="51"/>
      <c r="AU726" s="51"/>
      <c r="AV726" s="51"/>
      <c r="AW726" s="51"/>
      <c r="AX726" s="51"/>
      <c r="AY726" s="51"/>
    </row>
    <row r="727" spans="32:51">
      <c r="AF727" s="51"/>
      <c r="AG727" s="53"/>
      <c r="AH727" s="51"/>
      <c r="AI727" s="51"/>
      <c r="AJ727" s="51"/>
      <c r="AK727" s="51"/>
      <c r="AL727" s="51"/>
      <c r="AM727" s="51"/>
      <c r="AN727" s="51"/>
      <c r="AO727" s="51"/>
      <c r="AP727" s="51"/>
      <c r="AQ727" s="51"/>
      <c r="AR727" s="53"/>
      <c r="AS727" s="51"/>
      <c r="AT727" s="51"/>
      <c r="AU727" s="51"/>
      <c r="AV727" s="51"/>
      <c r="AW727" s="51"/>
      <c r="AX727" s="51"/>
      <c r="AY727" s="51"/>
    </row>
    <row r="728" spans="32:51">
      <c r="AF728" s="51"/>
      <c r="AG728" s="53"/>
      <c r="AH728" s="51"/>
      <c r="AI728" s="51"/>
      <c r="AJ728" s="51"/>
      <c r="AK728" s="51"/>
      <c r="AL728" s="51"/>
      <c r="AM728" s="51"/>
      <c r="AN728" s="51"/>
      <c r="AO728" s="51"/>
      <c r="AP728" s="51"/>
      <c r="AQ728" s="51"/>
      <c r="AR728" s="53"/>
      <c r="AS728" s="51"/>
      <c r="AT728" s="51"/>
      <c r="AU728" s="51"/>
      <c r="AV728" s="51"/>
      <c r="AW728" s="51"/>
      <c r="AX728" s="51"/>
      <c r="AY728" s="51"/>
    </row>
    <row r="729" spans="32:51">
      <c r="AF729" s="51"/>
      <c r="AG729" s="53"/>
      <c r="AH729" s="51"/>
      <c r="AI729" s="51"/>
      <c r="AJ729" s="51"/>
      <c r="AK729" s="51"/>
      <c r="AL729" s="51"/>
      <c r="AM729" s="51"/>
      <c r="AN729" s="51"/>
      <c r="AO729" s="51"/>
      <c r="AP729" s="51"/>
      <c r="AQ729" s="51"/>
      <c r="AR729" s="53"/>
      <c r="AS729" s="51"/>
      <c r="AT729" s="51"/>
      <c r="AU729" s="51"/>
      <c r="AV729" s="51"/>
      <c r="AW729" s="51"/>
      <c r="AX729" s="51"/>
      <c r="AY729" s="51"/>
    </row>
    <row r="730" spans="32:51">
      <c r="AF730" s="51"/>
      <c r="AG730" s="53"/>
      <c r="AH730" s="51"/>
      <c r="AI730" s="51"/>
      <c r="AJ730" s="51"/>
      <c r="AK730" s="51"/>
      <c r="AL730" s="51"/>
      <c r="AM730" s="51"/>
      <c r="AN730" s="51"/>
      <c r="AO730" s="51"/>
      <c r="AP730" s="51"/>
      <c r="AQ730" s="51"/>
      <c r="AR730" s="53"/>
      <c r="AS730" s="51"/>
      <c r="AT730" s="51"/>
      <c r="AU730" s="51"/>
      <c r="AV730" s="51"/>
      <c r="AW730" s="51"/>
      <c r="AX730" s="51"/>
      <c r="AY730" s="51"/>
    </row>
    <row r="731" spans="32:51">
      <c r="AF731" s="51"/>
      <c r="AG731" s="53"/>
      <c r="AH731" s="51"/>
      <c r="AI731" s="51"/>
      <c r="AJ731" s="51"/>
      <c r="AK731" s="51"/>
      <c r="AL731" s="51"/>
      <c r="AM731" s="51"/>
      <c r="AN731" s="51"/>
      <c r="AO731" s="51"/>
      <c r="AP731" s="51"/>
      <c r="AQ731" s="51"/>
      <c r="AR731" s="53"/>
      <c r="AS731" s="51"/>
      <c r="AT731" s="51"/>
      <c r="AU731" s="51"/>
      <c r="AV731" s="51"/>
      <c r="AW731" s="51"/>
      <c r="AX731" s="51"/>
      <c r="AY731" s="51"/>
    </row>
    <row r="732" spans="32:51">
      <c r="AF732" s="51"/>
      <c r="AG732" s="53"/>
      <c r="AH732" s="51"/>
      <c r="AI732" s="51"/>
      <c r="AJ732" s="51"/>
      <c r="AK732" s="51"/>
      <c r="AL732" s="51"/>
      <c r="AM732" s="51"/>
      <c r="AN732" s="51"/>
      <c r="AO732" s="51"/>
      <c r="AP732" s="51"/>
      <c r="AQ732" s="51"/>
      <c r="AR732" s="53"/>
      <c r="AS732" s="51"/>
      <c r="AT732" s="51"/>
      <c r="AU732" s="51"/>
      <c r="AV732" s="51"/>
      <c r="AW732" s="51"/>
      <c r="AX732" s="51"/>
      <c r="AY732" s="51"/>
    </row>
    <row r="733" spans="32:51">
      <c r="AF733" s="51"/>
      <c r="AG733" s="53"/>
      <c r="AH733" s="51"/>
      <c r="AI733" s="51"/>
      <c r="AJ733" s="51"/>
      <c r="AK733" s="51"/>
      <c r="AL733" s="51"/>
      <c r="AM733" s="51"/>
      <c r="AN733" s="51"/>
      <c r="AO733" s="51"/>
      <c r="AP733" s="51"/>
      <c r="AQ733" s="51"/>
      <c r="AR733" s="53"/>
      <c r="AS733" s="51"/>
      <c r="AT733" s="51"/>
      <c r="AU733" s="51"/>
      <c r="AV733" s="51"/>
      <c r="AW733" s="51"/>
      <c r="AX733" s="51"/>
      <c r="AY733" s="51"/>
    </row>
    <row r="734" spans="32:51">
      <c r="AF734" s="51"/>
      <c r="AG734" s="53"/>
      <c r="AH734" s="51"/>
      <c r="AI734" s="51"/>
      <c r="AJ734" s="51"/>
      <c r="AK734" s="51"/>
      <c r="AL734" s="51"/>
      <c r="AM734" s="51"/>
      <c r="AN734" s="51"/>
      <c r="AO734" s="51"/>
      <c r="AP734" s="51"/>
      <c r="AQ734" s="51"/>
      <c r="AR734" s="53"/>
      <c r="AS734" s="51"/>
      <c r="AT734" s="51"/>
      <c r="AU734" s="51"/>
      <c r="AV734" s="51"/>
      <c r="AW734" s="51"/>
      <c r="AX734" s="51"/>
      <c r="AY734" s="51"/>
    </row>
    <row r="735" spans="32:51">
      <c r="AF735" s="51"/>
      <c r="AG735" s="53"/>
      <c r="AH735" s="51"/>
      <c r="AI735" s="51"/>
      <c r="AJ735" s="51"/>
      <c r="AK735" s="51"/>
      <c r="AL735" s="51"/>
      <c r="AM735" s="51"/>
      <c r="AN735" s="51"/>
      <c r="AO735" s="51"/>
      <c r="AP735" s="51"/>
      <c r="AQ735" s="51"/>
      <c r="AR735" s="53"/>
      <c r="AS735" s="51"/>
      <c r="AT735" s="51"/>
      <c r="AU735" s="51"/>
      <c r="AV735" s="51"/>
      <c r="AW735" s="51"/>
      <c r="AX735" s="51"/>
      <c r="AY735" s="51"/>
    </row>
    <row r="736" spans="32:51">
      <c r="AF736" s="51"/>
      <c r="AG736" s="53"/>
      <c r="AH736" s="51"/>
      <c r="AI736" s="51"/>
      <c r="AJ736" s="51"/>
      <c r="AK736" s="51"/>
      <c r="AL736" s="51"/>
      <c r="AM736" s="51"/>
      <c r="AN736" s="51"/>
      <c r="AO736" s="51"/>
      <c r="AP736" s="51"/>
      <c r="AQ736" s="51"/>
      <c r="AR736" s="53"/>
      <c r="AS736" s="51"/>
      <c r="AT736" s="51"/>
      <c r="AU736" s="51"/>
      <c r="AV736" s="51"/>
      <c r="AW736" s="51"/>
      <c r="AX736" s="51"/>
      <c r="AY736" s="51"/>
    </row>
    <row r="737" spans="32:51">
      <c r="AF737" s="51"/>
      <c r="AG737" s="53"/>
      <c r="AH737" s="51"/>
      <c r="AI737" s="51"/>
      <c r="AJ737" s="51"/>
      <c r="AK737" s="51"/>
      <c r="AL737" s="51"/>
      <c r="AM737" s="51"/>
      <c r="AN737" s="51"/>
      <c r="AO737" s="51"/>
      <c r="AP737" s="51"/>
      <c r="AQ737" s="51"/>
      <c r="AR737" s="53"/>
      <c r="AS737" s="51"/>
      <c r="AT737" s="51"/>
      <c r="AU737" s="51"/>
      <c r="AV737" s="51"/>
      <c r="AW737" s="51"/>
      <c r="AX737" s="51"/>
      <c r="AY737" s="51"/>
    </row>
    <row r="738" spans="32:51">
      <c r="AF738" s="51"/>
      <c r="AG738" s="53"/>
      <c r="AH738" s="51"/>
      <c r="AI738" s="51"/>
      <c r="AJ738" s="51"/>
      <c r="AK738" s="51"/>
      <c r="AL738" s="51"/>
      <c r="AM738" s="51"/>
      <c r="AN738" s="51"/>
      <c r="AO738" s="51"/>
      <c r="AP738" s="51"/>
      <c r="AQ738" s="51"/>
      <c r="AR738" s="53"/>
      <c r="AS738" s="51"/>
      <c r="AT738" s="51"/>
      <c r="AU738" s="51"/>
      <c r="AV738" s="51"/>
      <c r="AW738" s="51"/>
      <c r="AX738" s="51"/>
      <c r="AY738" s="51"/>
    </row>
    <row r="739" spans="32:51">
      <c r="AF739" s="51"/>
      <c r="AG739" s="53"/>
      <c r="AH739" s="51"/>
      <c r="AI739" s="51"/>
      <c r="AJ739" s="51"/>
      <c r="AK739" s="51"/>
      <c r="AL739" s="51"/>
      <c r="AM739" s="51"/>
      <c r="AN739" s="51"/>
      <c r="AO739" s="51"/>
      <c r="AP739" s="51"/>
      <c r="AQ739" s="51"/>
      <c r="AR739" s="53"/>
      <c r="AS739" s="51"/>
      <c r="AT739" s="51"/>
      <c r="AU739" s="51"/>
      <c r="AV739" s="51"/>
      <c r="AW739" s="51"/>
      <c r="AX739" s="51"/>
      <c r="AY739" s="51"/>
    </row>
    <row r="740" spans="32:51">
      <c r="AF740" s="51"/>
      <c r="AG740" s="53"/>
      <c r="AH740" s="51"/>
      <c r="AI740" s="51"/>
      <c r="AJ740" s="51"/>
      <c r="AK740" s="51"/>
      <c r="AL740" s="51"/>
      <c r="AM740" s="51"/>
      <c r="AN740" s="51"/>
      <c r="AO740" s="51"/>
      <c r="AP740" s="51"/>
      <c r="AQ740" s="51"/>
      <c r="AR740" s="53"/>
      <c r="AS740" s="51"/>
      <c r="AT740" s="51"/>
      <c r="AU740" s="51"/>
      <c r="AV740" s="51"/>
      <c r="AW740" s="51"/>
      <c r="AX740" s="51"/>
      <c r="AY740" s="51"/>
    </row>
    <row r="741" spans="32:51">
      <c r="AF741" s="51"/>
      <c r="AG741" s="53"/>
      <c r="AH741" s="51"/>
      <c r="AI741" s="51"/>
      <c r="AJ741" s="51"/>
      <c r="AK741" s="51"/>
      <c r="AL741" s="51"/>
      <c r="AM741" s="51"/>
      <c r="AN741" s="51"/>
      <c r="AO741" s="51"/>
      <c r="AP741" s="51"/>
      <c r="AQ741" s="51"/>
      <c r="AR741" s="53"/>
      <c r="AS741" s="51"/>
      <c r="AT741" s="51"/>
      <c r="AU741" s="51"/>
      <c r="AV741" s="51"/>
      <c r="AW741" s="51"/>
      <c r="AX741" s="51"/>
      <c r="AY741" s="51"/>
    </row>
    <row r="742" spans="32:51">
      <c r="AF742" s="51"/>
      <c r="AG742" s="53"/>
      <c r="AH742" s="51"/>
      <c r="AI742" s="51"/>
      <c r="AJ742" s="51"/>
      <c r="AK742" s="51"/>
      <c r="AL742" s="51"/>
      <c r="AM742" s="51"/>
      <c r="AN742" s="51"/>
      <c r="AO742" s="51"/>
      <c r="AP742" s="51"/>
      <c r="AQ742" s="51"/>
      <c r="AR742" s="53"/>
      <c r="AS742" s="51"/>
      <c r="AT742" s="51"/>
      <c r="AU742" s="51"/>
      <c r="AV742" s="51"/>
      <c r="AW742" s="51"/>
      <c r="AX742" s="51"/>
      <c r="AY742" s="51"/>
    </row>
    <row r="743" spans="32:51">
      <c r="AF743" s="51"/>
      <c r="AG743" s="53"/>
      <c r="AH743" s="51"/>
      <c r="AI743" s="51"/>
      <c r="AJ743" s="51"/>
      <c r="AK743" s="51"/>
      <c r="AL743" s="51"/>
      <c r="AM743" s="51"/>
      <c r="AN743" s="51"/>
      <c r="AO743" s="51"/>
      <c r="AP743" s="51"/>
      <c r="AQ743" s="51"/>
      <c r="AR743" s="53"/>
      <c r="AS743" s="51"/>
      <c r="AT743" s="51"/>
      <c r="AU743" s="51"/>
      <c r="AV743" s="51"/>
      <c r="AW743" s="51"/>
      <c r="AX743" s="51"/>
      <c r="AY743" s="51"/>
    </row>
    <row r="744" spans="32:51">
      <c r="AF744" s="51"/>
      <c r="AG744" s="53"/>
      <c r="AH744" s="51"/>
      <c r="AI744" s="51"/>
      <c r="AJ744" s="51"/>
      <c r="AK744" s="51"/>
      <c r="AL744" s="51"/>
      <c r="AM744" s="51"/>
      <c r="AN744" s="51"/>
      <c r="AO744" s="51"/>
      <c r="AP744" s="51"/>
      <c r="AQ744" s="51"/>
      <c r="AR744" s="53"/>
      <c r="AS744" s="51"/>
      <c r="AT744" s="51"/>
      <c r="AU744" s="51"/>
      <c r="AV744" s="51"/>
      <c r="AW744" s="51"/>
      <c r="AX744" s="51"/>
      <c r="AY744" s="51"/>
    </row>
    <row r="745" spans="32:51">
      <c r="AF745" s="51"/>
      <c r="AG745" s="53"/>
      <c r="AH745" s="51"/>
      <c r="AI745" s="51"/>
      <c r="AJ745" s="51"/>
      <c r="AK745" s="51"/>
      <c r="AL745" s="51"/>
      <c r="AM745" s="51"/>
      <c r="AN745" s="51"/>
      <c r="AO745" s="51"/>
      <c r="AP745" s="51"/>
      <c r="AQ745" s="51"/>
      <c r="AR745" s="53"/>
      <c r="AS745" s="51"/>
      <c r="AT745" s="51"/>
      <c r="AU745" s="51"/>
      <c r="AV745" s="51"/>
      <c r="AW745" s="51"/>
      <c r="AX745" s="51"/>
      <c r="AY745" s="51"/>
    </row>
    <row r="746" spans="32:51">
      <c r="AF746" s="51"/>
      <c r="AG746" s="53"/>
      <c r="AH746" s="51"/>
      <c r="AI746" s="51"/>
      <c r="AJ746" s="51"/>
      <c r="AK746" s="51"/>
      <c r="AL746" s="51"/>
      <c r="AM746" s="51"/>
      <c r="AN746" s="51"/>
      <c r="AO746" s="51"/>
      <c r="AP746" s="51"/>
      <c r="AQ746" s="51"/>
      <c r="AR746" s="53"/>
      <c r="AS746" s="51"/>
      <c r="AT746" s="51"/>
      <c r="AU746" s="51"/>
      <c r="AV746" s="51"/>
      <c r="AW746" s="51"/>
      <c r="AX746" s="51"/>
      <c r="AY746" s="51"/>
    </row>
    <row r="747" spans="32:51">
      <c r="AF747" s="51"/>
      <c r="AG747" s="53"/>
      <c r="AH747" s="51"/>
      <c r="AI747" s="51"/>
      <c r="AJ747" s="51"/>
      <c r="AK747" s="51"/>
      <c r="AL747" s="51"/>
      <c r="AM747" s="51"/>
      <c r="AN747" s="51"/>
      <c r="AO747" s="51"/>
      <c r="AP747" s="51"/>
      <c r="AQ747" s="51"/>
      <c r="AR747" s="53"/>
      <c r="AS747" s="51"/>
      <c r="AT747" s="51"/>
      <c r="AU747" s="51"/>
      <c r="AV747" s="51"/>
      <c r="AW747" s="51"/>
      <c r="AX747" s="51"/>
      <c r="AY747" s="51"/>
    </row>
    <row r="748" spans="32:51">
      <c r="AF748" s="51"/>
      <c r="AG748" s="53"/>
      <c r="AH748" s="51"/>
      <c r="AI748" s="51"/>
      <c r="AJ748" s="51"/>
      <c r="AK748" s="51"/>
      <c r="AL748" s="51"/>
      <c r="AM748" s="51"/>
      <c r="AN748" s="51"/>
      <c r="AO748" s="51"/>
      <c r="AP748" s="51"/>
      <c r="AQ748" s="51"/>
      <c r="AR748" s="53"/>
      <c r="AS748" s="51"/>
      <c r="AT748" s="51"/>
      <c r="AU748" s="51"/>
      <c r="AV748" s="51"/>
      <c r="AW748" s="51"/>
      <c r="AX748" s="51"/>
      <c r="AY748" s="51"/>
    </row>
    <row r="749" spans="32:51">
      <c r="AF749" s="51"/>
      <c r="AG749" s="53"/>
      <c r="AH749" s="51"/>
      <c r="AI749" s="51"/>
      <c r="AJ749" s="51"/>
      <c r="AK749" s="51"/>
      <c r="AL749" s="51"/>
      <c r="AM749" s="51"/>
      <c r="AN749" s="51"/>
      <c r="AO749" s="51"/>
      <c r="AP749" s="51"/>
      <c r="AQ749" s="51"/>
      <c r="AR749" s="53"/>
      <c r="AS749" s="51"/>
      <c r="AT749" s="51"/>
      <c r="AU749" s="51"/>
      <c r="AV749" s="51"/>
      <c r="AW749" s="51"/>
      <c r="AX749" s="51"/>
      <c r="AY749" s="51"/>
    </row>
    <row r="750" spans="32:51">
      <c r="AF750" s="51"/>
      <c r="AG750" s="53"/>
      <c r="AH750" s="51"/>
      <c r="AI750" s="51"/>
      <c r="AJ750" s="51"/>
      <c r="AK750" s="51"/>
      <c r="AL750" s="51"/>
      <c r="AM750" s="51"/>
      <c r="AN750" s="51"/>
      <c r="AO750" s="51"/>
      <c r="AP750" s="51"/>
      <c r="AQ750" s="51"/>
      <c r="AR750" s="53"/>
      <c r="AS750" s="51"/>
      <c r="AT750" s="51"/>
      <c r="AU750" s="51"/>
      <c r="AV750" s="51"/>
      <c r="AW750" s="51"/>
      <c r="AX750" s="51"/>
      <c r="AY750" s="51"/>
    </row>
    <row r="751" spans="32:51">
      <c r="AF751" s="51"/>
      <c r="AG751" s="53"/>
      <c r="AH751" s="51"/>
      <c r="AI751" s="51"/>
      <c r="AJ751" s="51"/>
      <c r="AK751" s="51"/>
      <c r="AL751" s="51"/>
      <c r="AM751" s="51"/>
      <c r="AN751" s="51"/>
      <c r="AO751" s="51"/>
      <c r="AP751" s="51"/>
      <c r="AQ751" s="51"/>
      <c r="AR751" s="53"/>
      <c r="AS751" s="51"/>
      <c r="AT751" s="51"/>
      <c r="AU751" s="51"/>
      <c r="AV751" s="51"/>
      <c r="AW751" s="51"/>
      <c r="AX751" s="51"/>
      <c r="AY751" s="51"/>
    </row>
    <row r="752" spans="32:51">
      <c r="AF752" s="51"/>
      <c r="AG752" s="53"/>
      <c r="AH752" s="51"/>
      <c r="AI752" s="51"/>
      <c r="AJ752" s="51"/>
      <c r="AK752" s="51"/>
      <c r="AL752" s="51"/>
      <c r="AM752" s="51"/>
      <c r="AN752" s="51"/>
      <c r="AO752" s="51"/>
      <c r="AP752" s="51"/>
      <c r="AQ752" s="51"/>
      <c r="AR752" s="53"/>
      <c r="AS752" s="51"/>
      <c r="AT752" s="51"/>
      <c r="AU752" s="51"/>
      <c r="AV752" s="51"/>
      <c r="AW752" s="51"/>
      <c r="AX752" s="51"/>
      <c r="AY752" s="51"/>
    </row>
    <row r="753" spans="32:51">
      <c r="AF753" s="51"/>
      <c r="AG753" s="53"/>
      <c r="AH753" s="51"/>
      <c r="AI753" s="51"/>
      <c r="AJ753" s="51"/>
      <c r="AK753" s="51"/>
      <c r="AL753" s="51"/>
      <c r="AM753" s="51"/>
      <c r="AN753" s="51"/>
      <c r="AO753" s="51"/>
      <c r="AP753" s="51"/>
      <c r="AQ753" s="51"/>
      <c r="AR753" s="53"/>
      <c r="AS753" s="51"/>
      <c r="AT753" s="51"/>
      <c r="AU753" s="51"/>
      <c r="AV753" s="51"/>
      <c r="AW753" s="51"/>
      <c r="AX753" s="51"/>
      <c r="AY753" s="51"/>
    </row>
    <row r="754" spans="32:51">
      <c r="AF754" s="51"/>
      <c r="AG754" s="53"/>
      <c r="AH754" s="51"/>
      <c r="AI754" s="51"/>
      <c r="AJ754" s="51"/>
      <c r="AK754" s="51"/>
      <c r="AL754" s="51"/>
      <c r="AM754" s="51"/>
      <c r="AN754" s="51"/>
      <c r="AO754" s="51"/>
      <c r="AP754" s="51"/>
      <c r="AQ754" s="51"/>
      <c r="AR754" s="53"/>
      <c r="AS754" s="51"/>
      <c r="AT754" s="51"/>
      <c r="AU754" s="51"/>
      <c r="AV754" s="51"/>
      <c r="AW754" s="51"/>
      <c r="AX754" s="51"/>
      <c r="AY754" s="51"/>
    </row>
    <row r="755" spans="32:51">
      <c r="AF755" s="51"/>
      <c r="AG755" s="53"/>
      <c r="AH755" s="51"/>
      <c r="AI755" s="51"/>
      <c r="AJ755" s="51"/>
      <c r="AK755" s="51"/>
      <c r="AL755" s="51"/>
      <c r="AM755" s="51"/>
      <c r="AN755" s="51"/>
      <c r="AO755" s="51"/>
      <c r="AP755" s="51"/>
      <c r="AQ755" s="51"/>
      <c r="AR755" s="53"/>
      <c r="AS755" s="51"/>
      <c r="AT755" s="51"/>
      <c r="AU755" s="51"/>
      <c r="AV755" s="51"/>
      <c r="AW755" s="51"/>
      <c r="AX755" s="51"/>
      <c r="AY755" s="51"/>
    </row>
    <row r="756" spans="32:51">
      <c r="AF756" s="51"/>
      <c r="AG756" s="53"/>
      <c r="AH756" s="51"/>
      <c r="AI756" s="51"/>
      <c r="AJ756" s="51"/>
      <c r="AK756" s="51"/>
      <c r="AL756" s="51"/>
      <c r="AM756" s="51"/>
      <c r="AN756" s="51"/>
      <c r="AO756" s="51"/>
      <c r="AP756" s="51"/>
      <c r="AQ756" s="51"/>
      <c r="AR756" s="53"/>
      <c r="AS756" s="51"/>
      <c r="AT756" s="51"/>
      <c r="AU756" s="51"/>
      <c r="AV756" s="51"/>
      <c r="AW756" s="51"/>
      <c r="AX756" s="51"/>
      <c r="AY756" s="51"/>
    </row>
    <row r="757" spans="32:51">
      <c r="AF757" s="51"/>
      <c r="AG757" s="53"/>
      <c r="AH757" s="51"/>
      <c r="AI757" s="51"/>
      <c r="AJ757" s="51"/>
      <c r="AK757" s="51"/>
      <c r="AL757" s="51"/>
      <c r="AM757" s="51"/>
      <c r="AN757" s="51"/>
      <c r="AO757" s="51"/>
      <c r="AP757" s="51"/>
      <c r="AQ757" s="51"/>
      <c r="AR757" s="53"/>
      <c r="AS757" s="51"/>
      <c r="AT757" s="51"/>
      <c r="AU757" s="51"/>
      <c r="AV757" s="51"/>
      <c r="AW757" s="51"/>
      <c r="AX757" s="51"/>
      <c r="AY757" s="51"/>
    </row>
    <row r="758" spans="32:51">
      <c r="AF758" s="51"/>
      <c r="AG758" s="53"/>
      <c r="AH758" s="51"/>
      <c r="AI758" s="51"/>
      <c r="AJ758" s="51"/>
      <c r="AK758" s="51"/>
      <c r="AL758" s="51"/>
      <c r="AM758" s="51"/>
      <c r="AN758" s="51"/>
      <c r="AO758" s="51"/>
      <c r="AP758" s="51"/>
      <c r="AQ758" s="51"/>
      <c r="AR758" s="53"/>
      <c r="AS758" s="51"/>
      <c r="AT758" s="51"/>
      <c r="AU758" s="51"/>
      <c r="AV758" s="51"/>
      <c r="AW758" s="51"/>
      <c r="AX758" s="51"/>
      <c r="AY758" s="51"/>
    </row>
    <row r="759" spans="32:51">
      <c r="AF759" s="51"/>
      <c r="AG759" s="53"/>
      <c r="AH759" s="51"/>
      <c r="AI759" s="51"/>
      <c r="AJ759" s="51"/>
      <c r="AK759" s="51"/>
      <c r="AL759" s="51"/>
      <c r="AM759" s="51"/>
      <c r="AN759" s="51"/>
      <c r="AO759" s="51"/>
      <c r="AP759" s="51"/>
      <c r="AQ759" s="51"/>
      <c r="AR759" s="53"/>
      <c r="AS759" s="51"/>
      <c r="AT759" s="51"/>
      <c r="AU759" s="51"/>
      <c r="AV759" s="51"/>
      <c r="AW759" s="51"/>
      <c r="AX759" s="51"/>
      <c r="AY759" s="51"/>
    </row>
    <row r="760" spans="32:51">
      <c r="AF760" s="51"/>
      <c r="AG760" s="53"/>
      <c r="AH760" s="51"/>
      <c r="AI760" s="51"/>
      <c r="AJ760" s="51"/>
      <c r="AK760" s="51"/>
      <c r="AL760" s="51"/>
      <c r="AM760" s="51"/>
      <c r="AN760" s="51"/>
      <c r="AO760" s="51"/>
      <c r="AP760" s="51"/>
      <c r="AQ760" s="51"/>
      <c r="AR760" s="53"/>
      <c r="AS760" s="51"/>
      <c r="AT760" s="51"/>
      <c r="AU760" s="51"/>
      <c r="AV760" s="51"/>
      <c r="AW760" s="51"/>
      <c r="AX760" s="51"/>
      <c r="AY760" s="51"/>
    </row>
    <row r="761" spans="32:51">
      <c r="AF761" s="51"/>
      <c r="AG761" s="53"/>
      <c r="AH761" s="51"/>
      <c r="AI761" s="51"/>
      <c r="AJ761" s="51"/>
      <c r="AK761" s="51"/>
      <c r="AL761" s="51"/>
      <c r="AM761" s="51"/>
      <c r="AN761" s="51"/>
      <c r="AO761" s="51"/>
      <c r="AP761" s="51"/>
      <c r="AQ761" s="51"/>
      <c r="AR761" s="53"/>
      <c r="AS761" s="51"/>
      <c r="AT761" s="51"/>
      <c r="AU761" s="51"/>
      <c r="AV761" s="51"/>
      <c r="AW761" s="51"/>
      <c r="AX761" s="51"/>
      <c r="AY761" s="51"/>
    </row>
    <row r="762" spans="32:51">
      <c r="AF762" s="51"/>
      <c r="AG762" s="53"/>
      <c r="AH762" s="51"/>
      <c r="AI762" s="51"/>
      <c r="AJ762" s="51"/>
      <c r="AK762" s="51"/>
      <c r="AL762" s="51"/>
      <c r="AM762" s="51"/>
      <c r="AN762" s="51"/>
      <c r="AO762" s="51"/>
      <c r="AP762" s="51"/>
      <c r="AQ762" s="51"/>
      <c r="AR762" s="53"/>
      <c r="AS762" s="51"/>
      <c r="AT762" s="51"/>
      <c r="AU762" s="51"/>
      <c r="AV762" s="51"/>
      <c r="AW762" s="51"/>
      <c r="AX762" s="51"/>
      <c r="AY762" s="51"/>
    </row>
    <row r="763" spans="32:51">
      <c r="AF763" s="51"/>
      <c r="AG763" s="53"/>
      <c r="AH763" s="51"/>
      <c r="AI763" s="51"/>
      <c r="AJ763" s="51"/>
      <c r="AK763" s="51"/>
      <c r="AL763" s="51"/>
      <c r="AM763" s="51"/>
      <c r="AN763" s="51"/>
      <c r="AO763" s="51"/>
      <c r="AP763" s="51"/>
      <c r="AQ763" s="51"/>
      <c r="AR763" s="53"/>
      <c r="AS763" s="51"/>
      <c r="AT763" s="51"/>
      <c r="AU763" s="51"/>
      <c r="AV763" s="51"/>
      <c r="AW763" s="51"/>
      <c r="AX763" s="51"/>
      <c r="AY763" s="51"/>
    </row>
    <row r="764" spans="32:51">
      <c r="AF764" s="51"/>
      <c r="AG764" s="53"/>
      <c r="AH764" s="51"/>
      <c r="AI764" s="51"/>
      <c r="AJ764" s="51"/>
      <c r="AK764" s="51"/>
      <c r="AL764" s="51"/>
      <c r="AM764" s="51"/>
      <c r="AN764" s="51"/>
      <c r="AO764" s="51"/>
      <c r="AP764" s="51"/>
      <c r="AQ764" s="51"/>
      <c r="AR764" s="53"/>
      <c r="AS764" s="51"/>
      <c r="AT764" s="51"/>
      <c r="AU764" s="51"/>
      <c r="AV764" s="51"/>
      <c r="AW764" s="51"/>
      <c r="AX764" s="51"/>
      <c r="AY764" s="51"/>
    </row>
    <row r="765" spans="32:51">
      <c r="AF765" s="51"/>
      <c r="AG765" s="53"/>
      <c r="AH765" s="51"/>
      <c r="AI765" s="51"/>
      <c r="AJ765" s="51"/>
      <c r="AK765" s="51"/>
      <c r="AL765" s="51"/>
      <c r="AM765" s="51"/>
      <c r="AN765" s="51"/>
      <c r="AO765" s="51"/>
      <c r="AP765" s="51"/>
      <c r="AQ765" s="51"/>
      <c r="AR765" s="53"/>
      <c r="AS765" s="51"/>
      <c r="AT765" s="51"/>
      <c r="AU765" s="51"/>
      <c r="AV765" s="51"/>
      <c r="AW765" s="51"/>
      <c r="AX765" s="51"/>
      <c r="AY765" s="51"/>
    </row>
    <row r="766" spans="32:51">
      <c r="AF766" s="51"/>
      <c r="AG766" s="53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3"/>
      <c r="AS766" s="51"/>
      <c r="AT766" s="51"/>
      <c r="AU766" s="51"/>
      <c r="AV766" s="51"/>
      <c r="AW766" s="51"/>
      <c r="AX766" s="51"/>
      <c r="AY766" s="51"/>
    </row>
    <row r="767" spans="32:51">
      <c r="AF767" s="51"/>
      <c r="AG767" s="53"/>
      <c r="AH767" s="51"/>
      <c r="AI767" s="51"/>
      <c r="AJ767" s="51"/>
      <c r="AK767" s="51"/>
      <c r="AL767" s="51"/>
      <c r="AM767" s="51"/>
      <c r="AN767" s="51"/>
      <c r="AO767" s="51"/>
      <c r="AP767" s="51"/>
      <c r="AQ767" s="51"/>
      <c r="AR767" s="53"/>
      <c r="AS767" s="51"/>
      <c r="AT767" s="51"/>
      <c r="AU767" s="51"/>
      <c r="AV767" s="51"/>
      <c r="AW767" s="51"/>
      <c r="AX767" s="51"/>
      <c r="AY767" s="51"/>
    </row>
    <row r="768" spans="32:51">
      <c r="AF768" s="51"/>
      <c r="AG768" s="53"/>
      <c r="AH768" s="51"/>
      <c r="AI768" s="51"/>
      <c r="AJ768" s="51"/>
      <c r="AK768" s="51"/>
      <c r="AL768" s="51"/>
      <c r="AM768" s="51"/>
      <c r="AN768" s="51"/>
      <c r="AO768" s="51"/>
      <c r="AP768" s="51"/>
      <c r="AQ768" s="51"/>
      <c r="AR768" s="53"/>
      <c r="AS768" s="51"/>
      <c r="AT768" s="51"/>
      <c r="AU768" s="51"/>
      <c r="AV768" s="51"/>
      <c r="AW768" s="51"/>
      <c r="AX768" s="51"/>
      <c r="AY768" s="51"/>
    </row>
    <row r="769" spans="32:51">
      <c r="AF769" s="51"/>
      <c r="AG769" s="53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3"/>
      <c r="AS769" s="51"/>
      <c r="AT769" s="51"/>
      <c r="AU769" s="51"/>
      <c r="AV769" s="51"/>
      <c r="AW769" s="51"/>
      <c r="AX769" s="51"/>
      <c r="AY769" s="51"/>
    </row>
    <row r="770" spans="32:51">
      <c r="AF770" s="51"/>
      <c r="AG770" s="53"/>
      <c r="AH770" s="51"/>
      <c r="AI770" s="51"/>
      <c r="AJ770" s="51"/>
      <c r="AK770" s="51"/>
      <c r="AL770" s="51"/>
      <c r="AM770" s="51"/>
      <c r="AN770" s="51"/>
      <c r="AO770" s="51"/>
      <c r="AP770" s="51"/>
      <c r="AQ770" s="51"/>
      <c r="AR770" s="53"/>
      <c r="AS770" s="51"/>
      <c r="AT770" s="51"/>
      <c r="AU770" s="51"/>
      <c r="AV770" s="51"/>
      <c r="AW770" s="51"/>
      <c r="AX770" s="51"/>
      <c r="AY770" s="51"/>
    </row>
    <row r="771" spans="32:51">
      <c r="AF771" s="51"/>
      <c r="AG771" s="53"/>
      <c r="AH771" s="51"/>
      <c r="AI771" s="51"/>
      <c r="AJ771" s="51"/>
      <c r="AK771" s="51"/>
      <c r="AL771" s="51"/>
      <c r="AM771" s="51"/>
      <c r="AN771" s="51"/>
      <c r="AO771" s="51"/>
      <c r="AP771" s="51"/>
      <c r="AQ771" s="51"/>
      <c r="AR771" s="53"/>
      <c r="AS771" s="51"/>
      <c r="AT771" s="51"/>
      <c r="AU771" s="51"/>
      <c r="AV771" s="51"/>
      <c r="AW771" s="51"/>
      <c r="AX771" s="51"/>
      <c r="AY771" s="51"/>
    </row>
    <row r="772" spans="32:51">
      <c r="AF772" s="51"/>
      <c r="AG772" s="53"/>
      <c r="AH772" s="51"/>
      <c r="AI772" s="51"/>
      <c r="AJ772" s="51"/>
      <c r="AK772" s="51"/>
      <c r="AL772" s="51"/>
      <c r="AM772" s="51"/>
      <c r="AN772" s="51"/>
      <c r="AO772" s="51"/>
      <c r="AP772" s="51"/>
      <c r="AQ772" s="51"/>
      <c r="AR772" s="53"/>
      <c r="AS772" s="51"/>
      <c r="AT772" s="51"/>
      <c r="AU772" s="51"/>
      <c r="AV772" s="51"/>
      <c r="AW772" s="51"/>
      <c r="AX772" s="51"/>
      <c r="AY772" s="51"/>
    </row>
    <row r="773" spans="32:51">
      <c r="AF773" s="51"/>
      <c r="AG773" s="53"/>
      <c r="AH773" s="51"/>
      <c r="AI773" s="51"/>
      <c r="AJ773" s="51"/>
      <c r="AK773" s="51"/>
      <c r="AL773" s="51"/>
      <c r="AM773" s="51"/>
      <c r="AN773" s="51"/>
      <c r="AO773" s="51"/>
      <c r="AP773" s="51"/>
      <c r="AQ773" s="51"/>
      <c r="AR773" s="53"/>
      <c r="AS773" s="51"/>
      <c r="AT773" s="51"/>
      <c r="AU773" s="51"/>
      <c r="AV773" s="51"/>
      <c r="AW773" s="51"/>
      <c r="AX773" s="51"/>
      <c r="AY773" s="51"/>
    </row>
    <row r="774" spans="32:51">
      <c r="AF774" s="51"/>
      <c r="AG774" s="53"/>
      <c r="AH774" s="51"/>
      <c r="AI774" s="51"/>
      <c r="AJ774" s="51"/>
      <c r="AK774" s="51"/>
      <c r="AL774" s="51"/>
      <c r="AM774" s="51"/>
      <c r="AN774" s="51"/>
      <c r="AO774" s="51"/>
      <c r="AP774" s="51"/>
      <c r="AQ774" s="51"/>
      <c r="AR774" s="53"/>
      <c r="AS774" s="51"/>
      <c r="AT774" s="51"/>
      <c r="AU774" s="51"/>
      <c r="AV774" s="51"/>
      <c r="AW774" s="51"/>
      <c r="AX774" s="51"/>
      <c r="AY774" s="51"/>
    </row>
    <row r="775" spans="32:51">
      <c r="AF775" s="51"/>
      <c r="AG775" s="53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3"/>
      <c r="AS775" s="51"/>
      <c r="AT775" s="51"/>
      <c r="AU775" s="51"/>
      <c r="AV775" s="51"/>
      <c r="AW775" s="51"/>
      <c r="AX775" s="51"/>
      <c r="AY775" s="51"/>
    </row>
    <row r="776" spans="32:51">
      <c r="AF776" s="51"/>
      <c r="AG776" s="53"/>
      <c r="AH776" s="51"/>
      <c r="AI776" s="51"/>
      <c r="AJ776" s="51"/>
      <c r="AK776" s="51"/>
      <c r="AL776" s="51"/>
      <c r="AM776" s="51"/>
      <c r="AN776" s="51"/>
      <c r="AO776" s="51"/>
      <c r="AP776" s="51"/>
      <c r="AQ776" s="51"/>
      <c r="AR776" s="53"/>
      <c r="AS776" s="51"/>
      <c r="AT776" s="51"/>
      <c r="AU776" s="51"/>
      <c r="AV776" s="51"/>
      <c r="AW776" s="51"/>
      <c r="AX776" s="51"/>
      <c r="AY776" s="51"/>
    </row>
    <row r="777" spans="32:51">
      <c r="AF777" s="51"/>
      <c r="AG777" s="53"/>
      <c r="AH777" s="51"/>
      <c r="AI777" s="51"/>
      <c r="AJ777" s="51"/>
      <c r="AK777" s="51"/>
      <c r="AL777" s="51"/>
      <c r="AM777" s="51"/>
      <c r="AN777" s="51"/>
      <c r="AO777" s="51"/>
      <c r="AP777" s="51"/>
      <c r="AQ777" s="51"/>
      <c r="AR777" s="53"/>
      <c r="AS777" s="51"/>
      <c r="AT777" s="51"/>
      <c r="AU777" s="51"/>
      <c r="AV777" s="51"/>
      <c r="AW777" s="51"/>
      <c r="AX777" s="51"/>
      <c r="AY777" s="51"/>
    </row>
    <row r="778" spans="32:51">
      <c r="AF778" s="51"/>
      <c r="AG778" s="53"/>
      <c r="AH778" s="51"/>
      <c r="AI778" s="51"/>
      <c r="AJ778" s="51"/>
      <c r="AK778" s="51"/>
      <c r="AL778" s="51"/>
      <c r="AM778" s="51"/>
      <c r="AN778" s="51"/>
      <c r="AO778" s="51"/>
      <c r="AP778" s="51"/>
      <c r="AQ778" s="51"/>
      <c r="AR778" s="53"/>
      <c r="AS778" s="51"/>
      <c r="AT778" s="51"/>
      <c r="AU778" s="51"/>
      <c r="AV778" s="51"/>
      <c r="AW778" s="51"/>
      <c r="AX778" s="51"/>
      <c r="AY778" s="51"/>
    </row>
    <row r="779" spans="32:51">
      <c r="AF779" s="51"/>
      <c r="AG779" s="53"/>
      <c r="AH779" s="51"/>
      <c r="AI779" s="51"/>
      <c r="AJ779" s="51"/>
      <c r="AK779" s="51"/>
      <c r="AL779" s="51"/>
      <c r="AM779" s="51"/>
      <c r="AN779" s="51"/>
      <c r="AO779" s="51"/>
      <c r="AP779" s="51"/>
      <c r="AQ779" s="51"/>
      <c r="AR779" s="53"/>
      <c r="AS779" s="51"/>
      <c r="AT779" s="51"/>
      <c r="AU779" s="51"/>
      <c r="AV779" s="51"/>
      <c r="AW779" s="51"/>
      <c r="AX779" s="51"/>
      <c r="AY779" s="51"/>
    </row>
    <row r="780" spans="32:51">
      <c r="AF780" s="51"/>
      <c r="AG780" s="53"/>
      <c r="AH780" s="51"/>
      <c r="AI780" s="51"/>
      <c r="AJ780" s="51"/>
      <c r="AK780" s="51"/>
      <c r="AL780" s="51"/>
      <c r="AM780" s="51"/>
      <c r="AN780" s="51"/>
      <c r="AO780" s="51"/>
      <c r="AP780" s="51"/>
      <c r="AQ780" s="51"/>
      <c r="AR780" s="53"/>
      <c r="AS780" s="51"/>
      <c r="AT780" s="51"/>
      <c r="AU780" s="51"/>
      <c r="AV780" s="51"/>
      <c r="AW780" s="51"/>
      <c r="AX780" s="51"/>
      <c r="AY780" s="51"/>
    </row>
    <row r="781" spans="32:51">
      <c r="AF781" s="51"/>
      <c r="AG781" s="53"/>
      <c r="AH781" s="51"/>
      <c r="AI781" s="51"/>
      <c r="AJ781" s="51"/>
      <c r="AK781" s="51"/>
      <c r="AL781" s="51"/>
      <c r="AM781" s="51"/>
      <c r="AN781" s="51"/>
      <c r="AO781" s="51"/>
      <c r="AP781" s="51"/>
      <c r="AQ781" s="51"/>
      <c r="AR781" s="53"/>
      <c r="AS781" s="51"/>
      <c r="AT781" s="51"/>
      <c r="AU781" s="51"/>
      <c r="AV781" s="51"/>
      <c r="AW781" s="51"/>
      <c r="AX781" s="51"/>
      <c r="AY781" s="51"/>
    </row>
    <row r="782" spans="32:51">
      <c r="AF782" s="51"/>
      <c r="AG782" s="53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3"/>
      <c r="AS782" s="51"/>
      <c r="AT782" s="51"/>
      <c r="AU782" s="51"/>
      <c r="AV782" s="51"/>
      <c r="AW782" s="51"/>
      <c r="AX782" s="51"/>
      <c r="AY782" s="51"/>
    </row>
    <row r="783" spans="32:51">
      <c r="AF783" s="51"/>
      <c r="AG783" s="53"/>
      <c r="AH783" s="51"/>
      <c r="AI783" s="51"/>
      <c r="AJ783" s="51"/>
      <c r="AK783" s="51"/>
      <c r="AL783" s="51"/>
      <c r="AM783" s="51"/>
      <c r="AN783" s="51"/>
      <c r="AO783" s="51"/>
      <c r="AP783" s="51"/>
      <c r="AQ783" s="51"/>
      <c r="AR783" s="53"/>
      <c r="AS783" s="51"/>
      <c r="AT783" s="51"/>
      <c r="AU783" s="51"/>
      <c r="AV783" s="51"/>
      <c r="AW783" s="51"/>
      <c r="AX783" s="51"/>
      <c r="AY783" s="51"/>
    </row>
    <row r="784" spans="32:51">
      <c r="AF784" s="51"/>
      <c r="AG784" s="53"/>
      <c r="AH784" s="51"/>
      <c r="AI784" s="51"/>
      <c r="AJ784" s="51"/>
      <c r="AK784" s="51"/>
      <c r="AL784" s="51"/>
      <c r="AM784" s="51"/>
      <c r="AN784" s="51"/>
      <c r="AO784" s="51"/>
      <c r="AP784" s="51"/>
      <c r="AQ784" s="51"/>
      <c r="AR784" s="53"/>
      <c r="AS784" s="51"/>
      <c r="AT784" s="51"/>
      <c r="AU784" s="51"/>
      <c r="AV784" s="51"/>
      <c r="AW784" s="51"/>
      <c r="AX784" s="51"/>
      <c r="AY784" s="51"/>
    </row>
    <row r="785" spans="32:51">
      <c r="AF785" s="51"/>
      <c r="AG785" s="53"/>
      <c r="AH785" s="51"/>
      <c r="AI785" s="51"/>
      <c r="AJ785" s="51"/>
      <c r="AK785" s="51"/>
      <c r="AL785" s="51"/>
      <c r="AM785" s="51"/>
      <c r="AN785" s="51"/>
      <c r="AO785" s="51"/>
      <c r="AP785" s="51"/>
      <c r="AQ785" s="51"/>
      <c r="AR785" s="53"/>
      <c r="AS785" s="51"/>
      <c r="AT785" s="51"/>
      <c r="AU785" s="51"/>
      <c r="AV785" s="51"/>
      <c r="AW785" s="51"/>
      <c r="AX785" s="51"/>
      <c r="AY785" s="51"/>
    </row>
    <row r="786" spans="32:51">
      <c r="AF786" s="51"/>
      <c r="AG786" s="53"/>
      <c r="AH786" s="51"/>
      <c r="AI786" s="51"/>
      <c r="AJ786" s="51"/>
      <c r="AK786" s="51"/>
      <c r="AL786" s="51"/>
      <c r="AM786" s="51"/>
      <c r="AN786" s="51"/>
      <c r="AO786" s="51"/>
      <c r="AP786" s="51"/>
      <c r="AQ786" s="51"/>
      <c r="AR786" s="53"/>
      <c r="AS786" s="51"/>
      <c r="AT786" s="51"/>
      <c r="AU786" s="51"/>
      <c r="AV786" s="51"/>
      <c r="AW786" s="51"/>
      <c r="AX786" s="51"/>
      <c r="AY786" s="51"/>
    </row>
    <row r="787" spans="32:51">
      <c r="AF787" s="51"/>
      <c r="AG787" s="53"/>
      <c r="AH787" s="51"/>
      <c r="AI787" s="51"/>
      <c r="AJ787" s="51"/>
      <c r="AK787" s="51"/>
      <c r="AL787" s="51"/>
      <c r="AM787" s="51"/>
      <c r="AN787" s="51"/>
      <c r="AO787" s="51"/>
      <c r="AP787" s="51"/>
      <c r="AQ787" s="51"/>
      <c r="AR787" s="53"/>
      <c r="AS787" s="51"/>
      <c r="AT787" s="51"/>
      <c r="AU787" s="51"/>
      <c r="AV787" s="51"/>
      <c r="AW787" s="51"/>
      <c r="AX787" s="51"/>
      <c r="AY787" s="51"/>
    </row>
    <row r="788" spans="32:51">
      <c r="AF788" s="51"/>
      <c r="AG788" s="53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3"/>
      <c r="AS788" s="51"/>
      <c r="AT788" s="51"/>
      <c r="AU788" s="51"/>
      <c r="AV788" s="51"/>
      <c r="AW788" s="51"/>
      <c r="AX788" s="51"/>
      <c r="AY788" s="51"/>
    </row>
    <row r="789" spans="32:51">
      <c r="AF789" s="51"/>
      <c r="AG789" s="53"/>
      <c r="AH789" s="51"/>
      <c r="AI789" s="51"/>
      <c r="AJ789" s="51"/>
      <c r="AK789" s="51"/>
      <c r="AL789" s="51"/>
      <c r="AM789" s="51"/>
      <c r="AN789" s="51"/>
      <c r="AO789" s="51"/>
      <c r="AP789" s="51"/>
      <c r="AQ789" s="51"/>
      <c r="AR789" s="53"/>
      <c r="AS789" s="51"/>
      <c r="AT789" s="51"/>
      <c r="AU789" s="51"/>
      <c r="AV789" s="51"/>
      <c r="AW789" s="51"/>
      <c r="AX789" s="51"/>
      <c r="AY789" s="51"/>
    </row>
    <row r="790" spans="32:51">
      <c r="AF790" s="51"/>
      <c r="AG790" s="53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3"/>
      <c r="AS790" s="51"/>
      <c r="AT790" s="51"/>
      <c r="AU790" s="51"/>
      <c r="AV790" s="51"/>
      <c r="AW790" s="51"/>
      <c r="AX790" s="51"/>
      <c r="AY790" s="51"/>
    </row>
    <row r="791" spans="32:51">
      <c r="AF791" s="51"/>
      <c r="AG791" s="53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3"/>
      <c r="AS791" s="51"/>
      <c r="AT791" s="51"/>
      <c r="AU791" s="51"/>
      <c r="AV791" s="51"/>
      <c r="AW791" s="51"/>
      <c r="AX791" s="51"/>
      <c r="AY791" s="51"/>
    </row>
    <row r="792" spans="32:51">
      <c r="AF792" s="51"/>
      <c r="AG792" s="53"/>
      <c r="AH792" s="51"/>
      <c r="AI792" s="51"/>
      <c r="AJ792" s="51"/>
      <c r="AK792" s="51"/>
      <c r="AL792" s="51"/>
      <c r="AM792" s="51"/>
      <c r="AN792" s="51"/>
      <c r="AO792" s="51"/>
      <c r="AP792" s="51"/>
      <c r="AQ792" s="51"/>
      <c r="AR792" s="53"/>
      <c r="AS792" s="51"/>
      <c r="AT792" s="51"/>
      <c r="AU792" s="51"/>
      <c r="AV792" s="51"/>
      <c r="AW792" s="51"/>
      <c r="AX792" s="51"/>
      <c r="AY792" s="51"/>
    </row>
    <row r="793" spans="32:51">
      <c r="AF793" s="51"/>
      <c r="AG793" s="53"/>
      <c r="AH793" s="51"/>
      <c r="AI793" s="51"/>
      <c r="AJ793" s="51"/>
      <c r="AK793" s="51"/>
      <c r="AL793" s="51"/>
      <c r="AM793" s="51"/>
      <c r="AN793" s="51"/>
      <c r="AO793" s="51"/>
      <c r="AP793" s="51"/>
      <c r="AQ793" s="51"/>
      <c r="AR793" s="53"/>
      <c r="AS793" s="51"/>
      <c r="AT793" s="51"/>
      <c r="AU793" s="51"/>
      <c r="AV793" s="51"/>
      <c r="AW793" s="51"/>
      <c r="AX793" s="51"/>
      <c r="AY793" s="51"/>
    </row>
    <row r="794" spans="32:51">
      <c r="AF794" s="51"/>
      <c r="AG794" s="53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3"/>
      <c r="AS794" s="51"/>
      <c r="AT794" s="51"/>
      <c r="AU794" s="51"/>
      <c r="AV794" s="51"/>
      <c r="AW794" s="51"/>
      <c r="AX794" s="51"/>
      <c r="AY794" s="51"/>
    </row>
    <row r="795" spans="32:51">
      <c r="AF795" s="51"/>
      <c r="AG795" s="53"/>
      <c r="AH795" s="51"/>
      <c r="AI795" s="51"/>
      <c r="AJ795" s="51"/>
      <c r="AK795" s="51"/>
      <c r="AL795" s="51"/>
      <c r="AM795" s="51"/>
      <c r="AN795" s="51"/>
      <c r="AO795" s="51"/>
      <c r="AP795" s="51"/>
      <c r="AQ795" s="51"/>
      <c r="AR795" s="53"/>
      <c r="AS795" s="51"/>
      <c r="AT795" s="51"/>
      <c r="AU795" s="51"/>
      <c r="AV795" s="51"/>
      <c r="AW795" s="51"/>
      <c r="AX795" s="51"/>
      <c r="AY795" s="51"/>
    </row>
    <row r="796" spans="32:51">
      <c r="AF796" s="51"/>
      <c r="AG796" s="53"/>
      <c r="AH796" s="51"/>
      <c r="AI796" s="51"/>
      <c r="AJ796" s="51"/>
      <c r="AK796" s="51"/>
      <c r="AL796" s="51"/>
      <c r="AM796" s="51"/>
      <c r="AN796" s="51"/>
      <c r="AO796" s="51"/>
      <c r="AP796" s="51"/>
      <c r="AQ796" s="51"/>
      <c r="AR796" s="53"/>
      <c r="AS796" s="51"/>
      <c r="AT796" s="51"/>
      <c r="AU796" s="51"/>
      <c r="AV796" s="51"/>
      <c r="AW796" s="51"/>
      <c r="AX796" s="51"/>
      <c r="AY796" s="51"/>
    </row>
    <row r="797" spans="32:51">
      <c r="AF797" s="51"/>
      <c r="AG797" s="53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3"/>
      <c r="AS797" s="51"/>
      <c r="AT797" s="51"/>
      <c r="AU797" s="51"/>
      <c r="AV797" s="51"/>
      <c r="AW797" s="51"/>
      <c r="AX797" s="51"/>
      <c r="AY797" s="51"/>
    </row>
    <row r="798" spans="32:51">
      <c r="AF798" s="51"/>
      <c r="AG798" s="53"/>
      <c r="AH798" s="51"/>
      <c r="AI798" s="51"/>
      <c r="AJ798" s="51"/>
      <c r="AK798" s="51"/>
      <c r="AL798" s="51"/>
      <c r="AM798" s="51"/>
      <c r="AN798" s="51"/>
      <c r="AO798" s="51"/>
      <c r="AP798" s="51"/>
      <c r="AQ798" s="51"/>
      <c r="AR798" s="53"/>
      <c r="AS798" s="51"/>
      <c r="AT798" s="51"/>
      <c r="AU798" s="51"/>
      <c r="AV798" s="51"/>
      <c r="AW798" s="51"/>
      <c r="AX798" s="51"/>
      <c r="AY798" s="51"/>
    </row>
    <row r="799" spans="32:51">
      <c r="AF799" s="51"/>
      <c r="AG799" s="53"/>
      <c r="AH799" s="51"/>
      <c r="AI799" s="51"/>
      <c r="AJ799" s="51"/>
      <c r="AK799" s="51"/>
      <c r="AL799" s="51"/>
      <c r="AM799" s="51"/>
      <c r="AN799" s="51"/>
      <c r="AO799" s="51"/>
      <c r="AP799" s="51"/>
      <c r="AQ799" s="51"/>
      <c r="AR799" s="53"/>
      <c r="AS799" s="51"/>
      <c r="AT799" s="51"/>
      <c r="AU799" s="51"/>
      <c r="AV799" s="51"/>
      <c r="AW799" s="51"/>
      <c r="AX799" s="51"/>
      <c r="AY799" s="51"/>
    </row>
    <row r="800" spans="32:51">
      <c r="AF800" s="51"/>
      <c r="AG800" s="53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3"/>
      <c r="AS800" s="51"/>
      <c r="AT800" s="51"/>
      <c r="AU800" s="51"/>
      <c r="AV800" s="51"/>
      <c r="AW800" s="51"/>
      <c r="AX800" s="51"/>
      <c r="AY800" s="51"/>
    </row>
    <row r="801" spans="32:51">
      <c r="AF801" s="51"/>
      <c r="AG801" s="53"/>
      <c r="AH801" s="51"/>
      <c r="AI801" s="51"/>
      <c r="AJ801" s="51"/>
      <c r="AK801" s="51"/>
      <c r="AL801" s="51"/>
      <c r="AM801" s="51"/>
      <c r="AN801" s="51"/>
      <c r="AO801" s="51"/>
      <c r="AP801" s="51"/>
      <c r="AQ801" s="51"/>
      <c r="AR801" s="53"/>
      <c r="AS801" s="51"/>
      <c r="AT801" s="51"/>
      <c r="AU801" s="51"/>
      <c r="AV801" s="51"/>
      <c r="AW801" s="51"/>
      <c r="AX801" s="51"/>
      <c r="AY801" s="51"/>
    </row>
    <row r="802" spans="32:51">
      <c r="AF802" s="51"/>
      <c r="AG802" s="53"/>
      <c r="AH802" s="51"/>
      <c r="AI802" s="51"/>
      <c r="AJ802" s="51"/>
      <c r="AK802" s="51"/>
      <c r="AL802" s="51"/>
      <c r="AM802" s="51"/>
      <c r="AN802" s="51"/>
      <c r="AO802" s="51"/>
      <c r="AP802" s="51"/>
      <c r="AQ802" s="51"/>
      <c r="AR802" s="53"/>
      <c r="AS802" s="51"/>
      <c r="AT802" s="51"/>
      <c r="AU802" s="51"/>
      <c r="AV802" s="51"/>
      <c r="AW802" s="51"/>
      <c r="AX802" s="51"/>
      <c r="AY802" s="51"/>
    </row>
    <row r="803" spans="32:51">
      <c r="AF803" s="51"/>
      <c r="AG803" s="53"/>
      <c r="AH803" s="51"/>
      <c r="AI803" s="51"/>
      <c r="AJ803" s="51"/>
      <c r="AK803" s="51"/>
      <c r="AL803" s="51"/>
      <c r="AM803" s="51"/>
      <c r="AN803" s="51"/>
      <c r="AO803" s="51"/>
      <c r="AP803" s="51"/>
      <c r="AQ803" s="51"/>
      <c r="AR803" s="53"/>
      <c r="AS803" s="51"/>
      <c r="AT803" s="51"/>
      <c r="AU803" s="51"/>
      <c r="AV803" s="51"/>
      <c r="AW803" s="51"/>
      <c r="AX803" s="51"/>
      <c r="AY803" s="51"/>
    </row>
    <row r="804" spans="32:51">
      <c r="AF804" s="51"/>
      <c r="AG804" s="53"/>
      <c r="AH804" s="51"/>
      <c r="AI804" s="51"/>
      <c r="AJ804" s="51"/>
      <c r="AK804" s="51"/>
      <c r="AL804" s="51"/>
      <c r="AM804" s="51"/>
      <c r="AN804" s="51"/>
      <c r="AO804" s="51"/>
      <c r="AP804" s="51"/>
      <c r="AQ804" s="51"/>
      <c r="AR804" s="53"/>
      <c r="AS804" s="51"/>
      <c r="AT804" s="51"/>
      <c r="AU804" s="51"/>
      <c r="AV804" s="51"/>
      <c r="AW804" s="51"/>
      <c r="AX804" s="51"/>
      <c r="AY804" s="51"/>
    </row>
    <row r="805" spans="32:51">
      <c r="AF805" s="51"/>
      <c r="AG805" s="53"/>
      <c r="AH805" s="51"/>
      <c r="AI805" s="51"/>
      <c r="AJ805" s="51"/>
      <c r="AK805" s="51"/>
      <c r="AL805" s="51"/>
      <c r="AM805" s="51"/>
      <c r="AN805" s="51"/>
      <c r="AO805" s="51"/>
      <c r="AP805" s="51"/>
      <c r="AQ805" s="51"/>
      <c r="AR805" s="53"/>
      <c r="AS805" s="51"/>
      <c r="AT805" s="51"/>
      <c r="AU805" s="51"/>
      <c r="AV805" s="51"/>
      <c r="AW805" s="51"/>
      <c r="AX805" s="51"/>
      <c r="AY805" s="51"/>
    </row>
    <row r="806" spans="32:51">
      <c r="AF806" s="51"/>
      <c r="AG806" s="53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3"/>
      <c r="AS806" s="51"/>
      <c r="AT806" s="51"/>
      <c r="AU806" s="51"/>
      <c r="AV806" s="51"/>
      <c r="AW806" s="51"/>
      <c r="AX806" s="51"/>
      <c r="AY806" s="51"/>
    </row>
    <row r="807" spans="32:51">
      <c r="AF807" s="51"/>
      <c r="AG807" s="53"/>
      <c r="AH807" s="51"/>
      <c r="AI807" s="51"/>
      <c r="AJ807" s="51"/>
      <c r="AK807" s="51"/>
      <c r="AL807" s="51"/>
      <c r="AM807" s="51"/>
      <c r="AN807" s="51"/>
      <c r="AO807" s="51"/>
      <c r="AP807" s="51"/>
      <c r="AQ807" s="51"/>
      <c r="AR807" s="53"/>
      <c r="AS807" s="51"/>
      <c r="AT807" s="51"/>
      <c r="AU807" s="51"/>
      <c r="AV807" s="51"/>
      <c r="AW807" s="51"/>
      <c r="AX807" s="51"/>
      <c r="AY807" s="51"/>
    </row>
    <row r="808" spans="32:51">
      <c r="AF808" s="51"/>
      <c r="AG808" s="53"/>
      <c r="AH808" s="51"/>
      <c r="AI808" s="51"/>
      <c r="AJ808" s="51"/>
      <c r="AK808" s="51"/>
      <c r="AL808" s="51"/>
      <c r="AM808" s="51"/>
      <c r="AN808" s="51"/>
      <c r="AO808" s="51"/>
      <c r="AP808" s="51"/>
      <c r="AQ808" s="51"/>
      <c r="AR808" s="53"/>
      <c r="AS808" s="51"/>
      <c r="AT808" s="51"/>
      <c r="AU808" s="51"/>
      <c r="AV808" s="51"/>
      <c r="AW808" s="51"/>
      <c r="AX808" s="51"/>
      <c r="AY808" s="51"/>
    </row>
    <row r="809" spans="32:51">
      <c r="AF809" s="51"/>
      <c r="AG809" s="53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3"/>
      <c r="AS809" s="51"/>
      <c r="AT809" s="51"/>
      <c r="AU809" s="51"/>
      <c r="AV809" s="51"/>
      <c r="AW809" s="51"/>
      <c r="AX809" s="51"/>
      <c r="AY809" s="51"/>
    </row>
    <row r="810" spans="32:51">
      <c r="AF810" s="51"/>
      <c r="AG810" s="53"/>
      <c r="AH810" s="51"/>
      <c r="AI810" s="51"/>
      <c r="AJ810" s="51"/>
      <c r="AK810" s="51"/>
      <c r="AL810" s="51"/>
      <c r="AM810" s="51"/>
      <c r="AN810" s="51"/>
      <c r="AO810" s="51"/>
      <c r="AP810" s="51"/>
      <c r="AQ810" s="51"/>
      <c r="AR810" s="53"/>
      <c r="AS810" s="51"/>
      <c r="AT810" s="51"/>
      <c r="AU810" s="51"/>
      <c r="AV810" s="51"/>
      <c r="AW810" s="51"/>
      <c r="AX810" s="51"/>
      <c r="AY810" s="51"/>
    </row>
    <row r="811" spans="32:51">
      <c r="AF811" s="51"/>
      <c r="AG811" s="53"/>
      <c r="AH811" s="51"/>
      <c r="AI811" s="51"/>
      <c r="AJ811" s="51"/>
      <c r="AK811" s="51"/>
      <c r="AL811" s="51"/>
      <c r="AM811" s="51"/>
      <c r="AN811" s="51"/>
      <c r="AO811" s="51"/>
      <c r="AP811" s="51"/>
      <c r="AQ811" s="51"/>
      <c r="AR811" s="53"/>
      <c r="AS811" s="51"/>
      <c r="AT811" s="51"/>
      <c r="AU811" s="51"/>
      <c r="AV811" s="51"/>
      <c r="AW811" s="51"/>
      <c r="AX811" s="51"/>
      <c r="AY811" s="51"/>
    </row>
    <row r="812" spans="32:51">
      <c r="AF812" s="51"/>
      <c r="AG812" s="53"/>
      <c r="AH812" s="51"/>
      <c r="AI812" s="51"/>
      <c r="AJ812" s="51"/>
      <c r="AK812" s="51"/>
      <c r="AL812" s="51"/>
      <c r="AM812" s="51"/>
      <c r="AN812" s="51"/>
      <c r="AO812" s="51"/>
      <c r="AP812" s="51"/>
      <c r="AQ812" s="51"/>
      <c r="AR812" s="53"/>
      <c r="AS812" s="51"/>
      <c r="AT812" s="51"/>
      <c r="AU812" s="51"/>
      <c r="AV812" s="51"/>
      <c r="AW812" s="51"/>
      <c r="AX812" s="51"/>
      <c r="AY812" s="51"/>
    </row>
    <row r="813" spans="32:51">
      <c r="AF813" s="51"/>
      <c r="AG813" s="53"/>
      <c r="AH813" s="51"/>
      <c r="AI813" s="51"/>
      <c r="AJ813" s="51"/>
      <c r="AK813" s="51"/>
      <c r="AL813" s="51"/>
      <c r="AM813" s="51"/>
      <c r="AN813" s="51"/>
      <c r="AO813" s="51"/>
      <c r="AP813" s="51"/>
      <c r="AQ813" s="51"/>
      <c r="AR813" s="53"/>
      <c r="AS813" s="51"/>
      <c r="AT813" s="51"/>
      <c r="AU813" s="51"/>
      <c r="AV813" s="51"/>
      <c r="AW813" s="51"/>
      <c r="AX813" s="51"/>
      <c r="AY813" s="51"/>
    </row>
    <row r="814" spans="32:51">
      <c r="AF814" s="51"/>
      <c r="AG814" s="53"/>
      <c r="AH814" s="51"/>
      <c r="AI814" s="51"/>
      <c r="AJ814" s="51"/>
      <c r="AK814" s="51"/>
      <c r="AL814" s="51"/>
      <c r="AM814" s="51"/>
      <c r="AN814" s="51"/>
      <c r="AO814" s="51"/>
      <c r="AP814" s="51"/>
      <c r="AQ814" s="51"/>
      <c r="AR814" s="53"/>
      <c r="AS814" s="51"/>
      <c r="AT814" s="51"/>
      <c r="AU814" s="51"/>
      <c r="AV814" s="51"/>
      <c r="AW814" s="51"/>
      <c r="AX814" s="51"/>
      <c r="AY814" s="51"/>
    </row>
    <row r="815" spans="32:51">
      <c r="AF815" s="51"/>
      <c r="AG815" s="53"/>
      <c r="AH815" s="51"/>
      <c r="AI815" s="51"/>
      <c r="AJ815" s="51"/>
      <c r="AK815" s="51"/>
      <c r="AL815" s="51"/>
      <c r="AM815" s="51"/>
      <c r="AN815" s="51"/>
      <c r="AO815" s="51"/>
      <c r="AP815" s="51"/>
      <c r="AQ815" s="51"/>
      <c r="AR815" s="53"/>
      <c r="AS815" s="51"/>
      <c r="AT815" s="51"/>
      <c r="AU815" s="51"/>
      <c r="AV815" s="51"/>
      <c r="AW815" s="51"/>
      <c r="AX815" s="51"/>
      <c r="AY815" s="51"/>
    </row>
    <row r="816" spans="32:51">
      <c r="AF816" s="51"/>
      <c r="AG816" s="53"/>
      <c r="AH816" s="51"/>
      <c r="AI816" s="51"/>
      <c r="AJ816" s="51"/>
      <c r="AK816" s="51"/>
      <c r="AL816" s="51"/>
      <c r="AM816" s="51"/>
      <c r="AN816" s="51"/>
      <c r="AO816" s="51"/>
      <c r="AP816" s="51"/>
      <c r="AQ816" s="51"/>
      <c r="AR816" s="53"/>
      <c r="AS816" s="51"/>
      <c r="AT816" s="51"/>
      <c r="AU816" s="51"/>
      <c r="AV816" s="51"/>
      <c r="AW816" s="51"/>
      <c r="AX816" s="51"/>
      <c r="AY816" s="51"/>
    </row>
    <row r="817" spans="32:51">
      <c r="AF817" s="51"/>
      <c r="AG817" s="53"/>
      <c r="AH817" s="51"/>
      <c r="AI817" s="51"/>
      <c r="AJ817" s="51"/>
      <c r="AK817" s="51"/>
      <c r="AL817" s="51"/>
      <c r="AM817" s="51"/>
      <c r="AN817" s="51"/>
      <c r="AO817" s="51"/>
      <c r="AP817" s="51"/>
      <c r="AQ817" s="51"/>
      <c r="AR817" s="53"/>
      <c r="AS817" s="51"/>
      <c r="AT817" s="51"/>
      <c r="AU817" s="51"/>
      <c r="AV817" s="51"/>
      <c r="AW817" s="51"/>
      <c r="AX817" s="51"/>
      <c r="AY817" s="51"/>
    </row>
    <row r="818" spans="32:51">
      <c r="AF818" s="51"/>
      <c r="AG818" s="53"/>
      <c r="AH818" s="51"/>
      <c r="AI818" s="51"/>
      <c r="AJ818" s="51"/>
      <c r="AK818" s="51"/>
      <c r="AL818" s="51"/>
      <c r="AM818" s="51"/>
      <c r="AN818" s="51"/>
      <c r="AO818" s="51"/>
      <c r="AP818" s="51"/>
      <c r="AQ818" s="51"/>
      <c r="AR818" s="53"/>
      <c r="AS818" s="51"/>
      <c r="AT818" s="51"/>
      <c r="AU818" s="51"/>
      <c r="AV818" s="51"/>
      <c r="AW818" s="51"/>
      <c r="AX818" s="51"/>
      <c r="AY818" s="51"/>
    </row>
    <row r="819" spans="32:51">
      <c r="AF819" s="51"/>
      <c r="AG819" s="53"/>
      <c r="AH819" s="51"/>
      <c r="AI819" s="51"/>
      <c r="AJ819" s="51"/>
      <c r="AK819" s="51"/>
      <c r="AL819" s="51"/>
      <c r="AM819" s="51"/>
      <c r="AN819" s="51"/>
      <c r="AO819" s="51"/>
      <c r="AP819" s="51"/>
      <c r="AQ819" s="51"/>
      <c r="AR819" s="53"/>
      <c r="AS819" s="51"/>
      <c r="AT819" s="51"/>
      <c r="AU819" s="51"/>
      <c r="AV819" s="51"/>
      <c r="AW819" s="51"/>
      <c r="AX819" s="51"/>
      <c r="AY819" s="51"/>
    </row>
    <row r="820" spans="32:51">
      <c r="AF820" s="51"/>
      <c r="AG820" s="53"/>
      <c r="AH820" s="51"/>
      <c r="AI820" s="51"/>
      <c r="AJ820" s="51"/>
      <c r="AK820" s="51"/>
      <c r="AL820" s="51"/>
      <c r="AM820" s="51"/>
      <c r="AN820" s="51"/>
      <c r="AO820" s="51"/>
      <c r="AP820" s="51"/>
      <c r="AQ820" s="51"/>
      <c r="AR820" s="53"/>
      <c r="AS820" s="51"/>
      <c r="AT820" s="51"/>
      <c r="AU820" s="51"/>
      <c r="AV820" s="51"/>
      <c r="AW820" s="51"/>
      <c r="AX820" s="51"/>
      <c r="AY820" s="51"/>
    </row>
    <row r="821" spans="32:51">
      <c r="AF821" s="51"/>
      <c r="AG821" s="53"/>
      <c r="AH821" s="51"/>
      <c r="AI821" s="51"/>
      <c r="AJ821" s="51"/>
      <c r="AK821" s="51"/>
      <c r="AL821" s="51"/>
      <c r="AM821" s="51"/>
      <c r="AN821" s="51"/>
      <c r="AO821" s="51"/>
      <c r="AP821" s="51"/>
      <c r="AQ821" s="51"/>
      <c r="AR821" s="53"/>
      <c r="AS821" s="51"/>
      <c r="AT821" s="51"/>
      <c r="AU821" s="51"/>
      <c r="AV821" s="51"/>
      <c r="AW821" s="51"/>
      <c r="AX821" s="51"/>
      <c r="AY821" s="51"/>
    </row>
    <row r="822" spans="32:51">
      <c r="AF822" s="51"/>
      <c r="AG822" s="53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3"/>
      <c r="AS822" s="51"/>
      <c r="AT822" s="51"/>
      <c r="AU822" s="51"/>
      <c r="AV822" s="51"/>
      <c r="AW822" s="51"/>
      <c r="AX822" s="51"/>
      <c r="AY822" s="51"/>
    </row>
    <row r="823" spans="32:51">
      <c r="AF823" s="51"/>
      <c r="AG823" s="53"/>
      <c r="AH823" s="51"/>
      <c r="AI823" s="51"/>
      <c r="AJ823" s="51"/>
      <c r="AK823" s="51"/>
      <c r="AL823" s="51"/>
      <c r="AM823" s="51"/>
      <c r="AN823" s="51"/>
      <c r="AO823" s="51"/>
      <c r="AP823" s="51"/>
      <c r="AQ823" s="51"/>
      <c r="AR823" s="53"/>
      <c r="AS823" s="51"/>
      <c r="AT823" s="51"/>
      <c r="AU823" s="51"/>
      <c r="AV823" s="51"/>
      <c r="AW823" s="51"/>
      <c r="AX823" s="51"/>
      <c r="AY823" s="51"/>
    </row>
    <row r="824" spans="32:51">
      <c r="AF824" s="51"/>
      <c r="AG824" s="53"/>
      <c r="AH824" s="51"/>
      <c r="AI824" s="51"/>
      <c r="AJ824" s="51"/>
      <c r="AK824" s="51"/>
      <c r="AL824" s="51"/>
      <c r="AM824" s="51"/>
      <c r="AN824" s="51"/>
      <c r="AO824" s="51"/>
      <c r="AP824" s="51"/>
      <c r="AQ824" s="51"/>
      <c r="AR824" s="53"/>
      <c r="AS824" s="51"/>
      <c r="AT824" s="51"/>
      <c r="AU824" s="51"/>
      <c r="AV824" s="51"/>
      <c r="AW824" s="51"/>
      <c r="AX824" s="51"/>
      <c r="AY824" s="51"/>
    </row>
    <row r="825" spans="32:51">
      <c r="AF825" s="51"/>
      <c r="AG825" s="53"/>
      <c r="AH825" s="51"/>
      <c r="AI825" s="51"/>
      <c r="AJ825" s="51"/>
      <c r="AK825" s="51"/>
      <c r="AL825" s="51"/>
      <c r="AM825" s="51"/>
      <c r="AN825" s="51"/>
      <c r="AO825" s="51"/>
      <c r="AP825" s="51"/>
      <c r="AQ825" s="51"/>
      <c r="AR825" s="53"/>
      <c r="AS825" s="51"/>
      <c r="AT825" s="51"/>
      <c r="AU825" s="51"/>
      <c r="AV825" s="51"/>
      <c r="AW825" s="51"/>
      <c r="AX825" s="51"/>
      <c r="AY825" s="51"/>
    </row>
    <row r="826" spans="32:51">
      <c r="AF826" s="51"/>
      <c r="AG826" s="53"/>
      <c r="AH826" s="51"/>
      <c r="AI826" s="51"/>
      <c r="AJ826" s="51"/>
      <c r="AK826" s="51"/>
      <c r="AL826" s="51"/>
      <c r="AM826" s="51"/>
      <c r="AN826" s="51"/>
      <c r="AO826" s="51"/>
      <c r="AP826" s="51"/>
      <c r="AQ826" s="51"/>
      <c r="AR826" s="53"/>
      <c r="AS826" s="51"/>
      <c r="AT826" s="51"/>
      <c r="AU826" s="51"/>
      <c r="AV826" s="51"/>
      <c r="AW826" s="51"/>
      <c r="AX826" s="51"/>
      <c r="AY826" s="51"/>
    </row>
    <row r="827" spans="32:51">
      <c r="AF827" s="51"/>
      <c r="AG827" s="53"/>
      <c r="AH827" s="51"/>
      <c r="AI827" s="51"/>
      <c r="AJ827" s="51"/>
      <c r="AK827" s="51"/>
      <c r="AL827" s="51"/>
      <c r="AM827" s="51"/>
      <c r="AN827" s="51"/>
      <c r="AO827" s="51"/>
      <c r="AP827" s="51"/>
      <c r="AQ827" s="51"/>
      <c r="AR827" s="53"/>
      <c r="AS827" s="51"/>
      <c r="AT827" s="51"/>
      <c r="AU827" s="51"/>
      <c r="AV827" s="51"/>
      <c r="AW827" s="51"/>
      <c r="AX827" s="51"/>
      <c r="AY827" s="51"/>
    </row>
    <row r="828" spans="32:51">
      <c r="AF828" s="51"/>
      <c r="AG828" s="53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3"/>
      <c r="AS828" s="51"/>
      <c r="AT828" s="51"/>
      <c r="AU828" s="51"/>
      <c r="AV828" s="51"/>
      <c r="AW828" s="51"/>
      <c r="AX828" s="51"/>
      <c r="AY828" s="51"/>
    </row>
    <row r="829" spans="32:51">
      <c r="AF829" s="51"/>
      <c r="AG829" s="53"/>
      <c r="AH829" s="51"/>
      <c r="AI829" s="51"/>
      <c r="AJ829" s="51"/>
      <c r="AK829" s="51"/>
      <c r="AL829" s="51"/>
      <c r="AM829" s="51"/>
      <c r="AN829" s="51"/>
      <c r="AO829" s="51"/>
      <c r="AP829" s="51"/>
      <c r="AQ829" s="51"/>
      <c r="AR829" s="53"/>
      <c r="AS829" s="51"/>
      <c r="AT829" s="51"/>
      <c r="AU829" s="51"/>
      <c r="AV829" s="51"/>
      <c r="AW829" s="51"/>
      <c r="AX829" s="51"/>
      <c r="AY829" s="51"/>
    </row>
    <row r="830" spans="32:51">
      <c r="AF830" s="51"/>
      <c r="AG830" s="53"/>
      <c r="AH830" s="51"/>
      <c r="AI830" s="51"/>
      <c r="AJ830" s="51"/>
      <c r="AK830" s="51"/>
      <c r="AL830" s="51"/>
      <c r="AM830" s="51"/>
      <c r="AN830" s="51"/>
      <c r="AO830" s="51"/>
      <c r="AP830" s="51"/>
      <c r="AQ830" s="51"/>
      <c r="AR830" s="53"/>
      <c r="AS830" s="51"/>
      <c r="AT830" s="51"/>
      <c r="AU830" s="51"/>
      <c r="AV830" s="51"/>
      <c r="AW830" s="51"/>
      <c r="AX830" s="51"/>
      <c r="AY830" s="51"/>
    </row>
    <row r="831" spans="32:51">
      <c r="AF831" s="51"/>
      <c r="AG831" s="53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3"/>
      <c r="AS831" s="51"/>
      <c r="AT831" s="51"/>
      <c r="AU831" s="51"/>
      <c r="AV831" s="51"/>
      <c r="AW831" s="51"/>
      <c r="AX831" s="51"/>
      <c r="AY831" s="51"/>
    </row>
    <row r="832" spans="32:51">
      <c r="AF832" s="51"/>
      <c r="AG832" s="53"/>
      <c r="AH832" s="51"/>
      <c r="AI832" s="51"/>
      <c r="AJ832" s="51"/>
      <c r="AK832" s="51"/>
      <c r="AL832" s="51"/>
      <c r="AM832" s="51"/>
      <c r="AN832" s="51"/>
      <c r="AO832" s="51"/>
      <c r="AP832" s="51"/>
      <c r="AQ832" s="51"/>
      <c r="AR832" s="53"/>
      <c r="AS832" s="51"/>
      <c r="AT832" s="51"/>
      <c r="AU832" s="51"/>
      <c r="AV832" s="51"/>
      <c r="AW832" s="51"/>
      <c r="AX832" s="51"/>
      <c r="AY832" s="51"/>
    </row>
    <row r="833" spans="32:51">
      <c r="AF833" s="51"/>
      <c r="AG833" s="53"/>
      <c r="AH833" s="51"/>
      <c r="AI833" s="51"/>
      <c r="AJ833" s="51"/>
      <c r="AK833" s="51"/>
      <c r="AL833" s="51"/>
      <c r="AM833" s="51"/>
      <c r="AN833" s="51"/>
      <c r="AO833" s="51"/>
      <c r="AP833" s="51"/>
      <c r="AQ833" s="51"/>
      <c r="AR833" s="53"/>
      <c r="AS833" s="51"/>
      <c r="AT833" s="51"/>
      <c r="AU833" s="51"/>
      <c r="AV833" s="51"/>
      <c r="AW833" s="51"/>
      <c r="AX833" s="51"/>
      <c r="AY833" s="51"/>
    </row>
    <row r="834" spans="32:51">
      <c r="AF834" s="51"/>
      <c r="AG834" s="53"/>
      <c r="AH834" s="51"/>
      <c r="AI834" s="51"/>
      <c r="AJ834" s="51"/>
      <c r="AK834" s="51"/>
      <c r="AL834" s="51"/>
      <c r="AM834" s="51"/>
      <c r="AN834" s="51"/>
      <c r="AO834" s="51"/>
      <c r="AP834" s="51"/>
      <c r="AQ834" s="51"/>
      <c r="AR834" s="53"/>
      <c r="AS834" s="51"/>
      <c r="AT834" s="51"/>
      <c r="AU834" s="51"/>
      <c r="AV834" s="51"/>
      <c r="AW834" s="51"/>
      <c r="AX834" s="51"/>
      <c r="AY834" s="51"/>
    </row>
    <row r="835" spans="32:51">
      <c r="AF835" s="51"/>
      <c r="AG835" s="53"/>
      <c r="AH835" s="51"/>
      <c r="AI835" s="51"/>
      <c r="AJ835" s="51"/>
      <c r="AK835" s="51"/>
      <c r="AL835" s="51"/>
      <c r="AM835" s="51"/>
      <c r="AN835" s="51"/>
      <c r="AO835" s="51"/>
      <c r="AP835" s="51"/>
      <c r="AQ835" s="51"/>
      <c r="AR835" s="53"/>
      <c r="AS835" s="51"/>
      <c r="AT835" s="51"/>
      <c r="AU835" s="51"/>
      <c r="AV835" s="51"/>
      <c r="AW835" s="51"/>
      <c r="AX835" s="51"/>
      <c r="AY835" s="51"/>
    </row>
    <row r="836" spans="32:51">
      <c r="AF836" s="51"/>
      <c r="AG836" s="53"/>
      <c r="AH836" s="51"/>
      <c r="AI836" s="51"/>
      <c r="AJ836" s="51"/>
      <c r="AK836" s="51"/>
      <c r="AL836" s="51"/>
      <c r="AM836" s="51"/>
      <c r="AN836" s="51"/>
      <c r="AO836" s="51"/>
      <c r="AP836" s="51"/>
      <c r="AQ836" s="51"/>
      <c r="AR836" s="53"/>
      <c r="AS836" s="51"/>
      <c r="AT836" s="51"/>
      <c r="AU836" s="51"/>
      <c r="AV836" s="51"/>
      <c r="AW836" s="51"/>
      <c r="AX836" s="51"/>
      <c r="AY836" s="51"/>
    </row>
    <row r="837" spans="32:51">
      <c r="AF837" s="51"/>
      <c r="AG837" s="53"/>
      <c r="AH837" s="51"/>
      <c r="AI837" s="51"/>
      <c r="AJ837" s="51"/>
      <c r="AK837" s="51"/>
      <c r="AL837" s="51"/>
      <c r="AM837" s="51"/>
      <c r="AN837" s="51"/>
      <c r="AO837" s="51"/>
      <c r="AP837" s="51"/>
      <c r="AQ837" s="51"/>
      <c r="AR837" s="53"/>
      <c r="AS837" s="51"/>
      <c r="AT837" s="51"/>
      <c r="AU837" s="51"/>
      <c r="AV837" s="51"/>
      <c r="AW837" s="51"/>
      <c r="AX837" s="51"/>
      <c r="AY837" s="51"/>
    </row>
    <row r="838" spans="32:51">
      <c r="AF838" s="51"/>
      <c r="AG838" s="53"/>
      <c r="AH838" s="51"/>
      <c r="AI838" s="51"/>
      <c r="AJ838" s="51"/>
      <c r="AK838" s="51"/>
      <c r="AL838" s="51"/>
      <c r="AM838" s="51"/>
      <c r="AN838" s="51"/>
      <c r="AO838" s="51"/>
      <c r="AP838" s="51"/>
      <c r="AQ838" s="51"/>
      <c r="AR838" s="53"/>
      <c r="AS838" s="51"/>
      <c r="AT838" s="51"/>
      <c r="AU838" s="51"/>
      <c r="AV838" s="51"/>
      <c r="AW838" s="51"/>
      <c r="AX838" s="51"/>
      <c r="AY838" s="51"/>
    </row>
    <row r="839" spans="32:51">
      <c r="AF839" s="51"/>
      <c r="AG839" s="53"/>
      <c r="AH839" s="51"/>
      <c r="AI839" s="51"/>
      <c r="AJ839" s="51"/>
      <c r="AK839" s="51"/>
      <c r="AL839" s="51"/>
      <c r="AM839" s="51"/>
      <c r="AN839" s="51"/>
      <c r="AO839" s="51"/>
      <c r="AP839" s="51"/>
      <c r="AQ839" s="51"/>
      <c r="AR839" s="53"/>
      <c r="AS839" s="51"/>
      <c r="AT839" s="51"/>
      <c r="AU839" s="51"/>
      <c r="AV839" s="51"/>
      <c r="AW839" s="51"/>
      <c r="AX839" s="51"/>
      <c r="AY839" s="51"/>
    </row>
    <row r="840" spans="32:51">
      <c r="AF840" s="51"/>
      <c r="AG840" s="53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3"/>
      <c r="AS840" s="51"/>
      <c r="AT840" s="51"/>
      <c r="AU840" s="51"/>
      <c r="AV840" s="51"/>
      <c r="AW840" s="51"/>
      <c r="AX840" s="51"/>
      <c r="AY840" s="51"/>
    </row>
    <row r="841" spans="32:51">
      <c r="AF841" s="51"/>
      <c r="AG841" s="53"/>
      <c r="AH841" s="51"/>
      <c r="AI841" s="51"/>
      <c r="AJ841" s="51"/>
      <c r="AK841" s="51"/>
      <c r="AL841" s="51"/>
      <c r="AM841" s="51"/>
      <c r="AN841" s="51"/>
      <c r="AO841" s="51"/>
      <c r="AP841" s="51"/>
      <c r="AQ841" s="51"/>
      <c r="AR841" s="53"/>
      <c r="AS841" s="51"/>
      <c r="AT841" s="51"/>
      <c r="AU841" s="51"/>
      <c r="AV841" s="51"/>
      <c r="AW841" s="51"/>
      <c r="AX841" s="51"/>
      <c r="AY841" s="51"/>
    </row>
    <row r="842" spans="32:51">
      <c r="AF842" s="51"/>
      <c r="AG842" s="53"/>
      <c r="AH842" s="51"/>
      <c r="AI842" s="51"/>
      <c r="AJ842" s="51"/>
      <c r="AK842" s="51"/>
      <c r="AL842" s="51"/>
      <c r="AM842" s="51"/>
      <c r="AN842" s="51"/>
      <c r="AO842" s="51"/>
      <c r="AP842" s="51"/>
      <c r="AQ842" s="51"/>
      <c r="AR842" s="53"/>
      <c r="AS842" s="51"/>
      <c r="AT842" s="51"/>
      <c r="AU842" s="51"/>
      <c r="AV842" s="51"/>
      <c r="AW842" s="51"/>
      <c r="AX842" s="51"/>
      <c r="AY842" s="51"/>
    </row>
    <row r="843" spans="32:51">
      <c r="AF843" s="51"/>
      <c r="AG843" s="53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3"/>
      <c r="AS843" s="51"/>
      <c r="AT843" s="51"/>
      <c r="AU843" s="51"/>
      <c r="AV843" s="51"/>
      <c r="AW843" s="51"/>
      <c r="AX843" s="51"/>
      <c r="AY843" s="51"/>
    </row>
    <row r="844" spans="32:51">
      <c r="AF844" s="51"/>
      <c r="AG844" s="53"/>
      <c r="AH844" s="51"/>
      <c r="AI844" s="51"/>
      <c r="AJ844" s="51"/>
      <c r="AK844" s="51"/>
      <c r="AL844" s="51"/>
      <c r="AM844" s="51"/>
      <c r="AN844" s="51"/>
      <c r="AO844" s="51"/>
      <c r="AP844" s="51"/>
      <c r="AQ844" s="51"/>
      <c r="AR844" s="53"/>
      <c r="AS844" s="51"/>
      <c r="AT844" s="51"/>
      <c r="AU844" s="51"/>
      <c r="AV844" s="51"/>
      <c r="AW844" s="51"/>
      <c r="AX844" s="51"/>
      <c r="AY844" s="51"/>
    </row>
    <row r="845" spans="32:51">
      <c r="AF845" s="51"/>
      <c r="AG845" s="53"/>
      <c r="AH845" s="51"/>
      <c r="AI845" s="51"/>
      <c r="AJ845" s="51"/>
      <c r="AK845" s="51"/>
      <c r="AL845" s="51"/>
      <c r="AM845" s="51"/>
      <c r="AN845" s="51"/>
      <c r="AO845" s="51"/>
      <c r="AP845" s="51"/>
      <c r="AQ845" s="51"/>
      <c r="AR845" s="53"/>
      <c r="AS845" s="51"/>
      <c r="AT845" s="51"/>
      <c r="AU845" s="51"/>
      <c r="AV845" s="51"/>
      <c r="AW845" s="51"/>
      <c r="AX845" s="51"/>
      <c r="AY845" s="51"/>
    </row>
    <row r="846" spans="32:51">
      <c r="AF846" s="51"/>
      <c r="AG846" s="53"/>
      <c r="AH846" s="51"/>
      <c r="AI846" s="51"/>
      <c r="AJ846" s="51"/>
      <c r="AK846" s="51"/>
      <c r="AL846" s="51"/>
      <c r="AM846" s="51"/>
      <c r="AN846" s="51"/>
      <c r="AO846" s="51"/>
      <c r="AP846" s="51"/>
      <c r="AQ846" s="51"/>
      <c r="AR846" s="53"/>
      <c r="AS846" s="51"/>
      <c r="AT846" s="51"/>
      <c r="AU846" s="51"/>
      <c r="AV846" s="51"/>
      <c r="AW846" s="51"/>
      <c r="AX846" s="51"/>
      <c r="AY846" s="51"/>
    </row>
    <row r="847" spans="32:51">
      <c r="AF847" s="51"/>
      <c r="AG847" s="53"/>
      <c r="AH847" s="51"/>
      <c r="AI847" s="51"/>
      <c r="AJ847" s="51"/>
      <c r="AK847" s="51"/>
      <c r="AL847" s="51"/>
      <c r="AM847" s="51"/>
      <c r="AN847" s="51"/>
      <c r="AO847" s="51"/>
      <c r="AP847" s="51"/>
      <c r="AQ847" s="51"/>
      <c r="AR847" s="53"/>
      <c r="AS847" s="51"/>
      <c r="AT847" s="51"/>
      <c r="AU847" s="51"/>
      <c r="AV847" s="51"/>
      <c r="AW847" s="51"/>
      <c r="AX847" s="51"/>
      <c r="AY847" s="51"/>
    </row>
    <row r="848" spans="32:51">
      <c r="AF848" s="51"/>
      <c r="AG848" s="53"/>
      <c r="AH848" s="51"/>
      <c r="AI848" s="51"/>
      <c r="AJ848" s="51"/>
      <c r="AK848" s="51"/>
      <c r="AL848" s="51"/>
      <c r="AM848" s="51"/>
      <c r="AN848" s="51"/>
      <c r="AO848" s="51"/>
      <c r="AP848" s="51"/>
      <c r="AQ848" s="51"/>
      <c r="AR848" s="53"/>
      <c r="AS848" s="51"/>
      <c r="AT848" s="51"/>
      <c r="AU848" s="51"/>
      <c r="AV848" s="51"/>
      <c r="AW848" s="51"/>
      <c r="AX848" s="51"/>
      <c r="AY848" s="51"/>
    </row>
    <row r="849" spans="32:51">
      <c r="AF849" s="51"/>
      <c r="AG849" s="53"/>
      <c r="AH849" s="51"/>
      <c r="AI849" s="51"/>
      <c r="AJ849" s="51"/>
      <c r="AK849" s="51"/>
      <c r="AL849" s="51"/>
      <c r="AM849" s="51"/>
      <c r="AN849" s="51"/>
      <c r="AO849" s="51"/>
      <c r="AP849" s="51"/>
      <c r="AQ849" s="51"/>
      <c r="AR849" s="53"/>
      <c r="AS849" s="51"/>
      <c r="AT849" s="51"/>
      <c r="AU849" s="51"/>
      <c r="AV849" s="51"/>
      <c r="AW849" s="51"/>
      <c r="AX849" s="51"/>
      <c r="AY849" s="51"/>
    </row>
    <row r="850" spans="32:51">
      <c r="AF850" s="51"/>
      <c r="AG850" s="53"/>
      <c r="AH850" s="51"/>
      <c r="AI850" s="51"/>
      <c r="AJ850" s="51"/>
      <c r="AK850" s="51"/>
      <c r="AL850" s="51"/>
      <c r="AM850" s="51"/>
      <c r="AN850" s="51"/>
      <c r="AO850" s="51"/>
      <c r="AP850" s="51"/>
      <c r="AQ850" s="51"/>
      <c r="AR850" s="53"/>
      <c r="AS850" s="51"/>
      <c r="AT850" s="51"/>
      <c r="AU850" s="51"/>
      <c r="AV850" s="51"/>
      <c r="AW850" s="51"/>
      <c r="AX850" s="51"/>
      <c r="AY850" s="51"/>
    </row>
    <row r="851" spans="32:51">
      <c r="AF851" s="51"/>
      <c r="AG851" s="53"/>
      <c r="AH851" s="51"/>
      <c r="AI851" s="51"/>
      <c r="AJ851" s="51"/>
      <c r="AK851" s="51"/>
      <c r="AL851" s="51"/>
      <c r="AM851" s="51"/>
      <c r="AN851" s="51"/>
      <c r="AO851" s="51"/>
      <c r="AP851" s="51"/>
      <c r="AQ851" s="51"/>
      <c r="AR851" s="53"/>
      <c r="AS851" s="51"/>
      <c r="AT851" s="51"/>
      <c r="AU851" s="51"/>
      <c r="AV851" s="51"/>
      <c r="AW851" s="51"/>
      <c r="AX851" s="51"/>
      <c r="AY851" s="51"/>
    </row>
    <row r="852" spans="32:51">
      <c r="AF852" s="51"/>
      <c r="AG852" s="53"/>
      <c r="AH852" s="51"/>
      <c r="AI852" s="51"/>
      <c r="AJ852" s="51"/>
      <c r="AK852" s="51"/>
      <c r="AL852" s="51"/>
      <c r="AM852" s="51"/>
      <c r="AN852" s="51"/>
      <c r="AO852" s="51"/>
      <c r="AP852" s="51"/>
      <c r="AQ852" s="51"/>
      <c r="AR852" s="53"/>
      <c r="AS852" s="51"/>
      <c r="AT852" s="51"/>
      <c r="AU852" s="51"/>
      <c r="AV852" s="51"/>
      <c r="AW852" s="51"/>
      <c r="AX852" s="51"/>
      <c r="AY852" s="51"/>
    </row>
    <row r="853" spans="32:51">
      <c r="AF853" s="51"/>
      <c r="AG853" s="53"/>
      <c r="AH853" s="51"/>
      <c r="AI853" s="51"/>
      <c r="AJ853" s="51"/>
      <c r="AK853" s="51"/>
      <c r="AL853" s="51"/>
      <c r="AM853" s="51"/>
      <c r="AN853" s="51"/>
      <c r="AO853" s="51"/>
      <c r="AP853" s="51"/>
      <c r="AQ853" s="51"/>
      <c r="AR853" s="53"/>
      <c r="AS853" s="51"/>
      <c r="AT853" s="51"/>
      <c r="AU853" s="51"/>
      <c r="AV853" s="51"/>
      <c r="AW853" s="51"/>
      <c r="AX853" s="51"/>
      <c r="AY853" s="51"/>
    </row>
    <row r="854" spans="32:51">
      <c r="AF854" s="51"/>
      <c r="AG854" s="53"/>
      <c r="AH854" s="51"/>
      <c r="AI854" s="51"/>
      <c r="AJ854" s="51"/>
      <c r="AK854" s="51"/>
      <c r="AL854" s="51"/>
      <c r="AM854" s="51"/>
      <c r="AN854" s="51"/>
      <c r="AO854" s="51"/>
      <c r="AP854" s="51"/>
      <c r="AQ854" s="51"/>
      <c r="AR854" s="53"/>
      <c r="AS854" s="51"/>
      <c r="AT854" s="51"/>
      <c r="AU854" s="51"/>
      <c r="AV854" s="51"/>
      <c r="AW854" s="51"/>
      <c r="AX854" s="51"/>
      <c r="AY854" s="51"/>
    </row>
    <row r="855" spans="32:51">
      <c r="AF855" s="51"/>
      <c r="AG855" s="53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3"/>
      <c r="AS855" s="51"/>
      <c r="AT855" s="51"/>
      <c r="AU855" s="51"/>
      <c r="AV855" s="51"/>
      <c r="AW855" s="51"/>
      <c r="AX855" s="51"/>
      <c r="AY855" s="51"/>
    </row>
    <row r="856" spans="32:51">
      <c r="AF856" s="51"/>
      <c r="AG856" s="53"/>
      <c r="AH856" s="51"/>
      <c r="AI856" s="51"/>
      <c r="AJ856" s="51"/>
      <c r="AK856" s="51"/>
      <c r="AL856" s="51"/>
      <c r="AM856" s="51"/>
      <c r="AN856" s="51"/>
      <c r="AO856" s="51"/>
      <c r="AP856" s="51"/>
      <c r="AQ856" s="51"/>
      <c r="AR856" s="53"/>
      <c r="AS856" s="51"/>
      <c r="AT856" s="51"/>
      <c r="AU856" s="51"/>
      <c r="AV856" s="51"/>
      <c r="AW856" s="51"/>
      <c r="AX856" s="51"/>
      <c r="AY856" s="51"/>
    </row>
    <row r="857" spans="32:51">
      <c r="AF857" s="51"/>
      <c r="AG857" s="53"/>
      <c r="AH857" s="51"/>
      <c r="AI857" s="51"/>
      <c r="AJ857" s="51"/>
      <c r="AK857" s="51"/>
      <c r="AL857" s="51"/>
      <c r="AM857" s="51"/>
      <c r="AN857" s="51"/>
      <c r="AO857" s="51"/>
      <c r="AP857" s="51"/>
      <c r="AQ857" s="51"/>
      <c r="AR857" s="53"/>
      <c r="AS857" s="51"/>
      <c r="AT857" s="51"/>
      <c r="AU857" s="51"/>
      <c r="AV857" s="51"/>
      <c r="AW857" s="51"/>
      <c r="AX857" s="51"/>
      <c r="AY857" s="51"/>
    </row>
    <row r="858" spans="32:51">
      <c r="AF858" s="51"/>
      <c r="AG858" s="53"/>
      <c r="AH858" s="51"/>
      <c r="AI858" s="51"/>
      <c r="AJ858" s="51"/>
      <c r="AK858" s="51"/>
      <c r="AL858" s="51"/>
      <c r="AM858" s="51"/>
      <c r="AN858" s="51"/>
      <c r="AO858" s="51"/>
      <c r="AP858" s="51"/>
      <c r="AQ858" s="51"/>
      <c r="AR858" s="53"/>
      <c r="AS858" s="51"/>
      <c r="AT858" s="51"/>
      <c r="AU858" s="51"/>
      <c r="AV858" s="51"/>
      <c r="AW858" s="51"/>
      <c r="AX858" s="51"/>
      <c r="AY858" s="51"/>
    </row>
    <row r="859" spans="32:51">
      <c r="AF859" s="51"/>
      <c r="AG859" s="53"/>
      <c r="AH859" s="51"/>
      <c r="AI859" s="51"/>
      <c r="AJ859" s="51"/>
      <c r="AK859" s="51"/>
      <c r="AL859" s="51"/>
      <c r="AM859" s="51"/>
      <c r="AN859" s="51"/>
      <c r="AO859" s="51"/>
      <c r="AP859" s="51"/>
      <c r="AQ859" s="51"/>
      <c r="AR859" s="53"/>
      <c r="AS859" s="51"/>
      <c r="AT859" s="51"/>
      <c r="AU859" s="51"/>
      <c r="AV859" s="51"/>
      <c r="AW859" s="51"/>
      <c r="AX859" s="51"/>
      <c r="AY859" s="51"/>
    </row>
    <row r="860" spans="32:51">
      <c r="AF860" s="51"/>
      <c r="AG860" s="53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3"/>
      <c r="AS860" s="51"/>
      <c r="AT860" s="51"/>
      <c r="AU860" s="51"/>
      <c r="AV860" s="51"/>
      <c r="AW860" s="51"/>
      <c r="AX860" s="51"/>
      <c r="AY860" s="51"/>
    </row>
    <row r="861" spans="32:51">
      <c r="AF861" s="51"/>
      <c r="AG861" s="53"/>
      <c r="AH861" s="51"/>
      <c r="AI861" s="51"/>
      <c r="AJ861" s="51"/>
      <c r="AK861" s="51"/>
      <c r="AL861" s="51"/>
      <c r="AM861" s="51"/>
      <c r="AN861" s="51"/>
      <c r="AO861" s="51"/>
      <c r="AP861" s="51"/>
      <c r="AQ861" s="51"/>
      <c r="AR861" s="53"/>
      <c r="AS861" s="51"/>
      <c r="AT861" s="51"/>
      <c r="AU861" s="51"/>
      <c r="AV861" s="51"/>
      <c r="AW861" s="51"/>
      <c r="AX861" s="51"/>
      <c r="AY861" s="51"/>
    </row>
    <row r="862" spans="32:51">
      <c r="AF862" s="51"/>
      <c r="AG862" s="53"/>
      <c r="AH862" s="51"/>
      <c r="AI862" s="51"/>
      <c r="AJ862" s="51"/>
      <c r="AK862" s="51"/>
      <c r="AL862" s="51"/>
      <c r="AM862" s="51"/>
      <c r="AN862" s="51"/>
      <c r="AO862" s="51"/>
      <c r="AP862" s="51"/>
      <c r="AQ862" s="51"/>
      <c r="AR862" s="53"/>
      <c r="AS862" s="51"/>
      <c r="AT862" s="51"/>
      <c r="AU862" s="51"/>
      <c r="AV862" s="51"/>
      <c r="AW862" s="51"/>
      <c r="AX862" s="51"/>
      <c r="AY862" s="51"/>
    </row>
    <row r="863" spans="32:51">
      <c r="AF863" s="51"/>
      <c r="AG863" s="53"/>
      <c r="AH863" s="51"/>
      <c r="AI863" s="51"/>
      <c r="AJ863" s="51"/>
      <c r="AK863" s="51"/>
      <c r="AL863" s="51"/>
      <c r="AM863" s="51"/>
      <c r="AN863" s="51"/>
      <c r="AO863" s="51"/>
      <c r="AP863" s="51"/>
      <c r="AQ863" s="51"/>
      <c r="AR863" s="53"/>
      <c r="AS863" s="51"/>
      <c r="AT863" s="51"/>
      <c r="AU863" s="51"/>
      <c r="AV863" s="51"/>
      <c r="AW863" s="51"/>
      <c r="AX863" s="51"/>
      <c r="AY863" s="51"/>
    </row>
    <row r="864" spans="32:51">
      <c r="AF864" s="51"/>
      <c r="AG864" s="53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3"/>
      <c r="AS864" s="51"/>
      <c r="AT864" s="51"/>
      <c r="AU864" s="51"/>
      <c r="AV864" s="51"/>
      <c r="AW864" s="51"/>
      <c r="AX864" s="51"/>
      <c r="AY864" s="51"/>
    </row>
    <row r="865" spans="32:51">
      <c r="AF865" s="51"/>
      <c r="AG865" s="53"/>
      <c r="AH865" s="51"/>
      <c r="AI865" s="51"/>
      <c r="AJ865" s="51"/>
      <c r="AK865" s="51"/>
      <c r="AL865" s="51"/>
      <c r="AM865" s="51"/>
      <c r="AN865" s="51"/>
      <c r="AO865" s="51"/>
      <c r="AP865" s="51"/>
      <c r="AQ865" s="51"/>
      <c r="AR865" s="53"/>
      <c r="AS865" s="51"/>
      <c r="AT865" s="51"/>
      <c r="AU865" s="51"/>
      <c r="AV865" s="51"/>
      <c r="AW865" s="51"/>
      <c r="AX865" s="51"/>
      <c r="AY865" s="51"/>
    </row>
    <row r="866" spans="32:51">
      <c r="AF866" s="51"/>
      <c r="AG866" s="53"/>
      <c r="AH866" s="51"/>
      <c r="AI866" s="51"/>
      <c r="AJ866" s="51"/>
      <c r="AK866" s="51"/>
      <c r="AL866" s="51"/>
      <c r="AM866" s="51"/>
      <c r="AN866" s="51"/>
      <c r="AO866" s="51"/>
      <c r="AP866" s="51"/>
      <c r="AQ866" s="51"/>
      <c r="AR866" s="53"/>
      <c r="AS866" s="51"/>
      <c r="AT866" s="51"/>
      <c r="AU866" s="51"/>
      <c r="AV866" s="51"/>
      <c r="AW866" s="51"/>
      <c r="AX866" s="51"/>
      <c r="AY866" s="51"/>
    </row>
    <row r="867" spans="32:51">
      <c r="AF867" s="51"/>
      <c r="AG867" s="53"/>
      <c r="AH867" s="51"/>
      <c r="AI867" s="51"/>
      <c r="AJ867" s="51"/>
      <c r="AK867" s="51"/>
      <c r="AL867" s="51"/>
      <c r="AM867" s="51"/>
      <c r="AN867" s="51"/>
      <c r="AO867" s="51"/>
      <c r="AP867" s="51"/>
      <c r="AQ867" s="51"/>
      <c r="AR867" s="53"/>
      <c r="AS867" s="51"/>
      <c r="AT867" s="51"/>
      <c r="AU867" s="51"/>
      <c r="AV867" s="51"/>
      <c r="AW867" s="51"/>
      <c r="AX867" s="51"/>
      <c r="AY867" s="51"/>
    </row>
    <row r="868" spans="32:51">
      <c r="AF868" s="51"/>
      <c r="AG868" s="53"/>
      <c r="AH868" s="51"/>
      <c r="AI868" s="51"/>
      <c r="AJ868" s="51"/>
      <c r="AK868" s="51"/>
      <c r="AL868" s="51"/>
      <c r="AM868" s="51"/>
      <c r="AN868" s="51"/>
      <c r="AO868" s="51"/>
      <c r="AP868" s="51"/>
      <c r="AQ868" s="51"/>
      <c r="AR868" s="53"/>
      <c r="AS868" s="51"/>
      <c r="AT868" s="51"/>
      <c r="AU868" s="51"/>
      <c r="AV868" s="51"/>
      <c r="AW868" s="51"/>
      <c r="AX868" s="51"/>
      <c r="AY868" s="51"/>
    </row>
    <row r="869" spans="32:51">
      <c r="AF869" s="51"/>
      <c r="AG869" s="53"/>
      <c r="AH869" s="51"/>
      <c r="AI869" s="51"/>
      <c r="AJ869" s="51"/>
      <c r="AK869" s="51"/>
      <c r="AL869" s="51"/>
      <c r="AM869" s="51"/>
      <c r="AN869" s="51"/>
      <c r="AO869" s="51"/>
      <c r="AP869" s="51"/>
      <c r="AQ869" s="51"/>
      <c r="AR869" s="53"/>
      <c r="AS869" s="51"/>
      <c r="AT869" s="51"/>
      <c r="AU869" s="51"/>
      <c r="AV869" s="51"/>
      <c r="AW869" s="51"/>
      <c r="AX869" s="51"/>
      <c r="AY869" s="51"/>
    </row>
    <row r="870" spans="32:51">
      <c r="AF870" s="51"/>
      <c r="AG870" s="53"/>
      <c r="AH870" s="51"/>
      <c r="AI870" s="51"/>
      <c r="AJ870" s="51"/>
      <c r="AK870" s="51"/>
      <c r="AL870" s="51"/>
      <c r="AM870" s="51"/>
      <c r="AN870" s="51"/>
      <c r="AO870" s="51"/>
      <c r="AP870" s="51"/>
      <c r="AQ870" s="51"/>
      <c r="AR870" s="53"/>
      <c r="AS870" s="51"/>
      <c r="AT870" s="51"/>
      <c r="AU870" s="51"/>
      <c r="AV870" s="51"/>
      <c r="AW870" s="51"/>
      <c r="AX870" s="51"/>
      <c r="AY870" s="51"/>
    </row>
    <row r="871" spans="32:51">
      <c r="AF871" s="51"/>
      <c r="AG871" s="53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3"/>
      <c r="AS871" s="51"/>
      <c r="AT871" s="51"/>
      <c r="AU871" s="51"/>
      <c r="AV871" s="51"/>
      <c r="AW871" s="51"/>
      <c r="AX871" s="51"/>
      <c r="AY871" s="51"/>
    </row>
    <row r="872" spans="32:51">
      <c r="AF872" s="51"/>
      <c r="AG872" s="53"/>
      <c r="AH872" s="51"/>
      <c r="AI872" s="51"/>
      <c r="AJ872" s="51"/>
      <c r="AK872" s="51"/>
      <c r="AL872" s="51"/>
      <c r="AM872" s="51"/>
      <c r="AN872" s="51"/>
      <c r="AO872" s="51"/>
      <c r="AP872" s="51"/>
      <c r="AQ872" s="51"/>
      <c r="AR872" s="53"/>
      <c r="AS872" s="51"/>
      <c r="AT872" s="51"/>
      <c r="AU872" s="51"/>
      <c r="AV872" s="51"/>
      <c r="AW872" s="51"/>
      <c r="AX872" s="51"/>
      <c r="AY872" s="51"/>
    </row>
    <row r="873" spans="32:51">
      <c r="AF873" s="51"/>
      <c r="AG873" s="53"/>
      <c r="AH873" s="51"/>
      <c r="AI873" s="51"/>
      <c r="AJ873" s="51"/>
      <c r="AK873" s="51"/>
      <c r="AL873" s="51"/>
      <c r="AM873" s="51"/>
      <c r="AN873" s="51"/>
      <c r="AO873" s="51"/>
      <c r="AP873" s="51"/>
      <c r="AQ873" s="51"/>
      <c r="AR873" s="53"/>
      <c r="AS873" s="51"/>
      <c r="AT873" s="51"/>
      <c r="AU873" s="51"/>
      <c r="AV873" s="51"/>
      <c r="AW873" s="51"/>
      <c r="AX873" s="51"/>
      <c r="AY873" s="51"/>
    </row>
    <row r="874" spans="32:51">
      <c r="AF874" s="51"/>
      <c r="AG874" s="53"/>
      <c r="AH874" s="51"/>
      <c r="AI874" s="51"/>
      <c r="AJ874" s="51"/>
      <c r="AK874" s="51"/>
      <c r="AL874" s="51"/>
      <c r="AM874" s="51"/>
      <c r="AN874" s="51"/>
      <c r="AO874" s="51"/>
      <c r="AP874" s="51"/>
      <c r="AQ874" s="51"/>
      <c r="AR874" s="53"/>
      <c r="AS874" s="51"/>
      <c r="AT874" s="51"/>
      <c r="AU874" s="51"/>
      <c r="AV874" s="51"/>
      <c r="AW874" s="51"/>
      <c r="AX874" s="51"/>
      <c r="AY874" s="51"/>
    </row>
    <row r="875" spans="32:51">
      <c r="AF875" s="51"/>
      <c r="AG875" s="53"/>
      <c r="AH875" s="51"/>
      <c r="AI875" s="51"/>
      <c r="AJ875" s="51"/>
      <c r="AK875" s="51"/>
      <c r="AL875" s="51"/>
      <c r="AM875" s="51"/>
      <c r="AN875" s="51"/>
      <c r="AO875" s="51"/>
      <c r="AP875" s="51"/>
      <c r="AQ875" s="51"/>
      <c r="AR875" s="53"/>
      <c r="AS875" s="51"/>
      <c r="AT875" s="51"/>
      <c r="AU875" s="51"/>
      <c r="AV875" s="51"/>
      <c r="AW875" s="51"/>
      <c r="AX875" s="51"/>
      <c r="AY875" s="51"/>
    </row>
    <row r="876" spans="32:51">
      <c r="AF876" s="51"/>
      <c r="AG876" s="53"/>
      <c r="AH876" s="51"/>
      <c r="AI876" s="51"/>
      <c r="AJ876" s="51"/>
      <c r="AK876" s="51"/>
      <c r="AL876" s="51"/>
      <c r="AM876" s="51"/>
      <c r="AN876" s="51"/>
      <c r="AO876" s="51"/>
      <c r="AP876" s="51"/>
      <c r="AQ876" s="51"/>
      <c r="AR876" s="53"/>
      <c r="AS876" s="51"/>
      <c r="AT876" s="51"/>
      <c r="AU876" s="51"/>
      <c r="AV876" s="51"/>
      <c r="AW876" s="51"/>
      <c r="AX876" s="51"/>
      <c r="AY876" s="51"/>
    </row>
    <row r="877" spans="32:51">
      <c r="AF877" s="51"/>
      <c r="AG877" s="53"/>
      <c r="AH877" s="51"/>
      <c r="AI877" s="51"/>
      <c r="AJ877" s="51"/>
      <c r="AK877" s="51"/>
      <c r="AL877" s="51"/>
      <c r="AM877" s="51"/>
      <c r="AN877" s="51"/>
      <c r="AO877" s="51"/>
      <c r="AP877" s="51"/>
      <c r="AQ877" s="51"/>
      <c r="AR877" s="53"/>
      <c r="AS877" s="51"/>
      <c r="AT877" s="51"/>
      <c r="AU877" s="51"/>
      <c r="AV877" s="51"/>
      <c r="AW877" s="51"/>
      <c r="AX877" s="51"/>
      <c r="AY877" s="51"/>
    </row>
    <row r="878" spans="32:51">
      <c r="AF878" s="51"/>
      <c r="AG878" s="53"/>
      <c r="AH878" s="51"/>
      <c r="AI878" s="51"/>
      <c r="AJ878" s="51"/>
      <c r="AK878" s="51"/>
      <c r="AL878" s="51"/>
      <c r="AM878" s="51"/>
      <c r="AN878" s="51"/>
      <c r="AO878" s="51"/>
      <c r="AP878" s="51"/>
      <c r="AQ878" s="51"/>
      <c r="AR878" s="53"/>
      <c r="AS878" s="51"/>
      <c r="AT878" s="51"/>
      <c r="AU878" s="51"/>
      <c r="AV878" s="51"/>
      <c r="AW878" s="51"/>
      <c r="AX878" s="51"/>
      <c r="AY878" s="51"/>
    </row>
    <row r="879" spans="32:51">
      <c r="AF879" s="51"/>
      <c r="AG879" s="53"/>
      <c r="AH879" s="51"/>
      <c r="AI879" s="51"/>
      <c r="AJ879" s="51"/>
      <c r="AK879" s="51"/>
      <c r="AL879" s="51"/>
      <c r="AM879" s="51"/>
      <c r="AN879" s="51"/>
      <c r="AO879" s="51"/>
      <c r="AP879" s="51"/>
      <c r="AQ879" s="51"/>
      <c r="AR879" s="53"/>
      <c r="AS879" s="51"/>
      <c r="AT879" s="51"/>
      <c r="AU879" s="51"/>
      <c r="AV879" s="51"/>
      <c r="AW879" s="51"/>
      <c r="AX879" s="51"/>
      <c r="AY879" s="51"/>
    </row>
    <row r="880" spans="32:51">
      <c r="AF880" s="51"/>
      <c r="AG880" s="53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3"/>
      <c r="AS880" s="51"/>
      <c r="AT880" s="51"/>
      <c r="AU880" s="51"/>
      <c r="AV880" s="51"/>
      <c r="AW880" s="51"/>
      <c r="AX880" s="51"/>
      <c r="AY880" s="51"/>
    </row>
    <row r="881" spans="32:51">
      <c r="AF881" s="51"/>
      <c r="AG881" s="53"/>
      <c r="AH881" s="51"/>
      <c r="AI881" s="51"/>
      <c r="AJ881" s="51"/>
      <c r="AK881" s="51"/>
      <c r="AL881" s="51"/>
      <c r="AM881" s="51"/>
      <c r="AN881" s="51"/>
      <c r="AO881" s="51"/>
      <c r="AP881" s="51"/>
      <c r="AQ881" s="51"/>
      <c r="AR881" s="53"/>
      <c r="AS881" s="51"/>
      <c r="AT881" s="51"/>
      <c r="AU881" s="51"/>
      <c r="AV881" s="51"/>
      <c r="AW881" s="51"/>
      <c r="AX881" s="51"/>
      <c r="AY881" s="51"/>
    </row>
    <row r="882" spans="32:51">
      <c r="AF882" s="51"/>
      <c r="AG882" s="53"/>
      <c r="AH882" s="51"/>
      <c r="AI882" s="51"/>
      <c r="AJ882" s="51"/>
      <c r="AK882" s="51"/>
      <c r="AL882" s="51"/>
      <c r="AM882" s="51"/>
      <c r="AN882" s="51"/>
      <c r="AO882" s="51"/>
      <c r="AP882" s="51"/>
      <c r="AQ882" s="51"/>
      <c r="AR882" s="53"/>
      <c r="AS882" s="51"/>
      <c r="AT882" s="51"/>
      <c r="AU882" s="51"/>
      <c r="AV882" s="51"/>
      <c r="AW882" s="51"/>
      <c r="AX882" s="51"/>
      <c r="AY882" s="51"/>
    </row>
    <row r="883" spans="32:51">
      <c r="AF883" s="51"/>
      <c r="AG883" s="53"/>
      <c r="AH883" s="51"/>
      <c r="AI883" s="51"/>
      <c r="AJ883" s="51"/>
      <c r="AK883" s="51"/>
      <c r="AL883" s="51"/>
      <c r="AM883" s="51"/>
      <c r="AN883" s="51"/>
      <c r="AO883" s="51"/>
      <c r="AP883" s="51"/>
      <c r="AQ883" s="51"/>
      <c r="AR883" s="53"/>
      <c r="AS883" s="51"/>
      <c r="AT883" s="51"/>
      <c r="AU883" s="51"/>
      <c r="AV883" s="51"/>
      <c r="AW883" s="51"/>
      <c r="AX883" s="51"/>
      <c r="AY883" s="51"/>
    </row>
    <row r="884" spans="32:51">
      <c r="AF884" s="51"/>
      <c r="AG884" s="53"/>
      <c r="AH884" s="51"/>
      <c r="AI884" s="51"/>
      <c r="AJ884" s="51"/>
      <c r="AK884" s="51"/>
      <c r="AL884" s="51"/>
      <c r="AM884" s="51"/>
      <c r="AN884" s="51"/>
      <c r="AO884" s="51"/>
      <c r="AP884" s="51"/>
      <c r="AQ884" s="51"/>
      <c r="AR884" s="53"/>
      <c r="AS884" s="51"/>
      <c r="AT884" s="51"/>
      <c r="AU884" s="51"/>
      <c r="AV884" s="51"/>
      <c r="AW884" s="51"/>
      <c r="AX884" s="51"/>
      <c r="AY884" s="51"/>
    </row>
    <row r="885" spans="32:51">
      <c r="AF885" s="51"/>
      <c r="AG885" s="53"/>
      <c r="AH885" s="51"/>
      <c r="AI885" s="51"/>
      <c r="AJ885" s="51"/>
      <c r="AK885" s="51"/>
      <c r="AL885" s="51"/>
      <c r="AM885" s="51"/>
      <c r="AN885" s="51"/>
      <c r="AO885" s="51"/>
      <c r="AP885" s="51"/>
      <c r="AQ885" s="51"/>
      <c r="AR885" s="53"/>
      <c r="AS885" s="51"/>
      <c r="AT885" s="51"/>
      <c r="AU885" s="51"/>
      <c r="AV885" s="51"/>
      <c r="AW885" s="51"/>
      <c r="AX885" s="51"/>
      <c r="AY885" s="51"/>
    </row>
    <row r="886" spans="32:51">
      <c r="AF886" s="51"/>
      <c r="AG886" s="53"/>
      <c r="AH886" s="51"/>
      <c r="AI886" s="51"/>
      <c r="AJ886" s="51"/>
      <c r="AK886" s="51"/>
      <c r="AL886" s="51"/>
      <c r="AM886" s="51"/>
      <c r="AN886" s="51"/>
      <c r="AO886" s="51"/>
      <c r="AP886" s="51"/>
      <c r="AQ886" s="51"/>
      <c r="AR886" s="53"/>
      <c r="AS886" s="51"/>
      <c r="AT886" s="51"/>
      <c r="AU886" s="51"/>
      <c r="AV886" s="51"/>
      <c r="AW886" s="51"/>
      <c r="AX886" s="51"/>
      <c r="AY886" s="51"/>
    </row>
    <row r="887" spans="32:51">
      <c r="AF887" s="51"/>
      <c r="AG887" s="53"/>
      <c r="AH887" s="51"/>
      <c r="AI887" s="51"/>
      <c r="AJ887" s="51"/>
      <c r="AK887" s="51"/>
      <c r="AL887" s="51"/>
      <c r="AM887" s="51"/>
      <c r="AN887" s="51"/>
      <c r="AO887" s="51"/>
      <c r="AP887" s="51"/>
      <c r="AQ887" s="51"/>
      <c r="AR887" s="53"/>
      <c r="AS887" s="51"/>
      <c r="AT887" s="51"/>
      <c r="AU887" s="51"/>
      <c r="AV887" s="51"/>
      <c r="AW887" s="51"/>
      <c r="AX887" s="51"/>
      <c r="AY887" s="51"/>
    </row>
    <row r="888" spans="32:51">
      <c r="AF888" s="51"/>
      <c r="AG888" s="53"/>
      <c r="AH888" s="51"/>
      <c r="AI888" s="51"/>
      <c r="AJ888" s="51"/>
      <c r="AK888" s="51"/>
      <c r="AL888" s="51"/>
      <c r="AM888" s="51"/>
      <c r="AN888" s="51"/>
      <c r="AO888" s="51"/>
      <c r="AP888" s="51"/>
      <c r="AQ888" s="51"/>
      <c r="AR888" s="53"/>
      <c r="AS888" s="51"/>
      <c r="AT888" s="51"/>
      <c r="AU888" s="51"/>
      <c r="AV888" s="51"/>
      <c r="AW888" s="51"/>
      <c r="AX888" s="51"/>
      <c r="AY888" s="51"/>
    </row>
    <row r="889" spans="32:51">
      <c r="AF889" s="51"/>
      <c r="AG889" s="53"/>
      <c r="AH889" s="51"/>
      <c r="AI889" s="51"/>
      <c r="AJ889" s="51"/>
      <c r="AK889" s="51"/>
      <c r="AL889" s="51"/>
      <c r="AM889" s="51"/>
      <c r="AN889" s="51"/>
      <c r="AO889" s="51"/>
      <c r="AP889" s="51"/>
      <c r="AQ889" s="51"/>
      <c r="AR889" s="53"/>
      <c r="AS889" s="51"/>
      <c r="AT889" s="51"/>
      <c r="AU889" s="51"/>
      <c r="AV889" s="51"/>
      <c r="AW889" s="51"/>
      <c r="AX889" s="51"/>
      <c r="AY889" s="51"/>
    </row>
    <row r="890" spans="32:51">
      <c r="AF890" s="51"/>
      <c r="AG890" s="53"/>
      <c r="AH890" s="51"/>
      <c r="AI890" s="51"/>
      <c r="AJ890" s="51"/>
      <c r="AK890" s="51"/>
      <c r="AL890" s="51"/>
      <c r="AM890" s="51"/>
      <c r="AN890" s="51"/>
      <c r="AO890" s="51"/>
      <c r="AP890" s="51"/>
      <c r="AQ890" s="51"/>
      <c r="AR890" s="53"/>
      <c r="AS890" s="51"/>
      <c r="AT890" s="51"/>
      <c r="AU890" s="51"/>
      <c r="AV890" s="51"/>
      <c r="AW890" s="51"/>
      <c r="AX890" s="51"/>
      <c r="AY890" s="51"/>
    </row>
    <row r="891" spans="32:51">
      <c r="AF891" s="51"/>
      <c r="AG891" s="53"/>
      <c r="AH891" s="51"/>
      <c r="AI891" s="51"/>
      <c r="AJ891" s="51"/>
      <c r="AK891" s="51"/>
      <c r="AL891" s="51"/>
      <c r="AM891" s="51"/>
      <c r="AN891" s="51"/>
      <c r="AO891" s="51"/>
      <c r="AP891" s="51"/>
      <c r="AQ891" s="51"/>
      <c r="AR891" s="53"/>
      <c r="AS891" s="51"/>
      <c r="AT891" s="51"/>
      <c r="AU891" s="51"/>
      <c r="AV891" s="51"/>
      <c r="AW891" s="51"/>
      <c r="AX891" s="51"/>
      <c r="AY891" s="51"/>
    </row>
    <row r="892" spans="32:51">
      <c r="AF892" s="51"/>
      <c r="AG892" s="53"/>
      <c r="AH892" s="51"/>
      <c r="AI892" s="51"/>
      <c r="AJ892" s="51"/>
      <c r="AK892" s="51"/>
      <c r="AL892" s="51"/>
      <c r="AM892" s="51"/>
      <c r="AN892" s="51"/>
      <c r="AO892" s="51"/>
      <c r="AP892" s="51"/>
      <c r="AQ892" s="51"/>
      <c r="AR892" s="53"/>
      <c r="AS892" s="51"/>
      <c r="AT892" s="51"/>
      <c r="AU892" s="51"/>
      <c r="AV892" s="51"/>
      <c r="AW892" s="51"/>
      <c r="AX892" s="51"/>
      <c r="AY892" s="51"/>
    </row>
    <row r="893" spans="32:51">
      <c r="AF893" s="51"/>
      <c r="AG893" s="53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3"/>
      <c r="AS893" s="51"/>
      <c r="AT893" s="51"/>
      <c r="AU893" s="51"/>
      <c r="AV893" s="51"/>
      <c r="AW893" s="51"/>
      <c r="AX893" s="51"/>
      <c r="AY893" s="51"/>
    </row>
    <row r="894" spans="32:51">
      <c r="AF894" s="51"/>
      <c r="AG894" s="53"/>
      <c r="AH894" s="51"/>
      <c r="AI894" s="51"/>
      <c r="AJ894" s="51"/>
      <c r="AK894" s="51"/>
      <c r="AL894" s="51"/>
      <c r="AM894" s="51"/>
      <c r="AN894" s="51"/>
      <c r="AO894" s="51"/>
      <c r="AP894" s="51"/>
      <c r="AQ894" s="51"/>
      <c r="AR894" s="53"/>
      <c r="AS894" s="51"/>
      <c r="AT894" s="51"/>
      <c r="AU894" s="51"/>
      <c r="AV894" s="51"/>
      <c r="AW894" s="51"/>
      <c r="AX894" s="51"/>
      <c r="AY894" s="51"/>
    </row>
    <row r="895" spans="32:51">
      <c r="AF895" s="51"/>
      <c r="AG895" s="53"/>
      <c r="AH895" s="51"/>
      <c r="AI895" s="51"/>
      <c r="AJ895" s="51"/>
      <c r="AK895" s="51"/>
      <c r="AL895" s="51"/>
      <c r="AM895" s="51"/>
      <c r="AN895" s="51"/>
      <c r="AO895" s="51"/>
      <c r="AP895" s="51"/>
      <c r="AQ895" s="51"/>
      <c r="AR895" s="53"/>
      <c r="AS895" s="51"/>
      <c r="AT895" s="51"/>
      <c r="AU895" s="51"/>
      <c r="AV895" s="51"/>
      <c r="AW895" s="51"/>
      <c r="AX895" s="51"/>
      <c r="AY895" s="51"/>
    </row>
    <row r="896" spans="32:51">
      <c r="AF896" s="51"/>
      <c r="AG896" s="53"/>
      <c r="AH896" s="51"/>
      <c r="AI896" s="51"/>
      <c r="AJ896" s="51"/>
      <c r="AK896" s="51"/>
      <c r="AL896" s="51"/>
      <c r="AM896" s="51"/>
      <c r="AN896" s="51"/>
      <c r="AO896" s="51"/>
      <c r="AP896" s="51"/>
      <c r="AQ896" s="51"/>
      <c r="AR896" s="53"/>
      <c r="AS896" s="51"/>
      <c r="AT896" s="51"/>
      <c r="AU896" s="51"/>
      <c r="AV896" s="51"/>
      <c r="AW896" s="51"/>
      <c r="AX896" s="51"/>
      <c r="AY896" s="51"/>
    </row>
    <row r="897" spans="32:51">
      <c r="AF897" s="51"/>
      <c r="AG897" s="53"/>
      <c r="AH897" s="51"/>
      <c r="AI897" s="51"/>
      <c r="AJ897" s="51"/>
      <c r="AK897" s="51"/>
      <c r="AL897" s="51"/>
      <c r="AM897" s="51"/>
      <c r="AN897" s="51"/>
      <c r="AO897" s="51"/>
      <c r="AP897" s="51"/>
      <c r="AQ897" s="51"/>
      <c r="AR897" s="53"/>
      <c r="AS897" s="51"/>
      <c r="AT897" s="51"/>
      <c r="AU897" s="51"/>
      <c r="AV897" s="51"/>
      <c r="AW897" s="51"/>
      <c r="AX897" s="51"/>
      <c r="AY897" s="51"/>
    </row>
    <row r="898" spans="32:51">
      <c r="AF898" s="51"/>
      <c r="AG898" s="53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3"/>
      <c r="AS898" s="51"/>
      <c r="AT898" s="51"/>
      <c r="AU898" s="51"/>
      <c r="AV898" s="51"/>
      <c r="AW898" s="51"/>
      <c r="AX898" s="51"/>
      <c r="AY898" s="51"/>
    </row>
    <row r="899" spans="32:51">
      <c r="AF899" s="51"/>
      <c r="AG899" s="53"/>
      <c r="AH899" s="51"/>
      <c r="AI899" s="51"/>
      <c r="AJ899" s="51"/>
      <c r="AK899" s="51"/>
      <c r="AL899" s="51"/>
      <c r="AM899" s="51"/>
      <c r="AN899" s="51"/>
      <c r="AO899" s="51"/>
      <c r="AP899" s="51"/>
      <c r="AQ899" s="51"/>
      <c r="AR899" s="53"/>
      <c r="AS899" s="51"/>
      <c r="AT899" s="51"/>
      <c r="AU899" s="51"/>
      <c r="AV899" s="51"/>
      <c r="AW899" s="51"/>
      <c r="AX899" s="51"/>
      <c r="AY899" s="51"/>
    </row>
    <row r="900" spans="32:51">
      <c r="AF900" s="51"/>
      <c r="AG900" s="53"/>
      <c r="AH900" s="51"/>
      <c r="AI900" s="51"/>
      <c r="AJ900" s="51"/>
      <c r="AK900" s="51"/>
      <c r="AL900" s="51"/>
      <c r="AM900" s="51"/>
      <c r="AN900" s="51"/>
      <c r="AO900" s="51"/>
      <c r="AP900" s="51"/>
      <c r="AQ900" s="51"/>
      <c r="AR900" s="53"/>
      <c r="AS900" s="51"/>
      <c r="AT900" s="51"/>
      <c r="AU900" s="51"/>
      <c r="AV900" s="51"/>
      <c r="AW900" s="51"/>
      <c r="AX900" s="51"/>
      <c r="AY900" s="51"/>
    </row>
    <row r="901" spans="32:51">
      <c r="AF901" s="51"/>
      <c r="AG901" s="53"/>
      <c r="AH901" s="51"/>
      <c r="AI901" s="51"/>
      <c r="AJ901" s="51"/>
      <c r="AK901" s="51"/>
      <c r="AL901" s="51"/>
      <c r="AM901" s="51"/>
      <c r="AN901" s="51"/>
      <c r="AO901" s="51"/>
      <c r="AP901" s="51"/>
      <c r="AQ901" s="51"/>
      <c r="AR901" s="53"/>
      <c r="AS901" s="51"/>
      <c r="AT901" s="51"/>
      <c r="AU901" s="51"/>
      <c r="AV901" s="51"/>
      <c r="AW901" s="51"/>
      <c r="AX901" s="51"/>
      <c r="AY901" s="51"/>
    </row>
    <row r="902" spans="32:51">
      <c r="AF902" s="51"/>
      <c r="AG902" s="53"/>
      <c r="AH902" s="51"/>
      <c r="AI902" s="51"/>
      <c r="AJ902" s="51"/>
      <c r="AK902" s="51"/>
      <c r="AL902" s="51"/>
      <c r="AM902" s="51"/>
      <c r="AN902" s="51"/>
      <c r="AO902" s="51"/>
      <c r="AP902" s="51"/>
      <c r="AQ902" s="51"/>
      <c r="AR902" s="53"/>
      <c r="AS902" s="51"/>
      <c r="AT902" s="51"/>
      <c r="AU902" s="51"/>
      <c r="AV902" s="51"/>
      <c r="AW902" s="51"/>
      <c r="AX902" s="51"/>
      <c r="AY902" s="51"/>
    </row>
    <row r="903" spans="32:51">
      <c r="AF903" s="51"/>
      <c r="AG903" s="53"/>
      <c r="AH903" s="51"/>
      <c r="AI903" s="51"/>
      <c r="AJ903" s="51"/>
      <c r="AK903" s="51"/>
      <c r="AL903" s="51"/>
      <c r="AM903" s="51"/>
      <c r="AN903" s="51"/>
      <c r="AO903" s="51"/>
      <c r="AP903" s="51"/>
      <c r="AQ903" s="51"/>
      <c r="AR903" s="53"/>
      <c r="AS903" s="51"/>
      <c r="AT903" s="51"/>
      <c r="AU903" s="51"/>
      <c r="AV903" s="51"/>
      <c r="AW903" s="51"/>
      <c r="AX903" s="51"/>
      <c r="AY903" s="51"/>
    </row>
    <row r="904" spans="32:51">
      <c r="AF904" s="51"/>
      <c r="AG904" s="53"/>
      <c r="AH904" s="51"/>
      <c r="AI904" s="51"/>
      <c r="AJ904" s="51"/>
      <c r="AK904" s="51"/>
      <c r="AL904" s="51"/>
      <c r="AM904" s="51"/>
      <c r="AN904" s="51"/>
      <c r="AO904" s="51"/>
      <c r="AP904" s="51"/>
      <c r="AQ904" s="51"/>
      <c r="AR904" s="53"/>
      <c r="AS904" s="51"/>
      <c r="AT904" s="51"/>
      <c r="AU904" s="51"/>
      <c r="AV904" s="51"/>
      <c r="AW904" s="51"/>
      <c r="AX904" s="51"/>
      <c r="AY904" s="51"/>
    </row>
    <row r="905" spans="32:51">
      <c r="AF905" s="51"/>
      <c r="AG905" s="53"/>
      <c r="AH905" s="51"/>
      <c r="AI905" s="51"/>
      <c r="AJ905" s="51"/>
      <c r="AK905" s="51"/>
      <c r="AL905" s="51"/>
      <c r="AM905" s="51"/>
      <c r="AN905" s="51"/>
      <c r="AO905" s="51"/>
      <c r="AP905" s="51"/>
      <c r="AQ905" s="51"/>
      <c r="AR905" s="53"/>
      <c r="AS905" s="51"/>
      <c r="AT905" s="51"/>
      <c r="AU905" s="51"/>
      <c r="AV905" s="51"/>
      <c r="AW905" s="51"/>
      <c r="AX905" s="51"/>
      <c r="AY905" s="51"/>
    </row>
    <row r="906" spans="32:51">
      <c r="AF906" s="51"/>
      <c r="AG906" s="53"/>
      <c r="AH906" s="51"/>
      <c r="AI906" s="51"/>
      <c r="AJ906" s="51"/>
      <c r="AK906" s="51"/>
      <c r="AL906" s="51"/>
      <c r="AM906" s="51"/>
      <c r="AN906" s="51"/>
      <c r="AO906" s="51"/>
      <c r="AP906" s="51"/>
      <c r="AQ906" s="51"/>
      <c r="AR906" s="53"/>
      <c r="AS906" s="51"/>
      <c r="AT906" s="51"/>
      <c r="AU906" s="51"/>
      <c r="AV906" s="51"/>
      <c r="AW906" s="51"/>
      <c r="AX906" s="51"/>
      <c r="AY906" s="51"/>
    </row>
    <row r="907" spans="32:51">
      <c r="AF907" s="51"/>
      <c r="AG907" s="53"/>
      <c r="AH907" s="51"/>
      <c r="AI907" s="51"/>
      <c r="AJ907" s="51"/>
      <c r="AK907" s="51"/>
      <c r="AL907" s="51"/>
      <c r="AM907" s="51"/>
      <c r="AN907" s="51"/>
      <c r="AO907" s="51"/>
      <c r="AP907" s="51"/>
      <c r="AQ907" s="51"/>
      <c r="AR907" s="53"/>
      <c r="AS907" s="51"/>
      <c r="AT907" s="51"/>
      <c r="AU907" s="51"/>
      <c r="AV907" s="51"/>
      <c r="AW907" s="51"/>
      <c r="AX907" s="51"/>
      <c r="AY907" s="51"/>
    </row>
    <row r="908" spans="32:51">
      <c r="AF908" s="51"/>
      <c r="AG908" s="53"/>
      <c r="AH908" s="51"/>
      <c r="AI908" s="51"/>
      <c r="AJ908" s="51"/>
      <c r="AK908" s="51"/>
      <c r="AL908" s="51"/>
      <c r="AM908" s="51"/>
      <c r="AN908" s="51"/>
      <c r="AO908" s="51"/>
      <c r="AP908" s="51"/>
      <c r="AQ908" s="51"/>
      <c r="AR908" s="53"/>
      <c r="AS908" s="51"/>
      <c r="AT908" s="51"/>
      <c r="AU908" s="51"/>
      <c r="AV908" s="51"/>
      <c r="AW908" s="51"/>
      <c r="AX908" s="51"/>
      <c r="AY908" s="51"/>
    </row>
    <row r="909" spans="32:51">
      <c r="AF909" s="51"/>
      <c r="AG909" s="53"/>
      <c r="AH909" s="51"/>
      <c r="AI909" s="51"/>
      <c r="AJ909" s="51"/>
      <c r="AK909" s="51"/>
      <c r="AL909" s="51"/>
      <c r="AM909" s="51"/>
      <c r="AN909" s="51"/>
      <c r="AO909" s="51"/>
      <c r="AP909" s="51"/>
      <c r="AQ909" s="51"/>
      <c r="AR909" s="53"/>
      <c r="AS909" s="51"/>
      <c r="AT909" s="51"/>
      <c r="AU909" s="51"/>
      <c r="AV909" s="51"/>
      <c r="AW909" s="51"/>
      <c r="AX909" s="51"/>
      <c r="AY909" s="51"/>
    </row>
    <row r="910" spans="32:51">
      <c r="AF910" s="51"/>
      <c r="AG910" s="53"/>
      <c r="AH910" s="51"/>
      <c r="AI910" s="51"/>
      <c r="AJ910" s="51"/>
      <c r="AK910" s="51"/>
      <c r="AL910" s="51"/>
      <c r="AM910" s="51"/>
      <c r="AN910" s="51"/>
      <c r="AO910" s="51"/>
      <c r="AP910" s="51"/>
      <c r="AQ910" s="51"/>
      <c r="AR910" s="53"/>
      <c r="AS910" s="51"/>
      <c r="AT910" s="51"/>
      <c r="AU910" s="51"/>
      <c r="AV910" s="51"/>
      <c r="AW910" s="51"/>
      <c r="AX910" s="51"/>
      <c r="AY910" s="51"/>
    </row>
    <row r="911" spans="32:51">
      <c r="AF911" s="51"/>
      <c r="AG911" s="53"/>
      <c r="AH911" s="51"/>
      <c r="AI911" s="51"/>
      <c r="AJ911" s="51"/>
      <c r="AK911" s="51"/>
      <c r="AL911" s="51"/>
      <c r="AM911" s="51"/>
      <c r="AN911" s="51"/>
      <c r="AO911" s="51"/>
      <c r="AP911" s="51"/>
      <c r="AQ911" s="51"/>
      <c r="AR911" s="53"/>
      <c r="AS911" s="51"/>
      <c r="AT911" s="51"/>
      <c r="AU911" s="51"/>
      <c r="AV911" s="51"/>
      <c r="AW911" s="51"/>
      <c r="AX911" s="51"/>
      <c r="AY911" s="51"/>
    </row>
    <row r="912" spans="32:51">
      <c r="AF912" s="51"/>
      <c r="AG912" s="53"/>
      <c r="AH912" s="51"/>
      <c r="AI912" s="51"/>
      <c r="AJ912" s="51"/>
      <c r="AK912" s="51"/>
      <c r="AL912" s="51"/>
      <c r="AM912" s="51"/>
      <c r="AN912" s="51"/>
      <c r="AO912" s="51"/>
      <c r="AP912" s="51"/>
      <c r="AQ912" s="51"/>
      <c r="AR912" s="53"/>
      <c r="AS912" s="51"/>
      <c r="AT912" s="51"/>
      <c r="AU912" s="51"/>
      <c r="AV912" s="51"/>
      <c r="AW912" s="51"/>
      <c r="AX912" s="51"/>
      <c r="AY912" s="51"/>
    </row>
    <row r="913" spans="32:51">
      <c r="AF913" s="51"/>
      <c r="AG913" s="53"/>
      <c r="AH913" s="51"/>
      <c r="AI913" s="51"/>
      <c r="AJ913" s="51"/>
      <c r="AK913" s="51"/>
      <c r="AL913" s="51"/>
      <c r="AM913" s="51"/>
      <c r="AN913" s="51"/>
      <c r="AO913" s="51"/>
      <c r="AP913" s="51"/>
      <c r="AQ913" s="51"/>
      <c r="AR913" s="53"/>
      <c r="AS913" s="51"/>
      <c r="AT913" s="51"/>
      <c r="AU913" s="51"/>
      <c r="AV913" s="51"/>
      <c r="AW913" s="51"/>
      <c r="AX913" s="51"/>
      <c r="AY913" s="51"/>
    </row>
    <row r="914" spans="32:51">
      <c r="AF914" s="51"/>
      <c r="AG914" s="53"/>
      <c r="AH914" s="51"/>
      <c r="AI914" s="51"/>
      <c r="AJ914" s="51"/>
      <c r="AK914" s="51"/>
      <c r="AL914" s="51"/>
      <c r="AM914" s="51"/>
      <c r="AN914" s="51"/>
      <c r="AO914" s="51"/>
      <c r="AP914" s="51"/>
      <c r="AQ914" s="51"/>
      <c r="AR914" s="53"/>
      <c r="AS914" s="51"/>
      <c r="AT914" s="51"/>
      <c r="AU914" s="51"/>
      <c r="AV914" s="51"/>
      <c r="AW914" s="51"/>
      <c r="AX914" s="51"/>
      <c r="AY914" s="51"/>
    </row>
    <row r="915" spans="32:51">
      <c r="AF915" s="51"/>
      <c r="AG915" s="53"/>
      <c r="AH915" s="51"/>
      <c r="AI915" s="51"/>
      <c r="AJ915" s="51"/>
      <c r="AK915" s="51"/>
      <c r="AL915" s="51"/>
      <c r="AM915" s="51"/>
      <c r="AN915" s="51"/>
      <c r="AO915" s="51"/>
      <c r="AP915" s="51"/>
      <c r="AQ915" s="51"/>
      <c r="AR915" s="53"/>
      <c r="AS915" s="51"/>
      <c r="AT915" s="51"/>
      <c r="AU915" s="51"/>
      <c r="AV915" s="51"/>
      <c r="AW915" s="51"/>
      <c r="AX915" s="51"/>
      <c r="AY915" s="51"/>
    </row>
    <row r="916" spans="32:51">
      <c r="AF916" s="51"/>
      <c r="AG916" s="53"/>
      <c r="AH916" s="51"/>
      <c r="AI916" s="51"/>
      <c r="AJ916" s="51"/>
      <c r="AK916" s="51"/>
      <c r="AL916" s="51"/>
      <c r="AM916" s="51"/>
      <c r="AN916" s="51"/>
      <c r="AO916" s="51"/>
      <c r="AP916" s="51"/>
      <c r="AQ916" s="51"/>
      <c r="AR916" s="53"/>
      <c r="AS916" s="51"/>
      <c r="AT916" s="51"/>
      <c r="AU916" s="51"/>
      <c r="AV916" s="51"/>
      <c r="AW916" s="51"/>
      <c r="AX916" s="51"/>
      <c r="AY916" s="51"/>
    </row>
    <row r="917" spans="32:51">
      <c r="AF917" s="51"/>
      <c r="AG917" s="53"/>
      <c r="AH917" s="51"/>
      <c r="AI917" s="51"/>
      <c r="AJ917" s="51"/>
      <c r="AK917" s="51"/>
      <c r="AL917" s="51"/>
      <c r="AM917" s="51"/>
      <c r="AN917" s="51"/>
      <c r="AO917" s="51"/>
      <c r="AP917" s="51"/>
      <c r="AQ917" s="51"/>
      <c r="AR917" s="53"/>
      <c r="AS917" s="51"/>
      <c r="AT917" s="51"/>
      <c r="AU917" s="51"/>
      <c r="AV917" s="51"/>
      <c r="AW917" s="51"/>
      <c r="AX917" s="51"/>
      <c r="AY917" s="51"/>
    </row>
    <row r="918" spans="32:51">
      <c r="AF918" s="51"/>
      <c r="AG918" s="53"/>
      <c r="AH918" s="51"/>
      <c r="AI918" s="51"/>
      <c r="AJ918" s="51"/>
      <c r="AK918" s="51"/>
      <c r="AL918" s="51"/>
      <c r="AM918" s="51"/>
      <c r="AN918" s="51"/>
      <c r="AO918" s="51"/>
      <c r="AP918" s="51"/>
      <c r="AQ918" s="51"/>
      <c r="AR918" s="53"/>
      <c r="AS918" s="51"/>
      <c r="AT918" s="51"/>
      <c r="AU918" s="51"/>
      <c r="AV918" s="51"/>
      <c r="AW918" s="51"/>
      <c r="AX918" s="51"/>
      <c r="AY918" s="51"/>
    </row>
    <row r="919" spans="32:51">
      <c r="AF919" s="51"/>
      <c r="AG919" s="53"/>
      <c r="AH919" s="51"/>
      <c r="AI919" s="51"/>
      <c r="AJ919" s="51"/>
      <c r="AK919" s="51"/>
      <c r="AL919" s="51"/>
      <c r="AM919" s="51"/>
      <c r="AN919" s="51"/>
      <c r="AO919" s="51"/>
      <c r="AP919" s="51"/>
      <c r="AQ919" s="51"/>
      <c r="AR919" s="53"/>
      <c r="AS919" s="51"/>
      <c r="AT919" s="51"/>
      <c r="AU919" s="51"/>
      <c r="AV919" s="51"/>
      <c r="AW919" s="51"/>
      <c r="AX919" s="51"/>
      <c r="AY919" s="51"/>
    </row>
    <row r="920" spans="32:51">
      <c r="AF920" s="51"/>
      <c r="AG920" s="53"/>
      <c r="AH920" s="51"/>
      <c r="AI920" s="51"/>
      <c r="AJ920" s="51"/>
      <c r="AK920" s="51"/>
      <c r="AL920" s="51"/>
      <c r="AM920" s="51"/>
      <c r="AN920" s="51"/>
      <c r="AO920" s="51"/>
      <c r="AP920" s="51"/>
      <c r="AQ920" s="51"/>
      <c r="AR920" s="53"/>
      <c r="AS920" s="51"/>
      <c r="AT920" s="51"/>
      <c r="AU920" s="51"/>
      <c r="AV920" s="51"/>
      <c r="AW920" s="51"/>
      <c r="AX920" s="51"/>
      <c r="AY920" s="51"/>
    </row>
    <row r="921" spans="32:51">
      <c r="AF921" s="51"/>
      <c r="AG921" s="53"/>
      <c r="AH921" s="51"/>
      <c r="AI921" s="51"/>
      <c r="AJ921" s="51"/>
      <c r="AK921" s="51"/>
      <c r="AL921" s="51"/>
      <c r="AM921" s="51"/>
      <c r="AN921" s="51"/>
      <c r="AO921" s="51"/>
      <c r="AP921" s="51"/>
      <c r="AQ921" s="51"/>
      <c r="AR921" s="53"/>
      <c r="AS921" s="51"/>
      <c r="AT921" s="51"/>
      <c r="AU921" s="51"/>
      <c r="AV921" s="51"/>
      <c r="AW921" s="51"/>
      <c r="AX921" s="51"/>
      <c r="AY921" s="51"/>
    </row>
    <row r="922" spans="32:51">
      <c r="AF922" s="51"/>
      <c r="AG922" s="53"/>
      <c r="AH922" s="51"/>
      <c r="AI922" s="51"/>
      <c r="AJ922" s="51"/>
      <c r="AK922" s="51"/>
      <c r="AL922" s="51"/>
      <c r="AM922" s="51"/>
      <c r="AN922" s="51"/>
      <c r="AO922" s="51"/>
      <c r="AP922" s="51"/>
      <c r="AQ922" s="51"/>
      <c r="AR922" s="53"/>
      <c r="AS922" s="51"/>
      <c r="AT922" s="51"/>
      <c r="AU922" s="51"/>
      <c r="AV922" s="51"/>
      <c r="AW922" s="51"/>
      <c r="AX922" s="51"/>
      <c r="AY922" s="51"/>
    </row>
    <row r="923" spans="32:51">
      <c r="AF923" s="51"/>
      <c r="AG923" s="53"/>
      <c r="AH923" s="51"/>
      <c r="AI923" s="51"/>
      <c r="AJ923" s="51"/>
      <c r="AK923" s="51"/>
      <c r="AL923" s="51"/>
      <c r="AM923" s="51"/>
      <c r="AN923" s="51"/>
      <c r="AO923" s="51"/>
      <c r="AP923" s="51"/>
      <c r="AQ923" s="51"/>
      <c r="AR923" s="53"/>
      <c r="AS923" s="51"/>
      <c r="AT923" s="51"/>
      <c r="AU923" s="51"/>
      <c r="AV923" s="51"/>
      <c r="AW923" s="51"/>
      <c r="AX923" s="51"/>
      <c r="AY923" s="51"/>
    </row>
    <row r="924" spans="32:51">
      <c r="AF924" s="51"/>
      <c r="AG924" s="53"/>
      <c r="AH924" s="51"/>
      <c r="AI924" s="51"/>
      <c r="AJ924" s="51"/>
      <c r="AK924" s="51"/>
      <c r="AL924" s="51"/>
      <c r="AM924" s="51"/>
      <c r="AN924" s="51"/>
      <c r="AO924" s="51"/>
      <c r="AP924" s="51"/>
      <c r="AQ924" s="51"/>
      <c r="AR924" s="53"/>
      <c r="AS924" s="51"/>
      <c r="AT924" s="51"/>
      <c r="AU924" s="51"/>
      <c r="AV924" s="51"/>
      <c r="AW924" s="51"/>
      <c r="AX924" s="51"/>
      <c r="AY924" s="51"/>
    </row>
    <row r="925" spans="32:51">
      <c r="AF925" s="51"/>
      <c r="AG925" s="53"/>
      <c r="AH925" s="51"/>
      <c r="AI925" s="51"/>
      <c r="AJ925" s="51"/>
      <c r="AK925" s="51"/>
      <c r="AL925" s="51"/>
      <c r="AM925" s="51"/>
      <c r="AN925" s="51"/>
      <c r="AO925" s="51"/>
      <c r="AP925" s="51"/>
      <c r="AQ925" s="51"/>
      <c r="AR925" s="53"/>
      <c r="AS925" s="51"/>
      <c r="AT925" s="51"/>
      <c r="AU925" s="51"/>
      <c r="AV925" s="51"/>
      <c r="AW925" s="51"/>
      <c r="AX925" s="51"/>
      <c r="AY925" s="51"/>
    </row>
    <row r="926" spans="32:51">
      <c r="AF926" s="51"/>
      <c r="AG926" s="53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3"/>
      <c r="AS926" s="51"/>
      <c r="AT926" s="51"/>
      <c r="AU926" s="51"/>
      <c r="AV926" s="51"/>
      <c r="AW926" s="51"/>
      <c r="AX926" s="51"/>
      <c r="AY926" s="51"/>
    </row>
    <row r="927" spans="32:51">
      <c r="AF927" s="51"/>
      <c r="AG927" s="53"/>
      <c r="AH927" s="51"/>
      <c r="AI927" s="51"/>
      <c r="AJ927" s="51"/>
      <c r="AK927" s="51"/>
      <c r="AL927" s="51"/>
      <c r="AM927" s="51"/>
      <c r="AN927" s="51"/>
      <c r="AO927" s="51"/>
      <c r="AP927" s="51"/>
      <c r="AQ927" s="51"/>
      <c r="AR927" s="53"/>
      <c r="AS927" s="51"/>
      <c r="AT927" s="51"/>
      <c r="AU927" s="51"/>
      <c r="AV927" s="51"/>
      <c r="AW927" s="51"/>
      <c r="AX927" s="51"/>
      <c r="AY927" s="51"/>
    </row>
    <row r="928" spans="32:51">
      <c r="AF928" s="51"/>
      <c r="AG928" s="53"/>
      <c r="AH928" s="51"/>
      <c r="AI928" s="51"/>
      <c r="AJ928" s="51"/>
      <c r="AK928" s="51"/>
      <c r="AL928" s="51"/>
      <c r="AM928" s="51"/>
      <c r="AN928" s="51"/>
      <c r="AO928" s="51"/>
      <c r="AP928" s="51"/>
      <c r="AQ928" s="51"/>
      <c r="AR928" s="53"/>
      <c r="AS928" s="51"/>
      <c r="AT928" s="51"/>
      <c r="AU928" s="51"/>
      <c r="AV928" s="51"/>
      <c r="AW928" s="51"/>
      <c r="AX928" s="51"/>
      <c r="AY928" s="51"/>
    </row>
    <row r="929" spans="32:51">
      <c r="AF929" s="51"/>
      <c r="AG929" s="53"/>
      <c r="AH929" s="51"/>
      <c r="AI929" s="51"/>
      <c r="AJ929" s="51"/>
      <c r="AK929" s="51"/>
      <c r="AL929" s="51"/>
      <c r="AM929" s="51"/>
      <c r="AN929" s="51"/>
      <c r="AO929" s="51"/>
      <c r="AP929" s="51"/>
      <c r="AQ929" s="51"/>
      <c r="AR929" s="53"/>
      <c r="AS929" s="51"/>
      <c r="AT929" s="51"/>
      <c r="AU929" s="51"/>
      <c r="AV929" s="51"/>
      <c r="AW929" s="51"/>
      <c r="AX929" s="51"/>
      <c r="AY929" s="51"/>
    </row>
    <row r="930" spans="32:51">
      <c r="AF930" s="51"/>
      <c r="AG930" s="53"/>
      <c r="AH930" s="51"/>
      <c r="AI930" s="51"/>
      <c r="AJ930" s="51"/>
      <c r="AK930" s="51"/>
      <c r="AL930" s="51"/>
      <c r="AM930" s="51"/>
      <c r="AN930" s="51"/>
      <c r="AO930" s="51"/>
      <c r="AP930" s="51"/>
      <c r="AQ930" s="51"/>
      <c r="AR930" s="53"/>
      <c r="AS930" s="51"/>
      <c r="AT930" s="51"/>
      <c r="AU930" s="51"/>
      <c r="AV930" s="51"/>
      <c r="AW930" s="51"/>
      <c r="AX930" s="51"/>
      <c r="AY930" s="51"/>
    </row>
    <row r="931" spans="32:51">
      <c r="AF931" s="51"/>
      <c r="AG931" s="53"/>
      <c r="AH931" s="51"/>
      <c r="AI931" s="51"/>
      <c r="AJ931" s="51"/>
      <c r="AK931" s="51"/>
      <c r="AL931" s="51"/>
      <c r="AM931" s="51"/>
      <c r="AN931" s="51"/>
      <c r="AO931" s="51"/>
      <c r="AP931" s="51"/>
      <c r="AQ931" s="51"/>
      <c r="AR931" s="53"/>
      <c r="AS931" s="51"/>
      <c r="AT931" s="51"/>
      <c r="AU931" s="51"/>
      <c r="AV931" s="51"/>
      <c r="AW931" s="51"/>
      <c r="AX931" s="51"/>
      <c r="AY931" s="51"/>
    </row>
    <row r="932" spans="32:51">
      <c r="AF932" s="51"/>
      <c r="AG932" s="53"/>
      <c r="AH932" s="51"/>
      <c r="AI932" s="51"/>
      <c r="AJ932" s="51"/>
      <c r="AK932" s="51"/>
      <c r="AL932" s="51"/>
      <c r="AM932" s="51"/>
      <c r="AN932" s="51"/>
      <c r="AO932" s="51"/>
      <c r="AP932" s="51"/>
      <c r="AQ932" s="51"/>
      <c r="AR932" s="53"/>
      <c r="AS932" s="51"/>
      <c r="AT932" s="51"/>
      <c r="AU932" s="51"/>
      <c r="AV932" s="51"/>
      <c r="AW932" s="51"/>
      <c r="AX932" s="51"/>
      <c r="AY932" s="51"/>
    </row>
    <row r="933" spans="32:51">
      <c r="AF933" s="51"/>
      <c r="AG933" s="53"/>
      <c r="AH933" s="51"/>
      <c r="AI933" s="51"/>
      <c r="AJ933" s="51"/>
      <c r="AK933" s="51"/>
      <c r="AL933" s="51"/>
      <c r="AM933" s="51"/>
      <c r="AN933" s="51"/>
      <c r="AO933" s="51"/>
      <c r="AP933" s="51"/>
      <c r="AQ933" s="51"/>
      <c r="AR933" s="53"/>
      <c r="AS933" s="51"/>
      <c r="AT933" s="51"/>
      <c r="AU933" s="51"/>
      <c r="AV933" s="51"/>
      <c r="AW933" s="51"/>
      <c r="AX933" s="51"/>
      <c r="AY933" s="51"/>
    </row>
    <row r="934" spans="32:51">
      <c r="AF934" s="51"/>
      <c r="AG934" s="53"/>
      <c r="AH934" s="51"/>
      <c r="AI934" s="51"/>
      <c r="AJ934" s="51"/>
      <c r="AK934" s="51"/>
      <c r="AL934" s="51"/>
      <c r="AM934" s="51"/>
      <c r="AN934" s="51"/>
      <c r="AO934" s="51"/>
      <c r="AP934" s="51"/>
      <c r="AQ934" s="51"/>
      <c r="AR934" s="53"/>
      <c r="AS934" s="51"/>
      <c r="AT934" s="51"/>
      <c r="AU934" s="51"/>
      <c r="AV934" s="51"/>
      <c r="AW934" s="51"/>
      <c r="AX934" s="51"/>
      <c r="AY934" s="51"/>
    </row>
    <row r="935" spans="32:51">
      <c r="AF935" s="51"/>
      <c r="AG935" s="53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3"/>
      <c r="AS935" s="51"/>
      <c r="AT935" s="51"/>
      <c r="AU935" s="51"/>
      <c r="AV935" s="51"/>
      <c r="AW935" s="51"/>
      <c r="AX935" s="51"/>
      <c r="AY935" s="51"/>
    </row>
    <row r="936" spans="32:51">
      <c r="AF936" s="51"/>
      <c r="AG936" s="53"/>
      <c r="AH936" s="51"/>
      <c r="AI936" s="51"/>
      <c r="AJ936" s="51"/>
      <c r="AK936" s="51"/>
      <c r="AL936" s="51"/>
      <c r="AM936" s="51"/>
      <c r="AN936" s="51"/>
      <c r="AO936" s="51"/>
      <c r="AP936" s="51"/>
      <c r="AQ936" s="51"/>
      <c r="AR936" s="53"/>
      <c r="AS936" s="51"/>
      <c r="AT936" s="51"/>
      <c r="AU936" s="51"/>
      <c r="AV936" s="51"/>
      <c r="AW936" s="51"/>
      <c r="AX936" s="51"/>
      <c r="AY936" s="51"/>
    </row>
    <row r="937" spans="32:51">
      <c r="AF937" s="51"/>
      <c r="AG937" s="53"/>
      <c r="AH937" s="51"/>
      <c r="AI937" s="51"/>
      <c r="AJ937" s="51"/>
      <c r="AK937" s="51"/>
      <c r="AL937" s="51"/>
      <c r="AM937" s="51"/>
      <c r="AN937" s="51"/>
      <c r="AO937" s="51"/>
      <c r="AP937" s="51"/>
      <c r="AQ937" s="51"/>
      <c r="AR937" s="53"/>
      <c r="AS937" s="51"/>
      <c r="AT937" s="51"/>
      <c r="AU937" s="51"/>
      <c r="AV937" s="51"/>
      <c r="AW937" s="51"/>
      <c r="AX937" s="51"/>
      <c r="AY937" s="51"/>
    </row>
    <row r="938" spans="32:51">
      <c r="AF938" s="51"/>
      <c r="AG938" s="53"/>
      <c r="AH938" s="51"/>
      <c r="AI938" s="51"/>
      <c r="AJ938" s="51"/>
      <c r="AK938" s="51"/>
      <c r="AL938" s="51"/>
      <c r="AM938" s="51"/>
      <c r="AN938" s="51"/>
      <c r="AO938" s="51"/>
      <c r="AP938" s="51"/>
      <c r="AQ938" s="51"/>
      <c r="AR938" s="53"/>
      <c r="AS938" s="51"/>
      <c r="AT938" s="51"/>
      <c r="AU938" s="51"/>
      <c r="AV938" s="51"/>
      <c r="AW938" s="51"/>
      <c r="AX938" s="51"/>
      <c r="AY938" s="51"/>
    </row>
    <row r="939" spans="32:51">
      <c r="AF939" s="51"/>
      <c r="AG939" s="53"/>
      <c r="AH939" s="51"/>
      <c r="AI939" s="51"/>
      <c r="AJ939" s="51"/>
      <c r="AK939" s="51"/>
      <c r="AL939" s="51"/>
      <c r="AM939" s="51"/>
      <c r="AN939" s="51"/>
      <c r="AO939" s="51"/>
      <c r="AP939" s="51"/>
      <c r="AQ939" s="51"/>
      <c r="AR939" s="53"/>
      <c r="AS939" s="51"/>
      <c r="AT939" s="51"/>
      <c r="AU939" s="51"/>
      <c r="AV939" s="51"/>
      <c r="AW939" s="51"/>
      <c r="AX939" s="51"/>
      <c r="AY939" s="51"/>
    </row>
    <row r="940" spans="32:51">
      <c r="AF940" s="51"/>
      <c r="AG940" s="53"/>
      <c r="AH940" s="51"/>
      <c r="AI940" s="51"/>
      <c r="AJ940" s="51"/>
      <c r="AK940" s="51"/>
      <c r="AL940" s="51"/>
      <c r="AM940" s="51"/>
      <c r="AN940" s="51"/>
      <c r="AO940" s="51"/>
      <c r="AP940" s="51"/>
      <c r="AQ940" s="51"/>
      <c r="AR940" s="53"/>
      <c r="AS940" s="51"/>
      <c r="AT940" s="51"/>
      <c r="AU940" s="51"/>
      <c r="AV940" s="51"/>
      <c r="AW940" s="51"/>
      <c r="AX940" s="51"/>
      <c r="AY940" s="51"/>
    </row>
    <row r="941" spans="32:51">
      <c r="AF941" s="51"/>
      <c r="AG941" s="53"/>
      <c r="AH941" s="51"/>
      <c r="AI941" s="51"/>
      <c r="AJ941" s="51"/>
      <c r="AK941" s="51"/>
      <c r="AL941" s="51"/>
      <c r="AM941" s="51"/>
      <c r="AN941" s="51"/>
      <c r="AO941" s="51"/>
      <c r="AP941" s="51"/>
      <c r="AQ941" s="51"/>
      <c r="AR941" s="53"/>
      <c r="AS941" s="51"/>
      <c r="AT941" s="51"/>
      <c r="AU941" s="51"/>
      <c r="AV941" s="51"/>
      <c r="AW941" s="51"/>
      <c r="AX941" s="51"/>
      <c r="AY941" s="51"/>
    </row>
    <row r="942" spans="32:51">
      <c r="AF942" s="51"/>
      <c r="AG942" s="53"/>
      <c r="AH942" s="51"/>
      <c r="AI942" s="51"/>
      <c r="AJ942" s="51"/>
      <c r="AK942" s="51"/>
      <c r="AL942" s="51"/>
      <c r="AM942" s="51"/>
      <c r="AN942" s="51"/>
      <c r="AO942" s="51"/>
      <c r="AP942" s="51"/>
      <c r="AQ942" s="51"/>
      <c r="AR942" s="53"/>
      <c r="AS942" s="51"/>
      <c r="AT942" s="51"/>
      <c r="AU942" s="51"/>
      <c r="AV942" s="51"/>
      <c r="AW942" s="51"/>
      <c r="AX942" s="51"/>
      <c r="AY942" s="51"/>
    </row>
    <row r="943" spans="32:51">
      <c r="AF943" s="51"/>
      <c r="AG943" s="53"/>
      <c r="AH943" s="51"/>
      <c r="AI943" s="51"/>
      <c r="AJ943" s="51"/>
      <c r="AK943" s="51"/>
      <c r="AL943" s="51"/>
      <c r="AM943" s="51"/>
      <c r="AN943" s="51"/>
      <c r="AO943" s="51"/>
      <c r="AP943" s="51"/>
      <c r="AQ943" s="51"/>
      <c r="AR943" s="53"/>
      <c r="AS943" s="51"/>
      <c r="AT943" s="51"/>
      <c r="AU943" s="51"/>
      <c r="AV943" s="51"/>
      <c r="AW943" s="51"/>
      <c r="AX943" s="51"/>
      <c r="AY943" s="51"/>
    </row>
    <row r="944" spans="32:51">
      <c r="AF944" s="51"/>
      <c r="AG944" s="53"/>
      <c r="AH944" s="51"/>
      <c r="AI944" s="51"/>
      <c r="AJ944" s="51"/>
      <c r="AK944" s="51"/>
      <c r="AL944" s="51"/>
      <c r="AM944" s="51"/>
      <c r="AN944" s="51"/>
      <c r="AO944" s="51"/>
      <c r="AP944" s="51"/>
      <c r="AQ944" s="51"/>
      <c r="AR944" s="53"/>
      <c r="AS944" s="51"/>
      <c r="AT944" s="51"/>
      <c r="AU944" s="51"/>
      <c r="AV944" s="51"/>
      <c r="AW944" s="51"/>
      <c r="AX944" s="51"/>
      <c r="AY944" s="51"/>
    </row>
    <row r="945" spans="32:51">
      <c r="AF945" s="51"/>
      <c r="AG945" s="53"/>
      <c r="AH945" s="51"/>
      <c r="AI945" s="51"/>
      <c r="AJ945" s="51"/>
      <c r="AK945" s="51"/>
      <c r="AL945" s="51"/>
      <c r="AM945" s="51"/>
      <c r="AN945" s="51"/>
      <c r="AO945" s="51"/>
      <c r="AP945" s="51"/>
      <c r="AQ945" s="51"/>
      <c r="AR945" s="53"/>
      <c r="AS945" s="51"/>
      <c r="AT945" s="51"/>
      <c r="AU945" s="51"/>
      <c r="AV945" s="51"/>
      <c r="AW945" s="51"/>
      <c r="AX945" s="51"/>
      <c r="AY945" s="51"/>
    </row>
    <row r="946" spans="32:51">
      <c r="AF946" s="51"/>
      <c r="AG946" s="53"/>
      <c r="AH946" s="51"/>
      <c r="AI946" s="51"/>
      <c r="AJ946" s="51"/>
      <c r="AK946" s="51"/>
      <c r="AL946" s="51"/>
      <c r="AM946" s="51"/>
      <c r="AN946" s="51"/>
      <c r="AO946" s="51"/>
      <c r="AP946" s="51"/>
      <c r="AQ946" s="51"/>
      <c r="AR946" s="53"/>
      <c r="AS946" s="51"/>
      <c r="AT946" s="51"/>
      <c r="AU946" s="51"/>
      <c r="AV946" s="51"/>
      <c r="AW946" s="51"/>
      <c r="AX946" s="51"/>
      <c r="AY946" s="51"/>
    </row>
    <row r="947" spans="32:51">
      <c r="AF947" s="51"/>
      <c r="AG947" s="53"/>
      <c r="AH947" s="51"/>
      <c r="AI947" s="51"/>
      <c r="AJ947" s="51"/>
      <c r="AK947" s="51"/>
      <c r="AL947" s="51"/>
      <c r="AM947" s="51"/>
      <c r="AN947" s="51"/>
      <c r="AO947" s="51"/>
      <c r="AP947" s="51"/>
      <c r="AQ947" s="51"/>
      <c r="AR947" s="53"/>
      <c r="AS947" s="51"/>
      <c r="AT947" s="51"/>
      <c r="AU947" s="51"/>
      <c r="AV947" s="51"/>
      <c r="AW947" s="51"/>
      <c r="AX947" s="51"/>
      <c r="AY947" s="51"/>
    </row>
    <row r="948" spans="32:51">
      <c r="AF948" s="51"/>
      <c r="AG948" s="53"/>
      <c r="AH948" s="51"/>
      <c r="AI948" s="51"/>
      <c r="AJ948" s="51"/>
      <c r="AK948" s="51"/>
      <c r="AL948" s="51"/>
      <c r="AM948" s="51"/>
      <c r="AN948" s="51"/>
      <c r="AO948" s="51"/>
      <c r="AP948" s="51"/>
      <c r="AQ948" s="51"/>
      <c r="AR948" s="53"/>
      <c r="AS948" s="51"/>
      <c r="AT948" s="51"/>
      <c r="AU948" s="51"/>
      <c r="AV948" s="51"/>
      <c r="AW948" s="51"/>
      <c r="AX948" s="51"/>
      <c r="AY948" s="51"/>
    </row>
    <row r="949" spans="32:51">
      <c r="AF949" s="51"/>
      <c r="AG949" s="53"/>
      <c r="AH949" s="51"/>
      <c r="AI949" s="51"/>
      <c r="AJ949" s="51"/>
      <c r="AK949" s="51"/>
      <c r="AL949" s="51"/>
      <c r="AM949" s="51"/>
      <c r="AN949" s="51"/>
      <c r="AO949" s="51"/>
      <c r="AP949" s="51"/>
      <c r="AQ949" s="51"/>
      <c r="AR949" s="53"/>
      <c r="AS949" s="51"/>
      <c r="AT949" s="51"/>
      <c r="AU949" s="51"/>
      <c r="AV949" s="51"/>
      <c r="AW949" s="51"/>
      <c r="AX949" s="51"/>
      <c r="AY949" s="51"/>
    </row>
    <row r="950" spans="32:51">
      <c r="AF950" s="51"/>
      <c r="AG950" s="53"/>
      <c r="AH950" s="51"/>
      <c r="AI950" s="51"/>
      <c r="AJ950" s="51"/>
      <c r="AK950" s="51"/>
      <c r="AL950" s="51"/>
      <c r="AM950" s="51"/>
      <c r="AN950" s="51"/>
      <c r="AO950" s="51"/>
      <c r="AP950" s="51"/>
      <c r="AQ950" s="51"/>
      <c r="AR950" s="53"/>
      <c r="AS950" s="51"/>
      <c r="AT950" s="51"/>
      <c r="AU950" s="51"/>
      <c r="AV950" s="51"/>
      <c r="AW950" s="51"/>
      <c r="AX950" s="51"/>
      <c r="AY950" s="51"/>
    </row>
    <row r="951" spans="32:51">
      <c r="AF951" s="51"/>
      <c r="AG951" s="53"/>
      <c r="AH951" s="51"/>
      <c r="AI951" s="51"/>
      <c r="AJ951" s="51"/>
      <c r="AK951" s="51"/>
      <c r="AL951" s="51"/>
      <c r="AM951" s="51"/>
      <c r="AN951" s="51"/>
      <c r="AO951" s="51"/>
      <c r="AP951" s="51"/>
      <c r="AQ951" s="51"/>
      <c r="AR951" s="53"/>
      <c r="AS951" s="51"/>
      <c r="AT951" s="51"/>
      <c r="AU951" s="51"/>
      <c r="AV951" s="51"/>
      <c r="AW951" s="51"/>
      <c r="AX951" s="51"/>
      <c r="AY951" s="51"/>
    </row>
    <row r="952" spans="32:51">
      <c r="AF952" s="51"/>
      <c r="AG952" s="53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3"/>
      <c r="AS952" s="51"/>
      <c r="AT952" s="51"/>
      <c r="AU952" s="51"/>
      <c r="AV952" s="51"/>
      <c r="AW952" s="51"/>
      <c r="AX952" s="51"/>
      <c r="AY952" s="51"/>
    </row>
    <row r="953" spans="32:51">
      <c r="AF953" s="51"/>
      <c r="AG953" s="53"/>
      <c r="AH953" s="51"/>
      <c r="AI953" s="51"/>
      <c r="AJ953" s="51"/>
      <c r="AK953" s="51"/>
      <c r="AL953" s="51"/>
      <c r="AM953" s="51"/>
      <c r="AN953" s="51"/>
      <c r="AO953" s="51"/>
      <c r="AP953" s="51"/>
      <c r="AQ953" s="51"/>
      <c r="AR953" s="53"/>
      <c r="AS953" s="51"/>
      <c r="AT953" s="51"/>
      <c r="AU953" s="51"/>
      <c r="AV953" s="51"/>
      <c r="AW953" s="51"/>
      <c r="AX953" s="51"/>
      <c r="AY953" s="51"/>
    </row>
    <row r="954" spans="32:51">
      <c r="AF954" s="51"/>
      <c r="AG954" s="53"/>
      <c r="AH954" s="51"/>
      <c r="AI954" s="51"/>
      <c r="AJ954" s="51"/>
      <c r="AK954" s="51"/>
      <c r="AL954" s="51"/>
      <c r="AM954" s="51"/>
      <c r="AN954" s="51"/>
      <c r="AO954" s="51"/>
      <c r="AP954" s="51"/>
      <c r="AQ954" s="51"/>
      <c r="AR954" s="53"/>
      <c r="AS954" s="51"/>
      <c r="AT954" s="51"/>
      <c r="AU954" s="51"/>
      <c r="AV954" s="51"/>
      <c r="AW954" s="51"/>
      <c r="AX954" s="51"/>
      <c r="AY954" s="51"/>
    </row>
    <row r="955" spans="32:51">
      <c r="AF955" s="51"/>
      <c r="AG955" s="53"/>
      <c r="AH955" s="51"/>
      <c r="AI955" s="51"/>
      <c r="AJ955" s="51"/>
      <c r="AK955" s="51"/>
      <c r="AL955" s="51"/>
      <c r="AM955" s="51"/>
      <c r="AN955" s="51"/>
      <c r="AO955" s="51"/>
      <c r="AP955" s="51"/>
      <c r="AQ955" s="51"/>
      <c r="AR955" s="53"/>
      <c r="AS955" s="51"/>
      <c r="AT955" s="51"/>
      <c r="AU955" s="51"/>
      <c r="AV955" s="51"/>
      <c r="AW955" s="51"/>
      <c r="AX955" s="51"/>
      <c r="AY955" s="51"/>
    </row>
    <row r="956" spans="32:51">
      <c r="AF956" s="51"/>
      <c r="AG956" s="53"/>
      <c r="AH956" s="51"/>
      <c r="AI956" s="51"/>
      <c r="AJ956" s="51"/>
      <c r="AK956" s="51"/>
      <c r="AL956" s="51"/>
      <c r="AM956" s="51"/>
      <c r="AN956" s="51"/>
      <c r="AO956" s="51"/>
      <c r="AP956" s="51"/>
      <c r="AQ956" s="51"/>
      <c r="AR956" s="53"/>
      <c r="AS956" s="51"/>
      <c r="AT956" s="51"/>
      <c r="AU956" s="51"/>
      <c r="AV956" s="51"/>
      <c r="AW956" s="51"/>
      <c r="AX956" s="51"/>
      <c r="AY956" s="51"/>
    </row>
    <row r="957" spans="32:51">
      <c r="AF957" s="51"/>
      <c r="AG957" s="53"/>
      <c r="AH957" s="51"/>
      <c r="AI957" s="51"/>
      <c r="AJ957" s="51"/>
      <c r="AK957" s="51"/>
      <c r="AL957" s="51"/>
      <c r="AM957" s="51"/>
      <c r="AN957" s="51"/>
      <c r="AO957" s="51"/>
      <c r="AP957" s="51"/>
      <c r="AQ957" s="51"/>
      <c r="AR957" s="53"/>
      <c r="AS957" s="51"/>
      <c r="AT957" s="51"/>
      <c r="AU957" s="51"/>
      <c r="AV957" s="51"/>
      <c r="AW957" s="51"/>
      <c r="AX957" s="51"/>
      <c r="AY957" s="51"/>
    </row>
    <row r="958" spans="32:51">
      <c r="AF958" s="51"/>
      <c r="AG958" s="53"/>
      <c r="AH958" s="51"/>
      <c r="AI958" s="51"/>
      <c r="AJ958" s="51"/>
      <c r="AK958" s="51"/>
      <c r="AL958" s="51"/>
      <c r="AM958" s="51"/>
      <c r="AN958" s="51"/>
      <c r="AO958" s="51"/>
      <c r="AP958" s="51"/>
      <c r="AQ958" s="51"/>
      <c r="AR958" s="53"/>
      <c r="AS958" s="51"/>
      <c r="AT958" s="51"/>
      <c r="AU958" s="51"/>
      <c r="AV958" s="51"/>
      <c r="AW958" s="51"/>
      <c r="AX958" s="51"/>
      <c r="AY958" s="51"/>
    </row>
    <row r="959" spans="32:51">
      <c r="AF959" s="51"/>
      <c r="AG959" s="53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3"/>
      <c r="AS959" s="51"/>
      <c r="AT959" s="51"/>
      <c r="AU959" s="51"/>
      <c r="AV959" s="51"/>
      <c r="AW959" s="51"/>
      <c r="AX959" s="51"/>
      <c r="AY959" s="51"/>
    </row>
    <row r="960" spans="32:51">
      <c r="AF960" s="51"/>
      <c r="AG960" s="53"/>
      <c r="AH960" s="51"/>
      <c r="AI960" s="51"/>
      <c r="AJ960" s="51"/>
      <c r="AK960" s="51"/>
      <c r="AL960" s="51"/>
      <c r="AM960" s="51"/>
      <c r="AN960" s="51"/>
      <c r="AO960" s="51"/>
      <c r="AP960" s="51"/>
      <c r="AQ960" s="51"/>
      <c r="AR960" s="53"/>
      <c r="AS960" s="51"/>
      <c r="AT960" s="51"/>
      <c r="AU960" s="51"/>
      <c r="AV960" s="51"/>
      <c r="AW960" s="51"/>
      <c r="AX960" s="51"/>
      <c r="AY960" s="51"/>
    </row>
    <row r="961" spans="32:51">
      <c r="AF961" s="51"/>
      <c r="AG961" s="53"/>
      <c r="AH961" s="51"/>
      <c r="AI961" s="51"/>
      <c r="AJ961" s="51"/>
      <c r="AK961" s="51"/>
      <c r="AL961" s="51"/>
      <c r="AM961" s="51"/>
      <c r="AN961" s="51"/>
      <c r="AO961" s="51"/>
      <c r="AP961" s="51"/>
      <c r="AQ961" s="51"/>
      <c r="AR961" s="53"/>
      <c r="AS961" s="51"/>
      <c r="AT961" s="51"/>
      <c r="AU961" s="51"/>
      <c r="AV961" s="51"/>
      <c r="AW961" s="51"/>
      <c r="AX961" s="51"/>
      <c r="AY961" s="51"/>
    </row>
    <row r="962" spans="32:51">
      <c r="AF962" s="51"/>
      <c r="AG962" s="53"/>
      <c r="AH962" s="51"/>
      <c r="AI962" s="51"/>
      <c r="AJ962" s="51"/>
      <c r="AK962" s="51"/>
      <c r="AL962" s="51"/>
      <c r="AM962" s="51"/>
      <c r="AN962" s="51"/>
      <c r="AO962" s="51"/>
      <c r="AP962" s="51"/>
      <c r="AQ962" s="51"/>
      <c r="AR962" s="53"/>
      <c r="AS962" s="51"/>
      <c r="AT962" s="51"/>
      <c r="AU962" s="51"/>
      <c r="AV962" s="51"/>
      <c r="AW962" s="51"/>
      <c r="AX962" s="51"/>
      <c r="AY962" s="51"/>
    </row>
    <row r="963" spans="32:51">
      <c r="AF963" s="51"/>
      <c r="AG963" s="53"/>
      <c r="AH963" s="51"/>
      <c r="AI963" s="51"/>
      <c r="AJ963" s="51"/>
      <c r="AK963" s="51"/>
      <c r="AL963" s="51"/>
      <c r="AM963" s="51"/>
      <c r="AN963" s="51"/>
      <c r="AO963" s="51"/>
      <c r="AP963" s="51"/>
      <c r="AQ963" s="51"/>
      <c r="AR963" s="53"/>
      <c r="AS963" s="51"/>
      <c r="AT963" s="51"/>
      <c r="AU963" s="51"/>
      <c r="AV963" s="51"/>
      <c r="AW963" s="51"/>
      <c r="AX963" s="51"/>
      <c r="AY963" s="51"/>
    </row>
    <row r="964" spans="32:51">
      <c r="AF964" s="51"/>
      <c r="AG964" s="53"/>
      <c r="AH964" s="51"/>
      <c r="AI964" s="51"/>
      <c r="AJ964" s="51"/>
      <c r="AK964" s="51"/>
      <c r="AL964" s="51"/>
      <c r="AM964" s="51"/>
      <c r="AN964" s="51"/>
      <c r="AO964" s="51"/>
      <c r="AP964" s="51"/>
      <c r="AQ964" s="51"/>
      <c r="AR964" s="53"/>
      <c r="AS964" s="51"/>
      <c r="AT964" s="51"/>
      <c r="AU964" s="51"/>
      <c r="AV964" s="51"/>
      <c r="AW964" s="51"/>
      <c r="AX964" s="51"/>
      <c r="AY964" s="51"/>
    </row>
    <row r="965" spans="32:51">
      <c r="AF965" s="51"/>
      <c r="AG965" s="53"/>
      <c r="AH965" s="51"/>
      <c r="AI965" s="51"/>
      <c r="AJ965" s="51"/>
      <c r="AK965" s="51"/>
      <c r="AL965" s="51"/>
      <c r="AM965" s="51"/>
      <c r="AN965" s="51"/>
      <c r="AO965" s="51"/>
      <c r="AP965" s="51"/>
      <c r="AQ965" s="51"/>
      <c r="AR965" s="53"/>
      <c r="AS965" s="51"/>
      <c r="AT965" s="51"/>
      <c r="AU965" s="51"/>
      <c r="AV965" s="51"/>
      <c r="AW965" s="51"/>
      <c r="AX965" s="51"/>
      <c r="AY965" s="51"/>
    </row>
    <row r="966" spans="32:51">
      <c r="AF966" s="51"/>
      <c r="AG966" s="53"/>
      <c r="AH966" s="51"/>
      <c r="AI966" s="51"/>
      <c r="AJ966" s="51"/>
      <c r="AK966" s="51"/>
      <c r="AL966" s="51"/>
      <c r="AM966" s="51"/>
      <c r="AN966" s="51"/>
      <c r="AO966" s="51"/>
      <c r="AP966" s="51"/>
      <c r="AQ966" s="51"/>
      <c r="AR966" s="53"/>
      <c r="AS966" s="51"/>
      <c r="AT966" s="51"/>
      <c r="AU966" s="51"/>
      <c r="AV966" s="51"/>
      <c r="AW966" s="51"/>
      <c r="AX966" s="51"/>
      <c r="AY966" s="51"/>
    </row>
    <row r="967" spans="32:51">
      <c r="AF967" s="51"/>
      <c r="AG967" s="53"/>
      <c r="AH967" s="51"/>
      <c r="AI967" s="51"/>
      <c r="AJ967" s="51"/>
      <c r="AK967" s="51"/>
      <c r="AL967" s="51"/>
      <c r="AM967" s="51"/>
      <c r="AN967" s="51"/>
      <c r="AO967" s="51"/>
      <c r="AP967" s="51"/>
      <c r="AQ967" s="51"/>
      <c r="AR967" s="53"/>
      <c r="AS967" s="51"/>
      <c r="AT967" s="51"/>
      <c r="AU967" s="51"/>
      <c r="AV967" s="51"/>
      <c r="AW967" s="51"/>
      <c r="AX967" s="51"/>
      <c r="AY967" s="51"/>
    </row>
    <row r="968" spans="32:51">
      <c r="AF968" s="51"/>
      <c r="AG968" s="53"/>
      <c r="AH968" s="51"/>
      <c r="AI968" s="51"/>
      <c r="AJ968" s="51"/>
      <c r="AK968" s="51"/>
      <c r="AL968" s="51"/>
      <c r="AM968" s="51"/>
      <c r="AN968" s="51"/>
      <c r="AO968" s="51"/>
      <c r="AP968" s="51"/>
      <c r="AQ968" s="51"/>
      <c r="AR968" s="53"/>
      <c r="AS968" s="51"/>
      <c r="AT968" s="51"/>
      <c r="AU968" s="51"/>
      <c r="AV968" s="51"/>
      <c r="AW968" s="51"/>
      <c r="AX968" s="51"/>
      <c r="AY968" s="51"/>
    </row>
    <row r="969" spans="32:51">
      <c r="AF969" s="51"/>
      <c r="AG969" s="53"/>
      <c r="AH969" s="51"/>
      <c r="AI969" s="51"/>
      <c r="AJ969" s="51"/>
      <c r="AK969" s="51"/>
      <c r="AL969" s="51"/>
      <c r="AM969" s="51"/>
      <c r="AN969" s="51"/>
      <c r="AO969" s="51"/>
      <c r="AP969" s="51"/>
      <c r="AQ969" s="51"/>
      <c r="AR969" s="53"/>
      <c r="AS969" s="51"/>
      <c r="AT969" s="51"/>
      <c r="AU969" s="51"/>
      <c r="AV969" s="51"/>
      <c r="AW969" s="51"/>
      <c r="AX969" s="51"/>
      <c r="AY969" s="51"/>
    </row>
    <row r="970" spans="32:51">
      <c r="AF970" s="51"/>
      <c r="AG970" s="53"/>
      <c r="AH970" s="51"/>
      <c r="AI970" s="51"/>
      <c r="AJ970" s="51"/>
      <c r="AK970" s="51"/>
      <c r="AL970" s="51"/>
      <c r="AM970" s="51"/>
      <c r="AN970" s="51"/>
      <c r="AO970" s="51"/>
      <c r="AP970" s="51"/>
      <c r="AQ970" s="51"/>
      <c r="AR970" s="53"/>
      <c r="AS970" s="51"/>
      <c r="AT970" s="51"/>
      <c r="AU970" s="51"/>
      <c r="AV970" s="51"/>
      <c r="AW970" s="51"/>
      <c r="AX970" s="51"/>
      <c r="AY970" s="51"/>
    </row>
    <row r="971" spans="32:51">
      <c r="AF971" s="51"/>
      <c r="AG971" s="53"/>
      <c r="AH971" s="51"/>
      <c r="AI971" s="51"/>
      <c r="AJ971" s="51"/>
      <c r="AK971" s="51"/>
      <c r="AL971" s="51"/>
      <c r="AM971" s="51"/>
      <c r="AN971" s="51"/>
      <c r="AO971" s="51"/>
      <c r="AP971" s="51"/>
      <c r="AQ971" s="51"/>
      <c r="AR971" s="53"/>
      <c r="AS971" s="51"/>
      <c r="AT971" s="51"/>
      <c r="AU971" s="51"/>
      <c r="AV971" s="51"/>
      <c r="AW971" s="51"/>
      <c r="AX971" s="51"/>
      <c r="AY971" s="51"/>
    </row>
    <row r="972" spans="32:51">
      <c r="AF972" s="51"/>
      <c r="AG972" s="53"/>
      <c r="AH972" s="51"/>
      <c r="AI972" s="51"/>
      <c r="AJ972" s="51"/>
      <c r="AK972" s="51"/>
      <c r="AL972" s="51"/>
      <c r="AM972" s="51"/>
      <c r="AN972" s="51"/>
      <c r="AO972" s="51"/>
      <c r="AP972" s="51"/>
      <c r="AQ972" s="51"/>
      <c r="AR972" s="53"/>
      <c r="AS972" s="51"/>
      <c r="AT972" s="51"/>
      <c r="AU972" s="51"/>
      <c r="AV972" s="51"/>
      <c r="AW972" s="51"/>
      <c r="AX972" s="51"/>
      <c r="AY972" s="51"/>
    </row>
    <row r="973" spans="32:51">
      <c r="AF973" s="51"/>
      <c r="AG973" s="53"/>
      <c r="AH973" s="51"/>
      <c r="AI973" s="51"/>
      <c r="AJ973" s="51"/>
      <c r="AK973" s="51"/>
      <c r="AL973" s="51"/>
      <c r="AM973" s="51"/>
      <c r="AN973" s="51"/>
      <c r="AO973" s="51"/>
      <c r="AP973" s="51"/>
      <c r="AQ973" s="51"/>
      <c r="AR973" s="53"/>
      <c r="AS973" s="51"/>
      <c r="AT973" s="51"/>
      <c r="AU973" s="51"/>
      <c r="AV973" s="51"/>
      <c r="AW973" s="51"/>
      <c r="AX973" s="51"/>
      <c r="AY973" s="51"/>
    </row>
    <row r="974" spans="32:51">
      <c r="AF974" s="51"/>
      <c r="AG974" s="53"/>
      <c r="AH974" s="51"/>
      <c r="AI974" s="51"/>
      <c r="AJ974" s="51"/>
      <c r="AK974" s="51"/>
      <c r="AL974" s="51"/>
      <c r="AM974" s="51"/>
      <c r="AN974" s="51"/>
      <c r="AO974" s="51"/>
      <c r="AP974" s="51"/>
      <c r="AQ974" s="51"/>
      <c r="AR974" s="53"/>
      <c r="AS974" s="51"/>
      <c r="AT974" s="51"/>
      <c r="AU974" s="51"/>
      <c r="AV974" s="51"/>
      <c r="AW974" s="51"/>
      <c r="AX974" s="51"/>
      <c r="AY974" s="51"/>
    </row>
    <row r="975" spans="32:51">
      <c r="AF975" s="51"/>
      <c r="AG975" s="53"/>
      <c r="AH975" s="51"/>
      <c r="AI975" s="51"/>
      <c r="AJ975" s="51"/>
      <c r="AK975" s="51"/>
      <c r="AL975" s="51"/>
      <c r="AM975" s="51"/>
      <c r="AN975" s="51"/>
      <c r="AO975" s="51"/>
      <c r="AP975" s="51"/>
      <c r="AQ975" s="51"/>
      <c r="AR975" s="53"/>
      <c r="AS975" s="51"/>
      <c r="AT975" s="51"/>
      <c r="AU975" s="51"/>
      <c r="AV975" s="51"/>
      <c r="AW975" s="51"/>
      <c r="AX975" s="51"/>
      <c r="AY975" s="51"/>
    </row>
    <row r="976" spans="32:51">
      <c r="AF976" s="51"/>
      <c r="AG976" s="53"/>
      <c r="AH976" s="51"/>
      <c r="AI976" s="51"/>
      <c r="AJ976" s="51"/>
      <c r="AK976" s="51"/>
      <c r="AL976" s="51"/>
      <c r="AM976" s="51"/>
      <c r="AN976" s="51"/>
      <c r="AO976" s="51"/>
      <c r="AP976" s="51"/>
      <c r="AQ976" s="51"/>
      <c r="AR976" s="53"/>
      <c r="AS976" s="51"/>
      <c r="AT976" s="51"/>
      <c r="AU976" s="51"/>
      <c r="AV976" s="51"/>
      <c r="AW976" s="51"/>
      <c r="AX976" s="51"/>
      <c r="AY976" s="51"/>
    </row>
    <row r="977" spans="32:51">
      <c r="AF977" s="51"/>
      <c r="AG977" s="53"/>
      <c r="AH977" s="51"/>
      <c r="AI977" s="51"/>
      <c r="AJ977" s="51"/>
      <c r="AK977" s="51"/>
      <c r="AL977" s="51"/>
      <c r="AM977" s="51"/>
      <c r="AN977" s="51"/>
      <c r="AO977" s="51"/>
      <c r="AP977" s="51"/>
      <c r="AQ977" s="51"/>
      <c r="AR977" s="53"/>
      <c r="AS977" s="51"/>
      <c r="AT977" s="51"/>
      <c r="AU977" s="51"/>
      <c r="AV977" s="51"/>
      <c r="AW977" s="51"/>
      <c r="AX977" s="51"/>
      <c r="AY977" s="51"/>
    </row>
    <row r="978" spans="32:51">
      <c r="AF978" s="51"/>
      <c r="AG978" s="53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3"/>
      <c r="AS978" s="51"/>
      <c r="AT978" s="51"/>
      <c r="AU978" s="51"/>
      <c r="AV978" s="51"/>
      <c r="AW978" s="51"/>
      <c r="AX978" s="51"/>
      <c r="AY978" s="51"/>
    </row>
    <row r="979" spans="32:51">
      <c r="AF979" s="51"/>
      <c r="AG979" s="53"/>
      <c r="AH979" s="51"/>
      <c r="AI979" s="51"/>
      <c r="AJ979" s="51"/>
      <c r="AK979" s="51"/>
      <c r="AL979" s="51"/>
      <c r="AM979" s="51"/>
      <c r="AN979" s="51"/>
      <c r="AO979" s="51"/>
      <c r="AP979" s="51"/>
      <c r="AQ979" s="51"/>
      <c r="AR979" s="53"/>
      <c r="AS979" s="51"/>
      <c r="AT979" s="51"/>
      <c r="AU979" s="51"/>
      <c r="AV979" s="51"/>
      <c r="AW979" s="51"/>
      <c r="AX979" s="51"/>
      <c r="AY979" s="51"/>
    </row>
    <row r="980" spans="32:51">
      <c r="AF980" s="51"/>
      <c r="AG980" s="53"/>
      <c r="AH980" s="51"/>
      <c r="AI980" s="51"/>
      <c r="AJ980" s="51"/>
      <c r="AK980" s="51"/>
      <c r="AL980" s="51"/>
      <c r="AM980" s="51"/>
      <c r="AN980" s="51"/>
      <c r="AO980" s="51"/>
      <c r="AP980" s="51"/>
      <c r="AQ980" s="51"/>
      <c r="AR980" s="53"/>
      <c r="AS980" s="51"/>
      <c r="AT980" s="51"/>
      <c r="AU980" s="51"/>
      <c r="AV980" s="51"/>
      <c r="AW980" s="51"/>
      <c r="AX980" s="51"/>
      <c r="AY980" s="51"/>
    </row>
    <row r="981" spans="32:51">
      <c r="AF981" s="51"/>
      <c r="AG981" s="53"/>
      <c r="AH981" s="51"/>
      <c r="AI981" s="51"/>
      <c r="AJ981" s="51"/>
      <c r="AK981" s="51"/>
      <c r="AL981" s="51"/>
      <c r="AM981" s="51"/>
      <c r="AN981" s="51"/>
      <c r="AO981" s="51"/>
      <c r="AP981" s="51"/>
      <c r="AQ981" s="51"/>
      <c r="AR981" s="53"/>
      <c r="AS981" s="51"/>
      <c r="AT981" s="51"/>
      <c r="AU981" s="51"/>
      <c r="AV981" s="51"/>
      <c r="AW981" s="51"/>
      <c r="AX981" s="51"/>
      <c r="AY981" s="51"/>
    </row>
    <row r="982" spans="32:51">
      <c r="AF982" s="51"/>
      <c r="AG982" s="53"/>
      <c r="AH982" s="51"/>
      <c r="AI982" s="51"/>
      <c r="AJ982" s="51"/>
      <c r="AK982" s="51"/>
      <c r="AL982" s="51"/>
      <c r="AM982" s="51"/>
      <c r="AN982" s="51"/>
      <c r="AO982" s="51"/>
      <c r="AP982" s="51"/>
      <c r="AQ982" s="51"/>
      <c r="AR982" s="53"/>
      <c r="AS982" s="51"/>
      <c r="AT982" s="51"/>
      <c r="AU982" s="51"/>
      <c r="AV982" s="51"/>
      <c r="AW982" s="51"/>
      <c r="AX982" s="51"/>
      <c r="AY982" s="51"/>
    </row>
    <row r="983" spans="32:51">
      <c r="AF983" s="51"/>
      <c r="AG983" s="53"/>
      <c r="AH983" s="51"/>
      <c r="AI983" s="51"/>
      <c r="AJ983" s="51"/>
      <c r="AK983" s="51"/>
      <c r="AL983" s="51"/>
      <c r="AM983" s="51"/>
      <c r="AN983" s="51"/>
      <c r="AO983" s="51"/>
      <c r="AP983" s="51"/>
      <c r="AQ983" s="51"/>
      <c r="AR983" s="53"/>
      <c r="AS983" s="51"/>
      <c r="AT983" s="51"/>
      <c r="AU983" s="51"/>
      <c r="AV983" s="51"/>
      <c r="AW983" s="51"/>
      <c r="AX983" s="51"/>
      <c r="AY983" s="51"/>
    </row>
    <row r="984" spans="32:51">
      <c r="AF984" s="51"/>
      <c r="AG984" s="53"/>
      <c r="AH984" s="51"/>
      <c r="AI984" s="51"/>
      <c r="AJ984" s="51"/>
      <c r="AK984" s="51"/>
      <c r="AL984" s="51"/>
      <c r="AM984" s="51"/>
      <c r="AN984" s="51"/>
      <c r="AO984" s="51"/>
      <c r="AP984" s="51"/>
      <c r="AQ984" s="51"/>
      <c r="AR984" s="53"/>
      <c r="AS984" s="51"/>
      <c r="AT984" s="51"/>
      <c r="AU984" s="51"/>
      <c r="AV984" s="51"/>
      <c r="AW984" s="51"/>
      <c r="AX984" s="51"/>
      <c r="AY984" s="51"/>
    </row>
    <row r="985" spans="32:51">
      <c r="AF985" s="51"/>
      <c r="AG985" s="53"/>
      <c r="AH985" s="51"/>
      <c r="AI985" s="51"/>
      <c r="AJ985" s="51"/>
      <c r="AK985" s="51"/>
      <c r="AL985" s="51"/>
      <c r="AM985" s="51"/>
      <c r="AN985" s="51"/>
      <c r="AO985" s="51"/>
      <c r="AP985" s="51"/>
      <c r="AQ985" s="51"/>
      <c r="AR985" s="53"/>
      <c r="AS985" s="51"/>
      <c r="AT985" s="51"/>
      <c r="AU985" s="51"/>
      <c r="AV985" s="51"/>
      <c r="AW985" s="51"/>
      <c r="AX985" s="51"/>
      <c r="AY985" s="51"/>
    </row>
    <row r="986" spans="32:51">
      <c r="AF986" s="51"/>
      <c r="AG986" s="53"/>
      <c r="AH986" s="51"/>
      <c r="AI986" s="51"/>
      <c r="AJ986" s="51"/>
      <c r="AK986" s="51"/>
      <c r="AL986" s="51"/>
      <c r="AM986" s="51"/>
      <c r="AN986" s="51"/>
      <c r="AO986" s="51"/>
      <c r="AP986" s="51"/>
      <c r="AQ986" s="51"/>
      <c r="AR986" s="53"/>
      <c r="AS986" s="51"/>
      <c r="AT986" s="51"/>
      <c r="AU986" s="51"/>
      <c r="AV986" s="51"/>
      <c r="AW986" s="51"/>
      <c r="AX986" s="51"/>
      <c r="AY986" s="51"/>
    </row>
    <row r="987" spans="32:51">
      <c r="AF987" s="51"/>
      <c r="AG987" s="53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3"/>
      <c r="AS987" s="51"/>
      <c r="AT987" s="51"/>
      <c r="AU987" s="51"/>
      <c r="AV987" s="51"/>
      <c r="AW987" s="51"/>
      <c r="AX987" s="51"/>
      <c r="AY987" s="51"/>
    </row>
    <row r="988" spans="32:51">
      <c r="AF988" s="51"/>
      <c r="AG988" s="53"/>
      <c r="AH988" s="51"/>
      <c r="AI988" s="51"/>
      <c r="AJ988" s="51"/>
      <c r="AK988" s="51"/>
      <c r="AL988" s="51"/>
      <c r="AM988" s="51"/>
      <c r="AN988" s="51"/>
      <c r="AO988" s="51"/>
      <c r="AP988" s="51"/>
      <c r="AQ988" s="51"/>
      <c r="AR988" s="53"/>
      <c r="AS988" s="51"/>
      <c r="AT988" s="51"/>
      <c r="AU988" s="51"/>
      <c r="AV988" s="51"/>
      <c r="AW988" s="51"/>
      <c r="AX988" s="51"/>
      <c r="AY988" s="51"/>
    </row>
    <row r="989" spans="32:51">
      <c r="AF989" s="51"/>
      <c r="AG989" s="53"/>
      <c r="AH989" s="51"/>
      <c r="AI989" s="51"/>
      <c r="AJ989" s="51"/>
      <c r="AK989" s="51"/>
      <c r="AL989" s="51"/>
      <c r="AM989" s="51"/>
      <c r="AN989" s="51"/>
      <c r="AO989" s="51"/>
      <c r="AP989" s="51"/>
      <c r="AQ989" s="51"/>
      <c r="AR989" s="53"/>
      <c r="AS989" s="51"/>
      <c r="AT989" s="51"/>
      <c r="AU989" s="51"/>
      <c r="AV989" s="51"/>
      <c r="AW989" s="51"/>
      <c r="AX989" s="51"/>
      <c r="AY989" s="51"/>
    </row>
    <row r="990" spans="32:51">
      <c r="AF990" s="51"/>
      <c r="AG990" s="53"/>
      <c r="AH990" s="51"/>
      <c r="AI990" s="51"/>
      <c r="AJ990" s="51"/>
      <c r="AK990" s="51"/>
      <c r="AL990" s="51"/>
      <c r="AM990" s="51"/>
      <c r="AN990" s="51"/>
      <c r="AO990" s="51"/>
      <c r="AP990" s="51"/>
      <c r="AQ990" s="51"/>
      <c r="AR990" s="53"/>
      <c r="AS990" s="51"/>
      <c r="AT990" s="51"/>
      <c r="AU990" s="51"/>
      <c r="AV990" s="51"/>
      <c r="AW990" s="51"/>
      <c r="AX990" s="51"/>
      <c r="AY990" s="51"/>
    </row>
    <row r="991" spans="32:51">
      <c r="AF991" s="51"/>
      <c r="AG991" s="53"/>
      <c r="AH991" s="51"/>
      <c r="AI991" s="51"/>
      <c r="AJ991" s="51"/>
      <c r="AK991" s="51"/>
      <c r="AL991" s="51"/>
      <c r="AM991" s="51"/>
      <c r="AN991" s="51"/>
      <c r="AO991" s="51"/>
      <c r="AP991" s="51"/>
      <c r="AQ991" s="51"/>
      <c r="AR991" s="53"/>
      <c r="AS991" s="51"/>
      <c r="AT991" s="51"/>
      <c r="AU991" s="51"/>
      <c r="AV991" s="51"/>
      <c r="AW991" s="51"/>
      <c r="AX991" s="51"/>
      <c r="AY991" s="51"/>
    </row>
    <row r="992" spans="32:51">
      <c r="AF992" s="51"/>
      <c r="AG992" s="53"/>
      <c r="AH992" s="51"/>
      <c r="AI992" s="51"/>
      <c r="AJ992" s="51"/>
      <c r="AK992" s="51"/>
      <c r="AL992" s="51"/>
      <c r="AM992" s="51"/>
      <c r="AN992" s="51"/>
      <c r="AO992" s="51"/>
      <c r="AP992" s="51"/>
      <c r="AQ992" s="51"/>
      <c r="AR992" s="53"/>
      <c r="AS992" s="51"/>
      <c r="AT992" s="51"/>
      <c r="AU992" s="51"/>
      <c r="AV992" s="51"/>
      <c r="AW992" s="51"/>
      <c r="AX992" s="51"/>
      <c r="AY992" s="51"/>
    </row>
    <row r="993" spans="32:51">
      <c r="AF993" s="51"/>
      <c r="AG993" s="53"/>
      <c r="AH993" s="51"/>
      <c r="AI993" s="51"/>
      <c r="AJ993" s="51"/>
      <c r="AK993" s="51"/>
      <c r="AL993" s="51"/>
      <c r="AM993" s="51"/>
      <c r="AN993" s="51"/>
      <c r="AO993" s="51"/>
      <c r="AP993" s="51"/>
      <c r="AQ993" s="51"/>
      <c r="AR993" s="53"/>
      <c r="AS993" s="51"/>
      <c r="AT993" s="51"/>
      <c r="AU993" s="51"/>
      <c r="AV993" s="51"/>
      <c r="AW993" s="51"/>
      <c r="AX993" s="51"/>
      <c r="AY993" s="51"/>
    </row>
    <row r="994" spans="32:51">
      <c r="AF994" s="51"/>
      <c r="AG994" s="53"/>
      <c r="AH994" s="51"/>
      <c r="AI994" s="51"/>
      <c r="AJ994" s="51"/>
      <c r="AK994" s="51"/>
      <c r="AL994" s="51"/>
      <c r="AM994" s="51"/>
      <c r="AN994" s="51"/>
      <c r="AO994" s="51"/>
      <c r="AP994" s="51"/>
      <c r="AQ994" s="51"/>
      <c r="AR994" s="53"/>
      <c r="AS994" s="51"/>
      <c r="AT994" s="51"/>
      <c r="AU994" s="51"/>
      <c r="AV994" s="51"/>
      <c r="AW994" s="51"/>
      <c r="AX994" s="51"/>
      <c r="AY994" s="51"/>
    </row>
    <row r="995" spans="32:51">
      <c r="AF995" s="51"/>
      <c r="AG995" s="53"/>
      <c r="AH995" s="51"/>
      <c r="AI995" s="51"/>
      <c r="AJ995" s="51"/>
      <c r="AK995" s="51"/>
      <c r="AL995" s="51"/>
      <c r="AM995" s="51"/>
      <c r="AN995" s="51"/>
      <c r="AO995" s="51"/>
      <c r="AP995" s="51"/>
      <c r="AQ995" s="51"/>
      <c r="AR995" s="53"/>
      <c r="AS995" s="51"/>
      <c r="AT995" s="51"/>
      <c r="AU995" s="51"/>
      <c r="AV995" s="51"/>
      <c r="AW995" s="51"/>
      <c r="AX995" s="51"/>
      <c r="AY995" s="51"/>
    </row>
    <row r="996" spans="32:51">
      <c r="AF996" s="51"/>
      <c r="AG996" s="53"/>
      <c r="AH996" s="51"/>
      <c r="AI996" s="51"/>
      <c r="AJ996" s="51"/>
      <c r="AK996" s="51"/>
      <c r="AL996" s="51"/>
      <c r="AM996" s="51"/>
      <c r="AN996" s="51"/>
      <c r="AO996" s="51"/>
      <c r="AP996" s="51"/>
      <c r="AQ996" s="51"/>
      <c r="AR996" s="53"/>
      <c r="AS996" s="51"/>
      <c r="AT996" s="51"/>
      <c r="AU996" s="51"/>
      <c r="AV996" s="51"/>
      <c r="AW996" s="51"/>
      <c r="AX996" s="51"/>
      <c r="AY996" s="51"/>
    </row>
    <row r="997" spans="32:51">
      <c r="AF997" s="51"/>
      <c r="AG997" s="53"/>
      <c r="AH997" s="51"/>
      <c r="AI997" s="51"/>
      <c r="AJ997" s="51"/>
      <c r="AK997" s="51"/>
      <c r="AL997" s="51"/>
      <c r="AM997" s="51"/>
      <c r="AN997" s="51"/>
      <c r="AO997" s="51"/>
      <c r="AP997" s="51"/>
      <c r="AQ997" s="51"/>
      <c r="AR997" s="53"/>
      <c r="AS997" s="51"/>
      <c r="AT997" s="51"/>
      <c r="AU997" s="51"/>
      <c r="AV997" s="51"/>
      <c r="AW997" s="51"/>
      <c r="AX997" s="51"/>
      <c r="AY997" s="51"/>
    </row>
    <row r="998" spans="32:51">
      <c r="AF998" s="51"/>
      <c r="AG998" s="53"/>
      <c r="AH998" s="51"/>
      <c r="AI998" s="51"/>
      <c r="AJ998" s="51"/>
      <c r="AK998" s="51"/>
      <c r="AL998" s="51"/>
      <c r="AM998" s="51"/>
      <c r="AN998" s="51"/>
      <c r="AO998" s="51"/>
      <c r="AP998" s="51"/>
      <c r="AQ998" s="51"/>
      <c r="AR998" s="53"/>
      <c r="AS998" s="51"/>
      <c r="AT998" s="51"/>
      <c r="AU998" s="51"/>
      <c r="AV998" s="51"/>
      <c r="AW998" s="51"/>
      <c r="AX998" s="51"/>
      <c r="AY998" s="51"/>
    </row>
    <row r="999" spans="32:51">
      <c r="AF999" s="51"/>
      <c r="AG999" s="53"/>
      <c r="AH999" s="51"/>
      <c r="AI999" s="51"/>
      <c r="AJ999" s="51"/>
      <c r="AK999" s="51"/>
      <c r="AL999" s="51"/>
      <c r="AM999" s="51"/>
      <c r="AN999" s="51"/>
      <c r="AO999" s="51"/>
      <c r="AP999" s="51"/>
      <c r="AQ999" s="51"/>
      <c r="AR999" s="53"/>
      <c r="AS999" s="51"/>
      <c r="AT999" s="51"/>
      <c r="AU999" s="51"/>
      <c r="AV999" s="51"/>
      <c r="AW999" s="51"/>
      <c r="AX999" s="51"/>
      <c r="AY999" s="51"/>
    </row>
    <row r="1000" spans="32:51">
      <c r="AF1000" s="51"/>
      <c r="AG1000" s="53"/>
      <c r="AH1000" s="51"/>
      <c r="AI1000" s="51"/>
      <c r="AJ1000" s="51"/>
      <c r="AK1000" s="51"/>
      <c r="AL1000" s="51"/>
      <c r="AM1000" s="51"/>
      <c r="AN1000" s="51"/>
      <c r="AO1000" s="51"/>
      <c r="AP1000" s="51"/>
      <c r="AQ1000" s="51"/>
      <c r="AR1000" s="53"/>
      <c r="AS1000" s="51"/>
      <c r="AT1000" s="51"/>
      <c r="AU1000" s="51"/>
      <c r="AV1000" s="51"/>
      <c r="AW1000" s="51"/>
      <c r="AX1000" s="51"/>
      <c r="AY1000" s="51"/>
    </row>
    <row r="1001" spans="32:51">
      <c r="AF1001" s="51"/>
      <c r="AG1001" s="53"/>
      <c r="AH1001" s="51"/>
      <c r="AI1001" s="51"/>
      <c r="AJ1001" s="51"/>
      <c r="AK1001" s="51"/>
      <c r="AL1001" s="51"/>
      <c r="AM1001" s="51"/>
      <c r="AN1001" s="51"/>
      <c r="AO1001" s="51"/>
      <c r="AP1001" s="51"/>
      <c r="AQ1001" s="51"/>
      <c r="AR1001" s="53"/>
      <c r="AS1001" s="51"/>
      <c r="AT1001" s="51"/>
      <c r="AU1001" s="51"/>
      <c r="AV1001" s="51"/>
      <c r="AW1001" s="51"/>
      <c r="AX1001" s="51"/>
      <c r="AY1001" s="51"/>
    </row>
    <row r="1002" spans="32:51">
      <c r="AF1002" s="51"/>
      <c r="AG1002" s="53"/>
      <c r="AH1002" s="51"/>
      <c r="AI1002" s="51"/>
      <c r="AJ1002" s="51"/>
      <c r="AK1002" s="51"/>
      <c r="AL1002" s="51"/>
      <c r="AM1002" s="51"/>
      <c r="AN1002" s="51"/>
      <c r="AO1002" s="51"/>
      <c r="AP1002" s="51"/>
      <c r="AQ1002" s="51"/>
      <c r="AR1002" s="53"/>
      <c r="AS1002" s="51"/>
      <c r="AT1002" s="51"/>
      <c r="AU1002" s="51"/>
      <c r="AV1002" s="51"/>
      <c r="AW1002" s="51"/>
      <c r="AX1002" s="51"/>
      <c r="AY1002" s="51"/>
    </row>
    <row r="1003" spans="32:51">
      <c r="AF1003" s="51"/>
      <c r="AG1003" s="53"/>
      <c r="AH1003" s="51"/>
      <c r="AI1003" s="51"/>
      <c r="AJ1003" s="51"/>
      <c r="AK1003" s="51"/>
      <c r="AL1003" s="51"/>
      <c r="AM1003" s="51"/>
      <c r="AN1003" s="51"/>
      <c r="AO1003" s="51"/>
      <c r="AP1003" s="51"/>
      <c r="AQ1003" s="51"/>
      <c r="AR1003" s="53"/>
      <c r="AS1003" s="51"/>
      <c r="AT1003" s="51"/>
      <c r="AU1003" s="51"/>
      <c r="AV1003" s="51"/>
      <c r="AW1003" s="51"/>
      <c r="AX1003" s="51"/>
      <c r="AY1003" s="51"/>
    </row>
    <row r="1004" spans="32:51">
      <c r="AF1004" s="51"/>
      <c r="AG1004" s="53"/>
      <c r="AH1004" s="51"/>
      <c r="AI1004" s="51"/>
      <c r="AJ1004" s="51"/>
      <c r="AK1004" s="51"/>
      <c r="AL1004" s="51"/>
      <c r="AM1004" s="51"/>
      <c r="AN1004" s="51"/>
      <c r="AO1004" s="51"/>
      <c r="AP1004" s="51"/>
      <c r="AQ1004" s="51"/>
      <c r="AR1004" s="53"/>
      <c r="AS1004" s="51"/>
      <c r="AT1004" s="51"/>
      <c r="AU1004" s="51"/>
      <c r="AV1004" s="51"/>
      <c r="AW1004" s="51"/>
      <c r="AX1004" s="51"/>
      <c r="AY1004" s="51"/>
    </row>
    <row r="1005" spans="32:51">
      <c r="AF1005" s="51"/>
      <c r="AG1005" s="53"/>
      <c r="AH1005" s="51"/>
      <c r="AI1005" s="51"/>
      <c r="AJ1005" s="51"/>
      <c r="AK1005" s="51"/>
      <c r="AL1005" s="51"/>
      <c r="AM1005" s="51"/>
      <c r="AN1005" s="51"/>
      <c r="AO1005" s="51"/>
      <c r="AP1005" s="51"/>
      <c r="AQ1005" s="51"/>
      <c r="AR1005" s="53"/>
      <c r="AS1005" s="51"/>
      <c r="AT1005" s="51"/>
      <c r="AU1005" s="51"/>
      <c r="AV1005" s="51"/>
      <c r="AW1005" s="51"/>
      <c r="AX1005" s="51"/>
      <c r="AY1005" s="51"/>
    </row>
    <row r="1006" spans="32:51">
      <c r="AF1006" s="51"/>
      <c r="AG1006" s="53"/>
      <c r="AH1006" s="51"/>
      <c r="AI1006" s="51"/>
      <c r="AJ1006" s="51"/>
      <c r="AK1006" s="51"/>
      <c r="AL1006" s="51"/>
      <c r="AM1006" s="51"/>
      <c r="AN1006" s="51"/>
      <c r="AO1006" s="51"/>
      <c r="AP1006" s="51"/>
      <c r="AQ1006" s="51"/>
      <c r="AR1006" s="53"/>
      <c r="AS1006" s="51"/>
      <c r="AT1006" s="51"/>
      <c r="AU1006" s="51"/>
      <c r="AV1006" s="51"/>
      <c r="AW1006" s="51"/>
      <c r="AX1006" s="51"/>
      <c r="AY1006" s="51"/>
    </row>
    <row r="1007" spans="32:51">
      <c r="AF1007" s="51"/>
      <c r="AG1007" s="53"/>
      <c r="AH1007" s="51"/>
      <c r="AI1007" s="51"/>
      <c r="AJ1007" s="51"/>
      <c r="AK1007" s="51"/>
      <c r="AL1007" s="51"/>
      <c r="AM1007" s="51"/>
      <c r="AN1007" s="51"/>
      <c r="AO1007" s="51"/>
      <c r="AP1007" s="51"/>
      <c r="AQ1007" s="51"/>
      <c r="AR1007" s="53"/>
      <c r="AS1007" s="51"/>
      <c r="AT1007" s="51"/>
      <c r="AU1007" s="51"/>
      <c r="AV1007" s="51"/>
      <c r="AW1007" s="51"/>
      <c r="AX1007" s="51"/>
      <c r="AY1007" s="51"/>
    </row>
    <row r="1008" spans="32:51">
      <c r="AF1008" s="51"/>
      <c r="AG1008" s="53"/>
      <c r="AH1008" s="51"/>
      <c r="AI1008" s="51"/>
      <c r="AJ1008" s="51"/>
      <c r="AK1008" s="51"/>
      <c r="AL1008" s="51"/>
      <c r="AM1008" s="51"/>
      <c r="AN1008" s="51"/>
      <c r="AO1008" s="51"/>
      <c r="AP1008" s="51"/>
      <c r="AQ1008" s="51"/>
      <c r="AR1008" s="53"/>
      <c r="AS1008" s="51"/>
      <c r="AT1008" s="51"/>
      <c r="AU1008" s="51"/>
      <c r="AV1008" s="51"/>
      <c r="AW1008" s="51"/>
      <c r="AX1008" s="51"/>
      <c r="AY1008" s="51"/>
    </row>
    <row r="1009" spans="32:51">
      <c r="AF1009" s="51"/>
      <c r="AG1009" s="53"/>
      <c r="AH1009" s="51"/>
      <c r="AI1009" s="51"/>
      <c r="AJ1009" s="51"/>
      <c r="AK1009" s="51"/>
      <c r="AL1009" s="51"/>
      <c r="AM1009" s="51"/>
      <c r="AN1009" s="51"/>
      <c r="AO1009" s="51"/>
      <c r="AP1009" s="51"/>
      <c r="AQ1009" s="51"/>
      <c r="AR1009" s="53"/>
      <c r="AS1009" s="51"/>
      <c r="AT1009" s="51"/>
      <c r="AU1009" s="51"/>
      <c r="AV1009" s="51"/>
      <c r="AW1009" s="51"/>
      <c r="AX1009" s="51"/>
      <c r="AY1009" s="51"/>
    </row>
    <row r="1010" spans="32:51">
      <c r="AF1010" s="51"/>
      <c r="AG1010" s="53"/>
      <c r="AH1010" s="51"/>
      <c r="AI1010" s="51"/>
      <c r="AJ1010" s="51"/>
      <c r="AK1010" s="51"/>
      <c r="AL1010" s="51"/>
      <c r="AM1010" s="51"/>
      <c r="AN1010" s="51"/>
      <c r="AO1010" s="51"/>
      <c r="AP1010" s="51"/>
      <c r="AQ1010" s="51"/>
      <c r="AR1010" s="53"/>
      <c r="AS1010" s="51"/>
      <c r="AT1010" s="51"/>
      <c r="AU1010" s="51"/>
      <c r="AV1010" s="51"/>
      <c r="AW1010" s="51"/>
      <c r="AX1010" s="51"/>
      <c r="AY1010" s="51"/>
    </row>
    <row r="1011" spans="32:51">
      <c r="AF1011" s="51"/>
      <c r="AG1011" s="53"/>
      <c r="AH1011" s="51"/>
      <c r="AI1011" s="51"/>
      <c r="AJ1011" s="51"/>
      <c r="AK1011" s="51"/>
      <c r="AL1011" s="51"/>
      <c r="AM1011" s="51"/>
      <c r="AN1011" s="51"/>
      <c r="AO1011" s="51"/>
      <c r="AP1011" s="51"/>
      <c r="AQ1011" s="51"/>
      <c r="AR1011" s="53"/>
      <c r="AS1011" s="51"/>
      <c r="AT1011" s="51"/>
      <c r="AU1011" s="51"/>
      <c r="AV1011" s="51"/>
      <c r="AW1011" s="51"/>
      <c r="AX1011" s="51"/>
      <c r="AY1011" s="51"/>
    </row>
    <row r="1012" spans="32:51">
      <c r="AF1012" s="51"/>
      <c r="AG1012" s="53"/>
      <c r="AH1012" s="51"/>
      <c r="AI1012" s="51"/>
      <c r="AJ1012" s="51"/>
      <c r="AK1012" s="51"/>
      <c r="AL1012" s="51"/>
      <c r="AM1012" s="51"/>
      <c r="AN1012" s="51"/>
      <c r="AO1012" s="51"/>
      <c r="AP1012" s="51"/>
      <c r="AQ1012" s="51"/>
      <c r="AR1012" s="53"/>
      <c r="AS1012" s="51"/>
      <c r="AT1012" s="51"/>
      <c r="AU1012" s="51"/>
      <c r="AV1012" s="51"/>
      <c r="AW1012" s="51"/>
      <c r="AX1012" s="51"/>
      <c r="AY1012" s="51"/>
    </row>
    <row r="1013" spans="32:51">
      <c r="AF1013" s="51"/>
      <c r="AG1013" s="53"/>
      <c r="AH1013" s="51"/>
      <c r="AI1013" s="51"/>
      <c r="AJ1013" s="51"/>
      <c r="AK1013" s="51"/>
      <c r="AL1013" s="51"/>
      <c r="AM1013" s="51"/>
      <c r="AN1013" s="51"/>
      <c r="AO1013" s="51"/>
      <c r="AP1013" s="51"/>
      <c r="AQ1013" s="51"/>
      <c r="AR1013" s="53"/>
      <c r="AS1013" s="51"/>
      <c r="AT1013" s="51"/>
      <c r="AU1013" s="51"/>
      <c r="AV1013" s="51"/>
      <c r="AW1013" s="51"/>
      <c r="AX1013" s="51"/>
      <c r="AY1013" s="51"/>
    </row>
    <row r="1014" spans="32:51">
      <c r="AF1014" s="51"/>
      <c r="AG1014" s="53"/>
      <c r="AH1014" s="51"/>
      <c r="AI1014" s="51"/>
      <c r="AJ1014" s="51"/>
      <c r="AK1014" s="51"/>
      <c r="AL1014" s="51"/>
      <c r="AM1014" s="51"/>
      <c r="AN1014" s="51"/>
      <c r="AO1014" s="51"/>
      <c r="AP1014" s="51"/>
      <c r="AQ1014" s="51"/>
      <c r="AR1014" s="53"/>
      <c r="AS1014" s="51"/>
      <c r="AT1014" s="51"/>
      <c r="AU1014" s="51"/>
      <c r="AV1014" s="51"/>
      <c r="AW1014" s="51"/>
      <c r="AX1014" s="51"/>
      <c r="AY1014" s="51"/>
    </row>
    <row r="1015" spans="32:51">
      <c r="AF1015" s="51"/>
      <c r="AG1015" s="53"/>
      <c r="AH1015" s="51"/>
      <c r="AI1015" s="51"/>
      <c r="AJ1015" s="51"/>
      <c r="AK1015" s="51"/>
      <c r="AL1015" s="51"/>
      <c r="AM1015" s="51"/>
      <c r="AN1015" s="51"/>
      <c r="AO1015" s="51"/>
      <c r="AP1015" s="51"/>
      <c r="AQ1015" s="51"/>
      <c r="AR1015" s="53"/>
      <c r="AS1015" s="51"/>
      <c r="AT1015" s="51"/>
      <c r="AU1015" s="51"/>
      <c r="AV1015" s="51"/>
      <c r="AW1015" s="51"/>
      <c r="AX1015" s="51"/>
      <c r="AY1015" s="51"/>
    </row>
    <row r="1016" spans="32:51">
      <c r="AF1016" s="51"/>
      <c r="AG1016" s="53"/>
      <c r="AH1016" s="51"/>
      <c r="AI1016" s="51"/>
      <c r="AJ1016" s="51"/>
      <c r="AK1016" s="51"/>
      <c r="AL1016" s="51"/>
      <c r="AM1016" s="51"/>
      <c r="AN1016" s="51"/>
      <c r="AO1016" s="51"/>
      <c r="AP1016" s="51"/>
      <c r="AQ1016" s="51"/>
      <c r="AR1016" s="53"/>
      <c r="AS1016" s="51"/>
      <c r="AT1016" s="51"/>
      <c r="AU1016" s="51"/>
      <c r="AV1016" s="51"/>
      <c r="AW1016" s="51"/>
      <c r="AX1016" s="51"/>
      <c r="AY1016" s="51"/>
    </row>
    <row r="1017" spans="32:51">
      <c r="AF1017" s="51"/>
      <c r="AG1017" s="53"/>
      <c r="AH1017" s="51"/>
      <c r="AI1017" s="51"/>
      <c r="AJ1017" s="51"/>
      <c r="AK1017" s="51"/>
      <c r="AL1017" s="51"/>
      <c r="AM1017" s="51"/>
      <c r="AN1017" s="51"/>
      <c r="AO1017" s="51"/>
      <c r="AP1017" s="51"/>
      <c r="AQ1017" s="51"/>
      <c r="AR1017" s="53"/>
      <c r="AS1017" s="51"/>
      <c r="AT1017" s="51"/>
      <c r="AU1017" s="51"/>
      <c r="AV1017" s="51"/>
      <c r="AW1017" s="51"/>
      <c r="AX1017" s="51"/>
      <c r="AY1017" s="51"/>
    </row>
    <row r="1018" spans="32:51">
      <c r="AF1018" s="51"/>
      <c r="AG1018" s="53"/>
      <c r="AH1018" s="51"/>
      <c r="AI1018" s="51"/>
      <c r="AJ1018" s="51"/>
      <c r="AK1018" s="51"/>
      <c r="AL1018" s="51"/>
      <c r="AM1018" s="51"/>
      <c r="AN1018" s="51"/>
      <c r="AO1018" s="51"/>
      <c r="AP1018" s="51"/>
      <c r="AQ1018" s="51"/>
      <c r="AR1018" s="53"/>
      <c r="AS1018" s="51"/>
      <c r="AT1018" s="51"/>
      <c r="AU1018" s="51"/>
      <c r="AV1018" s="51"/>
      <c r="AW1018" s="51"/>
      <c r="AX1018" s="51"/>
      <c r="AY1018" s="51"/>
    </row>
    <row r="1019" spans="32:51">
      <c r="AF1019" s="51"/>
      <c r="AG1019" s="53"/>
      <c r="AH1019" s="51"/>
      <c r="AI1019" s="51"/>
      <c r="AJ1019" s="51"/>
      <c r="AK1019" s="51"/>
      <c r="AL1019" s="51"/>
      <c r="AM1019" s="51"/>
      <c r="AN1019" s="51"/>
      <c r="AO1019" s="51"/>
      <c r="AP1019" s="51"/>
      <c r="AQ1019" s="51"/>
      <c r="AR1019" s="53"/>
      <c r="AS1019" s="51"/>
      <c r="AT1019" s="51"/>
      <c r="AU1019" s="51"/>
      <c r="AV1019" s="51"/>
      <c r="AW1019" s="51"/>
      <c r="AX1019" s="51"/>
      <c r="AY1019" s="51"/>
    </row>
    <row r="1020" spans="32:51">
      <c r="AF1020" s="51"/>
      <c r="AG1020" s="53"/>
      <c r="AH1020" s="51"/>
      <c r="AI1020" s="51"/>
      <c r="AJ1020" s="51"/>
      <c r="AK1020" s="51"/>
      <c r="AL1020" s="51"/>
      <c r="AM1020" s="51"/>
      <c r="AN1020" s="51"/>
      <c r="AO1020" s="51"/>
      <c r="AP1020" s="51"/>
      <c r="AQ1020" s="51"/>
      <c r="AR1020" s="53"/>
      <c r="AS1020" s="51"/>
      <c r="AT1020" s="51"/>
      <c r="AU1020" s="51"/>
      <c r="AV1020" s="51"/>
      <c r="AW1020" s="51"/>
      <c r="AX1020" s="51"/>
      <c r="AY1020" s="51"/>
    </row>
    <row r="1021" spans="32:51">
      <c r="AF1021" s="51"/>
      <c r="AG1021" s="53"/>
      <c r="AH1021" s="51"/>
      <c r="AI1021" s="51"/>
      <c r="AJ1021" s="51"/>
      <c r="AK1021" s="51"/>
      <c r="AL1021" s="51"/>
      <c r="AM1021" s="51"/>
      <c r="AN1021" s="51"/>
      <c r="AO1021" s="51"/>
      <c r="AP1021" s="51"/>
      <c r="AQ1021" s="51"/>
      <c r="AR1021" s="53"/>
      <c r="AS1021" s="51"/>
      <c r="AT1021" s="51"/>
      <c r="AU1021" s="51"/>
      <c r="AV1021" s="51"/>
      <c r="AW1021" s="51"/>
      <c r="AX1021" s="51"/>
      <c r="AY1021" s="51"/>
    </row>
    <row r="1022" spans="32:51">
      <c r="AF1022" s="51"/>
      <c r="AG1022" s="53"/>
      <c r="AH1022" s="51"/>
      <c r="AI1022" s="51"/>
      <c r="AJ1022" s="51"/>
      <c r="AK1022" s="51"/>
      <c r="AL1022" s="51"/>
      <c r="AM1022" s="51"/>
      <c r="AN1022" s="51"/>
      <c r="AO1022" s="51"/>
      <c r="AP1022" s="51"/>
      <c r="AQ1022" s="51"/>
      <c r="AR1022" s="53"/>
      <c r="AS1022" s="51"/>
      <c r="AT1022" s="51"/>
      <c r="AU1022" s="51"/>
      <c r="AV1022" s="51"/>
      <c r="AW1022" s="51"/>
      <c r="AX1022" s="51"/>
      <c r="AY1022" s="51"/>
    </row>
    <row r="1023" spans="32:51">
      <c r="AF1023" s="51"/>
      <c r="AG1023" s="53"/>
      <c r="AH1023" s="51"/>
      <c r="AI1023" s="51"/>
      <c r="AJ1023" s="51"/>
      <c r="AK1023" s="51"/>
      <c r="AL1023" s="51"/>
      <c r="AM1023" s="51"/>
      <c r="AN1023" s="51"/>
      <c r="AO1023" s="51"/>
      <c r="AP1023" s="51"/>
      <c r="AQ1023" s="51"/>
      <c r="AR1023" s="53"/>
      <c r="AS1023" s="51"/>
      <c r="AT1023" s="51"/>
      <c r="AU1023" s="51"/>
      <c r="AV1023" s="51"/>
      <c r="AW1023" s="51"/>
      <c r="AX1023" s="51"/>
      <c r="AY1023" s="51"/>
    </row>
    <row r="1024" spans="32:51">
      <c r="AF1024" s="51"/>
      <c r="AG1024" s="53"/>
      <c r="AH1024" s="51"/>
      <c r="AI1024" s="51"/>
      <c r="AJ1024" s="51"/>
      <c r="AK1024" s="51"/>
      <c r="AL1024" s="51"/>
      <c r="AM1024" s="51"/>
      <c r="AN1024" s="51"/>
      <c r="AO1024" s="51"/>
      <c r="AP1024" s="51"/>
      <c r="AQ1024" s="51"/>
      <c r="AR1024" s="53"/>
      <c r="AS1024" s="51"/>
      <c r="AT1024" s="51"/>
      <c r="AU1024" s="51"/>
      <c r="AV1024" s="51"/>
      <c r="AW1024" s="51"/>
      <c r="AX1024" s="51"/>
      <c r="AY1024" s="51"/>
    </row>
    <row r="1025" spans="32:51">
      <c r="AF1025" s="51"/>
      <c r="AG1025" s="53"/>
      <c r="AH1025" s="51"/>
      <c r="AI1025" s="51"/>
      <c r="AJ1025" s="51"/>
      <c r="AK1025" s="51"/>
      <c r="AL1025" s="51"/>
      <c r="AM1025" s="51"/>
      <c r="AN1025" s="51"/>
      <c r="AO1025" s="51"/>
      <c r="AP1025" s="51"/>
      <c r="AQ1025" s="51"/>
      <c r="AR1025" s="53"/>
      <c r="AS1025" s="51"/>
      <c r="AT1025" s="51"/>
      <c r="AU1025" s="51"/>
      <c r="AV1025" s="51"/>
      <c r="AW1025" s="51"/>
      <c r="AX1025" s="51"/>
      <c r="AY1025" s="51"/>
    </row>
    <row r="1026" spans="32:51">
      <c r="AF1026" s="51"/>
      <c r="AG1026" s="53"/>
      <c r="AH1026" s="51"/>
      <c r="AI1026" s="51"/>
      <c r="AJ1026" s="51"/>
      <c r="AK1026" s="51"/>
      <c r="AL1026" s="51"/>
      <c r="AM1026" s="51"/>
      <c r="AN1026" s="51"/>
      <c r="AO1026" s="51"/>
      <c r="AP1026" s="51"/>
      <c r="AQ1026" s="51"/>
      <c r="AR1026" s="53"/>
      <c r="AS1026" s="51"/>
      <c r="AT1026" s="51"/>
      <c r="AU1026" s="51"/>
      <c r="AV1026" s="51"/>
      <c r="AW1026" s="51"/>
      <c r="AX1026" s="51"/>
      <c r="AY1026" s="51"/>
    </row>
    <row r="1027" spans="32:51">
      <c r="AF1027" s="51"/>
      <c r="AG1027" s="53"/>
      <c r="AH1027" s="51"/>
      <c r="AI1027" s="51"/>
      <c r="AJ1027" s="51"/>
      <c r="AK1027" s="51"/>
      <c r="AL1027" s="51"/>
      <c r="AM1027" s="51"/>
      <c r="AN1027" s="51"/>
      <c r="AO1027" s="51"/>
      <c r="AP1027" s="51"/>
      <c r="AQ1027" s="51"/>
      <c r="AR1027" s="53"/>
      <c r="AS1027" s="51"/>
      <c r="AT1027" s="51"/>
      <c r="AU1027" s="51"/>
      <c r="AV1027" s="51"/>
      <c r="AW1027" s="51"/>
      <c r="AX1027" s="51"/>
      <c r="AY1027" s="51"/>
    </row>
    <row r="1028" spans="32:51">
      <c r="AF1028" s="51"/>
      <c r="AG1028" s="53"/>
      <c r="AH1028" s="51"/>
      <c r="AI1028" s="51"/>
      <c r="AJ1028" s="51"/>
      <c r="AK1028" s="51"/>
      <c r="AL1028" s="51"/>
      <c r="AM1028" s="51"/>
      <c r="AN1028" s="51"/>
      <c r="AO1028" s="51"/>
      <c r="AP1028" s="51"/>
      <c r="AQ1028" s="51"/>
      <c r="AR1028" s="53"/>
      <c r="AS1028" s="51"/>
      <c r="AT1028" s="51"/>
      <c r="AU1028" s="51"/>
      <c r="AV1028" s="51"/>
      <c r="AW1028" s="51"/>
      <c r="AX1028" s="51"/>
      <c r="AY1028" s="51"/>
    </row>
    <row r="1029" spans="32:51">
      <c r="AF1029" s="51"/>
      <c r="AG1029" s="53"/>
      <c r="AH1029" s="51"/>
      <c r="AI1029" s="51"/>
      <c r="AJ1029" s="51"/>
      <c r="AK1029" s="51"/>
      <c r="AL1029" s="51"/>
      <c r="AM1029" s="51"/>
      <c r="AN1029" s="51"/>
      <c r="AO1029" s="51"/>
      <c r="AP1029" s="51"/>
      <c r="AQ1029" s="51"/>
      <c r="AR1029" s="53"/>
      <c r="AS1029" s="51"/>
      <c r="AT1029" s="51"/>
      <c r="AU1029" s="51"/>
      <c r="AV1029" s="51"/>
      <c r="AW1029" s="51"/>
      <c r="AX1029" s="51"/>
      <c r="AY1029" s="51"/>
    </row>
    <row r="1030" spans="32:51">
      <c r="AF1030" s="51"/>
      <c r="AG1030" s="53"/>
      <c r="AH1030" s="51"/>
      <c r="AI1030" s="51"/>
      <c r="AJ1030" s="51"/>
      <c r="AK1030" s="51"/>
      <c r="AL1030" s="51"/>
      <c r="AM1030" s="51"/>
      <c r="AN1030" s="51"/>
      <c r="AO1030" s="51"/>
      <c r="AP1030" s="51"/>
      <c r="AQ1030" s="51"/>
      <c r="AR1030" s="53"/>
      <c r="AS1030" s="51"/>
      <c r="AT1030" s="51"/>
      <c r="AU1030" s="51"/>
      <c r="AV1030" s="51"/>
      <c r="AW1030" s="51"/>
      <c r="AX1030" s="51"/>
      <c r="AY1030" s="51"/>
    </row>
    <row r="1031" spans="32:51">
      <c r="AF1031" s="51"/>
      <c r="AG1031" s="53"/>
      <c r="AH1031" s="51"/>
      <c r="AI1031" s="51"/>
      <c r="AJ1031" s="51"/>
      <c r="AK1031" s="51"/>
      <c r="AL1031" s="51"/>
      <c r="AM1031" s="51"/>
      <c r="AN1031" s="51"/>
      <c r="AO1031" s="51"/>
      <c r="AP1031" s="51"/>
      <c r="AQ1031" s="51"/>
      <c r="AR1031" s="53"/>
      <c r="AS1031" s="51"/>
      <c r="AT1031" s="51"/>
      <c r="AU1031" s="51"/>
      <c r="AV1031" s="51"/>
      <c r="AW1031" s="51"/>
      <c r="AX1031" s="51"/>
      <c r="AY1031" s="51"/>
    </row>
    <row r="1032" spans="32:51">
      <c r="AF1032" s="51"/>
      <c r="AG1032" s="53"/>
      <c r="AH1032" s="51"/>
      <c r="AI1032" s="51"/>
      <c r="AJ1032" s="51"/>
      <c r="AK1032" s="51"/>
      <c r="AL1032" s="51"/>
      <c r="AM1032" s="51"/>
      <c r="AN1032" s="51"/>
      <c r="AO1032" s="51"/>
      <c r="AP1032" s="51"/>
      <c r="AQ1032" s="51"/>
      <c r="AR1032" s="53"/>
      <c r="AS1032" s="51"/>
      <c r="AT1032" s="51"/>
      <c r="AU1032" s="51"/>
      <c r="AV1032" s="51"/>
      <c r="AW1032" s="51"/>
      <c r="AX1032" s="51"/>
      <c r="AY1032" s="51"/>
    </row>
    <row r="1033" spans="32:51">
      <c r="AF1033" s="51"/>
      <c r="AG1033" s="53"/>
      <c r="AH1033" s="51"/>
      <c r="AI1033" s="51"/>
      <c r="AJ1033" s="51"/>
      <c r="AK1033" s="51"/>
      <c r="AL1033" s="51"/>
      <c r="AM1033" s="51"/>
      <c r="AN1033" s="51"/>
      <c r="AO1033" s="51"/>
      <c r="AP1033" s="51"/>
      <c r="AQ1033" s="51"/>
      <c r="AR1033" s="53"/>
      <c r="AS1033" s="51"/>
      <c r="AT1033" s="51"/>
      <c r="AU1033" s="51"/>
      <c r="AV1033" s="51"/>
      <c r="AW1033" s="51"/>
      <c r="AX1033" s="51"/>
      <c r="AY1033" s="51"/>
    </row>
    <row r="1034" spans="32:51">
      <c r="AF1034" s="51"/>
      <c r="AG1034" s="53"/>
      <c r="AH1034" s="51"/>
      <c r="AI1034" s="51"/>
      <c r="AJ1034" s="51"/>
      <c r="AK1034" s="51"/>
      <c r="AL1034" s="51"/>
      <c r="AM1034" s="51"/>
      <c r="AN1034" s="51"/>
      <c r="AO1034" s="51"/>
      <c r="AP1034" s="51"/>
      <c r="AQ1034" s="51"/>
      <c r="AR1034" s="53"/>
      <c r="AS1034" s="51"/>
      <c r="AT1034" s="51"/>
      <c r="AU1034" s="51"/>
      <c r="AV1034" s="51"/>
      <c r="AW1034" s="51"/>
      <c r="AX1034" s="51"/>
      <c r="AY1034" s="51"/>
    </row>
    <row r="1035" spans="32:51">
      <c r="AF1035" s="51"/>
      <c r="AG1035" s="53"/>
      <c r="AH1035" s="51"/>
      <c r="AI1035" s="51"/>
      <c r="AJ1035" s="51"/>
      <c r="AK1035" s="51"/>
      <c r="AL1035" s="51"/>
      <c r="AM1035" s="51"/>
      <c r="AN1035" s="51"/>
      <c r="AO1035" s="51"/>
      <c r="AP1035" s="51"/>
      <c r="AQ1035" s="51"/>
      <c r="AR1035" s="53"/>
      <c r="AS1035" s="51"/>
      <c r="AT1035" s="51"/>
      <c r="AU1035" s="51"/>
      <c r="AV1035" s="51"/>
      <c r="AW1035" s="51"/>
      <c r="AX1035" s="51"/>
      <c r="AY1035" s="51"/>
    </row>
    <row r="1036" spans="32:51">
      <c r="AF1036" s="51"/>
      <c r="AG1036" s="53"/>
      <c r="AH1036" s="51"/>
      <c r="AI1036" s="51"/>
      <c r="AJ1036" s="51"/>
      <c r="AK1036" s="51"/>
      <c r="AL1036" s="51"/>
      <c r="AM1036" s="51"/>
      <c r="AN1036" s="51"/>
      <c r="AO1036" s="51"/>
      <c r="AP1036" s="51"/>
      <c r="AQ1036" s="51"/>
      <c r="AR1036" s="53"/>
      <c r="AS1036" s="51"/>
      <c r="AT1036" s="51"/>
      <c r="AU1036" s="51"/>
      <c r="AV1036" s="51"/>
      <c r="AW1036" s="51"/>
      <c r="AX1036" s="51"/>
      <c r="AY1036" s="51"/>
    </row>
    <row r="1037" spans="32:51">
      <c r="AF1037" s="51"/>
      <c r="AG1037" s="53"/>
      <c r="AH1037" s="51"/>
      <c r="AI1037" s="51"/>
      <c r="AJ1037" s="51"/>
      <c r="AK1037" s="51"/>
      <c r="AL1037" s="51"/>
      <c r="AM1037" s="51"/>
      <c r="AN1037" s="51"/>
      <c r="AO1037" s="51"/>
      <c r="AP1037" s="51"/>
      <c r="AQ1037" s="51"/>
      <c r="AR1037" s="53"/>
      <c r="AS1037" s="51"/>
      <c r="AT1037" s="51"/>
      <c r="AU1037" s="51"/>
      <c r="AV1037" s="51"/>
      <c r="AW1037" s="51"/>
      <c r="AX1037" s="51"/>
      <c r="AY1037" s="51"/>
    </row>
    <row r="1038" spans="32:51">
      <c r="AF1038" s="51"/>
      <c r="AG1038" s="53"/>
      <c r="AH1038" s="51"/>
      <c r="AI1038" s="51"/>
      <c r="AJ1038" s="51"/>
      <c r="AK1038" s="51"/>
      <c r="AL1038" s="51"/>
      <c r="AM1038" s="51"/>
      <c r="AN1038" s="51"/>
      <c r="AO1038" s="51"/>
      <c r="AP1038" s="51"/>
      <c r="AQ1038" s="51"/>
      <c r="AR1038" s="53"/>
      <c r="AS1038" s="51"/>
      <c r="AT1038" s="51"/>
      <c r="AU1038" s="51"/>
      <c r="AV1038" s="51"/>
      <c r="AW1038" s="51"/>
      <c r="AX1038" s="51"/>
      <c r="AY1038" s="51"/>
    </row>
    <row r="1039" spans="32:51">
      <c r="AF1039" s="51"/>
      <c r="AG1039" s="53"/>
      <c r="AH1039" s="51"/>
      <c r="AI1039" s="51"/>
      <c r="AJ1039" s="51"/>
      <c r="AK1039" s="51"/>
      <c r="AL1039" s="51"/>
      <c r="AM1039" s="51"/>
      <c r="AN1039" s="51"/>
      <c r="AO1039" s="51"/>
      <c r="AP1039" s="51"/>
      <c r="AQ1039" s="51"/>
      <c r="AR1039" s="53"/>
      <c r="AS1039" s="51"/>
      <c r="AT1039" s="51"/>
      <c r="AU1039" s="51"/>
      <c r="AV1039" s="51"/>
      <c r="AW1039" s="51"/>
      <c r="AX1039" s="51"/>
      <c r="AY1039" s="51"/>
    </row>
    <row r="1040" spans="32:51">
      <c r="AF1040" s="51"/>
      <c r="AG1040" s="53"/>
      <c r="AH1040" s="51"/>
      <c r="AI1040" s="51"/>
      <c r="AJ1040" s="51"/>
      <c r="AK1040" s="51"/>
      <c r="AL1040" s="51"/>
      <c r="AM1040" s="51"/>
      <c r="AN1040" s="51"/>
      <c r="AO1040" s="51"/>
      <c r="AP1040" s="51"/>
      <c r="AQ1040" s="51"/>
      <c r="AR1040" s="53"/>
      <c r="AS1040" s="51"/>
      <c r="AT1040" s="51"/>
      <c r="AU1040" s="51"/>
      <c r="AV1040" s="51"/>
      <c r="AW1040" s="51"/>
      <c r="AX1040" s="51"/>
      <c r="AY1040" s="51"/>
    </row>
    <row r="1041" spans="32:51">
      <c r="AF1041" s="51"/>
      <c r="AG1041" s="53"/>
      <c r="AH1041" s="51"/>
      <c r="AI1041" s="51"/>
      <c r="AJ1041" s="51"/>
      <c r="AK1041" s="51"/>
      <c r="AL1041" s="51"/>
      <c r="AM1041" s="51"/>
      <c r="AN1041" s="51"/>
      <c r="AO1041" s="51"/>
      <c r="AP1041" s="51"/>
      <c r="AQ1041" s="51"/>
      <c r="AR1041" s="53"/>
      <c r="AS1041" s="51"/>
      <c r="AT1041" s="51"/>
      <c r="AU1041" s="51"/>
      <c r="AV1041" s="51"/>
      <c r="AW1041" s="51"/>
      <c r="AX1041" s="51"/>
      <c r="AY1041" s="51"/>
    </row>
    <row r="1042" spans="32:51">
      <c r="AF1042" s="51"/>
      <c r="AG1042" s="53"/>
      <c r="AH1042" s="51"/>
      <c r="AI1042" s="51"/>
      <c r="AJ1042" s="51"/>
      <c r="AK1042" s="51"/>
      <c r="AL1042" s="51"/>
      <c r="AM1042" s="51"/>
      <c r="AN1042" s="51"/>
      <c r="AO1042" s="51"/>
      <c r="AP1042" s="51"/>
      <c r="AQ1042" s="51"/>
      <c r="AR1042" s="53"/>
      <c r="AS1042" s="51"/>
      <c r="AT1042" s="51"/>
      <c r="AU1042" s="51"/>
      <c r="AV1042" s="51"/>
      <c r="AW1042" s="51"/>
      <c r="AX1042" s="51"/>
      <c r="AY1042" s="51"/>
    </row>
    <row r="1043" spans="32:51">
      <c r="AF1043" s="51"/>
      <c r="AG1043" s="53"/>
      <c r="AH1043" s="51"/>
      <c r="AI1043" s="51"/>
      <c r="AJ1043" s="51"/>
      <c r="AK1043" s="51"/>
      <c r="AL1043" s="51"/>
      <c r="AM1043" s="51"/>
      <c r="AN1043" s="51"/>
      <c r="AO1043" s="51"/>
      <c r="AP1043" s="51"/>
      <c r="AQ1043" s="51"/>
      <c r="AR1043" s="53"/>
      <c r="AS1043" s="51"/>
      <c r="AT1043" s="51"/>
      <c r="AU1043" s="51"/>
      <c r="AV1043" s="51"/>
      <c r="AW1043" s="51"/>
      <c r="AX1043" s="51"/>
      <c r="AY1043" s="51"/>
    </row>
    <row r="1044" spans="32:51">
      <c r="AF1044" s="51"/>
      <c r="AG1044" s="53"/>
      <c r="AH1044" s="51"/>
      <c r="AI1044" s="51"/>
      <c r="AJ1044" s="51"/>
      <c r="AK1044" s="51"/>
      <c r="AL1044" s="51"/>
      <c r="AM1044" s="51"/>
      <c r="AN1044" s="51"/>
      <c r="AO1044" s="51"/>
      <c r="AP1044" s="51"/>
      <c r="AQ1044" s="51"/>
      <c r="AR1044" s="53"/>
      <c r="AS1044" s="51"/>
      <c r="AT1044" s="51"/>
      <c r="AU1044" s="51"/>
      <c r="AV1044" s="51"/>
      <c r="AW1044" s="51"/>
      <c r="AX1044" s="51"/>
      <c r="AY1044" s="51"/>
    </row>
    <row r="1045" spans="32:51">
      <c r="AF1045" s="51"/>
      <c r="AG1045" s="53"/>
      <c r="AH1045" s="51"/>
      <c r="AI1045" s="51"/>
      <c r="AJ1045" s="51"/>
      <c r="AK1045" s="51"/>
      <c r="AL1045" s="51"/>
      <c r="AM1045" s="51"/>
      <c r="AN1045" s="51"/>
      <c r="AO1045" s="51"/>
      <c r="AP1045" s="51"/>
      <c r="AQ1045" s="51"/>
      <c r="AR1045" s="53"/>
      <c r="AS1045" s="51"/>
      <c r="AT1045" s="51"/>
      <c r="AU1045" s="51"/>
      <c r="AV1045" s="51"/>
      <c r="AW1045" s="51"/>
      <c r="AX1045" s="51"/>
      <c r="AY1045" s="51"/>
    </row>
    <row r="1046" spans="32:51">
      <c r="AF1046" s="51"/>
      <c r="AG1046" s="53"/>
      <c r="AH1046" s="51"/>
      <c r="AI1046" s="51"/>
      <c r="AJ1046" s="51"/>
      <c r="AK1046" s="51"/>
      <c r="AL1046" s="51"/>
      <c r="AM1046" s="51"/>
      <c r="AN1046" s="51"/>
      <c r="AO1046" s="51"/>
      <c r="AP1046" s="51"/>
      <c r="AQ1046" s="51"/>
      <c r="AR1046" s="53"/>
      <c r="AS1046" s="51"/>
      <c r="AT1046" s="51"/>
      <c r="AU1046" s="51"/>
      <c r="AV1046" s="51"/>
      <c r="AW1046" s="51"/>
      <c r="AX1046" s="51"/>
      <c r="AY1046" s="51"/>
    </row>
    <row r="1047" spans="32:51">
      <c r="AF1047" s="51"/>
      <c r="AG1047" s="53"/>
      <c r="AH1047" s="51"/>
      <c r="AI1047" s="51"/>
      <c r="AJ1047" s="51"/>
      <c r="AK1047" s="51"/>
      <c r="AL1047" s="51"/>
      <c r="AM1047" s="51"/>
      <c r="AN1047" s="51"/>
      <c r="AO1047" s="51"/>
      <c r="AP1047" s="51"/>
      <c r="AQ1047" s="51"/>
      <c r="AR1047" s="53"/>
      <c r="AS1047" s="51"/>
      <c r="AT1047" s="51"/>
      <c r="AU1047" s="51"/>
      <c r="AV1047" s="51"/>
      <c r="AW1047" s="51"/>
      <c r="AX1047" s="51"/>
      <c r="AY1047" s="51"/>
    </row>
    <row r="1048" spans="32:51">
      <c r="AF1048" s="51"/>
      <c r="AG1048" s="53"/>
      <c r="AH1048" s="51"/>
      <c r="AI1048" s="51"/>
      <c r="AJ1048" s="51"/>
      <c r="AK1048" s="51"/>
      <c r="AL1048" s="51"/>
      <c r="AM1048" s="51"/>
      <c r="AN1048" s="51"/>
      <c r="AO1048" s="51"/>
      <c r="AP1048" s="51"/>
      <c r="AQ1048" s="51"/>
      <c r="AR1048" s="53"/>
      <c r="AS1048" s="51"/>
      <c r="AT1048" s="51"/>
      <c r="AU1048" s="51"/>
      <c r="AV1048" s="51"/>
      <c r="AW1048" s="51"/>
      <c r="AX1048" s="51"/>
      <c r="AY1048" s="51"/>
    </row>
    <row r="1049" spans="32:51">
      <c r="AF1049" s="51"/>
      <c r="AG1049" s="53"/>
      <c r="AH1049" s="51"/>
      <c r="AI1049" s="51"/>
      <c r="AJ1049" s="51"/>
      <c r="AK1049" s="51"/>
      <c r="AL1049" s="51"/>
      <c r="AM1049" s="51"/>
      <c r="AN1049" s="51"/>
      <c r="AO1049" s="51"/>
      <c r="AP1049" s="51"/>
      <c r="AQ1049" s="51"/>
      <c r="AR1049" s="53"/>
      <c r="AS1049" s="51"/>
      <c r="AT1049" s="51"/>
      <c r="AU1049" s="51"/>
      <c r="AV1049" s="51"/>
      <c r="AW1049" s="51"/>
      <c r="AX1049" s="51"/>
      <c r="AY1049" s="51"/>
    </row>
    <row r="1050" spans="32:51">
      <c r="AF1050" s="51"/>
      <c r="AG1050" s="53"/>
      <c r="AH1050" s="51"/>
      <c r="AI1050" s="51"/>
      <c r="AJ1050" s="51"/>
      <c r="AK1050" s="51"/>
      <c r="AL1050" s="51"/>
      <c r="AM1050" s="51"/>
      <c r="AN1050" s="51"/>
      <c r="AO1050" s="51"/>
      <c r="AP1050" s="51"/>
      <c r="AQ1050" s="51"/>
      <c r="AR1050" s="53"/>
      <c r="AS1050" s="51"/>
      <c r="AT1050" s="51"/>
      <c r="AU1050" s="51"/>
      <c r="AV1050" s="51"/>
      <c r="AW1050" s="51"/>
      <c r="AX1050" s="51"/>
      <c r="AY1050" s="51"/>
    </row>
    <row r="1051" spans="32:51">
      <c r="AF1051" s="51"/>
      <c r="AG1051" s="53"/>
      <c r="AH1051" s="51"/>
      <c r="AI1051" s="51"/>
      <c r="AJ1051" s="51"/>
      <c r="AK1051" s="51"/>
      <c r="AL1051" s="51"/>
      <c r="AM1051" s="51"/>
      <c r="AN1051" s="51"/>
      <c r="AO1051" s="51"/>
      <c r="AP1051" s="51"/>
      <c r="AQ1051" s="51"/>
      <c r="AR1051" s="53"/>
      <c r="AS1051" s="51"/>
      <c r="AT1051" s="51"/>
      <c r="AU1051" s="51"/>
      <c r="AV1051" s="51"/>
      <c r="AW1051" s="51"/>
      <c r="AX1051" s="51"/>
      <c r="AY1051" s="51"/>
    </row>
    <row r="1052" spans="32:51">
      <c r="AF1052" s="51"/>
      <c r="AG1052" s="53"/>
      <c r="AH1052" s="51"/>
      <c r="AI1052" s="51"/>
      <c r="AJ1052" s="51"/>
      <c r="AK1052" s="51"/>
      <c r="AL1052" s="51"/>
      <c r="AM1052" s="51"/>
      <c r="AN1052" s="51"/>
      <c r="AO1052" s="51"/>
      <c r="AP1052" s="51"/>
      <c r="AQ1052" s="51"/>
      <c r="AR1052" s="53"/>
      <c r="AS1052" s="51"/>
      <c r="AT1052" s="51"/>
      <c r="AU1052" s="51"/>
      <c r="AV1052" s="51"/>
      <c r="AW1052" s="51"/>
      <c r="AX1052" s="51"/>
      <c r="AY1052" s="51"/>
    </row>
    <row r="1053" spans="32:51">
      <c r="AF1053" s="51"/>
      <c r="AG1053" s="53"/>
      <c r="AH1053" s="51"/>
      <c r="AI1053" s="51"/>
      <c r="AJ1053" s="51"/>
      <c r="AK1053" s="51"/>
      <c r="AL1053" s="51"/>
      <c r="AM1053" s="51"/>
      <c r="AN1053" s="51"/>
      <c r="AO1053" s="51"/>
      <c r="AP1053" s="51"/>
      <c r="AQ1053" s="51"/>
      <c r="AR1053" s="53"/>
      <c r="AS1053" s="51"/>
      <c r="AT1053" s="51"/>
      <c r="AU1053" s="51"/>
      <c r="AV1053" s="51"/>
      <c r="AW1053" s="51"/>
      <c r="AX1053" s="51"/>
      <c r="AY1053" s="51"/>
    </row>
    <row r="1054" spans="32:51">
      <c r="AF1054" s="51"/>
      <c r="AG1054" s="53"/>
      <c r="AH1054" s="51"/>
      <c r="AI1054" s="51"/>
      <c r="AJ1054" s="51"/>
      <c r="AK1054" s="51"/>
      <c r="AL1054" s="51"/>
      <c r="AM1054" s="51"/>
      <c r="AN1054" s="51"/>
      <c r="AO1054" s="51"/>
      <c r="AP1054" s="51"/>
      <c r="AQ1054" s="51"/>
      <c r="AR1054" s="53"/>
      <c r="AS1054" s="51"/>
      <c r="AT1054" s="51"/>
      <c r="AU1054" s="51"/>
      <c r="AV1054" s="51"/>
      <c r="AW1054" s="51"/>
      <c r="AX1054" s="51"/>
      <c r="AY1054" s="51"/>
    </row>
    <row r="1055" spans="32:51">
      <c r="AF1055" s="51"/>
      <c r="AG1055" s="53"/>
      <c r="AH1055" s="51"/>
      <c r="AI1055" s="51"/>
      <c r="AJ1055" s="51"/>
      <c r="AK1055" s="51"/>
      <c r="AL1055" s="51"/>
      <c r="AM1055" s="51"/>
      <c r="AN1055" s="51"/>
      <c r="AO1055" s="51"/>
      <c r="AP1055" s="51"/>
      <c r="AQ1055" s="51"/>
      <c r="AR1055" s="53"/>
      <c r="AS1055" s="51"/>
      <c r="AT1055" s="51"/>
      <c r="AU1055" s="51"/>
      <c r="AV1055" s="51"/>
      <c r="AW1055" s="51"/>
      <c r="AX1055" s="51"/>
      <c r="AY1055" s="51"/>
    </row>
    <row r="1056" spans="32:51">
      <c r="AF1056" s="51"/>
      <c r="AG1056" s="53"/>
      <c r="AH1056" s="51"/>
      <c r="AI1056" s="51"/>
      <c r="AJ1056" s="51"/>
      <c r="AK1056" s="51"/>
      <c r="AL1056" s="51"/>
      <c r="AM1056" s="51"/>
      <c r="AN1056" s="51"/>
      <c r="AO1056" s="51"/>
      <c r="AP1056" s="51"/>
      <c r="AQ1056" s="51"/>
      <c r="AR1056" s="53"/>
      <c r="AS1056" s="51"/>
      <c r="AT1056" s="51"/>
      <c r="AU1056" s="51"/>
      <c r="AV1056" s="51"/>
      <c r="AW1056" s="51"/>
      <c r="AX1056" s="51"/>
      <c r="AY1056" s="51"/>
    </row>
    <row r="1057" spans="32:51">
      <c r="AF1057" s="51"/>
      <c r="AG1057" s="53"/>
      <c r="AH1057" s="51"/>
      <c r="AI1057" s="51"/>
      <c r="AJ1057" s="51"/>
      <c r="AK1057" s="51"/>
      <c r="AL1057" s="51"/>
      <c r="AM1057" s="51"/>
      <c r="AN1057" s="51"/>
      <c r="AO1057" s="51"/>
      <c r="AP1057" s="51"/>
      <c r="AQ1057" s="51"/>
      <c r="AR1057" s="53"/>
      <c r="AS1057" s="51"/>
      <c r="AT1057" s="51"/>
      <c r="AU1057" s="51"/>
      <c r="AV1057" s="51"/>
      <c r="AW1057" s="51"/>
      <c r="AX1057" s="51"/>
      <c r="AY1057" s="51"/>
    </row>
    <row r="1058" spans="32:51">
      <c r="AF1058" s="51"/>
      <c r="AG1058" s="53"/>
      <c r="AH1058" s="51"/>
      <c r="AI1058" s="51"/>
      <c r="AJ1058" s="51"/>
      <c r="AK1058" s="51"/>
      <c r="AL1058" s="51"/>
      <c r="AM1058" s="51"/>
      <c r="AN1058" s="51"/>
      <c r="AO1058" s="51"/>
      <c r="AP1058" s="51"/>
      <c r="AQ1058" s="51"/>
      <c r="AR1058" s="53"/>
      <c r="AS1058" s="51"/>
      <c r="AT1058" s="51"/>
      <c r="AU1058" s="51"/>
      <c r="AV1058" s="51"/>
      <c r="AW1058" s="51"/>
      <c r="AX1058" s="51"/>
      <c r="AY1058" s="51"/>
    </row>
    <row r="1059" spans="32:51">
      <c r="AF1059" s="51"/>
      <c r="AG1059" s="53"/>
      <c r="AH1059" s="51"/>
      <c r="AI1059" s="51"/>
      <c r="AJ1059" s="51"/>
      <c r="AK1059" s="51"/>
      <c r="AL1059" s="51"/>
      <c r="AM1059" s="51"/>
      <c r="AN1059" s="51"/>
      <c r="AO1059" s="51"/>
      <c r="AP1059" s="51"/>
      <c r="AQ1059" s="51"/>
      <c r="AR1059" s="53"/>
      <c r="AS1059" s="51"/>
      <c r="AT1059" s="51"/>
      <c r="AU1059" s="51"/>
      <c r="AV1059" s="51"/>
      <c r="AW1059" s="51"/>
      <c r="AX1059" s="51"/>
      <c r="AY1059" s="51"/>
    </row>
    <row r="1060" spans="32:51">
      <c r="AF1060" s="51"/>
      <c r="AG1060" s="53"/>
      <c r="AH1060" s="51"/>
      <c r="AI1060" s="51"/>
      <c r="AJ1060" s="51"/>
      <c r="AK1060" s="51"/>
      <c r="AL1060" s="51"/>
      <c r="AM1060" s="51"/>
      <c r="AN1060" s="51"/>
      <c r="AO1060" s="51"/>
      <c r="AP1060" s="51"/>
      <c r="AQ1060" s="51"/>
      <c r="AR1060" s="53"/>
      <c r="AS1060" s="51"/>
      <c r="AT1060" s="51"/>
      <c r="AU1060" s="51"/>
      <c r="AV1060" s="51"/>
      <c r="AW1060" s="51"/>
      <c r="AX1060" s="51"/>
      <c r="AY1060" s="51"/>
    </row>
    <row r="1061" spans="32:51">
      <c r="AF1061" s="51"/>
      <c r="AG1061" s="53"/>
      <c r="AH1061" s="51"/>
      <c r="AI1061" s="51"/>
      <c r="AJ1061" s="51"/>
      <c r="AK1061" s="51"/>
      <c r="AL1061" s="51"/>
      <c r="AM1061" s="51"/>
      <c r="AN1061" s="51"/>
      <c r="AO1061" s="51"/>
      <c r="AP1061" s="51"/>
      <c r="AQ1061" s="51"/>
      <c r="AR1061" s="53"/>
      <c r="AS1061" s="51"/>
      <c r="AT1061" s="51"/>
      <c r="AU1061" s="51"/>
      <c r="AV1061" s="51"/>
      <c r="AW1061" s="51"/>
      <c r="AX1061" s="51"/>
      <c r="AY1061" s="51"/>
    </row>
    <row r="1062" spans="32:51">
      <c r="AF1062" s="51"/>
      <c r="AG1062" s="53"/>
      <c r="AH1062" s="51"/>
      <c r="AI1062" s="51"/>
      <c r="AJ1062" s="51"/>
      <c r="AK1062" s="51"/>
      <c r="AL1062" s="51"/>
      <c r="AM1062" s="51"/>
      <c r="AN1062" s="51"/>
      <c r="AO1062" s="51"/>
      <c r="AP1062" s="51"/>
      <c r="AQ1062" s="51"/>
      <c r="AR1062" s="53"/>
      <c r="AS1062" s="51"/>
      <c r="AT1062" s="51"/>
      <c r="AU1062" s="51"/>
      <c r="AV1062" s="51"/>
      <c r="AW1062" s="51"/>
      <c r="AX1062" s="51"/>
      <c r="AY1062" s="51"/>
    </row>
    <row r="1063" spans="32:51">
      <c r="AF1063" s="51"/>
      <c r="AG1063" s="53"/>
      <c r="AH1063" s="51"/>
      <c r="AI1063" s="51"/>
      <c r="AJ1063" s="51"/>
      <c r="AK1063" s="51"/>
      <c r="AL1063" s="51"/>
      <c r="AM1063" s="51"/>
      <c r="AN1063" s="51"/>
      <c r="AO1063" s="51"/>
      <c r="AP1063" s="51"/>
      <c r="AQ1063" s="51"/>
      <c r="AR1063" s="53"/>
      <c r="AS1063" s="51"/>
      <c r="AT1063" s="51"/>
      <c r="AU1063" s="51"/>
      <c r="AV1063" s="51"/>
      <c r="AW1063" s="51"/>
      <c r="AX1063" s="51"/>
      <c r="AY1063" s="51"/>
    </row>
    <row r="1064" spans="32:51">
      <c r="AF1064" s="51"/>
      <c r="AG1064" s="53"/>
      <c r="AH1064" s="51"/>
      <c r="AI1064" s="51"/>
      <c r="AJ1064" s="51"/>
      <c r="AK1064" s="51"/>
      <c r="AL1064" s="51"/>
      <c r="AM1064" s="51"/>
      <c r="AN1064" s="51"/>
      <c r="AO1064" s="51"/>
      <c r="AP1064" s="51"/>
      <c r="AQ1064" s="51"/>
      <c r="AR1064" s="53"/>
      <c r="AS1064" s="51"/>
      <c r="AT1064" s="51"/>
      <c r="AU1064" s="51"/>
      <c r="AV1064" s="51"/>
      <c r="AW1064" s="51"/>
      <c r="AX1064" s="51"/>
      <c r="AY1064" s="51"/>
    </row>
    <row r="1065" spans="32:51">
      <c r="AF1065" s="51"/>
      <c r="AG1065" s="53"/>
      <c r="AH1065" s="51"/>
      <c r="AI1065" s="51"/>
      <c r="AJ1065" s="51"/>
      <c r="AK1065" s="51"/>
      <c r="AL1065" s="51"/>
      <c r="AM1065" s="51"/>
      <c r="AN1065" s="51"/>
      <c r="AO1065" s="51"/>
      <c r="AP1065" s="51"/>
      <c r="AQ1065" s="51"/>
      <c r="AR1065" s="53"/>
      <c r="AS1065" s="51"/>
      <c r="AT1065" s="51"/>
      <c r="AU1065" s="51"/>
      <c r="AV1065" s="51"/>
      <c r="AW1065" s="51"/>
      <c r="AX1065" s="51"/>
      <c r="AY1065" s="51"/>
    </row>
    <row r="1066" spans="32:51">
      <c r="AF1066" s="51"/>
      <c r="AG1066" s="53"/>
      <c r="AH1066" s="51"/>
      <c r="AI1066" s="51"/>
      <c r="AJ1066" s="51"/>
      <c r="AK1066" s="51"/>
      <c r="AL1066" s="51"/>
      <c r="AM1066" s="51"/>
      <c r="AN1066" s="51"/>
      <c r="AO1066" s="51"/>
      <c r="AP1066" s="51"/>
      <c r="AQ1066" s="51"/>
      <c r="AR1066" s="53"/>
      <c r="AS1066" s="51"/>
      <c r="AT1066" s="51"/>
      <c r="AU1066" s="51"/>
      <c r="AV1066" s="51"/>
      <c r="AW1066" s="51"/>
      <c r="AX1066" s="51"/>
      <c r="AY1066" s="51"/>
    </row>
    <row r="1067" spans="32:51">
      <c r="AF1067" s="51"/>
      <c r="AG1067" s="53"/>
      <c r="AH1067" s="51"/>
      <c r="AI1067" s="51"/>
      <c r="AJ1067" s="51"/>
      <c r="AK1067" s="51"/>
      <c r="AL1067" s="51"/>
      <c r="AM1067" s="51"/>
      <c r="AN1067" s="51"/>
      <c r="AO1067" s="51"/>
      <c r="AP1067" s="51"/>
      <c r="AQ1067" s="51"/>
      <c r="AR1067" s="53"/>
      <c r="AS1067" s="51"/>
      <c r="AT1067" s="51"/>
      <c r="AU1067" s="51"/>
      <c r="AV1067" s="51"/>
      <c r="AW1067" s="51"/>
      <c r="AX1067" s="51"/>
      <c r="AY1067" s="51"/>
    </row>
    <row r="1068" spans="32:51">
      <c r="AF1068" s="51"/>
      <c r="AG1068" s="53"/>
      <c r="AH1068" s="51"/>
      <c r="AI1068" s="51"/>
      <c r="AJ1068" s="51"/>
      <c r="AK1068" s="51"/>
      <c r="AL1068" s="51"/>
      <c r="AM1068" s="51"/>
      <c r="AN1068" s="51"/>
      <c r="AO1068" s="51"/>
      <c r="AP1068" s="51"/>
      <c r="AQ1068" s="51"/>
      <c r="AR1068" s="53"/>
      <c r="AS1068" s="51"/>
      <c r="AT1068" s="51"/>
      <c r="AU1068" s="51"/>
      <c r="AV1068" s="51"/>
      <c r="AW1068" s="51"/>
      <c r="AX1068" s="51"/>
      <c r="AY1068" s="51"/>
    </row>
    <row r="1069" spans="32:51">
      <c r="AF1069" s="51"/>
      <c r="AG1069" s="53"/>
      <c r="AH1069" s="51"/>
      <c r="AI1069" s="51"/>
      <c r="AJ1069" s="51"/>
      <c r="AK1069" s="51"/>
      <c r="AL1069" s="51"/>
      <c r="AM1069" s="51"/>
      <c r="AN1069" s="51"/>
      <c r="AO1069" s="51"/>
      <c r="AP1069" s="51"/>
      <c r="AQ1069" s="51"/>
      <c r="AR1069" s="53"/>
      <c r="AS1069" s="51"/>
      <c r="AT1069" s="51"/>
      <c r="AU1069" s="51"/>
      <c r="AV1069" s="51"/>
      <c r="AW1069" s="51"/>
      <c r="AX1069" s="51"/>
      <c r="AY1069" s="51"/>
    </row>
    <row r="1070" spans="32:51">
      <c r="AF1070" s="51"/>
      <c r="AG1070" s="53"/>
      <c r="AH1070" s="51"/>
      <c r="AI1070" s="51"/>
      <c r="AJ1070" s="51"/>
      <c r="AK1070" s="51"/>
      <c r="AL1070" s="51"/>
      <c r="AM1070" s="51"/>
      <c r="AN1070" s="51"/>
      <c r="AO1070" s="51"/>
      <c r="AP1070" s="51"/>
      <c r="AQ1070" s="51"/>
      <c r="AR1070" s="53"/>
      <c r="AS1070" s="51"/>
      <c r="AT1070" s="51"/>
      <c r="AU1070" s="51"/>
      <c r="AV1070" s="51"/>
      <c r="AW1070" s="51"/>
      <c r="AX1070" s="51"/>
      <c r="AY1070" s="51"/>
    </row>
    <row r="1071" spans="32:51">
      <c r="AF1071" s="51"/>
      <c r="AG1071" s="53"/>
      <c r="AH1071" s="51"/>
      <c r="AI1071" s="51"/>
      <c r="AJ1071" s="51"/>
      <c r="AK1071" s="51"/>
      <c r="AL1071" s="51"/>
      <c r="AM1071" s="51"/>
      <c r="AN1071" s="51"/>
      <c r="AO1071" s="51"/>
      <c r="AP1071" s="51"/>
      <c r="AQ1071" s="51"/>
      <c r="AR1071" s="53"/>
      <c r="AS1071" s="51"/>
      <c r="AT1071" s="51"/>
      <c r="AU1071" s="51"/>
      <c r="AV1071" s="51"/>
      <c r="AW1071" s="51"/>
      <c r="AX1071" s="51"/>
      <c r="AY1071" s="51"/>
    </row>
    <row r="1072" spans="32:51">
      <c r="AF1072" s="51"/>
      <c r="AG1072" s="53"/>
      <c r="AH1072" s="51"/>
      <c r="AI1072" s="51"/>
      <c r="AJ1072" s="51"/>
      <c r="AK1072" s="51"/>
      <c r="AL1072" s="51"/>
      <c r="AM1072" s="51"/>
      <c r="AN1072" s="51"/>
      <c r="AO1072" s="51"/>
      <c r="AP1072" s="51"/>
      <c r="AQ1072" s="51"/>
      <c r="AR1072" s="53"/>
      <c r="AS1072" s="51"/>
      <c r="AT1072" s="51"/>
      <c r="AU1072" s="51"/>
      <c r="AV1072" s="51"/>
      <c r="AW1072" s="51"/>
      <c r="AX1072" s="51"/>
      <c r="AY1072" s="51"/>
    </row>
    <row r="1073" spans="32:51">
      <c r="AF1073" s="51"/>
      <c r="AG1073" s="53"/>
      <c r="AH1073" s="51"/>
      <c r="AI1073" s="51"/>
      <c r="AJ1073" s="51"/>
      <c r="AK1073" s="51"/>
      <c r="AL1073" s="51"/>
      <c r="AM1073" s="51"/>
      <c r="AN1073" s="51"/>
      <c r="AO1073" s="51"/>
      <c r="AP1073" s="51"/>
      <c r="AQ1073" s="51"/>
      <c r="AR1073" s="53"/>
      <c r="AS1073" s="51"/>
      <c r="AT1073" s="51"/>
      <c r="AU1073" s="51"/>
      <c r="AV1073" s="51"/>
      <c r="AW1073" s="51"/>
      <c r="AX1073" s="51"/>
      <c r="AY1073" s="51"/>
    </row>
    <row r="1074" spans="32:51">
      <c r="AF1074" s="51"/>
      <c r="AG1074" s="53"/>
      <c r="AH1074" s="51"/>
      <c r="AI1074" s="51"/>
      <c r="AJ1074" s="51"/>
      <c r="AK1074" s="51"/>
      <c r="AL1074" s="51"/>
      <c r="AM1074" s="51"/>
      <c r="AN1074" s="51"/>
      <c r="AO1074" s="51"/>
      <c r="AP1074" s="51"/>
      <c r="AQ1074" s="51"/>
      <c r="AR1074" s="53"/>
      <c r="AS1074" s="51"/>
      <c r="AT1074" s="51"/>
      <c r="AU1074" s="51"/>
      <c r="AV1074" s="51"/>
      <c r="AW1074" s="51"/>
      <c r="AX1074" s="51"/>
      <c r="AY1074" s="51"/>
    </row>
    <row r="1075" spans="32:51">
      <c r="AF1075" s="51"/>
      <c r="AG1075" s="53"/>
      <c r="AH1075" s="51"/>
      <c r="AI1075" s="51"/>
      <c r="AJ1075" s="51"/>
      <c r="AK1075" s="51"/>
      <c r="AL1075" s="51"/>
      <c r="AM1075" s="51"/>
      <c r="AN1075" s="51"/>
      <c r="AO1075" s="51"/>
      <c r="AP1075" s="51"/>
      <c r="AQ1075" s="51"/>
      <c r="AR1075" s="53"/>
      <c r="AS1075" s="51"/>
      <c r="AT1075" s="51"/>
      <c r="AU1075" s="51"/>
      <c r="AV1075" s="51"/>
      <c r="AW1075" s="51"/>
      <c r="AX1075" s="51"/>
      <c r="AY1075" s="51"/>
    </row>
    <row r="1076" spans="32:51">
      <c r="AF1076" s="51"/>
      <c r="AG1076" s="53"/>
      <c r="AH1076" s="51"/>
      <c r="AI1076" s="51"/>
      <c r="AJ1076" s="51"/>
      <c r="AK1076" s="51"/>
      <c r="AL1076" s="51"/>
      <c r="AM1076" s="51"/>
      <c r="AN1076" s="51"/>
      <c r="AO1076" s="51"/>
      <c r="AP1076" s="51"/>
      <c r="AQ1076" s="51"/>
      <c r="AR1076" s="53"/>
      <c r="AS1076" s="51"/>
      <c r="AT1076" s="51"/>
      <c r="AU1076" s="51"/>
      <c r="AV1076" s="51"/>
      <c r="AW1076" s="51"/>
      <c r="AX1076" s="51"/>
      <c r="AY1076" s="51"/>
    </row>
    <row r="1077" spans="32:51">
      <c r="AF1077" s="51"/>
      <c r="AG1077" s="53"/>
      <c r="AH1077" s="51"/>
      <c r="AI1077" s="51"/>
      <c r="AJ1077" s="51"/>
      <c r="AK1077" s="51"/>
      <c r="AL1077" s="51"/>
      <c r="AM1077" s="51"/>
      <c r="AN1077" s="51"/>
      <c r="AO1077" s="51"/>
      <c r="AP1077" s="51"/>
      <c r="AQ1077" s="51"/>
      <c r="AR1077" s="53"/>
      <c r="AS1077" s="51"/>
      <c r="AT1077" s="51"/>
      <c r="AU1077" s="51"/>
      <c r="AV1077" s="51"/>
      <c r="AW1077" s="51"/>
      <c r="AX1077" s="51"/>
      <c r="AY1077" s="51"/>
    </row>
    <row r="1078" spans="32:51">
      <c r="AF1078" s="51"/>
      <c r="AG1078" s="53"/>
      <c r="AH1078" s="51"/>
      <c r="AI1078" s="51"/>
      <c r="AJ1078" s="51"/>
      <c r="AK1078" s="51"/>
      <c r="AL1078" s="51"/>
      <c r="AM1078" s="51"/>
      <c r="AN1078" s="51"/>
      <c r="AO1078" s="51"/>
      <c r="AP1078" s="51"/>
      <c r="AQ1078" s="51"/>
      <c r="AR1078" s="53"/>
      <c r="AS1078" s="51"/>
      <c r="AT1078" s="51"/>
      <c r="AU1078" s="51"/>
      <c r="AV1078" s="51"/>
      <c r="AW1078" s="51"/>
      <c r="AX1078" s="51"/>
      <c r="AY1078" s="51"/>
    </row>
    <row r="1079" spans="32:51">
      <c r="AF1079" s="51"/>
      <c r="AG1079" s="53"/>
      <c r="AH1079" s="51"/>
      <c r="AI1079" s="51"/>
      <c r="AJ1079" s="51"/>
      <c r="AK1079" s="51"/>
      <c r="AL1079" s="51"/>
      <c r="AM1079" s="51"/>
      <c r="AN1079" s="51"/>
      <c r="AO1079" s="51"/>
      <c r="AP1079" s="51"/>
      <c r="AQ1079" s="51"/>
      <c r="AR1079" s="53"/>
      <c r="AS1079" s="51"/>
      <c r="AT1079" s="51"/>
      <c r="AU1079" s="51"/>
      <c r="AV1079" s="51"/>
      <c r="AW1079" s="51"/>
      <c r="AX1079" s="51"/>
      <c r="AY1079" s="51"/>
    </row>
    <row r="1080" spans="32:51">
      <c r="AF1080" s="51"/>
      <c r="AG1080" s="53"/>
      <c r="AH1080" s="51"/>
      <c r="AI1080" s="51"/>
      <c r="AJ1080" s="51"/>
      <c r="AK1080" s="51"/>
      <c r="AL1080" s="51"/>
      <c r="AM1080" s="51"/>
      <c r="AN1080" s="51"/>
      <c r="AO1080" s="51"/>
      <c r="AP1080" s="51"/>
      <c r="AQ1080" s="51"/>
      <c r="AR1080" s="53"/>
      <c r="AS1080" s="51"/>
      <c r="AT1080" s="51"/>
      <c r="AU1080" s="51"/>
      <c r="AV1080" s="51"/>
      <c r="AW1080" s="51"/>
      <c r="AX1080" s="51"/>
      <c r="AY1080" s="51"/>
    </row>
    <row r="1081" spans="32:51">
      <c r="AF1081" s="51"/>
      <c r="AG1081" s="53"/>
      <c r="AH1081" s="51"/>
      <c r="AI1081" s="51"/>
      <c r="AJ1081" s="51"/>
      <c r="AK1081" s="51"/>
      <c r="AL1081" s="51"/>
      <c r="AM1081" s="51"/>
      <c r="AN1081" s="51"/>
      <c r="AO1081" s="51"/>
      <c r="AP1081" s="51"/>
      <c r="AQ1081" s="51"/>
      <c r="AR1081" s="53"/>
      <c r="AS1081" s="51"/>
      <c r="AT1081" s="51"/>
      <c r="AU1081" s="51"/>
      <c r="AV1081" s="51"/>
      <c r="AW1081" s="51"/>
      <c r="AX1081" s="51"/>
      <c r="AY1081" s="51"/>
    </row>
    <row r="1082" spans="32:51">
      <c r="AF1082" s="51"/>
      <c r="AG1082" s="53"/>
      <c r="AH1082" s="51"/>
      <c r="AI1082" s="51"/>
      <c r="AJ1082" s="51"/>
      <c r="AK1082" s="51"/>
      <c r="AL1082" s="51"/>
      <c r="AM1082" s="51"/>
      <c r="AN1082" s="51"/>
      <c r="AO1082" s="51"/>
      <c r="AP1082" s="51"/>
      <c r="AQ1082" s="51"/>
      <c r="AR1082" s="53"/>
      <c r="AS1082" s="51"/>
      <c r="AT1082" s="51"/>
      <c r="AU1082" s="51"/>
      <c r="AV1082" s="51"/>
      <c r="AW1082" s="51"/>
      <c r="AX1082" s="51"/>
      <c r="AY1082" s="51"/>
    </row>
    <row r="1083" spans="32:51">
      <c r="AF1083" s="51"/>
      <c r="AG1083" s="53"/>
      <c r="AH1083" s="51"/>
      <c r="AI1083" s="51"/>
      <c r="AJ1083" s="51"/>
      <c r="AK1083" s="51"/>
      <c r="AL1083" s="51"/>
      <c r="AM1083" s="51"/>
      <c r="AN1083" s="51"/>
      <c r="AO1083" s="51"/>
      <c r="AP1083" s="51"/>
      <c r="AQ1083" s="51"/>
      <c r="AR1083" s="53"/>
      <c r="AS1083" s="51"/>
      <c r="AT1083" s="51"/>
      <c r="AU1083" s="51"/>
      <c r="AV1083" s="51"/>
      <c r="AW1083" s="51"/>
      <c r="AX1083" s="51"/>
      <c r="AY1083" s="51"/>
    </row>
    <row r="1084" spans="32:51">
      <c r="AF1084" s="51"/>
      <c r="AG1084" s="53"/>
      <c r="AH1084" s="51"/>
      <c r="AI1084" s="51"/>
      <c r="AJ1084" s="51"/>
      <c r="AK1084" s="51"/>
      <c r="AL1084" s="51"/>
      <c r="AM1084" s="51"/>
      <c r="AN1084" s="51"/>
      <c r="AO1084" s="51"/>
      <c r="AP1084" s="51"/>
      <c r="AQ1084" s="51"/>
      <c r="AR1084" s="53"/>
      <c r="AS1084" s="51"/>
      <c r="AT1084" s="51"/>
      <c r="AU1084" s="51"/>
      <c r="AV1084" s="51"/>
      <c r="AW1084" s="51"/>
      <c r="AX1084" s="51"/>
      <c r="AY1084" s="51"/>
    </row>
    <row r="1085" spans="32:51">
      <c r="AF1085" s="51"/>
      <c r="AG1085" s="53"/>
      <c r="AH1085" s="51"/>
      <c r="AI1085" s="51"/>
      <c r="AJ1085" s="51"/>
      <c r="AK1085" s="51"/>
      <c r="AL1085" s="51"/>
      <c r="AM1085" s="51"/>
      <c r="AN1085" s="51"/>
      <c r="AO1085" s="51"/>
      <c r="AP1085" s="51"/>
      <c r="AQ1085" s="51"/>
      <c r="AR1085" s="53"/>
      <c r="AS1085" s="51"/>
      <c r="AT1085" s="51"/>
      <c r="AU1085" s="51"/>
      <c r="AV1085" s="51"/>
      <c r="AW1085" s="51"/>
      <c r="AX1085" s="51"/>
      <c r="AY1085" s="51"/>
    </row>
    <row r="1086" spans="32:51">
      <c r="AF1086" s="51"/>
      <c r="AG1086" s="53"/>
      <c r="AH1086" s="51"/>
      <c r="AI1086" s="51"/>
      <c r="AJ1086" s="51"/>
      <c r="AK1086" s="51"/>
      <c r="AL1086" s="51"/>
      <c r="AM1086" s="51"/>
      <c r="AN1086" s="51"/>
      <c r="AO1086" s="51"/>
      <c r="AP1086" s="51"/>
      <c r="AQ1086" s="51"/>
      <c r="AR1086" s="53"/>
      <c r="AS1086" s="51"/>
      <c r="AT1086" s="51"/>
      <c r="AU1086" s="51"/>
      <c r="AV1086" s="51"/>
      <c r="AW1086" s="51"/>
      <c r="AX1086" s="51"/>
      <c r="AY1086" s="51"/>
    </row>
    <row r="1087" spans="32:51">
      <c r="AF1087" s="51"/>
      <c r="AG1087" s="53"/>
      <c r="AH1087" s="51"/>
      <c r="AI1087" s="51"/>
      <c r="AJ1087" s="51"/>
      <c r="AK1087" s="51"/>
      <c r="AL1087" s="51"/>
      <c r="AM1087" s="51"/>
      <c r="AN1087" s="51"/>
      <c r="AO1087" s="51"/>
      <c r="AP1087" s="51"/>
      <c r="AQ1087" s="51"/>
      <c r="AR1087" s="53"/>
      <c r="AS1087" s="51"/>
      <c r="AT1087" s="51"/>
      <c r="AU1087" s="51"/>
      <c r="AV1087" s="51"/>
      <c r="AW1087" s="51"/>
      <c r="AX1087" s="51"/>
      <c r="AY1087" s="51"/>
    </row>
    <row r="1088" spans="32:51">
      <c r="AF1088" s="51"/>
      <c r="AG1088" s="53"/>
      <c r="AH1088" s="51"/>
      <c r="AI1088" s="51"/>
      <c r="AJ1088" s="51"/>
      <c r="AK1088" s="51"/>
      <c r="AL1088" s="51"/>
      <c r="AM1088" s="51"/>
      <c r="AN1088" s="51"/>
      <c r="AO1088" s="51"/>
      <c r="AP1088" s="51"/>
      <c r="AQ1088" s="51"/>
      <c r="AR1088" s="53"/>
      <c r="AS1088" s="51"/>
      <c r="AT1088" s="51"/>
      <c r="AU1088" s="51"/>
      <c r="AV1088" s="51"/>
      <c r="AW1088" s="51"/>
      <c r="AX1088" s="51"/>
      <c r="AY1088" s="51"/>
    </row>
    <row r="1089" spans="32:51">
      <c r="AF1089" s="51"/>
      <c r="AG1089" s="53"/>
      <c r="AH1089" s="51"/>
      <c r="AI1089" s="51"/>
      <c r="AJ1089" s="51"/>
      <c r="AK1089" s="51"/>
      <c r="AL1089" s="51"/>
      <c r="AM1089" s="51"/>
      <c r="AN1089" s="51"/>
      <c r="AO1089" s="51"/>
      <c r="AP1089" s="51"/>
      <c r="AQ1089" s="51"/>
      <c r="AR1089" s="53"/>
      <c r="AS1089" s="51"/>
      <c r="AT1089" s="51"/>
      <c r="AU1089" s="51"/>
      <c r="AV1089" s="51"/>
      <c r="AW1089" s="51"/>
      <c r="AX1089" s="51"/>
      <c r="AY1089" s="51"/>
    </row>
    <row r="1090" spans="32:51">
      <c r="AF1090" s="51"/>
      <c r="AG1090" s="53"/>
      <c r="AH1090" s="51"/>
      <c r="AI1090" s="51"/>
      <c r="AJ1090" s="51"/>
      <c r="AK1090" s="51"/>
      <c r="AL1090" s="51"/>
      <c r="AM1090" s="51"/>
      <c r="AN1090" s="51"/>
      <c r="AO1090" s="51"/>
      <c r="AP1090" s="51"/>
      <c r="AQ1090" s="51"/>
      <c r="AR1090" s="53"/>
      <c r="AS1090" s="51"/>
      <c r="AT1090" s="51"/>
      <c r="AU1090" s="51"/>
      <c r="AV1090" s="51"/>
      <c r="AW1090" s="51"/>
      <c r="AX1090" s="51"/>
      <c r="AY1090" s="51"/>
    </row>
    <row r="1091" spans="32:51">
      <c r="AF1091" s="51"/>
      <c r="AG1091" s="53"/>
      <c r="AH1091" s="51"/>
      <c r="AI1091" s="51"/>
      <c r="AJ1091" s="51"/>
      <c r="AK1091" s="51"/>
      <c r="AL1091" s="51"/>
      <c r="AM1091" s="51"/>
      <c r="AN1091" s="51"/>
      <c r="AO1091" s="51"/>
      <c r="AP1091" s="51"/>
      <c r="AQ1091" s="51"/>
      <c r="AR1091" s="53"/>
      <c r="AS1091" s="51"/>
      <c r="AT1091" s="51"/>
      <c r="AU1091" s="51"/>
      <c r="AV1091" s="51"/>
      <c r="AW1091" s="51"/>
      <c r="AX1091" s="51"/>
      <c r="AY1091" s="51"/>
    </row>
    <row r="1092" spans="32:51">
      <c r="AF1092" s="51"/>
      <c r="AG1092" s="53"/>
      <c r="AH1092" s="51"/>
      <c r="AI1092" s="51"/>
      <c r="AJ1092" s="51"/>
      <c r="AK1092" s="51"/>
      <c r="AL1092" s="51"/>
      <c r="AM1092" s="51"/>
      <c r="AN1092" s="51"/>
      <c r="AO1092" s="51"/>
      <c r="AP1092" s="51"/>
      <c r="AQ1092" s="51"/>
      <c r="AR1092" s="53"/>
      <c r="AS1092" s="51"/>
      <c r="AT1092" s="51"/>
      <c r="AU1092" s="51"/>
      <c r="AV1092" s="51"/>
      <c r="AW1092" s="51"/>
      <c r="AX1092" s="51"/>
      <c r="AY1092" s="51"/>
    </row>
    <row r="1093" spans="32:51">
      <c r="AF1093" s="51"/>
      <c r="AG1093" s="53"/>
      <c r="AH1093" s="51"/>
      <c r="AI1093" s="51"/>
      <c r="AJ1093" s="51"/>
      <c r="AK1093" s="51"/>
      <c r="AL1093" s="51"/>
      <c r="AM1093" s="51"/>
      <c r="AN1093" s="51"/>
      <c r="AO1093" s="51"/>
      <c r="AP1093" s="51"/>
      <c r="AQ1093" s="51"/>
      <c r="AR1093" s="53"/>
      <c r="AS1093" s="51"/>
      <c r="AT1093" s="51"/>
      <c r="AU1093" s="51"/>
      <c r="AV1093" s="51"/>
      <c r="AW1093" s="51"/>
      <c r="AX1093" s="51"/>
      <c r="AY1093" s="51"/>
    </row>
    <row r="1094" spans="32:51">
      <c r="AF1094" s="51"/>
      <c r="AG1094" s="53"/>
      <c r="AH1094" s="51"/>
      <c r="AI1094" s="51"/>
      <c r="AJ1094" s="51"/>
      <c r="AK1094" s="51"/>
      <c r="AL1094" s="51"/>
      <c r="AM1094" s="51"/>
      <c r="AN1094" s="51"/>
      <c r="AO1094" s="51"/>
      <c r="AP1094" s="51"/>
      <c r="AQ1094" s="51"/>
      <c r="AR1094" s="53"/>
      <c r="AS1094" s="51"/>
      <c r="AT1094" s="51"/>
      <c r="AU1094" s="51"/>
      <c r="AV1094" s="51"/>
      <c r="AW1094" s="51"/>
      <c r="AX1094" s="51"/>
      <c r="AY1094" s="51"/>
    </row>
    <row r="1095" spans="32:51">
      <c r="AF1095" s="51"/>
      <c r="AG1095" s="53"/>
      <c r="AH1095" s="51"/>
      <c r="AI1095" s="51"/>
      <c r="AJ1095" s="51"/>
      <c r="AK1095" s="51"/>
      <c r="AL1095" s="51"/>
      <c r="AM1095" s="51"/>
      <c r="AN1095" s="51"/>
      <c r="AO1095" s="51"/>
      <c r="AP1095" s="51"/>
      <c r="AQ1095" s="51"/>
      <c r="AR1095" s="53"/>
      <c r="AS1095" s="51"/>
      <c r="AT1095" s="51"/>
      <c r="AU1095" s="51"/>
      <c r="AV1095" s="51"/>
      <c r="AW1095" s="51"/>
      <c r="AX1095" s="51"/>
      <c r="AY1095" s="51"/>
    </row>
    <row r="1096" spans="32:51">
      <c r="AF1096" s="51"/>
      <c r="AG1096" s="53"/>
      <c r="AH1096" s="51"/>
      <c r="AI1096" s="51"/>
      <c r="AJ1096" s="51"/>
      <c r="AK1096" s="51"/>
      <c r="AL1096" s="51"/>
      <c r="AM1096" s="51"/>
      <c r="AN1096" s="51"/>
      <c r="AO1096" s="51"/>
      <c r="AP1096" s="51"/>
      <c r="AQ1096" s="51"/>
      <c r="AR1096" s="53"/>
      <c r="AS1096" s="51"/>
      <c r="AT1096" s="51"/>
      <c r="AU1096" s="51"/>
      <c r="AV1096" s="51"/>
      <c r="AW1096" s="51"/>
      <c r="AX1096" s="51"/>
      <c r="AY1096" s="51"/>
    </row>
    <row r="1097" spans="32:51">
      <c r="AF1097" s="51"/>
      <c r="AG1097" s="53"/>
      <c r="AH1097" s="51"/>
      <c r="AI1097" s="51"/>
      <c r="AJ1097" s="51"/>
      <c r="AK1097" s="51"/>
      <c r="AL1097" s="51"/>
      <c r="AM1097" s="51"/>
      <c r="AN1097" s="51"/>
      <c r="AO1097" s="51"/>
      <c r="AP1097" s="51"/>
      <c r="AQ1097" s="51"/>
      <c r="AR1097" s="53"/>
      <c r="AS1097" s="51"/>
      <c r="AT1097" s="51"/>
      <c r="AU1097" s="51"/>
      <c r="AV1097" s="51"/>
      <c r="AW1097" s="51"/>
      <c r="AX1097" s="51"/>
      <c r="AY1097" s="51"/>
    </row>
    <row r="1098" spans="32:51">
      <c r="AF1098" s="51"/>
      <c r="AG1098" s="53"/>
      <c r="AH1098" s="51"/>
      <c r="AI1098" s="51"/>
      <c r="AJ1098" s="51"/>
      <c r="AK1098" s="51"/>
      <c r="AL1098" s="51"/>
      <c r="AM1098" s="51"/>
      <c r="AN1098" s="51"/>
      <c r="AO1098" s="51"/>
      <c r="AP1098" s="51"/>
      <c r="AQ1098" s="51"/>
      <c r="AR1098" s="53"/>
      <c r="AS1098" s="51"/>
      <c r="AT1098" s="51"/>
      <c r="AU1098" s="51"/>
      <c r="AV1098" s="51"/>
      <c r="AW1098" s="51"/>
      <c r="AX1098" s="51"/>
      <c r="AY1098" s="51"/>
    </row>
    <row r="1099" spans="32:51">
      <c r="AF1099" s="51"/>
      <c r="AG1099" s="53"/>
      <c r="AH1099" s="51"/>
      <c r="AI1099" s="51"/>
      <c r="AJ1099" s="51"/>
      <c r="AK1099" s="51"/>
      <c r="AL1099" s="51"/>
      <c r="AM1099" s="51"/>
      <c r="AN1099" s="51"/>
      <c r="AO1099" s="51"/>
      <c r="AP1099" s="51"/>
      <c r="AQ1099" s="51"/>
      <c r="AR1099" s="53"/>
      <c r="AS1099" s="51"/>
      <c r="AT1099" s="51"/>
      <c r="AU1099" s="51"/>
      <c r="AV1099" s="51"/>
      <c r="AW1099" s="51"/>
      <c r="AX1099" s="51"/>
      <c r="AY1099" s="51"/>
    </row>
    <row r="1100" spans="32:51">
      <c r="AF1100" s="51"/>
      <c r="AG1100" s="53"/>
      <c r="AH1100" s="51"/>
      <c r="AI1100" s="51"/>
      <c r="AJ1100" s="51"/>
      <c r="AK1100" s="51"/>
      <c r="AL1100" s="51"/>
      <c r="AM1100" s="51"/>
      <c r="AN1100" s="51"/>
      <c r="AO1100" s="51"/>
      <c r="AP1100" s="51"/>
      <c r="AQ1100" s="51"/>
      <c r="AR1100" s="53"/>
      <c r="AS1100" s="51"/>
      <c r="AT1100" s="51"/>
      <c r="AU1100" s="51"/>
      <c r="AV1100" s="51"/>
      <c r="AW1100" s="51"/>
      <c r="AX1100" s="51"/>
      <c r="AY1100" s="51"/>
    </row>
    <row r="1101" spans="32:51">
      <c r="AF1101" s="51"/>
      <c r="AG1101" s="53"/>
      <c r="AH1101" s="51"/>
      <c r="AI1101" s="51"/>
      <c r="AJ1101" s="51"/>
      <c r="AK1101" s="51"/>
      <c r="AL1101" s="51"/>
      <c r="AM1101" s="51"/>
      <c r="AN1101" s="51"/>
      <c r="AO1101" s="51"/>
      <c r="AP1101" s="51"/>
      <c r="AQ1101" s="51"/>
      <c r="AR1101" s="53"/>
      <c r="AS1101" s="51"/>
      <c r="AT1101" s="51"/>
      <c r="AU1101" s="51"/>
      <c r="AV1101" s="51"/>
      <c r="AW1101" s="51"/>
      <c r="AX1101" s="51"/>
      <c r="AY1101" s="51"/>
    </row>
    <row r="1102" spans="32:51">
      <c r="AF1102" s="51"/>
      <c r="AG1102" s="53"/>
      <c r="AH1102" s="51"/>
      <c r="AI1102" s="51"/>
      <c r="AJ1102" s="51"/>
      <c r="AK1102" s="51"/>
      <c r="AL1102" s="51"/>
      <c r="AM1102" s="51"/>
      <c r="AN1102" s="51"/>
      <c r="AO1102" s="51"/>
      <c r="AP1102" s="51"/>
      <c r="AQ1102" s="51"/>
      <c r="AR1102" s="53"/>
      <c r="AS1102" s="51"/>
      <c r="AT1102" s="51"/>
      <c r="AU1102" s="51"/>
      <c r="AV1102" s="51"/>
      <c r="AW1102" s="51"/>
      <c r="AX1102" s="51"/>
      <c r="AY1102" s="51"/>
    </row>
    <row r="1103" spans="32:51">
      <c r="AF1103" s="51"/>
      <c r="AG1103" s="53"/>
      <c r="AH1103" s="51"/>
      <c r="AI1103" s="51"/>
      <c r="AJ1103" s="51"/>
      <c r="AK1103" s="51"/>
      <c r="AL1103" s="51"/>
      <c r="AM1103" s="51"/>
      <c r="AN1103" s="51"/>
      <c r="AO1103" s="51"/>
      <c r="AP1103" s="51"/>
      <c r="AQ1103" s="51"/>
      <c r="AR1103" s="53"/>
      <c r="AS1103" s="51"/>
      <c r="AT1103" s="51"/>
      <c r="AU1103" s="51"/>
      <c r="AV1103" s="51"/>
      <c r="AW1103" s="51"/>
      <c r="AX1103" s="51"/>
      <c r="AY1103" s="51"/>
    </row>
    <row r="1104" spans="32:51">
      <c r="AF1104" s="51"/>
      <c r="AG1104" s="53"/>
      <c r="AH1104" s="51"/>
      <c r="AI1104" s="51"/>
      <c r="AJ1104" s="51"/>
      <c r="AK1104" s="51"/>
      <c r="AL1104" s="51"/>
      <c r="AM1104" s="51"/>
      <c r="AN1104" s="51"/>
      <c r="AO1104" s="51"/>
      <c r="AP1104" s="51"/>
      <c r="AQ1104" s="51"/>
      <c r="AR1104" s="53"/>
      <c r="AS1104" s="51"/>
      <c r="AT1104" s="51"/>
      <c r="AU1104" s="51"/>
      <c r="AV1104" s="51"/>
      <c r="AW1104" s="51"/>
      <c r="AX1104" s="51"/>
      <c r="AY1104" s="51"/>
    </row>
    <row r="1105" spans="32:51">
      <c r="AF1105" s="51"/>
      <c r="AG1105" s="53"/>
      <c r="AH1105" s="51"/>
      <c r="AI1105" s="51"/>
      <c r="AJ1105" s="51"/>
      <c r="AK1105" s="51"/>
      <c r="AL1105" s="51"/>
      <c r="AM1105" s="51"/>
      <c r="AN1105" s="51"/>
      <c r="AO1105" s="51"/>
      <c r="AP1105" s="51"/>
      <c r="AQ1105" s="51"/>
      <c r="AR1105" s="53"/>
      <c r="AS1105" s="51"/>
      <c r="AT1105" s="51"/>
      <c r="AU1105" s="51"/>
      <c r="AV1105" s="51"/>
      <c r="AW1105" s="51"/>
      <c r="AX1105" s="51"/>
      <c r="AY1105" s="51"/>
    </row>
    <row r="1106" spans="32:51">
      <c r="AF1106" s="51"/>
      <c r="AG1106" s="53"/>
      <c r="AH1106" s="51"/>
      <c r="AI1106" s="51"/>
      <c r="AJ1106" s="51"/>
      <c r="AK1106" s="51"/>
      <c r="AL1106" s="51"/>
      <c r="AM1106" s="51"/>
      <c r="AN1106" s="51"/>
      <c r="AO1106" s="51"/>
      <c r="AP1106" s="51"/>
      <c r="AQ1106" s="51"/>
      <c r="AR1106" s="53"/>
      <c r="AS1106" s="51"/>
      <c r="AT1106" s="51"/>
      <c r="AU1106" s="51"/>
      <c r="AV1106" s="51"/>
      <c r="AW1106" s="51"/>
      <c r="AX1106" s="51"/>
      <c r="AY1106" s="51"/>
    </row>
    <row r="1107" spans="32:51">
      <c r="AF1107" s="51"/>
      <c r="AG1107" s="53"/>
      <c r="AH1107" s="51"/>
      <c r="AI1107" s="51"/>
      <c r="AJ1107" s="51"/>
      <c r="AK1107" s="51"/>
      <c r="AL1107" s="51"/>
      <c r="AM1107" s="51"/>
      <c r="AN1107" s="51"/>
      <c r="AO1107" s="51"/>
      <c r="AP1107" s="51"/>
      <c r="AQ1107" s="51"/>
      <c r="AR1107" s="53"/>
      <c r="AS1107" s="51"/>
      <c r="AT1107" s="51"/>
      <c r="AU1107" s="51"/>
      <c r="AV1107" s="51"/>
      <c r="AW1107" s="51"/>
      <c r="AX1107" s="51"/>
      <c r="AY1107" s="51"/>
    </row>
    <row r="1108" spans="32:51">
      <c r="AF1108" s="51"/>
      <c r="AG1108" s="53"/>
      <c r="AH1108" s="51"/>
      <c r="AI1108" s="51"/>
      <c r="AJ1108" s="51"/>
      <c r="AK1108" s="51"/>
      <c r="AL1108" s="51"/>
      <c r="AM1108" s="51"/>
      <c r="AN1108" s="51"/>
      <c r="AO1108" s="51"/>
      <c r="AP1108" s="51"/>
      <c r="AQ1108" s="51"/>
      <c r="AR1108" s="53"/>
      <c r="AS1108" s="51"/>
      <c r="AT1108" s="51"/>
      <c r="AU1108" s="51"/>
      <c r="AV1108" s="51"/>
      <c r="AW1108" s="51"/>
      <c r="AX1108" s="51"/>
      <c r="AY1108" s="51"/>
    </row>
    <row r="1109" spans="32:51">
      <c r="AF1109" s="51"/>
      <c r="AG1109" s="53"/>
      <c r="AH1109" s="51"/>
      <c r="AI1109" s="51"/>
      <c r="AJ1109" s="51"/>
      <c r="AK1109" s="51"/>
      <c r="AL1109" s="51"/>
      <c r="AM1109" s="51"/>
      <c r="AN1109" s="51"/>
      <c r="AO1109" s="51"/>
      <c r="AP1109" s="51"/>
      <c r="AQ1109" s="51"/>
      <c r="AR1109" s="53"/>
      <c r="AS1109" s="51"/>
      <c r="AT1109" s="51"/>
      <c r="AU1109" s="51"/>
      <c r="AV1109" s="51"/>
      <c r="AW1109" s="51"/>
      <c r="AX1109" s="51"/>
      <c r="AY1109" s="51"/>
    </row>
    <row r="1110" spans="32:51">
      <c r="AF1110" s="51"/>
      <c r="AG1110" s="53"/>
      <c r="AH1110" s="51"/>
      <c r="AI1110" s="51"/>
      <c r="AJ1110" s="51"/>
      <c r="AK1110" s="51"/>
      <c r="AL1110" s="51"/>
      <c r="AM1110" s="51"/>
      <c r="AN1110" s="51"/>
      <c r="AO1110" s="51"/>
      <c r="AP1110" s="51"/>
      <c r="AQ1110" s="51"/>
      <c r="AR1110" s="53"/>
      <c r="AS1110" s="51"/>
      <c r="AT1110" s="51"/>
      <c r="AU1110" s="51"/>
      <c r="AV1110" s="51"/>
      <c r="AW1110" s="51"/>
      <c r="AX1110" s="51"/>
      <c r="AY1110" s="51"/>
    </row>
    <row r="1111" spans="32:51">
      <c r="AF1111" s="51"/>
      <c r="AG1111" s="53"/>
      <c r="AH1111" s="51"/>
      <c r="AI1111" s="51"/>
      <c r="AJ1111" s="51"/>
      <c r="AK1111" s="51"/>
      <c r="AL1111" s="51"/>
      <c r="AM1111" s="51"/>
      <c r="AN1111" s="51"/>
      <c r="AO1111" s="51"/>
      <c r="AP1111" s="51"/>
      <c r="AQ1111" s="51"/>
      <c r="AR1111" s="53"/>
      <c r="AS1111" s="51"/>
      <c r="AT1111" s="51"/>
      <c r="AU1111" s="51"/>
      <c r="AV1111" s="51"/>
      <c r="AW1111" s="51"/>
      <c r="AX1111" s="51"/>
      <c r="AY1111" s="51"/>
    </row>
    <row r="1112" spans="32:51">
      <c r="AF1112" s="51"/>
      <c r="AG1112" s="53"/>
      <c r="AH1112" s="51"/>
      <c r="AI1112" s="51"/>
      <c r="AJ1112" s="51"/>
      <c r="AK1112" s="51"/>
      <c r="AL1112" s="51"/>
      <c r="AM1112" s="51"/>
      <c r="AN1112" s="51"/>
      <c r="AO1112" s="51"/>
      <c r="AP1112" s="51"/>
      <c r="AQ1112" s="51"/>
      <c r="AR1112" s="53"/>
      <c r="AS1112" s="51"/>
      <c r="AT1112" s="51"/>
      <c r="AU1112" s="51"/>
      <c r="AV1112" s="51"/>
      <c r="AW1112" s="51"/>
      <c r="AX1112" s="51"/>
      <c r="AY1112" s="51"/>
    </row>
    <row r="1113" spans="32:51">
      <c r="AF1113" s="51"/>
      <c r="AG1113" s="53"/>
      <c r="AH1113" s="51"/>
      <c r="AI1113" s="51"/>
      <c r="AJ1113" s="51"/>
      <c r="AK1113" s="51"/>
      <c r="AL1113" s="51"/>
      <c r="AM1113" s="51"/>
      <c r="AN1113" s="51"/>
      <c r="AO1113" s="51"/>
      <c r="AP1113" s="51"/>
      <c r="AQ1113" s="51"/>
      <c r="AR1113" s="53"/>
      <c r="AS1113" s="51"/>
      <c r="AT1113" s="51"/>
      <c r="AU1113" s="51"/>
      <c r="AV1113" s="51"/>
      <c r="AW1113" s="51"/>
      <c r="AX1113" s="51"/>
      <c r="AY1113" s="51"/>
    </row>
    <row r="1114" spans="32:51">
      <c r="AF1114" s="51"/>
      <c r="AG1114" s="53"/>
      <c r="AH1114" s="51"/>
      <c r="AI1114" s="51"/>
      <c r="AJ1114" s="51"/>
      <c r="AK1114" s="51"/>
      <c r="AL1114" s="51"/>
      <c r="AM1114" s="51"/>
      <c r="AN1114" s="51"/>
      <c r="AO1114" s="51"/>
      <c r="AP1114" s="51"/>
      <c r="AQ1114" s="51"/>
      <c r="AR1114" s="53"/>
      <c r="AS1114" s="51"/>
      <c r="AT1114" s="51"/>
      <c r="AU1114" s="51"/>
      <c r="AV1114" s="51"/>
      <c r="AW1114" s="51"/>
      <c r="AX1114" s="51"/>
      <c r="AY1114" s="51"/>
    </row>
    <row r="1115" spans="32:51">
      <c r="AF1115" s="51"/>
      <c r="AG1115" s="53"/>
      <c r="AH1115" s="51"/>
      <c r="AI1115" s="51"/>
      <c r="AJ1115" s="51"/>
      <c r="AK1115" s="51"/>
      <c r="AL1115" s="51"/>
      <c r="AM1115" s="51"/>
      <c r="AN1115" s="51"/>
      <c r="AO1115" s="51"/>
      <c r="AP1115" s="51"/>
      <c r="AQ1115" s="51"/>
      <c r="AR1115" s="53"/>
      <c r="AS1115" s="51"/>
      <c r="AT1115" s="51"/>
      <c r="AU1115" s="51"/>
      <c r="AV1115" s="51"/>
      <c r="AW1115" s="51"/>
      <c r="AX1115" s="51"/>
      <c r="AY1115" s="51"/>
    </row>
    <row r="1116" spans="32:51">
      <c r="AF1116" s="51"/>
      <c r="AG1116" s="53"/>
      <c r="AH1116" s="51"/>
      <c r="AI1116" s="51"/>
      <c r="AJ1116" s="51"/>
      <c r="AK1116" s="51"/>
      <c r="AL1116" s="51"/>
      <c r="AM1116" s="51"/>
      <c r="AN1116" s="51"/>
      <c r="AO1116" s="51"/>
      <c r="AP1116" s="51"/>
      <c r="AQ1116" s="51"/>
      <c r="AR1116" s="53"/>
      <c r="AS1116" s="51"/>
      <c r="AT1116" s="51"/>
      <c r="AU1116" s="51"/>
      <c r="AV1116" s="51"/>
      <c r="AW1116" s="51"/>
      <c r="AX1116" s="51"/>
      <c r="AY1116" s="51"/>
    </row>
    <row r="1117" spans="32:51">
      <c r="AF1117" s="51"/>
      <c r="AG1117" s="53"/>
      <c r="AH1117" s="51"/>
      <c r="AI1117" s="51"/>
      <c r="AJ1117" s="51"/>
      <c r="AK1117" s="51"/>
      <c r="AL1117" s="51"/>
      <c r="AM1117" s="51"/>
      <c r="AN1117" s="51"/>
      <c r="AO1117" s="51"/>
      <c r="AP1117" s="51"/>
      <c r="AQ1117" s="51"/>
      <c r="AR1117" s="53"/>
      <c r="AS1117" s="51"/>
      <c r="AT1117" s="51"/>
      <c r="AU1117" s="51"/>
      <c r="AV1117" s="51"/>
      <c r="AW1117" s="51"/>
      <c r="AX1117" s="51"/>
      <c r="AY1117" s="51"/>
    </row>
    <row r="1118" spans="32:51">
      <c r="AF1118" s="51"/>
      <c r="AG1118" s="53"/>
      <c r="AH1118" s="51"/>
      <c r="AI1118" s="51"/>
      <c r="AJ1118" s="51"/>
      <c r="AK1118" s="51"/>
      <c r="AL1118" s="51"/>
      <c r="AM1118" s="51"/>
      <c r="AN1118" s="51"/>
      <c r="AO1118" s="51"/>
      <c r="AP1118" s="51"/>
      <c r="AQ1118" s="51"/>
      <c r="AR1118" s="53"/>
      <c r="AS1118" s="51"/>
      <c r="AT1118" s="51"/>
      <c r="AU1118" s="51"/>
      <c r="AV1118" s="51"/>
      <c r="AW1118" s="51"/>
      <c r="AX1118" s="51"/>
      <c r="AY1118" s="51"/>
    </row>
    <row r="1119" spans="32:51">
      <c r="AF1119" s="51"/>
      <c r="AG1119" s="53"/>
      <c r="AH1119" s="51"/>
      <c r="AI1119" s="51"/>
      <c r="AJ1119" s="51"/>
      <c r="AK1119" s="51"/>
      <c r="AL1119" s="51"/>
      <c r="AM1119" s="51"/>
      <c r="AN1119" s="51"/>
      <c r="AO1119" s="51"/>
      <c r="AP1119" s="51"/>
      <c r="AQ1119" s="51"/>
      <c r="AR1119" s="53"/>
      <c r="AS1119" s="51"/>
      <c r="AT1119" s="51"/>
      <c r="AU1119" s="51"/>
      <c r="AV1119" s="51"/>
      <c r="AW1119" s="51"/>
      <c r="AX1119" s="51"/>
      <c r="AY1119" s="51"/>
    </row>
    <row r="1120" spans="32:51">
      <c r="AF1120" s="51"/>
      <c r="AG1120" s="53"/>
      <c r="AH1120" s="51"/>
      <c r="AI1120" s="51"/>
      <c r="AJ1120" s="51"/>
      <c r="AK1120" s="51"/>
      <c r="AL1120" s="51"/>
      <c r="AM1120" s="51"/>
      <c r="AN1120" s="51"/>
      <c r="AO1120" s="51"/>
      <c r="AP1120" s="51"/>
      <c r="AQ1120" s="51"/>
      <c r="AR1120" s="53"/>
      <c r="AS1120" s="51"/>
      <c r="AT1120" s="51"/>
      <c r="AU1120" s="51"/>
      <c r="AV1120" s="51"/>
      <c r="AW1120" s="51"/>
      <c r="AX1120" s="51"/>
      <c r="AY1120" s="51"/>
    </row>
    <row r="1121" spans="32:51">
      <c r="AF1121" s="51"/>
      <c r="AG1121" s="53"/>
      <c r="AH1121" s="51"/>
      <c r="AI1121" s="51"/>
      <c r="AJ1121" s="51"/>
      <c r="AK1121" s="51"/>
      <c r="AL1121" s="51"/>
      <c r="AM1121" s="51"/>
      <c r="AN1121" s="51"/>
      <c r="AO1121" s="51"/>
      <c r="AP1121" s="51"/>
      <c r="AQ1121" s="51"/>
      <c r="AR1121" s="53"/>
      <c r="AS1121" s="51"/>
      <c r="AT1121" s="51"/>
      <c r="AU1121" s="51"/>
      <c r="AV1121" s="51"/>
      <c r="AW1121" s="51"/>
      <c r="AX1121" s="51"/>
      <c r="AY1121" s="51"/>
    </row>
    <row r="1122" spans="32:51">
      <c r="AF1122" s="51"/>
      <c r="AG1122" s="53"/>
      <c r="AH1122" s="51"/>
      <c r="AI1122" s="51"/>
      <c r="AJ1122" s="51"/>
      <c r="AK1122" s="51"/>
      <c r="AL1122" s="51"/>
      <c r="AM1122" s="51"/>
      <c r="AN1122" s="51"/>
      <c r="AO1122" s="51"/>
      <c r="AP1122" s="51"/>
      <c r="AQ1122" s="51"/>
      <c r="AR1122" s="53"/>
      <c r="AS1122" s="51"/>
      <c r="AT1122" s="51"/>
      <c r="AU1122" s="51"/>
      <c r="AV1122" s="51"/>
      <c r="AW1122" s="51"/>
      <c r="AX1122" s="51"/>
      <c r="AY1122" s="51"/>
    </row>
    <row r="1123" spans="32:51">
      <c r="AF1123" s="51"/>
      <c r="AG1123" s="53"/>
      <c r="AH1123" s="51"/>
      <c r="AI1123" s="51"/>
      <c r="AJ1123" s="51"/>
      <c r="AK1123" s="51"/>
      <c r="AL1123" s="51"/>
      <c r="AM1123" s="51"/>
      <c r="AN1123" s="51"/>
      <c r="AO1123" s="51"/>
      <c r="AP1123" s="51"/>
      <c r="AQ1123" s="51"/>
      <c r="AR1123" s="53"/>
      <c r="AS1123" s="51"/>
      <c r="AT1123" s="51"/>
      <c r="AU1123" s="51"/>
      <c r="AV1123" s="51"/>
      <c r="AW1123" s="51"/>
      <c r="AX1123" s="51"/>
      <c r="AY1123" s="51"/>
    </row>
    <row r="1124" spans="32:51">
      <c r="AF1124" s="51"/>
      <c r="AG1124" s="53"/>
      <c r="AH1124" s="51"/>
      <c r="AI1124" s="51"/>
      <c r="AJ1124" s="51"/>
      <c r="AK1124" s="51"/>
      <c r="AL1124" s="51"/>
      <c r="AM1124" s="51"/>
      <c r="AN1124" s="51"/>
      <c r="AO1124" s="51"/>
      <c r="AP1124" s="51"/>
      <c r="AQ1124" s="51"/>
      <c r="AR1124" s="53"/>
      <c r="AS1124" s="51"/>
      <c r="AT1124" s="51"/>
      <c r="AU1124" s="51"/>
      <c r="AV1124" s="51"/>
      <c r="AW1124" s="51"/>
      <c r="AX1124" s="51"/>
      <c r="AY1124" s="51"/>
    </row>
    <row r="1125" spans="32:51">
      <c r="AF1125" s="51"/>
      <c r="AG1125" s="53"/>
      <c r="AH1125" s="51"/>
      <c r="AI1125" s="51"/>
      <c r="AJ1125" s="51"/>
      <c r="AK1125" s="51"/>
      <c r="AL1125" s="51"/>
      <c r="AM1125" s="51"/>
      <c r="AN1125" s="51"/>
      <c r="AO1125" s="51"/>
      <c r="AP1125" s="51"/>
      <c r="AQ1125" s="51"/>
      <c r="AR1125" s="53"/>
      <c r="AS1125" s="51"/>
      <c r="AT1125" s="51"/>
      <c r="AU1125" s="51"/>
      <c r="AV1125" s="51"/>
      <c r="AW1125" s="51"/>
      <c r="AX1125" s="51"/>
      <c r="AY1125" s="51"/>
    </row>
    <row r="1126" spans="32:51">
      <c r="AF1126" s="51"/>
      <c r="AG1126" s="53"/>
      <c r="AH1126" s="51"/>
      <c r="AI1126" s="51"/>
      <c r="AJ1126" s="51"/>
      <c r="AK1126" s="51"/>
      <c r="AL1126" s="51"/>
      <c r="AM1126" s="51"/>
      <c r="AN1126" s="51"/>
      <c r="AO1126" s="51"/>
      <c r="AP1126" s="51"/>
      <c r="AQ1126" s="51"/>
      <c r="AR1126" s="53"/>
      <c r="AS1126" s="51"/>
      <c r="AT1126" s="51"/>
      <c r="AU1126" s="51"/>
      <c r="AV1126" s="51"/>
      <c r="AW1126" s="51"/>
      <c r="AX1126" s="51"/>
      <c r="AY1126" s="51"/>
    </row>
    <row r="1127" spans="32:51">
      <c r="AF1127" s="51"/>
      <c r="AG1127" s="53"/>
      <c r="AH1127" s="51"/>
      <c r="AI1127" s="51"/>
      <c r="AJ1127" s="51"/>
      <c r="AK1127" s="51"/>
      <c r="AL1127" s="51"/>
      <c r="AM1127" s="51"/>
      <c r="AN1127" s="51"/>
      <c r="AO1127" s="51"/>
      <c r="AP1127" s="51"/>
      <c r="AQ1127" s="51"/>
      <c r="AR1127" s="53"/>
      <c r="AS1127" s="51"/>
      <c r="AT1127" s="51"/>
      <c r="AU1127" s="51"/>
      <c r="AV1127" s="51"/>
      <c r="AW1127" s="51"/>
      <c r="AX1127" s="51"/>
      <c r="AY1127" s="51"/>
    </row>
    <row r="1128" spans="32:51">
      <c r="AF1128" s="51"/>
      <c r="AG1128" s="53"/>
      <c r="AH1128" s="51"/>
      <c r="AI1128" s="51"/>
      <c r="AJ1128" s="51"/>
      <c r="AK1128" s="51"/>
      <c r="AL1128" s="51"/>
      <c r="AM1128" s="51"/>
      <c r="AN1128" s="51"/>
      <c r="AO1128" s="51"/>
      <c r="AP1128" s="51"/>
      <c r="AQ1128" s="51"/>
      <c r="AR1128" s="53"/>
      <c r="AS1128" s="51"/>
      <c r="AT1128" s="51"/>
      <c r="AU1128" s="51"/>
      <c r="AV1128" s="51"/>
      <c r="AW1128" s="51"/>
      <c r="AX1128" s="51"/>
      <c r="AY1128" s="51"/>
    </row>
    <row r="1129" spans="32:51">
      <c r="AF1129" s="51"/>
      <c r="AG1129" s="53"/>
      <c r="AH1129" s="51"/>
      <c r="AI1129" s="51"/>
      <c r="AJ1129" s="51"/>
      <c r="AK1129" s="51"/>
      <c r="AL1129" s="51"/>
      <c r="AM1129" s="51"/>
      <c r="AN1129" s="51"/>
      <c r="AO1129" s="51"/>
      <c r="AP1129" s="51"/>
      <c r="AQ1129" s="51"/>
      <c r="AR1129" s="53"/>
      <c r="AS1129" s="51"/>
      <c r="AT1129" s="51"/>
      <c r="AU1129" s="51"/>
      <c r="AV1129" s="51"/>
      <c r="AW1129" s="51"/>
      <c r="AX1129" s="51"/>
      <c r="AY1129" s="51"/>
    </row>
    <row r="1130" spans="32:51">
      <c r="AF1130" s="51"/>
      <c r="AG1130" s="53"/>
      <c r="AH1130" s="51"/>
      <c r="AI1130" s="51"/>
      <c r="AJ1130" s="51"/>
      <c r="AK1130" s="51"/>
      <c r="AL1130" s="51"/>
      <c r="AM1130" s="51"/>
      <c r="AN1130" s="51"/>
      <c r="AO1130" s="51"/>
      <c r="AP1130" s="51"/>
      <c r="AQ1130" s="51"/>
      <c r="AR1130" s="53"/>
      <c r="AS1130" s="51"/>
      <c r="AT1130" s="51"/>
      <c r="AU1130" s="51"/>
      <c r="AV1130" s="51"/>
      <c r="AW1130" s="51"/>
      <c r="AX1130" s="51"/>
      <c r="AY1130" s="51"/>
    </row>
    <row r="1131" spans="32:51">
      <c r="AF1131" s="51"/>
      <c r="AG1131" s="53"/>
      <c r="AH1131" s="51"/>
      <c r="AI1131" s="51"/>
      <c r="AJ1131" s="51"/>
      <c r="AK1131" s="51"/>
      <c r="AL1131" s="51"/>
      <c r="AM1131" s="51"/>
      <c r="AN1131" s="51"/>
      <c r="AO1131" s="51"/>
      <c r="AP1131" s="51"/>
      <c r="AQ1131" s="51"/>
      <c r="AR1131" s="53"/>
      <c r="AS1131" s="51"/>
      <c r="AT1131" s="51"/>
      <c r="AU1131" s="51"/>
      <c r="AV1131" s="51"/>
      <c r="AW1131" s="51"/>
      <c r="AX1131" s="51"/>
      <c r="AY1131" s="51"/>
    </row>
    <row r="1132" spans="32:51">
      <c r="AF1132" s="51"/>
      <c r="AG1132" s="53"/>
      <c r="AH1132" s="51"/>
      <c r="AI1132" s="51"/>
      <c r="AJ1132" s="51"/>
      <c r="AK1132" s="51"/>
      <c r="AL1132" s="51"/>
      <c r="AM1132" s="51"/>
      <c r="AN1132" s="51"/>
      <c r="AO1132" s="51"/>
      <c r="AP1132" s="51"/>
      <c r="AQ1132" s="51"/>
      <c r="AR1132" s="53"/>
      <c r="AS1132" s="51"/>
      <c r="AT1132" s="51"/>
      <c r="AU1132" s="51"/>
      <c r="AV1132" s="51"/>
      <c r="AW1132" s="51"/>
      <c r="AX1132" s="51"/>
      <c r="AY1132" s="51"/>
    </row>
    <row r="1133" spans="32:51">
      <c r="AF1133" s="51"/>
      <c r="AG1133" s="53"/>
      <c r="AH1133" s="51"/>
      <c r="AI1133" s="51"/>
      <c r="AJ1133" s="51"/>
      <c r="AK1133" s="51"/>
      <c r="AL1133" s="51"/>
      <c r="AM1133" s="51"/>
      <c r="AN1133" s="51"/>
      <c r="AO1133" s="51"/>
      <c r="AP1133" s="51"/>
      <c r="AQ1133" s="51"/>
      <c r="AR1133" s="53"/>
      <c r="AS1133" s="51"/>
      <c r="AT1133" s="51"/>
      <c r="AU1133" s="51"/>
      <c r="AV1133" s="51"/>
      <c r="AW1133" s="51"/>
      <c r="AX1133" s="51"/>
      <c r="AY1133" s="51"/>
    </row>
    <row r="1134" spans="32:51">
      <c r="AF1134" s="51"/>
      <c r="AG1134" s="53"/>
      <c r="AH1134" s="51"/>
      <c r="AI1134" s="51"/>
      <c r="AJ1134" s="51"/>
      <c r="AK1134" s="51"/>
      <c r="AL1134" s="51"/>
      <c r="AM1134" s="51"/>
      <c r="AN1134" s="51"/>
      <c r="AO1134" s="51"/>
      <c r="AP1134" s="51"/>
      <c r="AQ1134" s="51"/>
      <c r="AR1134" s="53"/>
      <c r="AS1134" s="51"/>
      <c r="AT1134" s="51"/>
      <c r="AU1134" s="51"/>
      <c r="AV1134" s="51"/>
      <c r="AW1134" s="51"/>
      <c r="AX1134" s="51"/>
      <c r="AY1134" s="51"/>
    </row>
    <row r="1135" spans="32:51">
      <c r="AF1135" s="51"/>
      <c r="AG1135" s="53"/>
      <c r="AH1135" s="51"/>
      <c r="AI1135" s="51"/>
      <c r="AJ1135" s="51"/>
      <c r="AK1135" s="51"/>
      <c r="AL1135" s="51"/>
      <c r="AM1135" s="51"/>
      <c r="AN1135" s="51"/>
      <c r="AO1135" s="51"/>
      <c r="AP1135" s="51"/>
      <c r="AQ1135" s="51"/>
      <c r="AR1135" s="53"/>
      <c r="AS1135" s="51"/>
      <c r="AT1135" s="51"/>
      <c r="AU1135" s="51"/>
      <c r="AV1135" s="51"/>
      <c r="AW1135" s="51"/>
      <c r="AX1135" s="51"/>
      <c r="AY1135" s="51"/>
    </row>
    <row r="1136" spans="32:51">
      <c r="AF1136" s="51"/>
      <c r="AG1136" s="53"/>
      <c r="AH1136" s="51"/>
      <c r="AI1136" s="51"/>
      <c r="AJ1136" s="51"/>
      <c r="AK1136" s="51"/>
      <c r="AL1136" s="51"/>
      <c r="AM1136" s="51"/>
      <c r="AN1136" s="51"/>
      <c r="AO1136" s="51"/>
      <c r="AP1136" s="51"/>
      <c r="AQ1136" s="51"/>
      <c r="AR1136" s="53"/>
      <c r="AS1136" s="51"/>
      <c r="AT1136" s="51"/>
      <c r="AU1136" s="51"/>
      <c r="AV1136" s="51"/>
      <c r="AW1136" s="51"/>
      <c r="AX1136" s="51"/>
      <c r="AY1136" s="51"/>
    </row>
    <row r="1137" spans="32:51">
      <c r="AF1137" s="51"/>
      <c r="AG1137" s="53"/>
      <c r="AH1137" s="51"/>
      <c r="AI1137" s="51"/>
      <c r="AJ1137" s="51"/>
      <c r="AK1137" s="51"/>
      <c r="AL1137" s="51"/>
      <c r="AM1137" s="51"/>
      <c r="AN1137" s="51"/>
      <c r="AO1137" s="51"/>
      <c r="AP1137" s="51"/>
      <c r="AQ1137" s="51"/>
      <c r="AR1137" s="53"/>
      <c r="AS1137" s="51"/>
      <c r="AT1137" s="51"/>
      <c r="AU1137" s="51"/>
      <c r="AV1137" s="51"/>
      <c r="AW1137" s="51"/>
      <c r="AX1137" s="51"/>
      <c r="AY1137" s="51"/>
    </row>
    <row r="1138" spans="32:51">
      <c r="AF1138" s="51"/>
      <c r="AG1138" s="53"/>
      <c r="AH1138" s="51"/>
      <c r="AI1138" s="51"/>
      <c r="AJ1138" s="51"/>
      <c r="AK1138" s="51"/>
      <c r="AL1138" s="51"/>
      <c r="AM1138" s="51"/>
      <c r="AN1138" s="51"/>
      <c r="AO1138" s="51"/>
      <c r="AP1138" s="51"/>
      <c r="AQ1138" s="51"/>
      <c r="AR1138" s="53"/>
      <c r="AS1138" s="51"/>
      <c r="AT1138" s="51"/>
      <c r="AU1138" s="51"/>
      <c r="AV1138" s="51"/>
      <c r="AW1138" s="51"/>
      <c r="AX1138" s="51"/>
      <c r="AY1138" s="51"/>
    </row>
    <row r="1139" spans="32:51">
      <c r="AF1139" s="51"/>
      <c r="AG1139" s="53"/>
      <c r="AH1139" s="51"/>
      <c r="AI1139" s="51"/>
      <c r="AJ1139" s="51"/>
      <c r="AK1139" s="51"/>
      <c r="AL1139" s="51"/>
      <c r="AM1139" s="51"/>
      <c r="AN1139" s="51"/>
      <c r="AO1139" s="51"/>
      <c r="AP1139" s="51"/>
      <c r="AQ1139" s="51"/>
      <c r="AR1139" s="53"/>
      <c r="AS1139" s="51"/>
      <c r="AT1139" s="51"/>
      <c r="AU1139" s="51"/>
      <c r="AV1139" s="51"/>
      <c r="AW1139" s="51"/>
      <c r="AX1139" s="51"/>
      <c r="AY1139" s="51"/>
    </row>
    <row r="1140" spans="32:51">
      <c r="AF1140" s="51"/>
      <c r="AG1140" s="53"/>
      <c r="AH1140" s="51"/>
      <c r="AI1140" s="51"/>
      <c r="AJ1140" s="51"/>
      <c r="AK1140" s="51"/>
      <c r="AL1140" s="51"/>
      <c r="AM1140" s="51"/>
      <c r="AN1140" s="51"/>
      <c r="AO1140" s="51"/>
      <c r="AP1140" s="51"/>
      <c r="AQ1140" s="51"/>
      <c r="AR1140" s="53"/>
      <c r="AS1140" s="51"/>
      <c r="AT1140" s="51"/>
      <c r="AU1140" s="51"/>
      <c r="AV1140" s="51"/>
      <c r="AW1140" s="51"/>
      <c r="AX1140" s="51"/>
      <c r="AY1140" s="51"/>
    </row>
    <row r="1141" spans="32:51">
      <c r="AF1141" s="51"/>
      <c r="AG1141" s="53"/>
      <c r="AH1141" s="51"/>
      <c r="AI1141" s="51"/>
      <c r="AJ1141" s="51"/>
      <c r="AK1141" s="51"/>
      <c r="AL1141" s="51"/>
      <c r="AM1141" s="51"/>
      <c r="AN1141" s="51"/>
      <c r="AO1141" s="51"/>
      <c r="AP1141" s="51"/>
      <c r="AQ1141" s="51"/>
      <c r="AR1141" s="53"/>
      <c r="AS1141" s="51"/>
      <c r="AT1141" s="51"/>
      <c r="AU1141" s="51"/>
      <c r="AV1141" s="51"/>
      <c r="AW1141" s="51"/>
      <c r="AX1141" s="51"/>
      <c r="AY1141" s="51"/>
    </row>
    <row r="1142" spans="32:51">
      <c r="AF1142" s="51"/>
      <c r="AG1142" s="53"/>
      <c r="AH1142" s="51"/>
      <c r="AI1142" s="51"/>
      <c r="AJ1142" s="51"/>
      <c r="AK1142" s="51"/>
      <c r="AL1142" s="51"/>
      <c r="AM1142" s="51"/>
      <c r="AN1142" s="51"/>
      <c r="AO1142" s="51"/>
      <c r="AP1142" s="51"/>
      <c r="AQ1142" s="51"/>
      <c r="AR1142" s="53"/>
      <c r="AS1142" s="51"/>
      <c r="AT1142" s="51"/>
      <c r="AU1142" s="51"/>
      <c r="AV1142" s="51"/>
      <c r="AW1142" s="51"/>
      <c r="AX1142" s="51"/>
      <c r="AY1142" s="51"/>
    </row>
    <row r="1143" spans="32:51">
      <c r="AF1143" s="51"/>
      <c r="AG1143" s="53"/>
      <c r="AH1143" s="51"/>
      <c r="AI1143" s="51"/>
      <c r="AJ1143" s="51"/>
      <c r="AK1143" s="51"/>
      <c r="AL1143" s="51"/>
      <c r="AM1143" s="51"/>
      <c r="AN1143" s="51"/>
      <c r="AO1143" s="51"/>
      <c r="AP1143" s="51"/>
      <c r="AQ1143" s="51"/>
      <c r="AR1143" s="53"/>
      <c r="AS1143" s="51"/>
      <c r="AT1143" s="51"/>
      <c r="AU1143" s="51"/>
      <c r="AV1143" s="51"/>
      <c r="AW1143" s="51"/>
      <c r="AX1143" s="51"/>
      <c r="AY1143" s="51"/>
    </row>
    <row r="1144" spans="32:51">
      <c r="AF1144" s="51"/>
      <c r="AG1144" s="53"/>
      <c r="AH1144" s="51"/>
      <c r="AI1144" s="51"/>
      <c r="AJ1144" s="51"/>
      <c r="AK1144" s="51"/>
      <c r="AL1144" s="51"/>
      <c r="AM1144" s="51"/>
      <c r="AN1144" s="51"/>
      <c r="AO1144" s="51"/>
      <c r="AP1144" s="51"/>
      <c r="AQ1144" s="51"/>
      <c r="AR1144" s="53"/>
      <c r="AS1144" s="51"/>
      <c r="AT1144" s="51"/>
      <c r="AU1144" s="51"/>
      <c r="AV1144" s="51"/>
      <c r="AW1144" s="51"/>
      <c r="AX1144" s="51"/>
      <c r="AY1144" s="51"/>
    </row>
    <row r="1145" spans="32:51">
      <c r="AF1145" s="51"/>
      <c r="AG1145" s="53"/>
      <c r="AH1145" s="51"/>
      <c r="AI1145" s="51"/>
      <c r="AJ1145" s="51"/>
      <c r="AK1145" s="51"/>
      <c r="AL1145" s="51"/>
      <c r="AM1145" s="51"/>
      <c r="AN1145" s="51"/>
      <c r="AO1145" s="51"/>
      <c r="AP1145" s="51"/>
      <c r="AQ1145" s="51"/>
      <c r="AR1145" s="53"/>
      <c r="AS1145" s="51"/>
      <c r="AT1145" s="51"/>
      <c r="AU1145" s="51"/>
      <c r="AV1145" s="51"/>
      <c r="AW1145" s="51"/>
      <c r="AX1145" s="51"/>
      <c r="AY1145" s="51"/>
    </row>
    <row r="1146" spans="32:51">
      <c r="AF1146" s="51"/>
      <c r="AG1146" s="53"/>
      <c r="AH1146" s="51"/>
      <c r="AI1146" s="51"/>
      <c r="AJ1146" s="51"/>
      <c r="AK1146" s="51"/>
      <c r="AL1146" s="51"/>
      <c r="AM1146" s="51"/>
      <c r="AN1146" s="51"/>
      <c r="AO1146" s="51"/>
      <c r="AP1146" s="51"/>
      <c r="AQ1146" s="51"/>
      <c r="AR1146" s="53"/>
      <c r="AS1146" s="51"/>
      <c r="AT1146" s="51"/>
      <c r="AU1146" s="51"/>
      <c r="AV1146" s="51"/>
      <c r="AW1146" s="51"/>
      <c r="AX1146" s="51"/>
      <c r="AY1146" s="51"/>
    </row>
    <row r="1147" spans="32:51">
      <c r="AF1147" s="51"/>
      <c r="AG1147" s="53"/>
      <c r="AH1147" s="51"/>
      <c r="AI1147" s="51"/>
      <c r="AJ1147" s="51"/>
      <c r="AK1147" s="51"/>
      <c r="AL1147" s="51"/>
      <c r="AM1147" s="51"/>
      <c r="AN1147" s="51"/>
      <c r="AO1147" s="51"/>
      <c r="AP1147" s="51"/>
      <c r="AQ1147" s="51"/>
      <c r="AR1147" s="53"/>
      <c r="AS1147" s="51"/>
      <c r="AT1147" s="51"/>
      <c r="AU1147" s="51"/>
      <c r="AV1147" s="51"/>
      <c r="AW1147" s="51"/>
      <c r="AX1147" s="51"/>
      <c r="AY1147" s="51"/>
    </row>
    <row r="1148" spans="32:51">
      <c r="AF1148" s="51"/>
      <c r="AG1148" s="53"/>
      <c r="AH1148" s="51"/>
      <c r="AI1148" s="51"/>
      <c r="AJ1148" s="51"/>
      <c r="AK1148" s="51"/>
      <c r="AL1148" s="51"/>
      <c r="AM1148" s="51"/>
      <c r="AN1148" s="51"/>
      <c r="AO1148" s="51"/>
      <c r="AP1148" s="51"/>
      <c r="AQ1148" s="51"/>
      <c r="AR1148" s="53"/>
      <c r="AS1148" s="51"/>
      <c r="AT1148" s="51"/>
      <c r="AU1148" s="51"/>
      <c r="AV1148" s="51"/>
      <c r="AW1148" s="51"/>
      <c r="AX1148" s="51"/>
      <c r="AY1148" s="51"/>
    </row>
    <row r="1149" spans="32:51">
      <c r="AF1149" s="51"/>
      <c r="AG1149" s="53"/>
      <c r="AH1149" s="51"/>
      <c r="AI1149" s="51"/>
      <c r="AJ1149" s="51"/>
      <c r="AK1149" s="51"/>
      <c r="AL1149" s="51"/>
      <c r="AM1149" s="51"/>
      <c r="AN1149" s="51"/>
      <c r="AO1149" s="51"/>
      <c r="AP1149" s="51"/>
      <c r="AQ1149" s="51"/>
      <c r="AR1149" s="53"/>
      <c r="AS1149" s="51"/>
      <c r="AT1149" s="51"/>
      <c r="AU1149" s="51"/>
      <c r="AV1149" s="51"/>
      <c r="AW1149" s="51"/>
      <c r="AX1149" s="51"/>
      <c r="AY1149" s="51"/>
    </row>
    <row r="1150" spans="32:51">
      <c r="AF1150" s="51"/>
      <c r="AG1150" s="53"/>
      <c r="AH1150" s="51"/>
      <c r="AI1150" s="51"/>
      <c r="AJ1150" s="51"/>
      <c r="AK1150" s="51"/>
      <c r="AL1150" s="51"/>
      <c r="AM1150" s="51"/>
      <c r="AN1150" s="51"/>
      <c r="AO1150" s="51"/>
      <c r="AP1150" s="51"/>
      <c r="AQ1150" s="51"/>
      <c r="AR1150" s="53"/>
      <c r="AS1150" s="51"/>
      <c r="AT1150" s="51"/>
      <c r="AU1150" s="51"/>
      <c r="AV1150" s="51"/>
      <c r="AW1150" s="51"/>
      <c r="AX1150" s="51"/>
      <c r="AY1150" s="51"/>
    </row>
    <row r="1151" spans="32:51">
      <c r="AF1151" s="51"/>
      <c r="AG1151" s="53"/>
      <c r="AH1151" s="51"/>
      <c r="AI1151" s="51"/>
      <c r="AJ1151" s="51"/>
      <c r="AK1151" s="51"/>
      <c r="AL1151" s="51"/>
      <c r="AM1151" s="51"/>
      <c r="AN1151" s="51"/>
      <c r="AO1151" s="51"/>
      <c r="AP1151" s="51"/>
      <c r="AQ1151" s="51"/>
      <c r="AR1151" s="53"/>
      <c r="AS1151" s="51"/>
      <c r="AT1151" s="51"/>
      <c r="AU1151" s="51"/>
      <c r="AV1151" s="51"/>
      <c r="AW1151" s="51"/>
      <c r="AX1151" s="51"/>
      <c r="AY1151" s="51"/>
    </row>
    <row r="1152" spans="32:51">
      <c r="AF1152" s="51"/>
      <c r="AG1152" s="53"/>
      <c r="AH1152" s="51"/>
      <c r="AI1152" s="51"/>
      <c r="AJ1152" s="51"/>
      <c r="AK1152" s="51"/>
      <c r="AL1152" s="51"/>
      <c r="AM1152" s="51"/>
      <c r="AN1152" s="51"/>
      <c r="AO1152" s="51"/>
      <c r="AP1152" s="51"/>
      <c r="AQ1152" s="51"/>
      <c r="AR1152" s="53"/>
      <c r="AS1152" s="51"/>
      <c r="AT1152" s="51"/>
      <c r="AU1152" s="51"/>
      <c r="AV1152" s="51"/>
      <c r="AW1152" s="51"/>
      <c r="AX1152" s="51"/>
      <c r="AY1152" s="51"/>
    </row>
    <row r="1153" spans="32:51">
      <c r="AF1153" s="51"/>
      <c r="AG1153" s="53"/>
      <c r="AH1153" s="51"/>
      <c r="AI1153" s="51"/>
      <c r="AJ1153" s="51"/>
      <c r="AK1153" s="51"/>
      <c r="AL1153" s="51"/>
      <c r="AM1153" s="51"/>
      <c r="AN1153" s="51"/>
      <c r="AO1153" s="51"/>
      <c r="AP1153" s="51"/>
      <c r="AQ1153" s="51"/>
      <c r="AR1153" s="53"/>
      <c r="AS1153" s="51"/>
      <c r="AT1153" s="51"/>
      <c r="AU1153" s="51"/>
      <c r="AV1153" s="51"/>
      <c r="AW1153" s="51"/>
      <c r="AX1153" s="51"/>
      <c r="AY1153" s="51"/>
    </row>
    <row r="1154" spans="32:51">
      <c r="AF1154" s="51"/>
      <c r="AG1154" s="53"/>
      <c r="AH1154" s="51"/>
      <c r="AI1154" s="51"/>
      <c r="AJ1154" s="51"/>
      <c r="AK1154" s="51"/>
      <c r="AL1154" s="51"/>
      <c r="AM1154" s="51"/>
      <c r="AN1154" s="51"/>
      <c r="AO1154" s="51"/>
      <c r="AP1154" s="51"/>
      <c r="AQ1154" s="51"/>
      <c r="AR1154" s="53"/>
      <c r="AS1154" s="51"/>
      <c r="AT1154" s="51"/>
      <c r="AU1154" s="51"/>
      <c r="AV1154" s="51"/>
      <c r="AW1154" s="51"/>
      <c r="AX1154" s="51"/>
      <c r="AY1154" s="51"/>
    </row>
    <row r="1155" spans="32:51">
      <c r="AF1155" s="51"/>
      <c r="AG1155" s="53"/>
      <c r="AH1155" s="51"/>
      <c r="AI1155" s="51"/>
      <c r="AJ1155" s="51"/>
      <c r="AK1155" s="51"/>
      <c r="AL1155" s="51"/>
      <c r="AM1155" s="51"/>
      <c r="AN1155" s="51"/>
      <c r="AO1155" s="51"/>
      <c r="AP1155" s="51"/>
      <c r="AQ1155" s="51"/>
      <c r="AR1155" s="53"/>
      <c r="AS1155" s="51"/>
      <c r="AT1155" s="51"/>
      <c r="AU1155" s="51"/>
      <c r="AV1155" s="51"/>
      <c r="AW1155" s="51"/>
      <c r="AX1155" s="51"/>
      <c r="AY1155" s="51"/>
    </row>
    <row r="1156" spans="32:51">
      <c r="AF1156" s="51"/>
      <c r="AG1156" s="53"/>
      <c r="AH1156" s="51"/>
      <c r="AI1156" s="51"/>
      <c r="AJ1156" s="51"/>
      <c r="AK1156" s="51"/>
      <c r="AL1156" s="51"/>
      <c r="AM1156" s="51"/>
      <c r="AN1156" s="51"/>
      <c r="AO1156" s="51"/>
      <c r="AP1156" s="51"/>
      <c r="AQ1156" s="51"/>
      <c r="AR1156" s="53"/>
      <c r="AS1156" s="51"/>
      <c r="AT1156" s="51"/>
      <c r="AU1156" s="51"/>
      <c r="AV1156" s="51"/>
      <c r="AW1156" s="51"/>
      <c r="AX1156" s="51"/>
      <c r="AY1156" s="51"/>
    </row>
    <row r="1157" spans="32:51">
      <c r="AF1157" s="51"/>
      <c r="AG1157" s="53"/>
      <c r="AH1157" s="51"/>
      <c r="AI1157" s="51"/>
      <c r="AJ1157" s="51"/>
      <c r="AK1157" s="51"/>
      <c r="AL1157" s="51"/>
      <c r="AM1157" s="51"/>
      <c r="AN1157" s="51"/>
      <c r="AO1157" s="51"/>
      <c r="AP1157" s="51"/>
      <c r="AQ1157" s="51"/>
      <c r="AR1157" s="53"/>
      <c r="AS1157" s="51"/>
      <c r="AT1157" s="51"/>
      <c r="AU1157" s="51"/>
      <c r="AV1157" s="51"/>
      <c r="AW1157" s="51"/>
      <c r="AX1157" s="51"/>
      <c r="AY1157" s="51"/>
    </row>
    <row r="1158" spans="32:51">
      <c r="AF1158" s="51"/>
      <c r="AG1158" s="53"/>
      <c r="AH1158" s="51"/>
      <c r="AI1158" s="51"/>
      <c r="AJ1158" s="51"/>
      <c r="AK1158" s="51"/>
      <c r="AL1158" s="51"/>
      <c r="AM1158" s="51"/>
      <c r="AN1158" s="51"/>
      <c r="AO1158" s="51"/>
      <c r="AP1158" s="51"/>
      <c r="AQ1158" s="51"/>
      <c r="AR1158" s="53"/>
      <c r="AS1158" s="51"/>
      <c r="AT1158" s="51"/>
      <c r="AU1158" s="51"/>
      <c r="AV1158" s="51"/>
      <c r="AW1158" s="51"/>
      <c r="AX1158" s="51"/>
      <c r="AY1158" s="51"/>
    </row>
    <row r="1159" spans="32:51">
      <c r="AF1159" s="51"/>
      <c r="AG1159" s="53"/>
      <c r="AH1159" s="51"/>
      <c r="AI1159" s="51"/>
      <c r="AJ1159" s="51"/>
      <c r="AK1159" s="51"/>
      <c r="AL1159" s="51"/>
      <c r="AM1159" s="51"/>
      <c r="AN1159" s="51"/>
      <c r="AO1159" s="51"/>
      <c r="AP1159" s="51"/>
      <c r="AQ1159" s="51"/>
      <c r="AR1159" s="53"/>
      <c r="AS1159" s="51"/>
      <c r="AT1159" s="51"/>
      <c r="AU1159" s="51"/>
      <c r="AV1159" s="51"/>
      <c r="AW1159" s="51"/>
      <c r="AX1159" s="51"/>
      <c r="AY1159" s="51"/>
    </row>
    <row r="1160" spans="32:51">
      <c r="AF1160" s="51"/>
      <c r="AG1160" s="53"/>
      <c r="AH1160" s="51"/>
      <c r="AI1160" s="51"/>
      <c r="AJ1160" s="51"/>
      <c r="AK1160" s="51"/>
      <c r="AL1160" s="51"/>
      <c r="AM1160" s="51"/>
      <c r="AN1160" s="51"/>
      <c r="AO1160" s="51"/>
      <c r="AP1160" s="51"/>
      <c r="AQ1160" s="51"/>
      <c r="AR1160" s="53"/>
      <c r="AS1160" s="51"/>
      <c r="AT1160" s="51"/>
      <c r="AU1160" s="51"/>
      <c r="AV1160" s="51"/>
      <c r="AW1160" s="51"/>
      <c r="AX1160" s="51"/>
      <c r="AY1160" s="51"/>
    </row>
    <row r="1161" spans="32:51">
      <c r="AF1161" s="51"/>
      <c r="AG1161" s="53"/>
      <c r="AH1161" s="51"/>
      <c r="AI1161" s="51"/>
      <c r="AJ1161" s="51"/>
      <c r="AK1161" s="51"/>
      <c r="AL1161" s="51"/>
      <c r="AM1161" s="51"/>
      <c r="AN1161" s="51"/>
      <c r="AO1161" s="51"/>
      <c r="AP1161" s="51"/>
      <c r="AQ1161" s="51"/>
      <c r="AR1161" s="53"/>
      <c r="AS1161" s="51"/>
      <c r="AT1161" s="51"/>
      <c r="AU1161" s="51"/>
      <c r="AV1161" s="51"/>
      <c r="AW1161" s="51"/>
      <c r="AX1161" s="51"/>
      <c r="AY1161" s="51"/>
    </row>
    <row r="1162" spans="32:51">
      <c r="AF1162" s="51"/>
      <c r="AG1162" s="53"/>
      <c r="AH1162" s="51"/>
      <c r="AI1162" s="51"/>
      <c r="AJ1162" s="51"/>
      <c r="AK1162" s="51"/>
      <c r="AL1162" s="51"/>
      <c r="AM1162" s="51"/>
      <c r="AN1162" s="51"/>
      <c r="AO1162" s="51"/>
      <c r="AP1162" s="51"/>
      <c r="AQ1162" s="51"/>
      <c r="AR1162" s="53"/>
      <c r="AS1162" s="51"/>
      <c r="AT1162" s="51"/>
      <c r="AU1162" s="51"/>
      <c r="AV1162" s="51"/>
      <c r="AW1162" s="51"/>
      <c r="AX1162" s="51"/>
      <c r="AY1162" s="51"/>
    </row>
    <row r="1163" spans="32:51">
      <c r="AF1163" s="51"/>
      <c r="AG1163" s="53"/>
      <c r="AH1163" s="51"/>
      <c r="AI1163" s="51"/>
      <c r="AJ1163" s="51"/>
      <c r="AK1163" s="51"/>
      <c r="AL1163" s="51"/>
      <c r="AM1163" s="51"/>
      <c r="AN1163" s="51"/>
      <c r="AO1163" s="51"/>
      <c r="AP1163" s="51"/>
      <c r="AQ1163" s="51"/>
      <c r="AR1163" s="53"/>
      <c r="AS1163" s="51"/>
      <c r="AT1163" s="51"/>
      <c r="AU1163" s="51"/>
      <c r="AV1163" s="51"/>
      <c r="AW1163" s="51"/>
      <c r="AX1163" s="51"/>
      <c r="AY1163" s="51"/>
    </row>
    <row r="1164" spans="32:51">
      <c r="AF1164" s="51"/>
      <c r="AG1164" s="53"/>
      <c r="AH1164" s="51"/>
      <c r="AI1164" s="51"/>
      <c r="AJ1164" s="51"/>
      <c r="AK1164" s="51"/>
      <c r="AL1164" s="51"/>
      <c r="AM1164" s="51"/>
      <c r="AN1164" s="51"/>
      <c r="AO1164" s="51"/>
      <c r="AP1164" s="51"/>
      <c r="AQ1164" s="51"/>
      <c r="AR1164" s="53"/>
      <c r="AS1164" s="51"/>
      <c r="AT1164" s="51"/>
      <c r="AU1164" s="51"/>
      <c r="AV1164" s="51"/>
      <c r="AW1164" s="51"/>
      <c r="AX1164" s="51"/>
      <c r="AY1164" s="51"/>
    </row>
    <row r="1165" spans="32:51">
      <c r="AF1165" s="51"/>
      <c r="AG1165" s="53"/>
      <c r="AH1165" s="51"/>
      <c r="AI1165" s="51"/>
      <c r="AJ1165" s="51"/>
      <c r="AK1165" s="51"/>
      <c r="AL1165" s="51"/>
      <c r="AM1165" s="51"/>
      <c r="AN1165" s="51"/>
      <c r="AO1165" s="51"/>
      <c r="AP1165" s="51"/>
      <c r="AQ1165" s="51"/>
      <c r="AR1165" s="53"/>
      <c r="AS1165" s="51"/>
      <c r="AT1165" s="51"/>
      <c r="AU1165" s="51"/>
      <c r="AV1165" s="51"/>
      <c r="AW1165" s="51"/>
      <c r="AX1165" s="51"/>
      <c r="AY1165" s="51"/>
    </row>
    <row r="1166" spans="32:51">
      <c r="AF1166" s="51"/>
      <c r="AG1166" s="53"/>
      <c r="AH1166" s="51"/>
      <c r="AI1166" s="51"/>
      <c r="AJ1166" s="51"/>
      <c r="AK1166" s="51"/>
      <c r="AL1166" s="51"/>
      <c r="AM1166" s="51"/>
      <c r="AN1166" s="51"/>
      <c r="AO1166" s="51"/>
      <c r="AP1166" s="51"/>
      <c r="AQ1166" s="51"/>
      <c r="AR1166" s="53"/>
      <c r="AS1166" s="51"/>
      <c r="AT1166" s="51"/>
      <c r="AU1166" s="51"/>
      <c r="AV1166" s="51"/>
      <c r="AW1166" s="51"/>
      <c r="AX1166" s="51"/>
      <c r="AY1166" s="51"/>
    </row>
    <row r="1167" spans="32:51">
      <c r="AF1167" s="51"/>
      <c r="AG1167" s="53"/>
      <c r="AH1167" s="51"/>
      <c r="AI1167" s="51"/>
      <c r="AJ1167" s="51"/>
      <c r="AK1167" s="51"/>
      <c r="AL1167" s="51"/>
      <c r="AM1167" s="51"/>
      <c r="AN1167" s="51"/>
      <c r="AO1167" s="51"/>
      <c r="AP1167" s="51"/>
      <c r="AQ1167" s="51"/>
      <c r="AR1167" s="53"/>
      <c r="AS1167" s="51"/>
      <c r="AT1167" s="51"/>
      <c r="AU1167" s="51"/>
      <c r="AV1167" s="51"/>
      <c r="AW1167" s="51"/>
      <c r="AX1167" s="51"/>
      <c r="AY1167" s="51"/>
    </row>
    <row r="1168" spans="32:51">
      <c r="AF1168" s="51"/>
      <c r="AG1168" s="53"/>
      <c r="AH1168" s="51"/>
      <c r="AI1168" s="51"/>
      <c r="AJ1168" s="51"/>
      <c r="AK1168" s="51"/>
      <c r="AL1168" s="51"/>
      <c r="AM1168" s="51"/>
      <c r="AN1168" s="51"/>
      <c r="AO1168" s="51"/>
      <c r="AP1168" s="51"/>
      <c r="AQ1168" s="51"/>
      <c r="AR1168" s="53"/>
      <c r="AS1168" s="51"/>
      <c r="AT1168" s="51"/>
      <c r="AU1168" s="51"/>
      <c r="AV1168" s="51"/>
      <c r="AW1168" s="51"/>
      <c r="AX1168" s="51"/>
      <c r="AY1168" s="51"/>
    </row>
    <row r="1169" spans="32:51">
      <c r="AF1169" s="51"/>
      <c r="AG1169" s="53"/>
      <c r="AH1169" s="51"/>
      <c r="AI1169" s="51"/>
      <c r="AJ1169" s="51"/>
      <c r="AK1169" s="51"/>
      <c r="AL1169" s="51"/>
      <c r="AM1169" s="51"/>
      <c r="AN1169" s="51"/>
      <c r="AO1169" s="51"/>
      <c r="AP1169" s="51"/>
      <c r="AQ1169" s="51"/>
      <c r="AR1169" s="53"/>
      <c r="AS1169" s="51"/>
      <c r="AT1169" s="51"/>
      <c r="AU1169" s="51"/>
      <c r="AV1169" s="51"/>
      <c r="AW1169" s="51"/>
      <c r="AX1169" s="51"/>
      <c r="AY1169" s="51"/>
    </row>
    <row r="1170" spans="32:51">
      <c r="AF1170" s="51"/>
      <c r="AG1170" s="53"/>
      <c r="AH1170" s="51"/>
      <c r="AI1170" s="51"/>
      <c r="AJ1170" s="51"/>
      <c r="AK1170" s="51"/>
      <c r="AL1170" s="51"/>
      <c r="AM1170" s="51"/>
      <c r="AN1170" s="51"/>
      <c r="AO1170" s="51"/>
      <c r="AP1170" s="51"/>
      <c r="AQ1170" s="51"/>
      <c r="AR1170" s="53"/>
      <c r="AS1170" s="51"/>
      <c r="AT1170" s="51"/>
      <c r="AU1170" s="51"/>
      <c r="AV1170" s="51"/>
      <c r="AW1170" s="51"/>
      <c r="AX1170" s="51"/>
      <c r="AY1170" s="51"/>
    </row>
    <row r="1171" spans="32:51">
      <c r="AF1171" s="51"/>
      <c r="AG1171" s="53"/>
      <c r="AH1171" s="51"/>
      <c r="AI1171" s="51"/>
      <c r="AJ1171" s="51"/>
      <c r="AK1171" s="51"/>
      <c r="AL1171" s="51"/>
      <c r="AM1171" s="51"/>
      <c r="AN1171" s="51"/>
      <c r="AO1171" s="51"/>
      <c r="AP1171" s="51"/>
      <c r="AQ1171" s="51"/>
      <c r="AR1171" s="53"/>
      <c r="AS1171" s="51"/>
      <c r="AT1171" s="51"/>
      <c r="AU1171" s="51"/>
      <c r="AV1171" s="51"/>
      <c r="AW1171" s="51"/>
      <c r="AX1171" s="51"/>
      <c r="AY1171" s="51"/>
    </row>
    <row r="1172" spans="32:51">
      <c r="AF1172" s="51"/>
      <c r="AG1172" s="53"/>
      <c r="AH1172" s="51"/>
      <c r="AI1172" s="51"/>
      <c r="AJ1172" s="51"/>
      <c r="AK1172" s="51"/>
      <c r="AL1172" s="51"/>
      <c r="AM1172" s="51"/>
      <c r="AN1172" s="51"/>
      <c r="AO1172" s="51"/>
      <c r="AP1172" s="51"/>
      <c r="AQ1172" s="51"/>
      <c r="AR1172" s="53"/>
      <c r="AS1172" s="51"/>
      <c r="AT1172" s="51"/>
      <c r="AU1172" s="51"/>
      <c r="AV1172" s="51"/>
      <c r="AW1172" s="51"/>
      <c r="AX1172" s="51"/>
      <c r="AY1172" s="51"/>
    </row>
    <row r="1173" spans="32:51">
      <c r="AF1173" s="51"/>
      <c r="AG1173" s="53"/>
      <c r="AH1173" s="51"/>
      <c r="AI1173" s="51"/>
      <c r="AJ1173" s="51"/>
      <c r="AK1173" s="51"/>
      <c r="AL1173" s="51"/>
      <c r="AM1173" s="51"/>
      <c r="AN1173" s="51"/>
      <c r="AO1173" s="51"/>
      <c r="AP1173" s="51"/>
      <c r="AQ1173" s="51"/>
      <c r="AR1173" s="53"/>
      <c r="AS1173" s="51"/>
      <c r="AT1173" s="51"/>
      <c r="AU1173" s="51"/>
      <c r="AV1173" s="51"/>
      <c r="AW1173" s="51"/>
      <c r="AX1173" s="51"/>
      <c r="AY1173" s="51"/>
    </row>
    <row r="1174" spans="32:51">
      <c r="AF1174" s="51"/>
      <c r="AG1174" s="53"/>
      <c r="AH1174" s="51"/>
      <c r="AI1174" s="51"/>
      <c r="AJ1174" s="51"/>
      <c r="AK1174" s="51"/>
      <c r="AL1174" s="51"/>
      <c r="AM1174" s="51"/>
      <c r="AN1174" s="51"/>
      <c r="AO1174" s="51"/>
      <c r="AP1174" s="51"/>
      <c r="AQ1174" s="51"/>
      <c r="AR1174" s="53"/>
      <c r="AS1174" s="51"/>
      <c r="AT1174" s="51"/>
      <c r="AU1174" s="51"/>
      <c r="AV1174" s="51"/>
      <c r="AW1174" s="51"/>
      <c r="AX1174" s="51"/>
      <c r="AY1174" s="51"/>
    </row>
    <row r="1175" spans="32:51">
      <c r="AF1175" s="51"/>
      <c r="AG1175" s="53"/>
      <c r="AH1175" s="51"/>
      <c r="AI1175" s="51"/>
      <c r="AJ1175" s="51"/>
      <c r="AK1175" s="51"/>
      <c r="AL1175" s="51"/>
      <c r="AM1175" s="51"/>
      <c r="AN1175" s="51"/>
      <c r="AO1175" s="51"/>
      <c r="AP1175" s="51"/>
      <c r="AQ1175" s="51"/>
      <c r="AR1175" s="53"/>
      <c r="AS1175" s="51"/>
      <c r="AT1175" s="51"/>
      <c r="AU1175" s="51"/>
      <c r="AV1175" s="51"/>
      <c r="AW1175" s="51"/>
      <c r="AX1175" s="51"/>
      <c r="AY1175" s="51"/>
    </row>
    <row r="1176" spans="32:51">
      <c r="AF1176" s="51"/>
      <c r="AG1176" s="53"/>
      <c r="AH1176" s="51"/>
      <c r="AI1176" s="51"/>
      <c r="AJ1176" s="51"/>
      <c r="AK1176" s="51"/>
      <c r="AL1176" s="51"/>
      <c r="AM1176" s="51"/>
      <c r="AN1176" s="51"/>
      <c r="AO1176" s="51"/>
      <c r="AP1176" s="51"/>
      <c r="AQ1176" s="51"/>
      <c r="AR1176" s="53"/>
      <c r="AS1176" s="51"/>
      <c r="AT1176" s="51"/>
      <c r="AU1176" s="51"/>
      <c r="AV1176" s="51"/>
      <c r="AW1176" s="51"/>
      <c r="AX1176" s="51"/>
      <c r="AY1176" s="51"/>
    </row>
    <row r="1177" spans="32:51">
      <c r="AF1177" s="51"/>
      <c r="AG1177" s="53"/>
      <c r="AH1177" s="51"/>
      <c r="AI1177" s="51"/>
      <c r="AJ1177" s="51"/>
      <c r="AK1177" s="51"/>
      <c r="AL1177" s="51"/>
      <c r="AM1177" s="51"/>
      <c r="AN1177" s="51"/>
      <c r="AO1177" s="51"/>
      <c r="AP1177" s="51"/>
      <c r="AQ1177" s="51"/>
      <c r="AR1177" s="53"/>
      <c r="AS1177" s="51"/>
      <c r="AT1177" s="51"/>
      <c r="AU1177" s="51"/>
      <c r="AV1177" s="51"/>
      <c r="AW1177" s="51"/>
      <c r="AX1177" s="51"/>
      <c r="AY1177" s="51"/>
    </row>
    <row r="1178" spans="32:51">
      <c r="AF1178" s="51"/>
      <c r="AG1178" s="53"/>
      <c r="AH1178" s="51"/>
      <c r="AI1178" s="51"/>
      <c r="AJ1178" s="51"/>
      <c r="AK1178" s="51"/>
      <c r="AL1178" s="51"/>
      <c r="AM1178" s="51"/>
      <c r="AN1178" s="51"/>
      <c r="AO1178" s="51"/>
      <c r="AP1178" s="51"/>
      <c r="AQ1178" s="51"/>
      <c r="AR1178" s="53"/>
      <c r="AS1178" s="51"/>
      <c r="AT1178" s="51"/>
      <c r="AU1178" s="51"/>
      <c r="AV1178" s="51"/>
      <c r="AW1178" s="51"/>
      <c r="AX1178" s="51"/>
      <c r="AY1178" s="51"/>
    </row>
    <row r="1179" spans="32:51">
      <c r="AF1179" s="51"/>
      <c r="AG1179" s="51"/>
      <c r="AH1179" s="51"/>
      <c r="AI1179" s="51"/>
      <c r="AJ1179" s="51"/>
      <c r="AK1179" s="51"/>
      <c r="AL1179" s="51"/>
      <c r="AM1179" s="51"/>
      <c r="AN1179" s="51"/>
      <c r="AO1179" s="51"/>
      <c r="AP1179" s="51"/>
      <c r="AQ1179" s="51"/>
      <c r="AR1179" s="53"/>
      <c r="AS1179" s="51"/>
      <c r="AT1179" s="51"/>
      <c r="AU1179" s="51"/>
      <c r="AV1179" s="51"/>
      <c r="AW1179" s="51"/>
      <c r="AX1179" s="51"/>
      <c r="AY1179" s="51"/>
    </row>
    <row r="1180" spans="32:51">
      <c r="AF1180" s="51"/>
      <c r="AG1180" s="51"/>
      <c r="AH1180" s="51"/>
      <c r="AI1180" s="51"/>
      <c r="AJ1180" s="51"/>
      <c r="AK1180" s="51"/>
      <c r="AL1180" s="51"/>
      <c r="AM1180" s="51"/>
      <c r="AN1180" s="51"/>
      <c r="AO1180" s="51"/>
      <c r="AP1180" s="51"/>
      <c r="AQ1180" s="51"/>
      <c r="AR1180" s="53"/>
      <c r="AS1180" s="51"/>
      <c r="AT1180" s="51"/>
      <c r="AU1180" s="51"/>
      <c r="AV1180" s="51"/>
      <c r="AW1180" s="51"/>
      <c r="AX1180" s="51"/>
      <c r="AY1180" s="51"/>
    </row>
    <row r="1181" spans="32:51">
      <c r="AF1181" s="51"/>
      <c r="AG1181" s="51"/>
      <c r="AH1181" s="51"/>
      <c r="AI1181" s="51"/>
      <c r="AJ1181" s="51"/>
      <c r="AK1181" s="51"/>
      <c r="AL1181" s="51"/>
      <c r="AM1181" s="51"/>
      <c r="AN1181" s="51"/>
      <c r="AO1181" s="51"/>
      <c r="AP1181" s="51"/>
      <c r="AQ1181" s="51"/>
      <c r="AR1181" s="53"/>
      <c r="AS1181" s="51"/>
      <c r="AT1181" s="51"/>
      <c r="AU1181" s="51"/>
      <c r="AV1181" s="51"/>
      <c r="AW1181" s="51"/>
      <c r="AX1181" s="51"/>
      <c r="AY1181" s="51"/>
    </row>
    <row r="1182" spans="32:51">
      <c r="AF1182" s="51"/>
      <c r="AG1182" s="51"/>
      <c r="AH1182" s="51"/>
      <c r="AI1182" s="51"/>
      <c r="AJ1182" s="51"/>
      <c r="AK1182" s="51"/>
      <c r="AL1182" s="51"/>
      <c r="AM1182" s="51"/>
      <c r="AN1182" s="51"/>
      <c r="AO1182" s="51"/>
      <c r="AP1182" s="51"/>
      <c r="AQ1182" s="51"/>
      <c r="AR1182" s="53"/>
      <c r="AS1182" s="51"/>
      <c r="AT1182" s="51"/>
      <c r="AU1182" s="51"/>
      <c r="AV1182" s="51"/>
      <c r="AW1182" s="51"/>
      <c r="AX1182" s="51"/>
      <c r="AY1182" s="51"/>
    </row>
    <row r="1183" spans="32:51">
      <c r="AF1183" s="51"/>
      <c r="AG1183" s="51"/>
      <c r="AH1183" s="51"/>
      <c r="AI1183" s="51"/>
      <c r="AJ1183" s="51"/>
      <c r="AK1183" s="51"/>
      <c r="AL1183" s="51"/>
      <c r="AM1183" s="51"/>
      <c r="AN1183" s="51"/>
      <c r="AO1183" s="51"/>
      <c r="AP1183" s="51"/>
      <c r="AQ1183" s="51"/>
      <c r="AR1183" s="53"/>
      <c r="AS1183" s="51"/>
      <c r="AT1183" s="51"/>
      <c r="AU1183" s="51"/>
      <c r="AV1183" s="51"/>
      <c r="AW1183" s="51"/>
      <c r="AX1183" s="51"/>
      <c r="AY1183" s="51"/>
    </row>
    <row r="1184" spans="32:51">
      <c r="AF1184" s="51"/>
      <c r="AG1184" s="51"/>
      <c r="AH1184" s="51"/>
      <c r="AI1184" s="51"/>
      <c r="AJ1184" s="51"/>
      <c r="AK1184" s="51"/>
      <c r="AL1184" s="51"/>
      <c r="AM1184" s="51"/>
      <c r="AN1184" s="51"/>
      <c r="AO1184" s="51"/>
      <c r="AP1184" s="51"/>
      <c r="AQ1184" s="51"/>
      <c r="AR1184" s="53"/>
      <c r="AS1184" s="51"/>
      <c r="AT1184" s="51"/>
      <c r="AU1184" s="51"/>
      <c r="AV1184" s="51"/>
      <c r="AW1184" s="51"/>
      <c r="AX1184" s="51"/>
      <c r="AY1184" s="51"/>
    </row>
    <row r="1185" spans="32:51">
      <c r="AF1185" s="51"/>
      <c r="AG1185" s="51"/>
      <c r="AH1185" s="51"/>
      <c r="AI1185" s="51"/>
      <c r="AJ1185" s="51"/>
      <c r="AK1185" s="51"/>
      <c r="AL1185" s="51"/>
      <c r="AM1185" s="51"/>
      <c r="AN1185" s="51"/>
      <c r="AO1185" s="51"/>
      <c r="AP1185" s="51"/>
      <c r="AQ1185" s="51"/>
      <c r="AR1185" s="53"/>
      <c r="AS1185" s="51"/>
      <c r="AT1185" s="51"/>
      <c r="AU1185" s="51"/>
      <c r="AV1185" s="51"/>
      <c r="AW1185" s="51"/>
      <c r="AX1185" s="51"/>
      <c r="AY1185" s="51"/>
    </row>
    <row r="1186" spans="32:51">
      <c r="AF1186" s="51"/>
      <c r="AG1186" s="51"/>
      <c r="AH1186" s="51"/>
      <c r="AI1186" s="51"/>
      <c r="AJ1186" s="51"/>
      <c r="AK1186" s="51"/>
      <c r="AL1186" s="51"/>
      <c r="AM1186" s="51"/>
      <c r="AN1186" s="51"/>
      <c r="AO1186" s="51"/>
      <c r="AP1186" s="51"/>
      <c r="AQ1186" s="51"/>
      <c r="AR1186" s="53"/>
      <c r="AS1186" s="51"/>
      <c r="AT1186" s="51"/>
      <c r="AU1186" s="51"/>
      <c r="AV1186" s="51"/>
      <c r="AW1186" s="51"/>
      <c r="AX1186" s="51"/>
      <c r="AY1186" s="51"/>
    </row>
    <row r="1187" spans="32:51">
      <c r="AF1187" s="51"/>
      <c r="AG1187" s="51"/>
      <c r="AH1187" s="51"/>
      <c r="AI1187" s="51"/>
      <c r="AJ1187" s="51"/>
      <c r="AK1187" s="51"/>
      <c r="AL1187" s="51"/>
      <c r="AM1187" s="51"/>
      <c r="AN1187" s="51"/>
      <c r="AO1187" s="51"/>
      <c r="AP1187" s="51"/>
      <c r="AQ1187" s="51"/>
      <c r="AR1187" s="53"/>
      <c r="AS1187" s="51"/>
      <c r="AT1187" s="51"/>
      <c r="AU1187" s="51"/>
      <c r="AV1187" s="51"/>
      <c r="AW1187" s="51"/>
      <c r="AX1187" s="51"/>
      <c r="AY1187" s="51"/>
    </row>
    <row r="1188" spans="32:51">
      <c r="AF1188" s="51"/>
      <c r="AG1188" s="51"/>
      <c r="AH1188" s="51"/>
      <c r="AI1188" s="51"/>
      <c r="AJ1188" s="51"/>
      <c r="AK1188" s="51"/>
      <c r="AL1188" s="51"/>
      <c r="AM1188" s="51"/>
      <c r="AN1188" s="51"/>
      <c r="AO1188" s="51"/>
      <c r="AP1188" s="51"/>
      <c r="AQ1188" s="51"/>
      <c r="AR1188" s="53"/>
      <c r="AS1188" s="51"/>
      <c r="AT1188" s="51"/>
      <c r="AU1188" s="51"/>
      <c r="AV1188" s="51"/>
      <c r="AW1188" s="51"/>
      <c r="AX1188" s="51"/>
      <c r="AY1188" s="51"/>
    </row>
    <row r="1189" spans="32:51">
      <c r="AF1189" s="51"/>
      <c r="AG1189" s="51"/>
      <c r="AH1189" s="51"/>
      <c r="AI1189" s="51"/>
      <c r="AJ1189" s="51"/>
      <c r="AK1189" s="51"/>
      <c r="AL1189" s="51"/>
      <c r="AM1189" s="51"/>
      <c r="AN1189" s="51"/>
      <c r="AO1189" s="51"/>
      <c r="AP1189" s="51"/>
      <c r="AQ1189" s="51"/>
      <c r="AR1189" s="53"/>
      <c r="AS1189" s="51"/>
      <c r="AT1189" s="51"/>
      <c r="AU1189" s="51"/>
      <c r="AV1189" s="51"/>
      <c r="AW1189" s="51"/>
      <c r="AX1189" s="51"/>
      <c r="AY1189" s="51"/>
    </row>
    <row r="1190" spans="32:51">
      <c r="AF1190" s="51"/>
      <c r="AG1190" s="51"/>
      <c r="AH1190" s="51"/>
      <c r="AI1190" s="51"/>
      <c r="AJ1190" s="51"/>
      <c r="AK1190" s="51"/>
      <c r="AL1190" s="51"/>
      <c r="AM1190" s="51"/>
      <c r="AN1190" s="51"/>
      <c r="AO1190" s="51"/>
      <c r="AP1190" s="51"/>
      <c r="AQ1190" s="51"/>
      <c r="AR1190" s="53"/>
      <c r="AS1190" s="51"/>
      <c r="AT1190" s="51"/>
      <c r="AU1190" s="51"/>
      <c r="AV1190" s="51"/>
      <c r="AW1190" s="51"/>
      <c r="AX1190" s="51"/>
      <c r="AY1190" s="51"/>
    </row>
    <row r="1191" spans="32:51">
      <c r="AF1191" s="51"/>
      <c r="AG1191" s="51"/>
      <c r="AH1191" s="51"/>
      <c r="AI1191" s="51"/>
      <c r="AJ1191" s="51"/>
      <c r="AK1191" s="51"/>
      <c r="AL1191" s="51"/>
      <c r="AM1191" s="51"/>
      <c r="AN1191" s="51"/>
      <c r="AO1191" s="51"/>
      <c r="AP1191" s="51"/>
      <c r="AQ1191" s="51"/>
      <c r="AR1191" s="53"/>
      <c r="AS1191" s="51"/>
      <c r="AT1191" s="51"/>
      <c r="AU1191" s="51"/>
      <c r="AV1191" s="51"/>
      <c r="AW1191" s="51"/>
      <c r="AX1191" s="51"/>
      <c r="AY1191" s="51"/>
    </row>
    <row r="1192" spans="32:51">
      <c r="AF1192" s="51"/>
      <c r="AG1192" s="51"/>
      <c r="AH1192" s="51"/>
      <c r="AI1192" s="51"/>
      <c r="AJ1192" s="51"/>
      <c r="AK1192" s="51"/>
      <c r="AL1192" s="51"/>
      <c r="AM1192" s="51"/>
      <c r="AN1192" s="51"/>
      <c r="AO1192" s="51"/>
      <c r="AP1192" s="51"/>
      <c r="AQ1192" s="51"/>
      <c r="AR1192" s="53"/>
      <c r="AS1192" s="51"/>
      <c r="AT1192" s="51"/>
      <c r="AU1192" s="51"/>
      <c r="AV1192" s="51"/>
      <c r="AW1192" s="51"/>
      <c r="AX1192" s="51"/>
      <c r="AY1192" s="51"/>
    </row>
    <row r="1193" spans="32:51">
      <c r="AF1193" s="51"/>
      <c r="AG1193" s="51"/>
      <c r="AH1193" s="51"/>
      <c r="AI1193" s="51"/>
      <c r="AJ1193" s="51"/>
      <c r="AK1193" s="51"/>
      <c r="AL1193" s="51"/>
      <c r="AM1193" s="51"/>
      <c r="AN1193" s="51"/>
      <c r="AO1193" s="51"/>
      <c r="AP1193" s="51"/>
      <c r="AQ1193" s="51"/>
      <c r="AR1193" s="53"/>
      <c r="AS1193" s="51"/>
      <c r="AT1193" s="51"/>
      <c r="AU1193" s="51"/>
      <c r="AV1193" s="51"/>
      <c r="AW1193" s="51"/>
      <c r="AX1193" s="51"/>
      <c r="AY1193" s="51"/>
    </row>
    <row r="1194" spans="32:51">
      <c r="AF1194" s="51"/>
      <c r="AG1194" s="51"/>
      <c r="AH1194" s="51"/>
      <c r="AI1194" s="51"/>
      <c r="AJ1194" s="51"/>
      <c r="AK1194" s="51"/>
      <c r="AL1194" s="51"/>
      <c r="AM1194" s="51"/>
      <c r="AN1194" s="51"/>
      <c r="AO1194" s="51"/>
      <c r="AP1194" s="51"/>
      <c r="AQ1194" s="51"/>
      <c r="AR1194" s="53"/>
      <c r="AS1194" s="51"/>
      <c r="AT1194" s="51"/>
      <c r="AU1194" s="51"/>
      <c r="AV1194" s="51"/>
      <c r="AW1194" s="51"/>
      <c r="AX1194" s="51"/>
      <c r="AY1194" s="51"/>
    </row>
    <row r="1195" spans="32:51">
      <c r="AF1195" s="51"/>
      <c r="AG1195" s="51"/>
      <c r="AH1195" s="51"/>
      <c r="AI1195" s="51"/>
      <c r="AJ1195" s="51"/>
      <c r="AK1195" s="51"/>
      <c r="AL1195" s="51"/>
      <c r="AM1195" s="51"/>
      <c r="AN1195" s="51"/>
      <c r="AO1195" s="51"/>
      <c r="AP1195" s="51"/>
      <c r="AQ1195" s="51"/>
      <c r="AR1195" s="53"/>
      <c r="AS1195" s="51"/>
      <c r="AT1195" s="51"/>
      <c r="AU1195" s="51"/>
      <c r="AV1195" s="51"/>
      <c r="AW1195" s="51"/>
      <c r="AX1195" s="51"/>
      <c r="AY1195" s="51"/>
    </row>
    <row r="1196" spans="32:51">
      <c r="AF1196" s="51"/>
      <c r="AG1196" s="51"/>
      <c r="AH1196" s="51"/>
      <c r="AI1196" s="51"/>
      <c r="AJ1196" s="51"/>
      <c r="AK1196" s="51"/>
      <c r="AL1196" s="51"/>
      <c r="AM1196" s="51"/>
      <c r="AN1196" s="51"/>
      <c r="AO1196" s="51"/>
      <c r="AP1196" s="51"/>
      <c r="AQ1196" s="51"/>
      <c r="AR1196" s="53"/>
      <c r="AS1196" s="51"/>
      <c r="AT1196" s="51"/>
      <c r="AU1196" s="51"/>
      <c r="AV1196" s="51"/>
      <c r="AW1196" s="51"/>
      <c r="AX1196" s="51"/>
      <c r="AY1196" s="51"/>
    </row>
    <row r="1197" spans="32:51">
      <c r="AF1197" s="51"/>
      <c r="AG1197" s="51"/>
      <c r="AH1197" s="51"/>
      <c r="AI1197" s="51"/>
      <c r="AJ1197" s="51"/>
      <c r="AK1197" s="51"/>
      <c r="AL1197" s="51"/>
      <c r="AM1197" s="51"/>
      <c r="AN1197" s="51"/>
      <c r="AO1197" s="51"/>
      <c r="AP1197" s="51"/>
      <c r="AQ1197" s="51"/>
      <c r="AR1197" s="53"/>
      <c r="AS1197" s="51"/>
      <c r="AT1197" s="51"/>
      <c r="AU1197" s="51"/>
      <c r="AV1197" s="51"/>
      <c r="AW1197" s="51"/>
      <c r="AX1197" s="51"/>
      <c r="AY1197" s="51"/>
    </row>
    <row r="1198" spans="32:51">
      <c r="AF1198" s="51"/>
      <c r="AG1198" s="51"/>
      <c r="AH1198" s="51"/>
      <c r="AI1198" s="51"/>
      <c r="AJ1198" s="51"/>
      <c r="AK1198" s="51"/>
      <c r="AL1198" s="51"/>
      <c r="AM1198" s="51"/>
      <c r="AN1198" s="51"/>
      <c r="AO1198" s="51"/>
      <c r="AP1198" s="51"/>
      <c r="AQ1198" s="51"/>
      <c r="AR1198" s="53"/>
      <c r="AS1198" s="51"/>
      <c r="AT1198" s="51"/>
      <c r="AU1198" s="51"/>
      <c r="AV1198" s="51"/>
      <c r="AW1198" s="51"/>
      <c r="AX1198" s="51"/>
      <c r="AY1198" s="51"/>
    </row>
    <row r="1199" spans="32:51">
      <c r="AF1199" s="51"/>
      <c r="AG1199" s="51"/>
      <c r="AH1199" s="51"/>
      <c r="AI1199" s="51"/>
      <c r="AJ1199" s="51"/>
      <c r="AK1199" s="51"/>
      <c r="AL1199" s="51"/>
      <c r="AM1199" s="51"/>
      <c r="AN1199" s="51"/>
      <c r="AO1199" s="51"/>
      <c r="AP1199" s="51"/>
      <c r="AQ1199" s="51"/>
      <c r="AR1199" s="53"/>
      <c r="AS1199" s="51"/>
      <c r="AT1199" s="51"/>
      <c r="AU1199" s="51"/>
      <c r="AV1199" s="51"/>
      <c r="AW1199" s="51"/>
      <c r="AX1199" s="51"/>
      <c r="AY1199" s="51"/>
    </row>
    <row r="1200" spans="32:51">
      <c r="AF1200" s="51"/>
      <c r="AG1200" s="51"/>
      <c r="AH1200" s="51"/>
      <c r="AI1200" s="51"/>
      <c r="AJ1200" s="51"/>
      <c r="AK1200" s="51"/>
      <c r="AL1200" s="51"/>
      <c r="AM1200" s="51"/>
      <c r="AN1200" s="51"/>
      <c r="AO1200" s="51"/>
      <c r="AP1200" s="51"/>
      <c r="AQ1200" s="51"/>
      <c r="AR1200" s="53"/>
      <c r="AS1200" s="51"/>
      <c r="AT1200" s="51"/>
      <c r="AU1200" s="51"/>
      <c r="AV1200" s="51"/>
      <c r="AW1200" s="51"/>
      <c r="AX1200" s="51"/>
      <c r="AY1200" s="51"/>
    </row>
    <row r="1201" spans="32:51">
      <c r="AF1201" s="51"/>
      <c r="AG1201" s="51"/>
      <c r="AH1201" s="51"/>
      <c r="AI1201" s="51"/>
      <c r="AJ1201" s="51"/>
      <c r="AK1201" s="51"/>
      <c r="AL1201" s="51"/>
      <c r="AM1201" s="51"/>
      <c r="AN1201" s="51"/>
      <c r="AO1201" s="51"/>
      <c r="AP1201" s="51"/>
      <c r="AQ1201" s="51"/>
      <c r="AR1201" s="53"/>
      <c r="AS1201" s="51"/>
      <c r="AT1201" s="51"/>
      <c r="AU1201" s="51"/>
      <c r="AV1201" s="51"/>
      <c r="AW1201" s="51"/>
      <c r="AX1201" s="51"/>
      <c r="AY1201" s="51"/>
    </row>
    <row r="1202" spans="32:51">
      <c r="AF1202" s="51"/>
      <c r="AG1202" s="51"/>
      <c r="AH1202" s="51"/>
      <c r="AI1202" s="51"/>
      <c r="AJ1202" s="51"/>
      <c r="AK1202" s="51"/>
      <c r="AL1202" s="51"/>
      <c r="AM1202" s="51"/>
      <c r="AN1202" s="51"/>
      <c r="AO1202" s="51"/>
      <c r="AP1202" s="51"/>
      <c r="AQ1202" s="51"/>
      <c r="AR1202" s="53"/>
      <c r="AS1202" s="51"/>
      <c r="AT1202" s="51"/>
      <c r="AU1202" s="51"/>
      <c r="AV1202" s="51"/>
      <c r="AW1202" s="51"/>
      <c r="AX1202" s="51"/>
      <c r="AY1202" s="51"/>
    </row>
    <row r="1203" spans="32:51">
      <c r="AF1203" s="51"/>
      <c r="AG1203" s="51"/>
      <c r="AH1203" s="51"/>
      <c r="AI1203" s="51"/>
      <c r="AJ1203" s="51"/>
      <c r="AK1203" s="51"/>
      <c r="AL1203" s="51"/>
      <c r="AM1203" s="51"/>
      <c r="AN1203" s="51"/>
      <c r="AO1203" s="51"/>
      <c r="AP1203" s="51"/>
      <c r="AQ1203" s="51"/>
      <c r="AR1203" s="53"/>
      <c r="AS1203" s="51"/>
      <c r="AT1203" s="51"/>
      <c r="AU1203" s="51"/>
      <c r="AV1203" s="51"/>
      <c r="AW1203" s="51"/>
      <c r="AX1203" s="51"/>
      <c r="AY1203" s="51"/>
    </row>
    <row r="1204" spans="32:51">
      <c r="AF1204" s="51"/>
      <c r="AG1204" s="51"/>
      <c r="AH1204" s="51"/>
      <c r="AI1204" s="51"/>
      <c r="AJ1204" s="51"/>
      <c r="AK1204" s="51"/>
      <c r="AL1204" s="51"/>
      <c r="AM1204" s="51"/>
      <c r="AN1204" s="51"/>
      <c r="AO1204" s="51"/>
      <c r="AP1204" s="51"/>
      <c r="AQ1204" s="51"/>
      <c r="AR1204" s="53"/>
      <c r="AS1204" s="51"/>
      <c r="AT1204" s="51"/>
      <c r="AU1204" s="51"/>
      <c r="AV1204" s="51"/>
      <c r="AW1204" s="51"/>
      <c r="AX1204" s="51"/>
      <c r="AY1204" s="51"/>
    </row>
    <row r="1205" spans="32:51">
      <c r="AF1205" s="51"/>
      <c r="AG1205" s="51"/>
      <c r="AH1205" s="51"/>
      <c r="AI1205" s="51"/>
      <c r="AJ1205" s="51"/>
      <c r="AK1205" s="51"/>
      <c r="AL1205" s="51"/>
      <c r="AM1205" s="51"/>
      <c r="AN1205" s="51"/>
      <c r="AO1205" s="51"/>
      <c r="AP1205" s="51"/>
      <c r="AQ1205" s="51"/>
      <c r="AR1205" s="53"/>
      <c r="AS1205" s="51"/>
      <c r="AT1205" s="51"/>
      <c r="AU1205" s="51"/>
      <c r="AV1205" s="51"/>
      <c r="AW1205" s="51"/>
      <c r="AX1205" s="51"/>
      <c r="AY1205" s="51"/>
    </row>
    <row r="1206" spans="32:51">
      <c r="AF1206" s="51"/>
      <c r="AG1206" s="51"/>
      <c r="AH1206" s="51"/>
      <c r="AI1206" s="51"/>
      <c r="AJ1206" s="51"/>
      <c r="AK1206" s="51"/>
      <c r="AL1206" s="51"/>
      <c r="AM1206" s="51"/>
      <c r="AN1206" s="51"/>
      <c r="AO1206" s="51"/>
      <c r="AP1206" s="51"/>
      <c r="AQ1206" s="51"/>
      <c r="AR1206" s="53"/>
      <c r="AS1206" s="51"/>
      <c r="AT1206" s="51"/>
      <c r="AU1206" s="51"/>
      <c r="AV1206" s="51"/>
      <c r="AW1206" s="51"/>
      <c r="AX1206" s="51"/>
      <c r="AY1206" s="51"/>
    </row>
    <row r="1207" spans="32:51">
      <c r="AF1207" s="51"/>
      <c r="AG1207" s="51"/>
      <c r="AH1207" s="51"/>
      <c r="AI1207" s="51"/>
      <c r="AJ1207" s="51"/>
      <c r="AK1207" s="51"/>
      <c r="AL1207" s="51"/>
      <c r="AM1207" s="51"/>
      <c r="AN1207" s="51"/>
      <c r="AO1207" s="51"/>
      <c r="AP1207" s="51"/>
      <c r="AQ1207" s="51"/>
      <c r="AR1207" s="53"/>
      <c r="AS1207" s="51"/>
      <c r="AT1207" s="51"/>
      <c r="AU1207" s="51"/>
      <c r="AV1207" s="51"/>
      <c r="AW1207" s="51"/>
      <c r="AX1207" s="51"/>
      <c r="AY1207" s="51"/>
    </row>
    <row r="1208" spans="32:51">
      <c r="AF1208" s="51"/>
      <c r="AG1208" s="51"/>
      <c r="AH1208" s="51"/>
      <c r="AI1208" s="51"/>
      <c r="AJ1208" s="51"/>
      <c r="AK1208" s="51"/>
      <c r="AL1208" s="51"/>
      <c r="AM1208" s="51"/>
      <c r="AN1208" s="51"/>
      <c r="AO1208" s="51"/>
      <c r="AP1208" s="51"/>
      <c r="AQ1208" s="51"/>
      <c r="AR1208" s="53"/>
      <c r="AS1208" s="51"/>
      <c r="AT1208" s="51"/>
      <c r="AU1208" s="51"/>
      <c r="AV1208" s="51"/>
      <c r="AW1208" s="51"/>
      <c r="AX1208" s="51"/>
      <c r="AY1208" s="51"/>
    </row>
    <row r="1209" spans="32:51">
      <c r="AF1209" s="51"/>
      <c r="AG1209" s="51"/>
      <c r="AH1209" s="51"/>
      <c r="AI1209" s="51"/>
      <c r="AJ1209" s="51"/>
      <c r="AK1209" s="51"/>
      <c r="AL1209" s="51"/>
      <c r="AM1209" s="51"/>
      <c r="AN1209" s="51"/>
      <c r="AO1209" s="51"/>
      <c r="AP1209" s="51"/>
      <c r="AQ1209" s="51"/>
      <c r="AR1209" s="53"/>
      <c r="AS1209" s="51"/>
      <c r="AT1209" s="51"/>
      <c r="AU1209" s="51"/>
      <c r="AV1209" s="51"/>
      <c r="AW1209" s="51"/>
      <c r="AX1209" s="51"/>
      <c r="AY1209" s="51"/>
    </row>
    <row r="1210" spans="32:51">
      <c r="AF1210" s="51"/>
      <c r="AG1210" s="51"/>
      <c r="AH1210" s="51"/>
      <c r="AI1210" s="51"/>
      <c r="AJ1210" s="51"/>
      <c r="AK1210" s="51"/>
      <c r="AL1210" s="51"/>
      <c r="AM1210" s="51"/>
      <c r="AN1210" s="51"/>
      <c r="AO1210" s="51"/>
      <c r="AP1210" s="51"/>
      <c r="AQ1210" s="51"/>
      <c r="AR1210" s="53"/>
      <c r="AS1210" s="51"/>
      <c r="AT1210" s="51"/>
      <c r="AU1210" s="51"/>
      <c r="AV1210" s="51"/>
      <c r="AW1210" s="51"/>
      <c r="AX1210" s="51"/>
      <c r="AY1210" s="51"/>
    </row>
    <row r="1211" spans="32:51">
      <c r="AF1211" s="51"/>
      <c r="AG1211" s="51"/>
      <c r="AH1211" s="51"/>
      <c r="AI1211" s="51"/>
      <c r="AJ1211" s="51"/>
      <c r="AK1211" s="51"/>
      <c r="AL1211" s="51"/>
      <c r="AM1211" s="51"/>
      <c r="AN1211" s="51"/>
      <c r="AO1211" s="51"/>
      <c r="AP1211" s="51"/>
      <c r="AQ1211" s="51"/>
      <c r="AR1211" s="53"/>
      <c r="AS1211" s="51"/>
      <c r="AT1211" s="51"/>
      <c r="AU1211" s="51"/>
      <c r="AV1211" s="51"/>
      <c r="AW1211" s="51"/>
      <c r="AX1211" s="51"/>
      <c r="AY1211" s="51"/>
    </row>
    <row r="1212" spans="32:51">
      <c r="AF1212" s="51"/>
      <c r="AG1212" s="51"/>
      <c r="AH1212" s="51"/>
      <c r="AI1212" s="51"/>
      <c r="AJ1212" s="51"/>
      <c r="AK1212" s="51"/>
      <c r="AL1212" s="51"/>
      <c r="AM1212" s="51"/>
      <c r="AN1212" s="51"/>
      <c r="AO1212" s="51"/>
      <c r="AP1212" s="51"/>
      <c r="AQ1212" s="51"/>
      <c r="AR1212" s="53"/>
      <c r="AS1212" s="51"/>
      <c r="AT1212" s="51"/>
      <c r="AU1212" s="51"/>
      <c r="AV1212" s="51"/>
      <c r="AW1212" s="51"/>
      <c r="AX1212" s="51"/>
      <c r="AY1212" s="51"/>
    </row>
    <row r="1213" spans="32:51">
      <c r="AF1213" s="51"/>
      <c r="AG1213" s="51"/>
      <c r="AH1213" s="51"/>
      <c r="AI1213" s="51"/>
      <c r="AJ1213" s="51"/>
      <c r="AK1213" s="51"/>
      <c r="AL1213" s="51"/>
      <c r="AM1213" s="51"/>
      <c r="AN1213" s="51"/>
      <c r="AO1213" s="51"/>
      <c r="AP1213" s="51"/>
      <c r="AQ1213" s="51"/>
      <c r="AR1213" s="53"/>
      <c r="AS1213" s="51"/>
      <c r="AT1213" s="51"/>
      <c r="AU1213" s="51"/>
      <c r="AV1213" s="51"/>
      <c r="AW1213" s="51"/>
      <c r="AX1213" s="51"/>
      <c r="AY1213" s="51"/>
    </row>
    <row r="1214" spans="32:51">
      <c r="AF1214" s="51"/>
      <c r="AG1214" s="51"/>
      <c r="AH1214" s="51"/>
      <c r="AI1214" s="51"/>
      <c r="AJ1214" s="51"/>
      <c r="AK1214" s="51"/>
      <c r="AL1214" s="51"/>
      <c r="AM1214" s="51"/>
      <c r="AN1214" s="51"/>
      <c r="AO1214" s="51"/>
      <c r="AP1214" s="51"/>
      <c r="AQ1214" s="51"/>
      <c r="AR1214" s="53"/>
      <c r="AS1214" s="51"/>
      <c r="AT1214" s="51"/>
      <c r="AU1214" s="51"/>
      <c r="AV1214" s="51"/>
      <c r="AW1214" s="51"/>
      <c r="AX1214" s="51"/>
      <c r="AY1214" s="51"/>
    </row>
    <row r="1215" spans="32:51">
      <c r="AF1215" s="51"/>
      <c r="AG1215" s="51"/>
      <c r="AH1215" s="51"/>
      <c r="AI1215" s="51"/>
      <c r="AJ1215" s="51"/>
      <c r="AK1215" s="51"/>
      <c r="AL1215" s="51"/>
      <c r="AM1215" s="51"/>
      <c r="AN1215" s="51"/>
      <c r="AO1215" s="51"/>
      <c r="AP1215" s="51"/>
      <c r="AQ1215" s="51"/>
      <c r="AR1215" s="53"/>
      <c r="AS1215" s="51"/>
      <c r="AT1215" s="51"/>
      <c r="AU1215" s="51"/>
      <c r="AV1215" s="51"/>
      <c r="AW1215" s="51"/>
      <c r="AX1215" s="51"/>
      <c r="AY1215" s="51"/>
    </row>
    <row r="1216" spans="32:51">
      <c r="AF1216" s="51"/>
      <c r="AG1216" s="51"/>
      <c r="AH1216" s="51"/>
      <c r="AI1216" s="51"/>
      <c r="AJ1216" s="51"/>
      <c r="AK1216" s="51"/>
      <c r="AL1216" s="51"/>
      <c r="AM1216" s="51"/>
      <c r="AN1216" s="51"/>
      <c r="AO1216" s="51"/>
      <c r="AP1216" s="51"/>
      <c r="AQ1216" s="51"/>
      <c r="AR1216" s="53"/>
      <c r="AS1216" s="51"/>
      <c r="AT1216" s="51"/>
      <c r="AU1216" s="51"/>
      <c r="AV1216" s="51"/>
      <c r="AW1216" s="51"/>
      <c r="AX1216" s="51"/>
      <c r="AY1216" s="51"/>
    </row>
    <row r="1217" spans="32:51">
      <c r="AF1217" s="51"/>
      <c r="AG1217" s="51"/>
      <c r="AH1217" s="51"/>
      <c r="AI1217" s="51"/>
      <c r="AJ1217" s="51"/>
      <c r="AK1217" s="51"/>
      <c r="AL1217" s="51"/>
      <c r="AM1217" s="51"/>
      <c r="AN1217" s="51"/>
      <c r="AO1217" s="51"/>
      <c r="AP1217" s="51"/>
      <c r="AQ1217" s="51"/>
      <c r="AR1217" s="53"/>
      <c r="AS1217" s="51"/>
      <c r="AT1217" s="51"/>
      <c r="AU1217" s="51"/>
      <c r="AV1217" s="51"/>
      <c r="AW1217" s="51"/>
      <c r="AX1217" s="51"/>
      <c r="AY1217" s="51"/>
    </row>
    <row r="1218" spans="32:51">
      <c r="AF1218" s="51"/>
      <c r="AG1218" s="51"/>
      <c r="AH1218" s="51"/>
      <c r="AI1218" s="51"/>
      <c r="AJ1218" s="51"/>
      <c r="AK1218" s="51"/>
      <c r="AL1218" s="51"/>
      <c r="AM1218" s="51"/>
      <c r="AN1218" s="51"/>
      <c r="AO1218" s="51"/>
      <c r="AP1218" s="51"/>
      <c r="AQ1218" s="51"/>
      <c r="AR1218" s="53"/>
      <c r="AS1218" s="51"/>
      <c r="AT1218" s="51"/>
      <c r="AU1218" s="51"/>
      <c r="AV1218" s="51"/>
      <c r="AW1218" s="51"/>
      <c r="AX1218" s="51"/>
      <c r="AY1218" s="51"/>
    </row>
    <row r="1219" spans="32:51">
      <c r="AF1219" s="51"/>
      <c r="AG1219" s="51"/>
      <c r="AH1219" s="51"/>
      <c r="AI1219" s="51"/>
      <c r="AJ1219" s="51"/>
      <c r="AK1219" s="51"/>
      <c r="AL1219" s="51"/>
      <c r="AM1219" s="51"/>
      <c r="AN1219" s="51"/>
      <c r="AO1219" s="51"/>
      <c r="AP1219" s="51"/>
      <c r="AQ1219" s="51"/>
      <c r="AR1219" s="53"/>
      <c r="AS1219" s="51"/>
      <c r="AT1219" s="51"/>
      <c r="AU1219" s="51"/>
      <c r="AV1219" s="51"/>
      <c r="AW1219" s="51"/>
      <c r="AX1219" s="51"/>
      <c r="AY1219" s="51"/>
    </row>
    <row r="1220" spans="32:51">
      <c r="AF1220" s="51"/>
      <c r="AG1220" s="51"/>
      <c r="AH1220" s="51"/>
      <c r="AI1220" s="51"/>
      <c r="AJ1220" s="51"/>
      <c r="AK1220" s="51"/>
      <c r="AL1220" s="51"/>
      <c r="AM1220" s="51"/>
      <c r="AN1220" s="51"/>
      <c r="AO1220" s="51"/>
      <c r="AP1220" s="51"/>
      <c r="AQ1220" s="51"/>
      <c r="AR1220" s="53"/>
      <c r="AS1220" s="51"/>
      <c r="AT1220" s="51"/>
      <c r="AU1220" s="51"/>
      <c r="AV1220" s="51"/>
      <c r="AW1220" s="51"/>
      <c r="AX1220" s="51"/>
      <c r="AY1220" s="51"/>
    </row>
    <row r="1221" spans="32:51">
      <c r="AF1221" s="51"/>
      <c r="AG1221" s="51"/>
      <c r="AH1221" s="51"/>
      <c r="AI1221" s="51"/>
      <c r="AJ1221" s="51"/>
      <c r="AK1221" s="51"/>
      <c r="AL1221" s="51"/>
      <c r="AM1221" s="51"/>
      <c r="AN1221" s="51"/>
      <c r="AO1221" s="51"/>
      <c r="AP1221" s="51"/>
      <c r="AQ1221" s="51"/>
      <c r="AR1221" s="53"/>
      <c r="AS1221" s="51"/>
      <c r="AT1221" s="51"/>
      <c r="AU1221" s="51"/>
      <c r="AV1221" s="51"/>
      <c r="AW1221" s="51"/>
      <c r="AX1221" s="51"/>
      <c r="AY1221" s="51"/>
    </row>
    <row r="1222" spans="32:51">
      <c r="AF1222" s="51"/>
      <c r="AG1222" s="51"/>
      <c r="AH1222" s="51"/>
      <c r="AI1222" s="51"/>
      <c r="AJ1222" s="51"/>
      <c r="AK1222" s="51"/>
      <c r="AL1222" s="51"/>
      <c r="AM1222" s="51"/>
      <c r="AN1222" s="51"/>
      <c r="AO1222" s="51"/>
      <c r="AP1222" s="51"/>
      <c r="AQ1222" s="51"/>
      <c r="AR1222" s="53"/>
      <c r="AS1222" s="51"/>
      <c r="AT1222" s="51"/>
      <c r="AU1222" s="51"/>
      <c r="AV1222" s="51"/>
      <c r="AW1222" s="51"/>
      <c r="AX1222" s="51"/>
      <c r="AY1222" s="51"/>
    </row>
    <row r="1223" spans="32:51">
      <c r="AF1223" s="51"/>
      <c r="AG1223" s="51"/>
      <c r="AH1223" s="51"/>
      <c r="AI1223" s="51"/>
      <c r="AJ1223" s="51"/>
      <c r="AK1223" s="51"/>
      <c r="AL1223" s="51"/>
      <c r="AM1223" s="51"/>
      <c r="AN1223" s="51"/>
      <c r="AO1223" s="51"/>
      <c r="AP1223" s="51"/>
      <c r="AQ1223" s="51"/>
      <c r="AR1223" s="53"/>
      <c r="AS1223" s="51"/>
      <c r="AT1223" s="51"/>
      <c r="AU1223" s="51"/>
      <c r="AV1223" s="51"/>
      <c r="AW1223" s="51"/>
      <c r="AX1223" s="51"/>
      <c r="AY1223" s="51"/>
    </row>
    <row r="1224" spans="32:51">
      <c r="AF1224" s="51"/>
      <c r="AG1224" s="51"/>
      <c r="AH1224" s="51"/>
      <c r="AI1224" s="51"/>
      <c r="AJ1224" s="51"/>
      <c r="AK1224" s="51"/>
      <c r="AL1224" s="51"/>
      <c r="AM1224" s="51"/>
      <c r="AN1224" s="51"/>
      <c r="AO1224" s="51"/>
      <c r="AP1224" s="51"/>
      <c r="AQ1224" s="51"/>
      <c r="AR1224" s="53"/>
      <c r="AS1224" s="51"/>
      <c r="AT1224" s="51"/>
      <c r="AU1224" s="51"/>
      <c r="AV1224" s="51"/>
      <c r="AW1224" s="51"/>
      <c r="AX1224" s="51"/>
      <c r="AY1224" s="51"/>
    </row>
    <row r="1225" spans="32:51">
      <c r="AF1225" s="51"/>
      <c r="AG1225" s="51"/>
      <c r="AH1225" s="51"/>
      <c r="AI1225" s="51"/>
      <c r="AJ1225" s="51"/>
      <c r="AK1225" s="51"/>
      <c r="AL1225" s="51"/>
      <c r="AM1225" s="51"/>
      <c r="AN1225" s="51"/>
      <c r="AO1225" s="51"/>
      <c r="AP1225" s="51"/>
      <c r="AQ1225" s="51"/>
      <c r="AR1225" s="53"/>
      <c r="AS1225" s="51"/>
      <c r="AT1225" s="51"/>
      <c r="AU1225" s="51"/>
      <c r="AV1225" s="51"/>
      <c r="AW1225" s="51"/>
      <c r="AX1225" s="51"/>
      <c r="AY1225" s="51"/>
    </row>
    <row r="1226" spans="32:51"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3"/>
      <c r="AS1226" s="51"/>
      <c r="AT1226" s="51"/>
      <c r="AU1226" s="51"/>
      <c r="AV1226" s="51"/>
      <c r="AW1226" s="51"/>
      <c r="AX1226" s="51"/>
      <c r="AY1226" s="51"/>
    </row>
    <row r="1227" spans="32:51">
      <c r="AF1227" s="51"/>
      <c r="AG1227" s="51"/>
      <c r="AH1227" s="51"/>
      <c r="AI1227" s="51"/>
      <c r="AJ1227" s="51"/>
      <c r="AK1227" s="51"/>
      <c r="AL1227" s="51"/>
      <c r="AM1227" s="51"/>
      <c r="AN1227" s="51"/>
      <c r="AO1227" s="51"/>
      <c r="AP1227" s="51"/>
      <c r="AQ1227" s="51"/>
      <c r="AR1227" s="53"/>
      <c r="AS1227" s="51"/>
      <c r="AT1227" s="51"/>
      <c r="AU1227" s="51"/>
      <c r="AV1227" s="51"/>
      <c r="AW1227" s="51"/>
      <c r="AX1227" s="51"/>
      <c r="AY1227" s="51"/>
    </row>
    <row r="1228" spans="32:51">
      <c r="AF1228" s="51"/>
      <c r="AG1228" s="51"/>
      <c r="AH1228" s="51"/>
      <c r="AI1228" s="51"/>
      <c r="AJ1228" s="51"/>
      <c r="AK1228" s="51"/>
      <c r="AL1228" s="51"/>
      <c r="AM1228" s="51"/>
      <c r="AN1228" s="51"/>
      <c r="AO1228" s="51"/>
      <c r="AP1228" s="51"/>
      <c r="AQ1228" s="51"/>
      <c r="AR1228" s="53"/>
      <c r="AS1228" s="51"/>
      <c r="AT1228" s="51"/>
      <c r="AU1228" s="51"/>
      <c r="AV1228" s="51"/>
      <c r="AW1228" s="51"/>
      <c r="AX1228" s="51"/>
      <c r="AY1228" s="51"/>
    </row>
    <row r="1229" spans="32:51">
      <c r="AF1229" s="51"/>
      <c r="AG1229" s="51"/>
      <c r="AH1229" s="51"/>
      <c r="AI1229" s="51"/>
      <c r="AJ1229" s="51"/>
      <c r="AK1229" s="51"/>
      <c r="AL1229" s="51"/>
      <c r="AM1229" s="51"/>
      <c r="AN1229" s="51"/>
      <c r="AO1229" s="51"/>
      <c r="AP1229" s="51"/>
      <c r="AQ1229" s="51"/>
      <c r="AR1229" s="53"/>
      <c r="AS1229" s="51"/>
      <c r="AT1229" s="51"/>
      <c r="AU1229" s="51"/>
      <c r="AV1229" s="51"/>
      <c r="AW1229" s="51"/>
      <c r="AX1229" s="51"/>
      <c r="AY1229" s="51"/>
    </row>
    <row r="1230" spans="32:51">
      <c r="AF1230" s="51"/>
      <c r="AG1230" s="51"/>
      <c r="AH1230" s="51"/>
      <c r="AI1230" s="51"/>
      <c r="AJ1230" s="51"/>
      <c r="AK1230" s="51"/>
      <c r="AL1230" s="51"/>
      <c r="AM1230" s="51"/>
      <c r="AN1230" s="51"/>
      <c r="AO1230" s="51"/>
      <c r="AP1230" s="51"/>
      <c r="AQ1230" s="51"/>
      <c r="AR1230" s="53"/>
      <c r="AS1230" s="51"/>
      <c r="AT1230" s="51"/>
      <c r="AU1230" s="51"/>
      <c r="AV1230" s="51"/>
      <c r="AW1230" s="51"/>
      <c r="AX1230" s="51"/>
      <c r="AY1230" s="51"/>
    </row>
    <row r="1231" spans="32:51">
      <c r="AF1231" s="51"/>
      <c r="AG1231" s="51"/>
      <c r="AH1231" s="51"/>
      <c r="AI1231" s="51"/>
      <c r="AJ1231" s="51"/>
      <c r="AK1231" s="51"/>
      <c r="AL1231" s="51"/>
      <c r="AM1231" s="51"/>
      <c r="AN1231" s="51"/>
      <c r="AO1231" s="51"/>
      <c r="AP1231" s="51"/>
      <c r="AQ1231" s="51"/>
      <c r="AR1231" s="53"/>
      <c r="AS1231" s="51"/>
      <c r="AT1231" s="51"/>
      <c r="AU1231" s="51"/>
      <c r="AV1231" s="51"/>
      <c r="AW1231" s="51"/>
      <c r="AX1231" s="51"/>
      <c r="AY1231" s="51"/>
    </row>
    <row r="1232" spans="32:51">
      <c r="AF1232" s="51"/>
      <c r="AG1232" s="51"/>
      <c r="AH1232" s="51"/>
      <c r="AI1232" s="51"/>
      <c r="AJ1232" s="51"/>
      <c r="AK1232" s="51"/>
      <c r="AL1232" s="51"/>
      <c r="AM1232" s="51"/>
      <c r="AN1232" s="51"/>
      <c r="AO1232" s="51"/>
      <c r="AP1232" s="51"/>
      <c r="AQ1232" s="51"/>
      <c r="AR1232" s="53"/>
      <c r="AS1232" s="51"/>
      <c r="AT1232" s="51"/>
      <c r="AU1232" s="51"/>
      <c r="AV1232" s="51"/>
      <c r="AW1232" s="51"/>
      <c r="AX1232" s="51"/>
      <c r="AY1232" s="51"/>
    </row>
    <row r="1233" spans="32:51">
      <c r="AF1233" s="51"/>
      <c r="AG1233" s="51"/>
      <c r="AH1233" s="51"/>
      <c r="AI1233" s="51"/>
      <c r="AJ1233" s="51"/>
      <c r="AK1233" s="51"/>
      <c r="AL1233" s="51"/>
      <c r="AM1233" s="51"/>
      <c r="AN1233" s="51"/>
      <c r="AO1233" s="51"/>
      <c r="AP1233" s="51"/>
      <c r="AQ1233" s="51"/>
      <c r="AR1233" s="53"/>
      <c r="AS1233" s="51"/>
      <c r="AT1233" s="51"/>
      <c r="AU1233" s="51"/>
      <c r="AV1233" s="51"/>
      <c r="AW1233" s="51"/>
      <c r="AX1233" s="51"/>
      <c r="AY1233" s="51"/>
    </row>
    <row r="1234" spans="32:51">
      <c r="AF1234" s="51"/>
      <c r="AG1234" s="51"/>
      <c r="AH1234" s="51"/>
      <c r="AI1234" s="51"/>
      <c r="AJ1234" s="51"/>
      <c r="AK1234" s="51"/>
      <c r="AL1234" s="51"/>
      <c r="AM1234" s="51"/>
      <c r="AN1234" s="51"/>
      <c r="AO1234" s="51"/>
      <c r="AP1234" s="51"/>
      <c r="AQ1234" s="51"/>
      <c r="AR1234" s="53"/>
      <c r="AS1234" s="51"/>
      <c r="AT1234" s="51"/>
      <c r="AU1234" s="51"/>
      <c r="AV1234" s="51"/>
      <c r="AW1234" s="51"/>
      <c r="AX1234" s="51"/>
      <c r="AY1234" s="51"/>
    </row>
    <row r="1235" spans="32:51">
      <c r="AF1235" s="51"/>
      <c r="AG1235" s="51"/>
      <c r="AH1235" s="51"/>
      <c r="AI1235" s="51"/>
      <c r="AJ1235" s="51"/>
      <c r="AK1235" s="51"/>
      <c r="AL1235" s="51"/>
      <c r="AM1235" s="51"/>
      <c r="AN1235" s="51"/>
      <c r="AO1235" s="51"/>
      <c r="AP1235" s="51"/>
      <c r="AQ1235" s="51"/>
      <c r="AR1235" s="53"/>
      <c r="AS1235" s="51"/>
      <c r="AT1235" s="51"/>
      <c r="AU1235" s="51"/>
      <c r="AV1235" s="51"/>
      <c r="AW1235" s="51"/>
      <c r="AX1235" s="51"/>
      <c r="AY1235" s="51"/>
    </row>
    <row r="1236" spans="32:51">
      <c r="AF1236" s="51"/>
      <c r="AG1236" s="51"/>
      <c r="AH1236" s="51"/>
      <c r="AI1236" s="51"/>
      <c r="AJ1236" s="51"/>
      <c r="AK1236" s="51"/>
      <c r="AL1236" s="51"/>
      <c r="AM1236" s="51"/>
      <c r="AN1236" s="51"/>
      <c r="AO1236" s="51"/>
      <c r="AP1236" s="51"/>
      <c r="AQ1236" s="51"/>
      <c r="AR1236" s="53"/>
      <c r="AS1236" s="51"/>
      <c r="AT1236" s="51"/>
      <c r="AU1236" s="51"/>
      <c r="AV1236" s="51"/>
      <c r="AW1236" s="51"/>
      <c r="AX1236" s="51"/>
      <c r="AY1236" s="51"/>
    </row>
    <row r="1237" spans="32:51">
      <c r="AF1237" s="51"/>
      <c r="AG1237" s="51"/>
      <c r="AH1237" s="51"/>
      <c r="AI1237" s="51"/>
      <c r="AJ1237" s="51"/>
      <c r="AK1237" s="51"/>
      <c r="AL1237" s="51"/>
      <c r="AM1237" s="51"/>
      <c r="AN1237" s="51"/>
      <c r="AO1237" s="51"/>
      <c r="AP1237" s="51"/>
      <c r="AQ1237" s="51"/>
      <c r="AR1237" s="53"/>
      <c r="AS1237" s="51"/>
      <c r="AT1237" s="51"/>
      <c r="AU1237" s="51"/>
      <c r="AV1237" s="51"/>
      <c r="AW1237" s="51"/>
      <c r="AX1237" s="51"/>
      <c r="AY1237" s="51"/>
    </row>
    <row r="1238" spans="32:51">
      <c r="AF1238" s="51"/>
      <c r="AG1238" s="51"/>
      <c r="AH1238" s="51"/>
      <c r="AI1238" s="51"/>
      <c r="AJ1238" s="51"/>
      <c r="AK1238" s="51"/>
      <c r="AL1238" s="51"/>
      <c r="AM1238" s="51"/>
      <c r="AN1238" s="51"/>
      <c r="AO1238" s="51"/>
      <c r="AP1238" s="51"/>
      <c r="AQ1238" s="51"/>
      <c r="AR1238" s="53"/>
      <c r="AS1238" s="51"/>
      <c r="AT1238" s="51"/>
      <c r="AU1238" s="51"/>
      <c r="AV1238" s="51"/>
      <c r="AW1238" s="51"/>
      <c r="AX1238" s="51"/>
      <c r="AY1238" s="51"/>
    </row>
    <row r="1239" spans="32:51">
      <c r="AF1239" s="51"/>
      <c r="AG1239" s="51"/>
      <c r="AH1239" s="51"/>
      <c r="AI1239" s="51"/>
      <c r="AJ1239" s="51"/>
      <c r="AK1239" s="51"/>
      <c r="AL1239" s="51"/>
      <c r="AM1239" s="51"/>
      <c r="AN1239" s="51"/>
      <c r="AO1239" s="51"/>
      <c r="AP1239" s="51"/>
      <c r="AQ1239" s="51"/>
      <c r="AR1239" s="53"/>
      <c r="AS1239" s="51"/>
      <c r="AT1239" s="51"/>
      <c r="AU1239" s="51"/>
      <c r="AV1239" s="51"/>
      <c r="AW1239" s="51"/>
      <c r="AX1239" s="51"/>
      <c r="AY1239" s="51"/>
    </row>
    <row r="1240" spans="32:51">
      <c r="AF1240" s="51"/>
      <c r="AG1240" s="51"/>
      <c r="AH1240" s="51"/>
      <c r="AI1240" s="51"/>
      <c r="AJ1240" s="51"/>
      <c r="AK1240" s="51"/>
      <c r="AL1240" s="51"/>
      <c r="AM1240" s="51"/>
      <c r="AN1240" s="51"/>
      <c r="AO1240" s="51"/>
      <c r="AP1240" s="51"/>
      <c r="AQ1240" s="51"/>
      <c r="AR1240" s="53"/>
      <c r="AS1240" s="51"/>
      <c r="AT1240" s="51"/>
      <c r="AU1240" s="51"/>
      <c r="AV1240" s="51"/>
      <c r="AW1240" s="51"/>
      <c r="AX1240" s="51"/>
      <c r="AY1240" s="51"/>
    </row>
    <row r="1241" spans="32:51">
      <c r="AF1241" s="51"/>
      <c r="AG1241" s="51"/>
      <c r="AH1241" s="51"/>
      <c r="AI1241" s="51"/>
      <c r="AJ1241" s="51"/>
      <c r="AK1241" s="51"/>
      <c r="AL1241" s="51"/>
      <c r="AM1241" s="51"/>
      <c r="AN1241" s="51"/>
      <c r="AO1241" s="51"/>
      <c r="AP1241" s="51"/>
      <c r="AQ1241" s="51"/>
      <c r="AR1241" s="53"/>
      <c r="AS1241" s="51"/>
      <c r="AT1241" s="51"/>
      <c r="AU1241" s="51"/>
      <c r="AV1241" s="51"/>
      <c r="AW1241" s="51"/>
      <c r="AX1241" s="51"/>
      <c r="AY1241" s="51"/>
    </row>
    <row r="1242" spans="32:51">
      <c r="AF1242" s="51"/>
      <c r="AG1242" s="51"/>
      <c r="AH1242" s="51"/>
      <c r="AI1242" s="51"/>
      <c r="AJ1242" s="51"/>
      <c r="AK1242" s="51"/>
      <c r="AL1242" s="51"/>
      <c r="AM1242" s="51"/>
      <c r="AN1242" s="51"/>
      <c r="AO1242" s="51"/>
      <c r="AP1242" s="51"/>
      <c r="AQ1242" s="51"/>
      <c r="AR1242" s="53"/>
      <c r="AS1242" s="51"/>
      <c r="AT1242" s="51"/>
      <c r="AU1242" s="51"/>
      <c r="AV1242" s="51"/>
      <c r="AW1242" s="51"/>
      <c r="AX1242" s="51"/>
      <c r="AY1242" s="51"/>
    </row>
    <row r="1243" spans="32:51">
      <c r="AF1243" s="51"/>
      <c r="AG1243" s="51"/>
      <c r="AH1243" s="51"/>
      <c r="AI1243" s="51"/>
      <c r="AJ1243" s="51"/>
      <c r="AK1243" s="51"/>
      <c r="AL1243" s="51"/>
      <c r="AM1243" s="51"/>
      <c r="AN1243" s="51"/>
      <c r="AO1243" s="51"/>
      <c r="AP1243" s="51"/>
      <c r="AQ1243" s="51"/>
      <c r="AR1243" s="53"/>
      <c r="AS1243" s="51"/>
      <c r="AT1243" s="51"/>
      <c r="AU1243" s="51"/>
      <c r="AV1243" s="51"/>
      <c r="AW1243" s="51"/>
      <c r="AX1243" s="51"/>
      <c r="AY1243" s="51"/>
    </row>
    <row r="1244" spans="32:51">
      <c r="AF1244" s="51"/>
      <c r="AG1244" s="51"/>
      <c r="AH1244" s="51"/>
      <c r="AI1244" s="51"/>
      <c r="AJ1244" s="51"/>
      <c r="AK1244" s="51"/>
      <c r="AL1244" s="51"/>
      <c r="AM1244" s="51"/>
      <c r="AN1244" s="51"/>
      <c r="AO1244" s="51"/>
      <c r="AP1244" s="51"/>
      <c r="AQ1244" s="51"/>
      <c r="AR1244" s="53"/>
      <c r="AS1244" s="51"/>
      <c r="AT1244" s="51"/>
      <c r="AU1244" s="51"/>
      <c r="AV1244" s="51"/>
      <c r="AW1244" s="51"/>
      <c r="AX1244" s="51"/>
      <c r="AY1244" s="51"/>
    </row>
    <row r="1245" spans="32:51">
      <c r="AF1245" s="51"/>
      <c r="AG1245" s="51"/>
      <c r="AH1245" s="51"/>
      <c r="AI1245" s="51"/>
      <c r="AJ1245" s="51"/>
      <c r="AK1245" s="51"/>
      <c r="AL1245" s="51"/>
      <c r="AM1245" s="51"/>
      <c r="AN1245" s="51"/>
      <c r="AO1245" s="51"/>
      <c r="AP1245" s="51"/>
      <c r="AQ1245" s="51"/>
      <c r="AR1245" s="53"/>
      <c r="AS1245" s="51"/>
      <c r="AT1245" s="51"/>
      <c r="AU1245" s="51"/>
      <c r="AV1245" s="51"/>
      <c r="AW1245" s="51"/>
      <c r="AX1245" s="51"/>
      <c r="AY1245" s="51"/>
    </row>
    <row r="1246" spans="32:51">
      <c r="AF1246" s="51"/>
      <c r="AG1246" s="51"/>
      <c r="AH1246" s="51"/>
      <c r="AI1246" s="51"/>
      <c r="AJ1246" s="51"/>
      <c r="AK1246" s="51"/>
      <c r="AL1246" s="51"/>
      <c r="AM1246" s="51"/>
      <c r="AN1246" s="51"/>
      <c r="AO1246" s="51"/>
      <c r="AP1246" s="51"/>
      <c r="AQ1246" s="51"/>
      <c r="AR1246" s="53"/>
      <c r="AS1246" s="51"/>
      <c r="AT1246" s="51"/>
      <c r="AU1246" s="51"/>
      <c r="AV1246" s="51"/>
      <c r="AW1246" s="51"/>
      <c r="AX1246" s="51"/>
      <c r="AY1246" s="51"/>
    </row>
    <row r="1247" spans="32:51">
      <c r="AF1247" s="51"/>
      <c r="AG1247" s="51"/>
      <c r="AH1247" s="51"/>
      <c r="AI1247" s="51"/>
      <c r="AJ1247" s="51"/>
      <c r="AK1247" s="51"/>
      <c r="AL1247" s="51"/>
      <c r="AM1247" s="51"/>
      <c r="AN1247" s="51"/>
      <c r="AO1247" s="51"/>
      <c r="AP1247" s="51"/>
      <c r="AQ1247" s="51"/>
      <c r="AR1247" s="53"/>
      <c r="AS1247" s="51"/>
      <c r="AT1247" s="51"/>
      <c r="AU1247" s="51"/>
      <c r="AV1247" s="51"/>
      <c r="AW1247" s="51"/>
      <c r="AX1247" s="51"/>
      <c r="AY1247" s="51"/>
    </row>
    <row r="1248" spans="32:51">
      <c r="AF1248" s="51"/>
      <c r="AG1248" s="51"/>
      <c r="AH1248" s="51"/>
      <c r="AI1248" s="51"/>
      <c r="AJ1248" s="51"/>
      <c r="AK1248" s="51"/>
      <c r="AL1248" s="51"/>
      <c r="AM1248" s="51"/>
      <c r="AN1248" s="51"/>
      <c r="AO1248" s="51"/>
      <c r="AP1248" s="51"/>
      <c r="AQ1248" s="51"/>
      <c r="AR1248" s="53"/>
      <c r="AS1248" s="51"/>
      <c r="AT1248" s="51"/>
      <c r="AU1248" s="51"/>
      <c r="AV1248" s="51"/>
      <c r="AW1248" s="51"/>
      <c r="AX1248" s="51"/>
      <c r="AY1248" s="51"/>
    </row>
    <row r="1249" spans="32:51">
      <c r="AF1249" s="51"/>
      <c r="AG1249" s="51"/>
      <c r="AH1249" s="51"/>
      <c r="AI1249" s="51"/>
      <c r="AJ1249" s="51"/>
      <c r="AK1249" s="51"/>
      <c r="AL1249" s="51"/>
      <c r="AM1249" s="51"/>
      <c r="AN1249" s="51"/>
      <c r="AO1249" s="51"/>
      <c r="AP1249" s="51"/>
      <c r="AQ1249" s="51"/>
      <c r="AR1249" s="53"/>
      <c r="AS1249" s="51"/>
      <c r="AT1249" s="51"/>
      <c r="AU1249" s="51"/>
      <c r="AV1249" s="51"/>
      <c r="AW1249" s="51"/>
      <c r="AX1249" s="51"/>
      <c r="AY1249" s="51"/>
    </row>
    <row r="1250" spans="32:51">
      <c r="AF1250" s="51"/>
      <c r="AG1250" s="51"/>
      <c r="AH1250" s="51"/>
      <c r="AI1250" s="51"/>
      <c r="AJ1250" s="51"/>
      <c r="AK1250" s="51"/>
      <c r="AL1250" s="51"/>
      <c r="AM1250" s="51"/>
      <c r="AN1250" s="51"/>
      <c r="AO1250" s="51"/>
      <c r="AP1250" s="51"/>
      <c r="AQ1250" s="51"/>
      <c r="AR1250" s="53"/>
      <c r="AS1250" s="51"/>
      <c r="AT1250" s="51"/>
      <c r="AU1250" s="51"/>
      <c r="AV1250" s="51"/>
      <c r="AW1250" s="51"/>
      <c r="AX1250" s="51"/>
      <c r="AY1250" s="51"/>
    </row>
    <row r="1251" spans="32:51">
      <c r="AF1251" s="51"/>
      <c r="AG1251" s="51"/>
      <c r="AH1251" s="51"/>
      <c r="AI1251" s="51"/>
      <c r="AJ1251" s="51"/>
      <c r="AK1251" s="51"/>
      <c r="AL1251" s="51"/>
      <c r="AM1251" s="51"/>
      <c r="AN1251" s="51"/>
      <c r="AO1251" s="51"/>
      <c r="AP1251" s="51"/>
      <c r="AQ1251" s="51"/>
      <c r="AR1251" s="53"/>
      <c r="AS1251" s="51"/>
      <c r="AT1251" s="51"/>
      <c r="AU1251" s="51"/>
      <c r="AV1251" s="51"/>
      <c r="AW1251" s="51"/>
      <c r="AX1251" s="51"/>
      <c r="AY1251" s="51"/>
    </row>
    <row r="1252" spans="32:51">
      <c r="AF1252" s="51"/>
      <c r="AG1252" s="51"/>
      <c r="AH1252" s="51"/>
      <c r="AI1252" s="51"/>
      <c r="AJ1252" s="51"/>
      <c r="AK1252" s="51"/>
      <c r="AL1252" s="51"/>
      <c r="AM1252" s="51"/>
      <c r="AN1252" s="51"/>
      <c r="AO1252" s="51"/>
      <c r="AP1252" s="51"/>
      <c r="AQ1252" s="51"/>
      <c r="AR1252" s="53"/>
      <c r="AS1252" s="51"/>
      <c r="AT1252" s="51"/>
      <c r="AU1252" s="51"/>
      <c r="AV1252" s="51"/>
      <c r="AW1252" s="51"/>
      <c r="AX1252" s="51"/>
      <c r="AY1252" s="51"/>
    </row>
    <row r="1253" spans="32:51">
      <c r="AF1253" s="51"/>
      <c r="AG1253" s="51"/>
      <c r="AH1253" s="51"/>
      <c r="AI1253" s="51"/>
      <c r="AJ1253" s="51"/>
      <c r="AK1253" s="51"/>
      <c r="AL1253" s="51"/>
      <c r="AM1253" s="51"/>
      <c r="AN1253" s="51"/>
      <c r="AO1253" s="51"/>
      <c r="AP1253" s="51"/>
      <c r="AQ1253" s="51"/>
      <c r="AR1253" s="53"/>
      <c r="AS1253" s="51"/>
      <c r="AT1253" s="51"/>
      <c r="AU1253" s="51"/>
      <c r="AV1253" s="51"/>
      <c r="AW1253" s="51"/>
      <c r="AX1253" s="51"/>
      <c r="AY1253" s="51"/>
    </row>
    <row r="1254" spans="32:51">
      <c r="AF1254" s="51"/>
      <c r="AG1254" s="51"/>
      <c r="AH1254" s="51"/>
      <c r="AI1254" s="51"/>
      <c r="AJ1254" s="51"/>
      <c r="AK1254" s="51"/>
      <c r="AL1254" s="51"/>
      <c r="AM1254" s="51"/>
      <c r="AN1254" s="51"/>
      <c r="AO1254" s="51"/>
      <c r="AP1254" s="51"/>
      <c r="AQ1254" s="51"/>
      <c r="AR1254" s="53"/>
      <c r="AS1254" s="51"/>
      <c r="AT1254" s="51"/>
      <c r="AU1254" s="51"/>
      <c r="AV1254" s="51"/>
      <c r="AW1254" s="51"/>
      <c r="AX1254" s="51"/>
      <c r="AY1254" s="51"/>
    </row>
    <row r="1255" spans="32:51">
      <c r="AF1255" s="51"/>
      <c r="AG1255" s="51"/>
      <c r="AH1255" s="51"/>
      <c r="AI1255" s="51"/>
      <c r="AJ1255" s="51"/>
      <c r="AK1255" s="51"/>
      <c r="AL1255" s="51"/>
      <c r="AM1255" s="51"/>
      <c r="AN1255" s="51"/>
      <c r="AO1255" s="51"/>
      <c r="AP1255" s="51"/>
      <c r="AQ1255" s="51"/>
      <c r="AR1255" s="53"/>
      <c r="AS1255" s="51"/>
      <c r="AT1255" s="51"/>
      <c r="AU1255" s="51"/>
      <c r="AV1255" s="51"/>
      <c r="AW1255" s="51"/>
      <c r="AX1255" s="51"/>
      <c r="AY1255" s="51"/>
    </row>
    <row r="1256" spans="32:51">
      <c r="AF1256" s="51"/>
      <c r="AG1256" s="51"/>
      <c r="AH1256" s="51"/>
      <c r="AI1256" s="51"/>
      <c r="AJ1256" s="51"/>
      <c r="AK1256" s="51"/>
      <c r="AL1256" s="51"/>
      <c r="AM1256" s="51"/>
      <c r="AN1256" s="51"/>
      <c r="AO1256" s="51"/>
      <c r="AP1256" s="51"/>
      <c r="AQ1256" s="51"/>
      <c r="AR1256" s="53"/>
      <c r="AS1256" s="51"/>
      <c r="AT1256" s="51"/>
      <c r="AU1256" s="51"/>
      <c r="AV1256" s="51"/>
      <c r="AW1256" s="51"/>
      <c r="AX1256" s="51"/>
      <c r="AY1256" s="51"/>
    </row>
    <row r="1257" spans="32:51">
      <c r="AF1257" s="51"/>
      <c r="AG1257" s="51"/>
      <c r="AH1257" s="51"/>
      <c r="AI1257" s="51"/>
      <c r="AJ1257" s="51"/>
      <c r="AK1257" s="51"/>
      <c r="AL1257" s="51"/>
      <c r="AM1257" s="51"/>
      <c r="AN1257" s="51"/>
      <c r="AO1257" s="51"/>
      <c r="AP1257" s="51"/>
      <c r="AQ1257" s="51"/>
      <c r="AR1257" s="53"/>
      <c r="AS1257" s="51"/>
      <c r="AT1257" s="51"/>
      <c r="AU1257" s="51"/>
      <c r="AV1257" s="51"/>
      <c r="AW1257" s="51"/>
      <c r="AX1257" s="51"/>
      <c r="AY1257" s="51"/>
    </row>
    <row r="1258" spans="32:51">
      <c r="AF1258" s="51"/>
      <c r="AG1258" s="51"/>
      <c r="AH1258" s="51"/>
      <c r="AI1258" s="51"/>
      <c r="AJ1258" s="51"/>
      <c r="AK1258" s="51"/>
      <c r="AL1258" s="51"/>
      <c r="AM1258" s="51"/>
      <c r="AN1258" s="51"/>
      <c r="AO1258" s="51"/>
      <c r="AP1258" s="51"/>
      <c r="AQ1258" s="51"/>
      <c r="AR1258" s="53"/>
      <c r="AS1258" s="51"/>
      <c r="AT1258" s="51"/>
      <c r="AU1258" s="51"/>
      <c r="AV1258" s="51"/>
      <c r="AW1258" s="51"/>
      <c r="AX1258" s="51"/>
      <c r="AY1258" s="51"/>
    </row>
    <row r="1259" spans="32:51"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3"/>
      <c r="AS1259" s="51"/>
      <c r="AT1259" s="51"/>
      <c r="AU1259" s="51"/>
      <c r="AV1259" s="51"/>
      <c r="AW1259" s="51"/>
      <c r="AX1259" s="51"/>
      <c r="AY1259" s="51"/>
    </row>
    <row r="1260" spans="32:51">
      <c r="AF1260" s="51"/>
      <c r="AG1260" s="51"/>
      <c r="AH1260" s="51"/>
      <c r="AI1260" s="51"/>
      <c r="AJ1260" s="51"/>
      <c r="AK1260" s="51"/>
      <c r="AL1260" s="51"/>
      <c r="AM1260" s="51"/>
      <c r="AN1260" s="51"/>
      <c r="AO1260" s="51"/>
      <c r="AP1260" s="51"/>
      <c r="AQ1260" s="51"/>
      <c r="AR1260" s="53"/>
      <c r="AS1260" s="51"/>
      <c r="AT1260" s="51"/>
      <c r="AU1260" s="51"/>
      <c r="AV1260" s="51"/>
      <c r="AW1260" s="51"/>
      <c r="AX1260" s="51"/>
      <c r="AY1260" s="51"/>
    </row>
    <row r="1261" spans="32:51">
      <c r="AF1261" s="51"/>
      <c r="AG1261" s="51"/>
      <c r="AH1261" s="51"/>
      <c r="AI1261" s="51"/>
      <c r="AJ1261" s="51"/>
      <c r="AK1261" s="51"/>
      <c r="AL1261" s="51"/>
      <c r="AM1261" s="51"/>
      <c r="AN1261" s="51"/>
      <c r="AO1261" s="51"/>
      <c r="AP1261" s="51"/>
      <c r="AQ1261" s="51"/>
      <c r="AR1261" s="53"/>
      <c r="AS1261" s="51"/>
      <c r="AT1261" s="51"/>
      <c r="AU1261" s="51"/>
      <c r="AV1261" s="51"/>
      <c r="AW1261" s="51"/>
      <c r="AX1261" s="51"/>
      <c r="AY1261" s="51"/>
    </row>
    <row r="1262" spans="32:51">
      <c r="AF1262" s="51"/>
      <c r="AG1262" s="51"/>
      <c r="AH1262" s="51"/>
      <c r="AI1262" s="51"/>
      <c r="AJ1262" s="51"/>
      <c r="AK1262" s="51"/>
      <c r="AL1262" s="51"/>
      <c r="AM1262" s="51"/>
      <c r="AN1262" s="51"/>
      <c r="AO1262" s="51"/>
      <c r="AP1262" s="51"/>
      <c r="AQ1262" s="51"/>
      <c r="AR1262" s="53"/>
      <c r="AS1262" s="51"/>
      <c r="AT1262" s="51"/>
      <c r="AU1262" s="51"/>
      <c r="AV1262" s="51"/>
      <c r="AW1262" s="51"/>
      <c r="AX1262" s="51"/>
      <c r="AY1262" s="51"/>
    </row>
    <row r="1263" spans="32:51">
      <c r="AF1263" s="51"/>
      <c r="AG1263" s="51"/>
      <c r="AH1263" s="51"/>
      <c r="AI1263" s="51"/>
      <c r="AJ1263" s="51"/>
      <c r="AK1263" s="51"/>
      <c r="AL1263" s="51"/>
      <c r="AM1263" s="51"/>
      <c r="AN1263" s="51"/>
      <c r="AO1263" s="51"/>
      <c r="AP1263" s="51"/>
      <c r="AQ1263" s="51"/>
      <c r="AR1263" s="53"/>
      <c r="AS1263" s="51"/>
      <c r="AT1263" s="51"/>
      <c r="AU1263" s="51"/>
      <c r="AV1263" s="51"/>
      <c r="AW1263" s="51"/>
      <c r="AX1263" s="51"/>
      <c r="AY1263" s="51"/>
    </row>
    <row r="1264" spans="32:51">
      <c r="AF1264" s="51"/>
      <c r="AG1264" s="51"/>
      <c r="AH1264" s="51"/>
      <c r="AI1264" s="51"/>
      <c r="AJ1264" s="51"/>
      <c r="AK1264" s="51"/>
      <c r="AL1264" s="51"/>
      <c r="AM1264" s="51"/>
      <c r="AN1264" s="51"/>
      <c r="AO1264" s="51"/>
      <c r="AP1264" s="51"/>
      <c r="AQ1264" s="51"/>
      <c r="AR1264" s="53"/>
      <c r="AS1264" s="51"/>
      <c r="AT1264" s="51"/>
      <c r="AU1264" s="51"/>
      <c r="AV1264" s="51"/>
      <c r="AW1264" s="51"/>
      <c r="AX1264" s="51"/>
      <c r="AY1264" s="51"/>
    </row>
    <row r="1265" spans="32:51">
      <c r="AF1265" s="51"/>
      <c r="AG1265" s="51"/>
      <c r="AH1265" s="51"/>
      <c r="AI1265" s="51"/>
      <c r="AJ1265" s="51"/>
      <c r="AK1265" s="51"/>
      <c r="AL1265" s="51"/>
      <c r="AM1265" s="51"/>
      <c r="AN1265" s="51"/>
      <c r="AO1265" s="51"/>
      <c r="AP1265" s="51"/>
      <c r="AQ1265" s="51"/>
      <c r="AR1265" s="53"/>
      <c r="AS1265" s="51"/>
      <c r="AT1265" s="51"/>
      <c r="AU1265" s="51"/>
      <c r="AV1265" s="51"/>
      <c r="AW1265" s="51"/>
      <c r="AX1265" s="51"/>
      <c r="AY1265" s="51"/>
    </row>
    <row r="1266" spans="32:51">
      <c r="AF1266" s="51"/>
      <c r="AG1266" s="51"/>
      <c r="AH1266" s="51"/>
      <c r="AI1266" s="51"/>
      <c r="AJ1266" s="51"/>
      <c r="AK1266" s="51"/>
      <c r="AL1266" s="51"/>
      <c r="AM1266" s="51"/>
      <c r="AN1266" s="51"/>
      <c r="AO1266" s="51"/>
      <c r="AP1266" s="51"/>
      <c r="AQ1266" s="51"/>
      <c r="AR1266" s="53"/>
      <c r="AS1266" s="51"/>
      <c r="AT1266" s="51"/>
      <c r="AU1266" s="51"/>
      <c r="AV1266" s="51"/>
      <c r="AW1266" s="51"/>
      <c r="AX1266" s="51"/>
      <c r="AY1266" s="51"/>
    </row>
    <row r="1267" spans="32:51">
      <c r="AF1267" s="51"/>
      <c r="AG1267" s="51"/>
      <c r="AH1267" s="51"/>
      <c r="AI1267" s="51"/>
      <c r="AJ1267" s="51"/>
      <c r="AK1267" s="51"/>
      <c r="AL1267" s="51"/>
      <c r="AM1267" s="51"/>
      <c r="AN1267" s="51"/>
      <c r="AO1267" s="51"/>
      <c r="AP1267" s="51"/>
      <c r="AQ1267" s="51"/>
      <c r="AR1267" s="53"/>
      <c r="AS1267" s="51"/>
      <c r="AT1267" s="51"/>
      <c r="AU1267" s="51"/>
      <c r="AV1267" s="51"/>
      <c r="AW1267" s="51"/>
      <c r="AX1267" s="51"/>
      <c r="AY1267" s="51"/>
    </row>
    <row r="1268" spans="32:51">
      <c r="AF1268" s="51"/>
      <c r="AG1268" s="51"/>
      <c r="AH1268" s="51"/>
      <c r="AI1268" s="51"/>
      <c r="AJ1268" s="51"/>
      <c r="AK1268" s="51"/>
      <c r="AL1268" s="51"/>
      <c r="AM1268" s="51"/>
      <c r="AN1268" s="51"/>
      <c r="AO1268" s="51"/>
      <c r="AP1268" s="51"/>
      <c r="AQ1268" s="51"/>
      <c r="AR1268" s="53"/>
      <c r="AS1268" s="51"/>
      <c r="AT1268" s="51"/>
      <c r="AU1268" s="51"/>
      <c r="AV1268" s="51"/>
      <c r="AW1268" s="51"/>
      <c r="AX1268" s="51"/>
      <c r="AY1268" s="51"/>
    </row>
    <row r="1269" spans="32:51">
      <c r="AF1269" s="51"/>
      <c r="AG1269" s="51"/>
      <c r="AH1269" s="51"/>
      <c r="AI1269" s="51"/>
      <c r="AJ1269" s="51"/>
      <c r="AK1269" s="51"/>
      <c r="AL1269" s="51"/>
      <c r="AM1269" s="51"/>
      <c r="AN1269" s="51"/>
      <c r="AO1269" s="51"/>
      <c r="AP1269" s="51"/>
      <c r="AQ1269" s="51"/>
      <c r="AR1269" s="53"/>
      <c r="AS1269" s="51"/>
      <c r="AT1269" s="51"/>
      <c r="AU1269" s="51"/>
      <c r="AV1269" s="51"/>
      <c r="AW1269" s="51"/>
      <c r="AX1269" s="51"/>
      <c r="AY1269" s="51"/>
    </row>
    <row r="1270" spans="32:51">
      <c r="AF1270" s="51"/>
      <c r="AG1270" s="51"/>
      <c r="AH1270" s="51"/>
      <c r="AI1270" s="51"/>
      <c r="AJ1270" s="51"/>
      <c r="AK1270" s="51"/>
      <c r="AL1270" s="51"/>
      <c r="AM1270" s="51"/>
      <c r="AN1270" s="51"/>
      <c r="AO1270" s="51"/>
      <c r="AP1270" s="51"/>
      <c r="AQ1270" s="51"/>
      <c r="AR1270" s="53"/>
      <c r="AS1270" s="51"/>
      <c r="AT1270" s="51"/>
      <c r="AU1270" s="51"/>
      <c r="AV1270" s="51"/>
      <c r="AW1270" s="51"/>
      <c r="AX1270" s="51"/>
      <c r="AY1270" s="51"/>
    </row>
    <row r="1271" spans="32:51">
      <c r="AF1271" s="51"/>
      <c r="AG1271" s="51"/>
      <c r="AH1271" s="51"/>
      <c r="AI1271" s="51"/>
      <c r="AJ1271" s="51"/>
      <c r="AK1271" s="51"/>
      <c r="AL1271" s="51"/>
      <c r="AM1271" s="51"/>
      <c r="AN1271" s="51"/>
      <c r="AO1271" s="51"/>
      <c r="AP1271" s="51"/>
      <c r="AQ1271" s="51"/>
      <c r="AR1271" s="53"/>
      <c r="AS1271" s="51"/>
      <c r="AT1271" s="51"/>
      <c r="AU1271" s="51"/>
      <c r="AV1271" s="51"/>
      <c r="AW1271" s="51"/>
      <c r="AX1271" s="51"/>
      <c r="AY1271" s="51"/>
    </row>
    <row r="1272" spans="32:51">
      <c r="AF1272" s="51"/>
      <c r="AG1272" s="51"/>
      <c r="AH1272" s="51"/>
      <c r="AI1272" s="51"/>
      <c r="AJ1272" s="51"/>
      <c r="AK1272" s="51"/>
      <c r="AL1272" s="51"/>
      <c r="AM1272" s="51"/>
      <c r="AN1272" s="51"/>
      <c r="AO1272" s="51"/>
      <c r="AP1272" s="51"/>
      <c r="AQ1272" s="51"/>
      <c r="AR1272" s="53"/>
      <c r="AS1272" s="51"/>
      <c r="AT1272" s="51"/>
      <c r="AU1272" s="51"/>
      <c r="AV1272" s="51"/>
      <c r="AW1272" s="51"/>
      <c r="AX1272" s="51"/>
      <c r="AY1272" s="51"/>
    </row>
    <row r="1273" spans="32:51">
      <c r="AF1273" s="51"/>
      <c r="AG1273" s="51"/>
      <c r="AH1273" s="51"/>
      <c r="AI1273" s="51"/>
      <c r="AJ1273" s="51"/>
      <c r="AK1273" s="51"/>
      <c r="AL1273" s="51"/>
      <c r="AM1273" s="51"/>
      <c r="AN1273" s="51"/>
      <c r="AO1273" s="51"/>
      <c r="AP1273" s="51"/>
      <c r="AQ1273" s="51"/>
      <c r="AR1273" s="53"/>
      <c r="AS1273" s="51"/>
      <c r="AT1273" s="51"/>
      <c r="AU1273" s="51"/>
      <c r="AV1273" s="51"/>
      <c r="AW1273" s="51"/>
      <c r="AX1273" s="51"/>
      <c r="AY1273" s="51"/>
    </row>
    <row r="1274" spans="32:51">
      <c r="AF1274" s="51"/>
      <c r="AG1274" s="51"/>
      <c r="AH1274" s="51"/>
      <c r="AI1274" s="51"/>
      <c r="AJ1274" s="51"/>
      <c r="AK1274" s="51"/>
      <c r="AL1274" s="51"/>
      <c r="AM1274" s="51"/>
      <c r="AN1274" s="51"/>
      <c r="AO1274" s="51"/>
      <c r="AP1274" s="51"/>
      <c r="AQ1274" s="51"/>
      <c r="AR1274" s="53"/>
      <c r="AS1274" s="51"/>
      <c r="AT1274" s="51"/>
      <c r="AU1274" s="51"/>
      <c r="AV1274" s="51"/>
      <c r="AW1274" s="51"/>
      <c r="AX1274" s="51"/>
      <c r="AY1274" s="51"/>
    </row>
    <row r="1275" spans="32:51">
      <c r="AF1275" s="51"/>
      <c r="AG1275" s="51"/>
      <c r="AH1275" s="51"/>
      <c r="AI1275" s="51"/>
      <c r="AJ1275" s="51"/>
      <c r="AK1275" s="51"/>
      <c r="AL1275" s="51"/>
      <c r="AM1275" s="51"/>
      <c r="AN1275" s="51"/>
      <c r="AO1275" s="51"/>
      <c r="AP1275" s="51"/>
      <c r="AQ1275" s="51"/>
      <c r="AR1275" s="53"/>
      <c r="AS1275" s="51"/>
      <c r="AT1275" s="51"/>
      <c r="AU1275" s="51"/>
      <c r="AV1275" s="51"/>
      <c r="AW1275" s="51"/>
      <c r="AX1275" s="51"/>
      <c r="AY1275" s="51"/>
    </row>
    <row r="1276" spans="32:51">
      <c r="AF1276" s="51"/>
      <c r="AG1276" s="51"/>
      <c r="AH1276" s="51"/>
      <c r="AI1276" s="51"/>
      <c r="AJ1276" s="51"/>
      <c r="AK1276" s="51"/>
      <c r="AL1276" s="51"/>
      <c r="AM1276" s="51"/>
      <c r="AN1276" s="51"/>
      <c r="AO1276" s="51"/>
      <c r="AP1276" s="51"/>
      <c r="AQ1276" s="51"/>
      <c r="AR1276" s="53"/>
      <c r="AS1276" s="51"/>
      <c r="AT1276" s="51"/>
      <c r="AU1276" s="51"/>
      <c r="AV1276" s="51"/>
      <c r="AW1276" s="51"/>
      <c r="AX1276" s="51"/>
      <c r="AY1276" s="51"/>
    </row>
    <row r="1277" spans="32:51">
      <c r="AF1277" s="51"/>
      <c r="AG1277" s="51"/>
      <c r="AH1277" s="51"/>
      <c r="AI1277" s="51"/>
      <c r="AJ1277" s="51"/>
      <c r="AK1277" s="51"/>
      <c r="AL1277" s="51"/>
      <c r="AM1277" s="51"/>
      <c r="AN1277" s="51"/>
      <c r="AO1277" s="51"/>
      <c r="AP1277" s="51"/>
      <c r="AQ1277" s="51"/>
      <c r="AR1277" s="53"/>
      <c r="AS1277" s="51"/>
      <c r="AT1277" s="51"/>
      <c r="AU1277" s="51"/>
      <c r="AV1277" s="51"/>
      <c r="AW1277" s="51"/>
      <c r="AX1277" s="51"/>
      <c r="AY1277" s="51"/>
    </row>
    <row r="1278" spans="32:51">
      <c r="AF1278" s="51"/>
      <c r="AG1278" s="51"/>
      <c r="AH1278" s="51"/>
      <c r="AI1278" s="51"/>
      <c r="AJ1278" s="51"/>
      <c r="AK1278" s="51"/>
      <c r="AL1278" s="51"/>
      <c r="AM1278" s="51"/>
      <c r="AN1278" s="51"/>
      <c r="AO1278" s="51"/>
      <c r="AP1278" s="51"/>
      <c r="AQ1278" s="51"/>
      <c r="AR1278" s="53"/>
      <c r="AS1278" s="51"/>
      <c r="AT1278" s="51"/>
      <c r="AU1278" s="51"/>
      <c r="AV1278" s="51"/>
      <c r="AW1278" s="51"/>
      <c r="AX1278" s="51"/>
      <c r="AY1278" s="51"/>
    </row>
    <row r="1279" spans="32:51">
      <c r="AF1279" s="51"/>
      <c r="AG1279" s="51"/>
      <c r="AH1279" s="51"/>
      <c r="AI1279" s="51"/>
      <c r="AJ1279" s="51"/>
      <c r="AK1279" s="51"/>
      <c r="AL1279" s="51"/>
      <c r="AM1279" s="51"/>
      <c r="AN1279" s="51"/>
      <c r="AO1279" s="51"/>
      <c r="AP1279" s="51"/>
      <c r="AQ1279" s="51"/>
      <c r="AR1279" s="53"/>
      <c r="AS1279" s="51"/>
      <c r="AT1279" s="51"/>
      <c r="AU1279" s="51"/>
      <c r="AV1279" s="51"/>
      <c r="AW1279" s="51"/>
      <c r="AX1279" s="51"/>
      <c r="AY1279" s="51"/>
    </row>
    <row r="1280" spans="32:51">
      <c r="AF1280" s="51"/>
      <c r="AG1280" s="51"/>
      <c r="AH1280" s="51"/>
      <c r="AI1280" s="51"/>
      <c r="AJ1280" s="51"/>
      <c r="AK1280" s="51"/>
      <c r="AL1280" s="51"/>
      <c r="AM1280" s="51"/>
      <c r="AN1280" s="51"/>
      <c r="AO1280" s="51"/>
      <c r="AP1280" s="51"/>
      <c r="AQ1280" s="51"/>
      <c r="AR1280" s="53"/>
      <c r="AS1280" s="51"/>
      <c r="AT1280" s="51"/>
      <c r="AU1280" s="51"/>
      <c r="AV1280" s="51"/>
      <c r="AW1280" s="51"/>
      <c r="AX1280" s="51"/>
      <c r="AY1280" s="51"/>
    </row>
    <row r="1281" spans="32:51">
      <c r="AF1281" s="51"/>
      <c r="AG1281" s="51"/>
      <c r="AH1281" s="51"/>
      <c r="AI1281" s="51"/>
      <c r="AJ1281" s="51"/>
      <c r="AK1281" s="51"/>
      <c r="AL1281" s="51"/>
      <c r="AM1281" s="51"/>
      <c r="AN1281" s="51"/>
      <c r="AO1281" s="51"/>
      <c r="AP1281" s="51"/>
      <c r="AQ1281" s="51"/>
      <c r="AR1281" s="53"/>
      <c r="AS1281" s="51"/>
      <c r="AT1281" s="51"/>
      <c r="AU1281" s="51"/>
      <c r="AV1281" s="51"/>
      <c r="AW1281" s="51"/>
      <c r="AX1281" s="51"/>
      <c r="AY1281" s="51"/>
    </row>
    <row r="1282" spans="32:51">
      <c r="AF1282" s="51"/>
      <c r="AG1282" s="51"/>
      <c r="AH1282" s="51"/>
      <c r="AI1282" s="51"/>
      <c r="AJ1282" s="51"/>
      <c r="AK1282" s="51"/>
      <c r="AL1282" s="51"/>
      <c r="AM1282" s="51"/>
      <c r="AN1282" s="51"/>
      <c r="AO1282" s="51"/>
      <c r="AP1282" s="51"/>
      <c r="AQ1282" s="51"/>
      <c r="AR1282" s="53"/>
      <c r="AS1282" s="51"/>
      <c r="AT1282" s="51"/>
      <c r="AU1282" s="51"/>
      <c r="AV1282" s="51"/>
      <c r="AW1282" s="51"/>
      <c r="AX1282" s="51"/>
      <c r="AY1282" s="51"/>
    </row>
    <row r="1283" spans="32:51">
      <c r="AF1283" s="51"/>
      <c r="AG1283" s="51"/>
      <c r="AH1283" s="51"/>
      <c r="AI1283" s="51"/>
      <c r="AJ1283" s="51"/>
      <c r="AK1283" s="51"/>
      <c r="AL1283" s="51"/>
      <c r="AM1283" s="51"/>
      <c r="AN1283" s="51"/>
      <c r="AO1283" s="51"/>
      <c r="AP1283" s="51"/>
      <c r="AQ1283" s="51"/>
      <c r="AR1283" s="53"/>
      <c r="AS1283" s="51"/>
      <c r="AT1283" s="51"/>
      <c r="AU1283" s="51"/>
      <c r="AV1283" s="51"/>
      <c r="AW1283" s="51"/>
      <c r="AX1283" s="51"/>
      <c r="AY1283" s="51"/>
    </row>
    <row r="1284" spans="32:51">
      <c r="AF1284" s="51"/>
      <c r="AG1284" s="51"/>
      <c r="AH1284" s="51"/>
      <c r="AI1284" s="51"/>
      <c r="AJ1284" s="51"/>
      <c r="AK1284" s="51"/>
      <c r="AL1284" s="51"/>
      <c r="AM1284" s="51"/>
      <c r="AN1284" s="51"/>
      <c r="AO1284" s="51"/>
      <c r="AP1284" s="51"/>
      <c r="AQ1284" s="51"/>
      <c r="AR1284" s="53"/>
      <c r="AS1284" s="51"/>
      <c r="AT1284" s="51"/>
      <c r="AU1284" s="51"/>
      <c r="AV1284" s="51"/>
      <c r="AW1284" s="51"/>
      <c r="AX1284" s="51"/>
      <c r="AY1284" s="51"/>
    </row>
    <row r="1285" spans="32:51">
      <c r="AF1285" s="51"/>
      <c r="AG1285" s="51"/>
      <c r="AH1285" s="51"/>
      <c r="AI1285" s="51"/>
      <c r="AJ1285" s="51"/>
      <c r="AK1285" s="51"/>
      <c r="AL1285" s="51"/>
      <c r="AM1285" s="51"/>
      <c r="AN1285" s="51"/>
      <c r="AO1285" s="51"/>
      <c r="AP1285" s="51"/>
      <c r="AQ1285" s="51"/>
      <c r="AR1285" s="53"/>
      <c r="AS1285" s="51"/>
      <c r="AT1285" s="51"/>
      <c r="AU1285" s="51"/>
      <c r="AV1285" s="51"/>
      <c r="AW1285" s="51"/>
      <c r="AX1285" s="51"/>
      <c r="AY1285" s="51"/>
    </row>
    <row r="1286" spans="32:51">
      <c r="AF1286" s="51"/>
      <c r="AG1286" s="51"/>
      <c r="AH1286" s="51"/>
      <c r="AI1286" s="51"/>
      <c r="AJ1286" s="51"/>
      <c r="AK1286" s="51"/>
      <c r="AL1286" s="51"/>
      <c r="AM1286" s="51"/>
      <c r="AN1286" s="51"/>
      <c r="AO1286" s="51"/>
      <c r="AP1286" s="51"/>
      <c r="AQ1286" s="51"/>
      <c r="AR1286" s="53"/>
      <c r="AS1286" s="51"/>
      <c r="AT1286" s="51"/>
      <c r="AU1286" s="51"/>
      <c r="AV1286" s="51"/>
      <c r="AW1286" s="51"/>
      <c r="AX1286" s="51"/>
      <c r="AY1286" s="51"/>
    </row>
    <row r="1287" spans="32:51">
      <c r="AF1287" s="51"/>
      <c r="AG1287" s="51"/>
      <c r="AH1287" s="51"/>
      <c r="AI1287" s="51"/>
      <c r="AJ1287" s="51"/>
      <c r="AK1287" s="51"/>
      <c r="AL1287" s="51"/>
      <c r="AM1287" s="51"/>
      <c r="AN1287" s="51"/>
      <c r="AO1287" s="51"/>
      <c r="AP1287" s="51"/>
      <c r="AQ1287" s="51"/>
      <c r="AR1287" s="53"/>
      <c r="AS1287" s="51"/>
      <c r="AT1287" s="51"/>
      <c r="AU1287" s="51"/>
      <c r="AV1287" s="51"/>
      <c r="AW1287" s="51"/>
      <c r="AX1287" s="51"/>
      <c r="AY1287" s="51"/>
    </row>
    <row r="1288" spans="32:51">
      <c r="AF1288" s="51"/>
      <c r="AG1288" s="51"/>
      <c r="AH1288" s="51"/>
      <c r="AI1288" s="51"/>
      <c r="AJ1288" s="51"/>
      <c r="AK1288" s="51"/>
      <c r="AL1288" s="51"/>
      <c r="AM1288" s="51"/>
      <c r="AN1288" s="51"/>
      <c r="AO1288" s="51"/>
      <c r="AP1288" s="51"/>
      <c r="AQ1288" s="51"/>
      <c r="AR1288" s="53"/>
      <c r="AS1288" s="51"/>
      <c r="AT1288" s="51"/>
      <c r="AU1288" s="51"/>
      <c r="AV1288" s="51"/>
      <c r="AW1288" s="51"/>
      <c r="AX1288" s="51"/>
      <c r="AY1288" s="51"/>
    </row>
    <row r="1289" spans="32:51">
      <c r="AF1289" s="51"/>
      <c r="AG1289" s="51"/>
      <c r="AH1289" s="51"/>
      <c r="AI1289" s="51"/>
      <c r="AJ1289" s="51"/>
      <c r="AK1289" s="51"/>
      <c r="AL1289" s="51"/>
      <c r="AM1289" s="51"/>
      <c r="AN1289" s="51"/>
      <c r="AO1289" s="51"/>
      <c r="AP1289" s="51"/>
      <c r="AQ1289" s="51"/>
      <c r="AR1289" s="53"/>
      <c r="AS1289" s="51"/>
      <c r="AT1289" s="51"/>
      <c r="AU1289" s="51"/>
      <c r="AV1289" s="51"/>
      <c r="AW1289" s="51"/>
      <c r="AX1289" s="51"/>
      <c r="AY1289" s="51"/>
    </row>
    <row r="1290" spans="32:51">
      <c r="AF1290" s="51"/>
      <c r="AG1290" s="51"/>
      <c r="AH1290" s="51"/>
      <c r="AI1290" s="51"/>
      <c r="AJ1290" s="51"/>
      <c r="AK1290" s="51"/>
      <c r="AL1290" s="51"/>
      <c r="AM1290" s="51"/>
      <c r="AN1290" s="51"/>
      <c r="AO1290" s="51"/>
      <c r="AP1290" s="51"/>
      <c r="AQ1290" s="51"/>
      <c r="AR1290" s="53"/>
      <c r="AS1290" s="51"/>
      <c r="AT1290" s="51"/>
      <c r="AU1290" s="51"/>
      <c r="AV1290" s="51"/>
      <c r="AW1290" s="51"/>
      <c r="AX1290" s="51"/>
      <c r="AY1290" s="51"/>
    </row>
    <row r="1291" spans="32:51">
      <c r="AF1291" s="51"/>
      <c r="AG1291" s="51"/>
      <c r="AH1291" s="51"/>
      <c r="AI1291" s="51"/>
      <c r="AJ1291" s="51"/>
      <c r="AK1291" s="51"/>
      <c r="AL1291" s="51"/>
      <c r="AM1291" s="51"/>
      <c r="AN1291" s="51"/>
      <c r="AO1291" s="51"/>
      <c r="AP1291" s="51"/>
      <c r="AQ1291" s="51"/>
      <c r="AR1291" s="53"/>
      <c r="AS1291" s="51"/>
      <c r="AT1291" s="51"/>
      <c r="AU1291" s="51"/>
      <c r="AV1291" s="51"/>
      <c r="AW1291" s="51"/>
      <c r="AX1291" s="51"/>
      <c r="AY1291" s="51"/>
    </row>
    <row r="1292" spans="32:51">
      <c r="AF1292" s="51"/>
      <c r="AG1292" s="51"/>
      <c r="AH1292" s="51"/>
      <c r="AI1292" s="51"/>
      <c r="AJ1292" s="51"/>
      <c r="AK1292" s="51"/>
      <c r="AL1292" s="51"/>
      <c r="AM1292" s="51"/>
      <c r="AN1292" s="51"/>
      <c r="AO1292" s="51"/>
      <c r="AP1292" s="51"/>
      <c r="AQ1292" s="51"/>
      <c r="AR1292" s="53"/>
      <c r="AS1292" s="51"/>
      <c r="AT1292" s="51"/>
      <c r="AU1292" s="51"/>
      <c r="AV1292" s="51"/>
      <c r="AW1292" s="51"/>
      <c r="AX1292" s="51"/>
      <c r="AY1292" s="51"/>
    </row>
    <row r="1293" spans="32:51">
      <c r="AF1293" s="51"/>
      <c r="AG1293" s="51"/>
      <c r="AH1293" s="51"/>
      <c r="AI1293" s="51"/>
      <c r="AJ1293" s="51"/>
      <c r="AK1293" s="51"/>
      <c r="AL1293" s="51"/>
      <c r="AM1293" s="51"/>
      <c r="AN1293" s="51"/>
      <c r="AO1293" s="51"/>
      <c r="AP1293" s="51"/>
      <c r="AQ1293" s="51"/>
      <c r="AR1293" s="53"/>
      <c r="AS1293" s="51"/>
      <c r="AT1293" s="51"/>
      <c r="AU1293" s="51"/>
      <c r="AV1293" s="51"/>
      <c r="AW1293" s="51"/>
      <c r="AX1293" s="51"/>
      <c r="AY1293" s="51"/>
    </row>
    <row r="1294" spans="32:51">
      <c r="AF1294" s="51"/>
      <c r="AG1294" s="51"/>
      <c r="AH1294" s="51"/>
      <c r="AI1294" s="51"/>
      <c r="AJ1294" s="51"/>
      <c r="AK1294" s="51"/>
      <c r="AL1294" s="51"/>
      <c r="AM1294" s="51"/>
      <c r="AN1294" s="51"/>
      <c r="AO1294" s="51"/>
      <c r="AP1294" s="51"/>
      <c r="AQ1294" s="51"/>
      <c r="AR1294" s="53"/>
      <c r="AS1294" s="51"/>
      <c r="AT1294" s="51"/>
      <c r="AU1294" s="51"/>
      <c r="AV1294" s="51"/>
      <c r="AW1294" s="51"/>
      <c r="AX1294" s="51"/>
      <c r="AY1294" s="51"/>
    </row>
    <row r="1295" spans="32:51">
      <c r="AF1295" s="51"/>
      <c r="AG1295" s="51"/>
      <c r="AH1295" s="51"/>
      <c r="AI1295" s="51"/>
      <c r="AJ1295" s="51"/>
      <c r="AK1295" s="51"/>
      <c r="AL1295" s="51"/>
      <c r="AM1295" s="51"/>
      <c r="AN1295" s="51"/>
      <c r="AO1295" s="51"/>
      <c r="AP1295" s="51"/>
      <c r="AQ1295" s="51"/>
      <c r="AR1295" s="53"/>
      <c r="AS1295" s="51"/>
      <c r="AT1295" s="51"/>
      <c r="AU1295" s="51"/>
      <c r="AV1295" s="51"/>
      <c r="AW1295" s="51"/>
      <c r="AX1295" s="51"/>
      <c r="AY1295" s="51"/>
    </row>
    <row r="1296" spans="32:51">
      <c r="AF1296" s="51"/>
      <c r="AG1296" s="51"/>
      <c r="AH1296" s="51"/>
      <c r="AI1296" s="51"/>
      <c r="AJ1296" s="51"/>
      <c r="AK1296" s="51"/>
      <c r="AL1296" s="51"/>
      <c r="AM1296" s="51"/>
      <c r="AN1296" s="51"/>
      <c r="AO1296" s="51"/>
      <c r="AP1296" s="51"/>
      <c r="AQ1296" s="51"/>
      <c r="AR1296" s="53"/>
      <c r="AS1296" s="51"/>
      <c r="AT1296" s="51"/>
      <c r="AU1296" s="51"/>
      <c r="AV1296" s="51"/>
      <c r="AW1296" s="51"/>
      <c r="AX1296" s="51"/>
      <c r="AY1296" s="51"/>
    </row>
    <row r="1297" spans="32:51">
      <c r="AF1297" s="51"/>
      <c r="AG1297" s="51"/>
      <c r="AH1297" s="51"/>
      <c r="AI1297" s="51"/>
      <c r="AJ1297" s="51"/>
      <c r="AK1297" s="51"/>
      <c r="AL1297" s="51"/>
      <c r="AM1297" s="51"/>
      <c r="AN1297" s="51"/>
      <c r="AO1297" s="51"/>
      <c r="AP1297" s="51"/>
      <c r="AQ1297" s="51"/>
      <c r="AR1297" s="53"/>
      <c r="AS1297" s="51"/>
      <c r="AT1297" s="51"/>
      <c r="AU1297" s="51"/>
      <c r="AV1297" s="51"/>
      <c r="AW1297" s="51"/>
      <c r="AX1297" s="51"/>
      <c r="AY1297" s="51"/>
    </row>
    <row r="1298" spans="32:51">
      <c r="AF1298" s="51"/>
      <c r="AG1298" s="51"/>
      <c r="AH1298" s="51"/>
      <c r="AI1298" s="51"/>
      <c r="AJ1298" s="51"/>
      <c r="AK1298" s="51"/>
      <c r="AL1298" s="51"/>
      <c r="AM1298" s="51"/>
      <c r="AN1298" s="51"/>
      <c r="AO1298" s="51"/>
      <c r="AP1298" s="51"/>
      <c r="AQ1298" s="51"/>
      <c r="AR1298" s="53"/>
      <c r="AS1298" s="51"/>
      <c r="AT1298" s="51"/>
      <c r="AU1298" s="51"/>
      <c r="AV1298" s="51"/>
      <c r="AW1298" s="51"/>
      <c r="AX1298" s="51"/>
      <c r="AY1298" s="51"/>
    </row>
    <row r="1299" spans="32:51">
      <c r="AF1299" s="51"/>
      <c r="AG1299" s="51"/>
      <c r="AH1299" s="51"/>
      <c r="AI1299" s="51"/>
      <c r="AJ1299" s="51"/>
      <c r="AK1299" s="51"/>
      <c r="AL1299" s="51"/>
      <c r="AM1299" s="51"/>
      <c r="AN1299" s="51"/>
      <c r="AO1299" s="51"/>
      <c r="AP1299" s="51"/>
      <c r="AQ1299" s="51"/>
      <c r="AR1299" s="53"/>
      <c r="AS1299" s="51"/>
      <c r="AT1299" s="51"/>
      <c r="AU1299" s="51"/>
      <c r="AV1299" s="51"/>
      <c r="AW1299" s="51"/>
      <c r="AX1299" s="51"/>
      <c r="AY1299" s="51"/>
    </row>
    <row r="1300" spans="32:51">
      <c r="AF1300" s="51"/>
      <c r="AG1300" s="51"/>
      <c r="AH1300" s="51"/>
      <c r="AI1300" s="51"/>
      <c r="AJ1300" s="51"/>
      <c r="AK1300" s="51"/>
      <c r="AL1300" s="51"/>
      <c r="AM1300" s="51"/>
      <c r="AN1300" s="51"/>
      <c r="AO1300" s="51"/>
      <c r="AP1300" s="51"/>
      <c r="AQ1300" s="51"/>
      <c r="AR1300" s="53"/>
      <c r="AS1300" s="51"/>
      <c r="AT1300" s="51"/>
      <c r="AU1300" s="51"/>
      <c r="AV1300" s="51"/>
      <c r="AW1300" s="51"/>
      <c r="AX1300" s="51"/>
      <c r="AY1300" s="51"/>
    </row>
    <row r="1301" spans="32:51">
      <c r="AF1301" s="51"/>
      <c r="AG1301" s="51"/>
      <c r="AH1301" s="51"/>
      <c r="AI1301" s="51"/>
      <c r="AJ1301" s="51"/>
      <c r="AK1301" s="51"/>
      <c r="AL1301" s="51"/>
      <c r="AM1301" s="51"/>
      <c r="AN1301" s="51"/>
      <c r="AO1301" s="51"/>
      <c r="AP1301" s="51"/>
      <c r="AQ1301" s="51"/>
      <c r="AR1301" s="53"/>
      <c r="AS1301" s="51"/>
      <c r="AT1301" s="51"/>
      <c r="AU1301" s="51"/>
      <c r="AV1301" s="51"/>
      <c r="AW1301" s="51"/>
      <c r="AX1301" s="51"/>
      <c r="AY1301" s="51"/>
    </row>
    <row r="1302" spans="32:51">
      <c r="AF1302" s="51"/>
      <c r="AG1302" s="51"/>
      <c r="AH1302" s="51"/>
      <c r="AI1302" s="51"/>
      <c r="AJ1302" s="51"/>
      <c r="AK1302" s="51"/>
      <c r="AL1302" s="51"/>
      <c r="AM1302" s="51"/>
      <c r="AN1302" s="51"/>
      <c r="AO1302" s="51"/>
      <c r="AP1302" s="51"/>
      <c r="AQ1302" s="51"/>
      <c r="AR1302" s="53"/>
      <c r="AS1302" s="51"/>
      <c r="AT1302" s="51"/>
      <c r="AU1302" s="51"/>
      <c r="AV1302" s="51"/>
      <c r="AW1302" s="51"/>
      <c r="AX1302" s="51"/>
      <c r="AY1302" s="51"/>
    </row>
    <row r="1303" spans="32:51">
      <c r="AF1303" s="51"/>
      <c r="AG1303" s="51"/>
      <c r="AH1303" s="51"/>
      <c r="AI1303" s="51"/>
      <c r="AJ1303" s="51"/>
      <c r="AK1303" s="51"/>
      <c r="AL1303" s="51"/>
      <c r="AM1303" s="51"/>
      <c r="AN1303" s="51"/>
      <c r="AO1303" s="51"/>
      <c r="AP1303" s="51"/>
      <c r="AQ1303" s="51"/>
      <c r="AR1303" s="53"/>
      <c r="AS1303" s="51"/>
      <c r="AT1303" s="51"/>
      <c r="AU1303" s="51"/>
      <c r="AV1303" s="51"/>
      <c r="AW1303" s="51"/>
      <c r="AX1303" s="51"/>
      <c r="AY1303" s="51"/>
    </row>
    <row r="1304" spans="32:51">
      <c r="AF1304" s="51"/>
      <c r="AG1304" s="51"/>
      <c r="AH1304" s="51"/>
      <c r="AI1304" s="51"/>
      <c r="AJ1304" s="51"/>
      <c r="AK1304" s="51"/>
      <c r="AL1304" s="51"/>
      <c r="AM1304" s="51"/>
      <c r="AN1304" s="51"/>
      <c r="AO1304" s="51"/>
      <c r="AP1304" s="51"/>
      <c r="AQ1304" s="51"/>
      <c r="AR1304" s="53"/>
      <c r="AS1304" s="51"/>
      <c r="AT1304" s="51"/>
      <c r="AU1304" s="51"/>
      <c r="AV1304" s="51"/>
      <c r="AW1304" s="51"/>
      <c r="AX1304" s="51"/>
      <c r="AY1304" s="51"/>
    </row>
    <row r="1305" spans="32:51">
      <c r="AF1305" s="51"/>
      <c r="AG1305" s="51"/>
      <c r="AH1305" s="51"/>
      <c r="AI1305" s="51"/>
      <c r="AJ1305" s="51"/>
      <c r="AK1305" s="51"/>
      <c r="AL1305" s="51"/>
      <c r="AM1305" s="51"/>
      <c r="AN1305" s="51"/>
      <c r="AO1305" s="51"/>
      <c r="AP1305" s="51"/>
      <c r="AQ1305" s="51"/>
      <c r="AR1305" s="53"/>
      <c r="AS1305" s="51"/>
      <c r="AT1305" s="51"/>
      <c r="AU1305" s="51"/>
      <c r="AV1305" s="51"/>
      <c r="AW1305" s="51"/>
      <c r="AX1305" s="51"/>
      <c r="AY1305" s="51"/>
    </row>
    <row r="1306" spans="32:51">
      <c r="AF1306" s="51"/>
      <c r="AG1306" s="51"/>
      <c r="AH1306" s="51"/>
      <c r="AI1306" s="51"/>
      <c r="AJ1306" s="51"/>
      <c r="AK1306" s="51"/>
      <c r="AL1306" s="51"/>
      <c r="AM1306" s="51"/>
      <c r="AN1306" s="51"/>
      <c r="AO1306" s="51"/>
      <c r="AP1306" s="51"/>
      <c r="AQ1306" s="51"/>
      <c r="AR1306" s="53"/>
      <c r="AS1306" s="51"/>
      <c r="AT1306" s="51"/>
      <c r="AU1306" s="51"/>
      <c r="AV1306" s="51"/>
      <c r="AW1306" s="51"/>
      <c r="AX1306" s="51"/>
      <c r="AY1306" s="51"/>
    </row>
    <row r="1307" spans="32:51">
      <c r="AF1307" s="51"/>
      <c r="AG1307" s="51"/>
      <c r="AH1307" s="51"/>
      <c r="AI1307" s="51"/>
      <c r="AJ1307" s="51"/>
      <c r="AK1307" s="51"/>
      <c r="AL1307" s="51"/>
      <c r="AM1307" s="51"/>
      <c r="AN1307" s="51"/>
      <c r="AO1307" s="51"/>
      <c r="AP1307" s="51"/>
      <c r="AQ1307" s="51"/>
      <c r="AR1307" s="53"/>
      <c r="AS1307" s="51"/>
      <c r="AT1307" s="51"/>
      <c r="AU1307" s="51"/>
      <c r="AV1307" s="51"/>
      <c r="AW1307" s="51"/>
      <c r="AX1307" s="51"/>
      <c r="AY1307" s="51"/>
    </row>
    <row r="1308" spans="32:51">
      <c r="AF1308" s="51"/>
      <c r="AG1308" s="51"/>
      <c r="AH1308" s="51"/>
      <c r="AI1308" s="51"/>
      <c r="AJ1308" s="51"/>
      <c r="AK1308" s="51"/>
      <c r="AL1308" s="51"/>
      <c r="AM1308" s="51"/>
      <c r="AN1308" s="51"/>
      <c r="AO1308" s="51"/>
      <c r="AP1308" s="51"/>
      <c r="AQ1308" s="51"/>
      <c r="AR1308" s="53"/>
      <c r="AS1308" s="51"/>
      <c r="AT1308" s="51"/>
      <c r="AU1308" s="51"/>
      <c r="AV1308" s="51"/>
      <c r="AW1308" s="51"/>
      <c r="AX1308" s="51"/>
      <c r="AY1308" s="51"/>
    </row>
    <row r="1309" spans="32:51">
      <c r="AF1309" s="51"/>
      <c r="AG1309" s="51"/>
      <c r="AH1309" s="51"/>
      <c r="AI1309" s="51"/>
      <c r="AJ1309" s="51"/>
      <c r="AK1309" s="51"/>
      <c r="AL1309" s="51"/>
      <c r="AM1309" s="51"/>
      <c r="AN1309" s="51"/>
      <c r="AO1309" s="51"/>
      <c r="AP1309" s="51"/>
      <c r="AQ1309" s="51"/>
      <c r="AR1309" s="53"/>
      <c r="AS1309" s="51"/>
      <c r="AT1309" s="51"/>
      <c r="AU1309" s="51"/>
      <c r="AV1309" s="51"/>
      <c r="AW1309" s="51"/>
      <c r="AX1309" s="51"/>
      <c r="AY1309" s="51"/>
    </row>
    <row r="1310" spans="32:51">
      <c r="AF1310" s="51"/>
      <c r="AG1310" s="51"/>
      <c r="AH1310" s="51"/>
      <c r="AI1310" s="51"/>
      <c r="AJ1310" s="51"/>
      <c r="AK1310" s="51"/>
      <c r="AL1310" s="51"/>
      <c r="AM1310" s="51"/>
      <c r="AN1310" s="51"/>
      <c r="AO1310" s="51"/>
      <c r="AP1310" s="51"/>
      <c r="AQ1310" s="51"/>
      <c r="AR1310" s="53"/>
      <c r="AS1310" s="51"/>
      <c r="AT1310" s="51"/>
      <c r="AU1310" s="51"/>
      <c r="AV1310" s="51"/>
      <c r="AW1310" s="51"/>
      <c r="AX1310" s="51"/>
      <c r="AY1310" s="51"/>
    </row>
    <row r="1311" spans="32:51">
      <c r="AF1311" s="51"/>
      <c r="AG1311" s="51"/>
      <c r="AH1311" s="51"/>
      <c r="AI1311" s="51"/>
      <c r="AJ1311" s="51"/>
      <c r="AK1311" s="51"/>
      <c r="AL1311" s="51"/>
      <c r="AM1311" s="51"/>
      <c r="AN1311" s="51"/>
      <c r="AO1311" s="51"/>
      <c r="AP1311" s="51"/>
      <c r="AQ1311" s="51"/>
      <c r="AR1311" s="53"/>
      <c r="AS1311" s="51"/>
      <c r="AT1311" s="51"/>
      <c r="AU1311" s="51"/>
      <c r="AV1311" s="51"/>
      <c r="AW1311" s="51"/>
      <c r="AX1311" s="51"/>
      <c r="AY1311" s="51"/>
    </row>
    <row r="1312" spans="32:51">
      <c r="AF1312" s="51"/>
      <c r="AG1312" s="51"/>
      <c r="AH1312" s="51"/>
      <c r="AI1312" s="51"/>
      <c r="AJ1312" s="51"/>
      <c r="AK1312" s="51"/>
      <c r="AL1312" s="51"/>
      <c r="AM1312" s="51"/>
      <c r="AN1312" s="51"/>
      <c r="AO1312" s="51"/>
      <c r="AP1312" s="51"/>
      <c r="AQ1312" s="51"/>
      <c r="AR1312" s="53"/>
      <c r="AS1312" s="51"/>
      <c r="AT1312" s="51"/>
      <c r="AU1312" s="51"/>
      <c r="AV1312" s="51"/>
      <c r="AW1312" s="51"/>
      <c r="AX1312" s="51"/>
      <c r="AY1312" s="51"/>
    </row>
    <row r="1313" spans="32:51">
      <c r="AF1313" s="51"/>
      <c r="AG1313" s="51"/>
      <c r="AH1313" s="51"/>
      <c r="AI1313" s="51"/>
      <c r="AJ1313" s="51"/>
      <c r="AK1313" s="51"/>
      <c r="AL1313" s="51"/>
      <c r="AM1313" s="51"/>
      <c r="AN1313" s="51"/>
      <c r="AO1313" s="51"/>
      <c r="AP1313" s="51"/>
      <c r="AQ1313" s="51"/>
      <c r="AR1313" s="53"/>
      <c r="AS1313" s="51"/>
      <c r="AT1313" s="51"/>
      <c r="AU1313" s="51"/>
      <c r="AV1313" s="51"/>
      <c r="AW1313" s="51"/>
      <c r="AX1313" s="51"/>
      <c r="AY1313" s="51"/>
    </row>
    <row r="1314" spans="32:51">
      <c r="AF1314" s="51"/>
      <c r="AG1314" s="51"/>
      <c r="AH1314" s="51"/>
      <c r="AI1314" s="51"/>
      <c r="AJ1314" s="51"/>
      <c r="AK1314" s="51"/>
      <c r="AL1314" s="51"/>
      <c r="AM1314" s="51"/>
      <c r="AN1314" s="51"/>
      <c r="AO1314" s="51"/>
      <c r="AP1314" s="51"/>
      <c r="AQ1314" s="51"/>
      <c r="AR1314" s="53"/>
      <c r="AS1314" s="51"/>
      <c r="AT1314" s="51"/>
      <c r="AU1314" s="51"/>
      <c r="AV1314" s="51"/>
      <c r="AW1314" s="51"/>
      <c r="AX1314" s="51"/>
      <c r="AY1314" s="51"/>
    </row>
    <row r="1315" spans="32:51">
      <c r="AF1315" s="51"/>
      <c r="AG1315" s="51"/>
      <c r="AH1315" s="51"/>
      <c r="AI1315" s="51"/>
      <c r="AJ1315" s="51"/>
      <c r="AK1315" s="51"/>
      <c r="AL1315" s="51"/>
      <c r="AM1315" s="51"/>
      <c r="AN1315" s="51"/>
      <c r="AO1315" s="51"/>
      <c r="AP1315" s="51"/>
      <c r="AQ1315" s="51"/>
      <c r="AR1315" s="53"/>
      <c r="AS1315" s="51"/>
      <c r="AT1315" s="51"/>
      <c r="AU1315" s="51"/>
      <c r="AV1315" s="51"/>
      <c r="AW1315" s="51"/>
      <c r="AX1315" s="51"/>
      <c r="AY1315" s="51"/>
    </row>
    <row r="1316" spans="32:51">
      <c r="AF1316" s="51"/>
      <c r="AG1316" s="51"/>
      <c r="AH1316" s="51"/>
      <c r="AI1316" s="51"/>
      <c r="AJ1316" s="51"/>
      <c r="AK1316" s="51"/>
      <c r="AL1316" s="51"/>
      <c r="AM1316" s="51"/>
      <c r="AN1316" s="51"/>
      <c r="AO1316" s="51"/>
      <c r="AP1316" s="51"/>
      <c r="AQ1316" s="51"/>
      <c r="AR1316" s="53"/>
      <c r="AS1316" s="51"/>
      <c r="AT1316" s="51"/>
      <c r="AU1316" s="51"/>
      <c r="AV1316" s="51"/>
      <c r="AW1316" s="51"/>
      <c r="AX1316" s="51"/>
      <c r="AY1316" s="51"/>
    </row>
    <row r="1317" spans="32:51">
      <c r="AF1317" s="51"/>
      <c r="AG1317" s="51"/>
      <c r="AH1317" s="51"/>
      <c r="AI1317" s="51"/>
      <c r="AJ1317" s="51"/>
      <c r="AK1317" s="51"/>
      <c r="AL1317" s="51"/>
      <c r="AM1317" s="51"/>
      <c r="AN1317" s="51"/>
      <c r="AO1317" s="51"/>
      <c r="AP1317" s="51"/>
      <c r="AQ1317" s="51"/>
      <c r="AR1317" s="53"/>
      <c r="AS1317" s="51"/>
      <c r="AT1317" s="51"/>
      <c r="AU1317" s="51"/>
      <c r="AV1317" s="51"/>
      <c r="AW1317" s="51"/>
      <c r="AX1317" s="51"/>
      <c r="AY1317" s="51"/>
    </row>
    <row r="1318" spans="32:51">
      <c r="AF1318" s="51"/>
      <c r="AG1318" s="51"/>
      <c r="AH1318" s="51"/>
      <c r="AI1318" s="51"/>
      <c r="AJ1318" s="51"/>
      <c r="AK1318" s="51"/>
      <c r="AL1318" s="51"/>
      <c r="AM1318" s="51"/>
      <c r="AN1318" s="51"/>
      <c r="AO1318" s="51"/>
      <c r="AP1318" s="51"/>
      <c r="AQ1318" s="51"/>
      <c r="AR1318" s="53"/>
      <c r="AS1318" s="51"/>
      <c r="AT1318" s="51"/>
      <c r="AU1318" s="51"/>
      <c r="AV1318" s="51"/>
      <c r="AW1318" s="51"/>
      <c r="AX1318" s="51"/>
      <c r="AY1318" s="51"/>
    </row>
    <row r="1319" spans="32:51">
      <c r="AF1319" s="51"/>
      <c r="AG1319" s="51"/>
      <c r="AH1319" s="51"/>
      <c r="AI1319" s="51"/>
      <c r="AJ1319" s="51"/>
      <c r="AK1319" s="51"/>
      <c r="AL1319" s="51"/>
      <c r="AM1319" s="51"/>
      <c r="AN1319" s="51"/>
      <c r="AO1319" s="51"/>
      <c r="AP1319" s="51"/>
      <c r="AQ1319" s="51"/>
      <c r="AR1319" s="53"/>
      <c r="AS1319" s="51"/>
      <c r="AT1319" s="51"/>
      <c r="AU1319" s="51"/>
      <c r="AV1319" s="51"/>
      <c r="AW1319" s="51"/>
      <c r="AX1319" s="51"/>
      <c r="AY1319" s="51"/>
    </row>
    <row r="1320" spans="32:51">
      <c r="AF1320" s="51"/>
      <c r="AG1320" s="51"/>
      <c r="AH1320" s="51"/>
      <c r="AI1320" s="51"/>
      <c r="AJ1320" s="51"/>
      <c r="AK1320" s="51"/>
      <c r="AL1320" s="51"/>
      <c r="AM1320" s="51"/>
      <c r="AN1320" s="51"/>
      <c r="AO1320" s="51"/>
      <c r="AP1320" s="51"/>
      <c r="AQ1320" s="51"/>
      <c r="AR1320" s="53"/>
      <c r="AS1320" s="51"/>
      <c r="AT1320" s="51"/>
      <c r="AU1320" s="51"/>
      <c r="AV1320" s="51"/>
      <c r="AW1320" s="51"/>
      <c r="AX1320" s="51"/>
      <c r="AY1320" s="51"/>
    </row>
    <row r="1321" spans="32:51">
      <c r="AF1321" s="51"/>
      <c r="AG1321" s="51"/>
      <c r="AH1321" s="51"/>
      <c r="AI1321" s="51"/>
      <c r="AJ1321" s="51"/>
      <c r="AK1321" s="51"/>
      <c r="AL1321" s="51"/>
      <c r="AM1321" s="51"/>
      <c r="AN1321" s="51"/>
      <c r="AO1321" s="51"/>
      <c r="AP1321" s="51"/>
      <c r="AQ1321" s="51"/>
      <c r="AR1321" s="53"/>
      <c r="AS1321" s="51"/>
      <c r="AT1321" s="51"/>
      <c r="AU1321" s="51"/>
      <c r="AV1321" s="51"/>
      <c r="AW1321" s="51"/>
      <c r="AX1321" s="51"/>
      <c r="AY1321" s="51"/>
    </row>
    <row r="1322" spans="32:51">
      <c r="AF1322" s="51"/>
      <c r="AG1322" s="51"/>
      <c r="AH1322" s="51"/>
      <c r="AI1322" s="51"/>
      <c r="AJ1322" s="51"/>
      <c r="AK1322" s="51"/>
      <c r="AL1322" s="51"/>
      <c r="AM1322" s="51"/>
      <c r="AN1322" s="51"/>
      <c r="AO1322" s="51"/>
      <c r="AP1322" s="51"/>
      <c r="AQ1322" s="51"/>
      <c r="AR1322" s="53"/>
      <c r="AS1322" s="51"/>
      <c r="AT1322" s="51"/>
      <c r="AU1322" s="51"/>
      <c r="AV1322" s="51"/>
      <c r="AW1322" s="51"/>
      <c r="AX1322" s="51"/>
      <c r="AY1322" s="51"/>
    </row>
    <row r="1323" spans="32:51">
      <c r="AF1323" s="51"/>
      <c r="AG1323" s="51"/>
      <c r="AH1323" s="51"/>
      <c r="AI1323" s="51"/>
      <c r="AJ1323" s="51"/>
      <c r="AK1323" s="51"/>
      <c r="AL1323" s="51"/>
      <c r="AM1323" s="51"/>
      <c r="AN1323" s="51"/>
      <c r="AO1323" s="51"/>
      <c r="AP1323" s="51"/>
      <c r="AQ1323" s="51"/>
      <c r="AR1323" s="51"/>
      <c r="AS1323" s="51"/>
      <c r="AT1323" s="51"/>
      <c r="AU1323" s="51"/>
      <c r="AV1323" s="51"/>
      <c r="AW1323" s="51"/>
      <c r="AX1323" s="51"/>
      <c r="AY1323" s="51"/>
    </row>
    <row r="1324" spans="32:51">
      <c r="AF1324" s="51"/>
      <c r="AG1324" s="51"/>
      <c r="AH1324" s="51"/>
      <c r="AI1324" s="51"/>
      <c r="AJ1324" s="51"/>
      <c r="AK1324" s="51"/>
      <c r="AL1324" s="51"/>
      <c r="AM1324" s="51"/>
      <c r="AN1324" s="51"/>
      <c r="AO1324" s="51"/>
      <c r="AP1324" s="51"/>
      <c r="AQ1324" s="51"/>
      <c r="AR1324" s="51"/>
      <c r="AS1324" s="51"/>
      <c r="AT1324" s="51"/>
      <c r="AU1324" s="51"/>
      <c r="AV1324" s="51"/>
      <c r="AW1324" s="51"/>
      <c r="AX1324" s="51"/>
      <c r="AY1324" s="51"/>
    </row>
    <row r="1325" spans="32:51">
      <c r="AF1325" s="51"/>
      <c r="AG1325" s="51"/>
      <c r="AH1325" s="51"/>
      <c r="AI1325" s="51"/>
      <c r="AJ1325" s="51"/>
      <c r="AK1325" s="51"/>
      <c r="AL1325" s="51"/>
      <c r="AM1325" s="51"/>
      <c r="AN1325" s="51"/>
      <c r="AO1325" s="51"/>
      <c r="AP1325" s="51"/>
      <c r="AQ1325" s="51"/>
      <c r="AR1325" s="51"/>
      <c r="AS1325" s="51"/>
      <c r="AT1325" s="51"/>
      <c r="AU1325" s="51"/>
      <c r="AV1325" s="51"/>
      <c r="AW1325" s="51"/>
      <c r="AX1325" s="51"/>
      <c r="AY1325" s="51"/>
    </row>
    <row r="1326" spans="32:51">
      <c r="AF1326" s="51"/>
      <c r="AG1326" s="51"/>
      <c r="AH1326" s="51"/>
      <c r="AI1326" s="51"/>
      <c r="AJ1326" s="51"/>
      <c r="AK1326" s="51"/>
      <c r="AL1326" s="51"/>
      <c r="AM1326" s="51"/>
      <c r="AN1326" s="51"/>
      <c r="AO1326" s="51"/>
      <c r="AP1326" s="51"/>
      <c r="AQ1326" s="51"/>
      <c r="AR1326" s="51"/>
      <c r="AS1326" s="51"/>
      <c r="AT1326" s="51"/>
      <c r="AU1326" s="51"/>
      <c r="AV1326" s="51"/>
      <c r="AW1326" s="51"/>
      <c r="AX1326" s="51"/>
      <c r="AY1326" s="51"/>
    </row>
  </sheetData>
  <phoneticPr fontId="1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4</xdr:col>
                    <xdr:colOff>19050</xdr:colOff>
                    <xdr:row>4</xdr:row>
                    <xdr:rowOff>28575</xdr:rowOff>
                  </from>
                  <to>
                    <xdr:col>4</xdr:col>
                    <xdr:colOff>2724150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4</xdr:col>
                    <xdr:colOff>19050</xdr:colOff>
                    <xdr:row>5</xdr:row>
                    <xdr:rowOff>228600</xdr:rowOff>
                  </from>
                  <to>
                    <xdr:col>4</xdr:col>
                    <xdr:colOff>2714625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lect_WLGen_out">
                <anchor moveWithCells="1" sizeWithCells="1">
                  <from>
                    <xdr:col>17</xdr:col>
                    <xdr:colOff>28575</xdr:colOff>
                    <xdr:row>4</xdr:row>
                    <xdr:rowOff>28575</xdr:rowOff>
                  </from>
                  <to>
                    <xdr:col>17</xdr:col>
                    <xdr:colOff>2724150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xport_WLGen">
                <anchor moveWithCells="1" sizeWithCells="1">
                  <from>
                    <xdr:col>17</xdr:col>
                    <xdr:colOff>28575</xdr:colOff>
                    <xdr:row>5</xdr:row>
                    <xdr:rowOff>219075</xdr:rowOff>
                  </from>
                  <to>
                    <xdr:col>17</xdr:col>
                    <xdr:colOff>2724150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fill_WLGenMasses">
                <anchor moveWithCells="1" sizeWithCells="1">
                  <from>
                    <xdr:col>17</xdr:col>
                    <xdr:colOff>28575</xdr:colOff>
                    <xdr:row>8</xdr:row>
                    <xdr:rowOff>47625</xdr:rowOff>
                  </from>
                  <to>
                    <xdr:col>18</xdr:col>
                    <xdr:colOff>1038225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Tabelle3.show_JBOOST_section">
                <anchor moveWithCells="1" sizeWithCells="1">
                  <from>
                    <xdr:col>0</xdr:col>
                    <xdr:colOff>66675</xdr:colOff>
                    <xdr:row>3</xdr:row>
                    <xdr:rowOff>104775</xdr:rowOff>
                  </from>
                  <to>
                    <xdr:col>3</xdr:col>
                    <xdr:colOff>3257550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Tabelle3.show_WLGen_section">
                <anchor moveWithCells="1" sizeWithCells="1">
                  <from>
                    <xdr:col>0</xdr:col>
                    <xdr:colOff>66675</xdr:colOff>
                    <xdr:row>7</xdr:row>
                    <xdr:rowOff>104775</xdr:rowOff>
                  </from>
                  <to>
                    <xdr:col>3</xdr:col>
                    <xdr:colOff>3267075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Tabelle3.show_Bladed_section">
                <anchor moveWithCells="1" sizeWithCells="1">
                  <from>
                    <xdr:col>0</xdr:col>
                    <xdr:colOff>76200</xdr:colOff>
                    <xdr:row>11</xdr:row>
                    <xdr:rowOff>85725</xdr:rowOff>
                  </from>
                  <to>
                    <xdr:col>3</xdr:col>
                    <xdr:colOff>3276600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fill_Bladed_table">
                <anchor moveWithCells="1" sizeWithCells="1">
                  <from>
                    <xdr:col>31</xdr:col>
                    <xdr:colOff>57150</xdr:colOff>
                    <xdr:row>4</xdr:row>
                    <xdr:rowOff>85725</xdr:rowOff>
                  </from>
                  <to>
                    <xdr:col>33</xdr:col>
                    <xdr:colOff>1238250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7"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34" sqref="B34"/>
    </sheetView>
  </sheetViews>
  <sheetFormatPr baseColWidth="10" defaultRowHeight="15"/>
  <cols>
    <col min="2" max="2" width="130.7109375" customWidth="1"/>
  </cols>
  <sheetData>
    <row r="2" spans="2:4">
      <c r="C2" t="s">
        <v>68</v>
      </c>
    </row>
    <row r="3" spans="2:4" ht="17.25" customHeight="1">
      <c r="B3" s="49" t="s">
        <v>50</v>
      </c>
    </row>
    <row r="4" spans="2:4" ht="17.25" customHeight="1">
      <c r="B4" s="49" t="s">
        <v>51</v>
      </c>
      <c r="D4" s="49"/>
    </row>
    <row r="5" spans="2:4" ht="17.25" customHeight="1">
      <c r="B5" s="49" t="s">
        <v>52</v>
      </c>
    </row>
    <row r="6" spans="2:4" ht="17.25" customHeight="1">
      <c r="B6" s="49" t="s">
        <v>53</v>
      </c>
    </row>
    <row r="7" spans="2:4" ht="17.25" customHeight="1">
      <c r="B7" s="50" t="s">
        <v>54</v>
      </c>
    </row>
    <row r="8" spans="2:4" ht="17.25" customHeight="1">
      <c r="B8" s="50" t="s">
        <v>55</v>
      </c>
    </row>
    <row r="9" spans="2:4" ht="17.25" customHeight="1">
      <c r="B9" s="50" t="s">
        <v>56</v>
      </c>
    </row>
    <row r="10" spans="2:4" ht="17.25" customHeight="1">
      <c r="B10" s="50" t="s">
        <v>57</v>
      </c>
    </row>
    <row r="11" spans="2:4" ht="17.25" customHeight="1">
      <c r="B11" s="50" t="s">
        <v>58</v>
      </c>
    </row>
    <row r="12" spans="2:4" ht="17.25" customHeight="1">
      <c r="B12" s="49" t="s">
        <v>229</v>
      </c>
    </row>
    <row r="13" spans="2:4" ht="17.25" customHeight="1">
      <c r="B13" s="49" t="s">
        <v>59</v>
      </c>
    </row>
    <row r="14" spans="2:4" ht="17.25" customHeight="1">
      <c r="B14" s="49" t="s">
        <v>60</v>
      </c>
    </row>
    <row r="15" spans="2:4" ht="17.25" customHeight="1">
      <c r="B15" s="49" t="s">
        <v>61</v>
      </c>
    </row>
    <row r="16" spans="2:4" ht="17.25" customHeight="1">
      <c r="B16" s="49" t="s">
        <v>62</v>
      </c>
    </row>
    <row r="17" spans="2:2" ht="17.25" customHeight="1">
      <c r="B17" s="49" t="s">
        <v>63</v>
      </c>
    </row>
    <row r="18" spans="2:2" ht="17.25" customHeight="1">
      <c r="B18" s="49" t="s">
        <v>64</v>
      </c>
    </row>
    <row r="19" spans="2:2" ht="17.25" customHeight="1">
      <c r="B19" s="49" t="s">
        <v>65</v>
      </c>
    </row>
    <row r="20" spans="2:2" ht="17.25" customHeight="1">
      <c r="B20" s="49" t="s">
        <v>66</v>
      </c>
    </row>
    <row r="21" spans="2:2" ht="17.25" customHeight="1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33</vt:i4>
      </vt:variant>
    </vt:vector>
  </HeadingPairs>
  <TitlesOfParts>
    <vt:vector size="39" baseType="lpstr">
      <vt:lpstr>GlobalConfig</vt:lpstr>
      <vt:lpstr>CreateStucture</vt:lpstr>
      <vt:lpstr>BuildYourStructure</vt:lpstr>
      <vt:lpstr>StructureOverview</vt:lpstr>
      <vt:lpstr>ExportStructure</vt:lpstr>
      <vt:lpstr>Loop</vt:lpstr>
      <vt:lpstr>Assambly_plot</vt:lpstr>
      <vt:lpstr>Assambly_plot_Overview</vt:lpstr>
      <vt:lpstr>Assambly_plot_Overview2</vt:lpstr>
      <vt:lpstr>debug_mode</vt:lpstr>
      <vt:lpstr>DISPL_MP</vt:lpstr>
      <vt:lpstr>DISPL_TOWER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Text</vt:lpstr>
      <vt:lpstr>TextBox_Import_MP_path</vt:lpstr>
      <vt:lpstr>TextBox_MP_db_path</vt:lpstr>
      <vt:lpstr>TextBox_RNA_db_path</vt:lpstr>
      <vt:lpstr>TextBox_TOWER_db_path</vt:lpstr>
      <vt:lpstr>TextBox_TOWER_db_path2</vt:lpstr>
      <vt:lpstr>TextBox_TP_db_path</vt:lpstr>
      <vt:lpstr>TOWER_plot</vt:lpstr>
      <vt:lpstr>TP_plot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2025-08-21T12:27:39Z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