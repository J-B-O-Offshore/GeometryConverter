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F8B7C1AA-477B-4FC5-90D3-49DE76D11D2F}" xr6:coauthVersionLast="47" xr6:coauthVersionMax="47" xr10:uidLastSave="{00000000-0000-0000-0000-000000000000}"/>
  <bookViews>
    <workbookView xWindow="-120" yWindow="-120" windowWidth="29040" windowHeight="17520" activeTab="1" xr2:uid="{52C6B389-4C94-430F-9043-C68D8C94A3E4}"/>
  </bookViews>
  <sheets>
    <sheet name="CreateStucture" sheetId="1" r:id="rId1"/>
    <sheet name="BuildYourStructure" sheetId="5" r:id="rId2"/>
    <sheet name="Overview" sheetId="2" r:id="rId3"/>
    <sheet name="Loop" sheetId="3" r:id="rId4"/>
  </sheets>
  <functionGroups builtInGroupCount="19"/>
  <externalReferences>
    <externalReference r:id="rId5"/>
    <externalReference r:id="rId6"/>
  </externalReferences>
  <definedNames>
    <definedName name="Tabale_MP_META">BuildYourStructure!$B$8</definedName>
    <definedName name="Table_MP_DATA">BuildYourStructure!$N$14</definedName>
    <definedName name="Table_MP_META">BuildYourStructure!$B$8</definedName>
    <definedName name="Table_TP_DATA">BuildYourStructure!$AL$14</definedName>
    <definedName name="Table_TP_META">BuildYourStructure!$Z$8</definedName>
    <definedName name="TextBox_MP_db_path">BuildYourStructure!$C$4</definedName>
    <definedName name="TextBox_TP_db_path">BuildYourStructure!$AA$4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<sst xmlns="http://schemas.openxmlformats.org/spreadsheetml/2006/main" count="230" uniqueCount="137">
  <si>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</si>
  <si>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</si>
  <si>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</si>
  <si>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</si>
  <si>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</si>
  <si>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</si>
  <si>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</si>
  <si>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</si>
  <si>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</si>
  <si>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</si>
  <si>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</si>
  <si>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</si>
  <si>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</si>
  <si>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</si>
  <si>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</si>
  <si>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</si>
  <si>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</si>
  <si>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</si>
  <si>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</si>
  <si>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</si>
  <si>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</si>
  <si>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</si>
  <si>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</si>
  <si>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</si>
  <si>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</si>
  <si>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</si>
  <si>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</si>
  <si>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</si>
  <si>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</si>
  <si>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</si>
  <si>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</si>
  <si>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</si>
  <si>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</si>
  <si>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</si>
  <si>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</si>
  <si>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</si>
  <si>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</si>
  <si>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</si>
  <si>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</si>
  <si>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</si>
  <si>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</si>
  <si>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</si>
  <si>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</si>
  <si>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</si>
  <si>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</si>
  <si>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</si>
  <si>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</si>
  <si>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</si>
  <si>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</si>
  <si>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</si>
  <si>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</si>
  <si>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</si>
  <si>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</si>
  <si>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</si>
  <si>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</si>
  <si>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</si>
  <si>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</si>
  <si>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</si>
  <si>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</si>
  <si>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</si>
  <si>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</si>
  <si>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</si>
  <si>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</si>
  <si>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</si>
  <si>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</si>
  <si>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</si>
  <si>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</si>
  <si>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</si>
  <si>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</si>
  <si>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</si>
  <si>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</si>
  <si>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</si>
  <si>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</si>
  <si>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</si>
  <si>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</si>
  <si>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</si>
  <si>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</si>
  <si>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</si>
  <si>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</si>
  <si>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</si>
  <si>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</si>
  <si>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</si>
  <si>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</si>
  <si>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</si>
  <si>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</si>
  <si>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</si>
  <si>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</si>
  <si>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</si>
  <si>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</si>
  <si>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</si>
  <si>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</si>
  <si>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</si>
  <si>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</si>
  <si>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</si>
  <si>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</si>
  <si>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</si>
  <si>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</si>
  <si>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</si>
  <si>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</si>
  <si>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</si>
  <si>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</si>
  <si>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</si>
  <si>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</si>
  <si>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</si>
  <si>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</si>
  <si>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</si>
  <si>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</si>
  <si>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</si>
  <si>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</si>
  <si>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</si>
  <si>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</si>
  <si>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</si>
  <si>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C:\Users\aaron.lange\Desktop\Projekte\Geometrie_Converter\GeometrieConverter\databases\MP.db</t>
  </si>
  <si>
    <t>project_id</t>
  </si>
  <si>
    <t>index</t>
  </si>
  <si>
    <t>table_name</t>
  </si>
  <si>
    <t>project_name</t>
  </si>
  <si>
    <t>TP</t>
  </si>
  <si>
    <t>C:\Users\aaron.lange\Desktop\Projekte\Geometrie_Converter\GeometrieConverter\databases\TP.db</t>
  </si>
  <si>
    <t>LOADED</t>
  </si>
  <si>
    <t>NEW</t>
  </si>
  <si>
    <t>25F123</t>
  </si>
  <si>
    <t>Project1</t>
  </si>
  <si>
    <t>Nordesee, pilapo</t>
  </si>
  <si>
    <t>(edit for new db entry)</t>
  </si>
  <si>
    <t>Explanation</t>
  </si>
  <si>
    <t>don't sort</t>
  </si>
  <si>
    <t>(don't edit)</t>
  </si>
  <si>
    <t>click to show db data</t>
  </si>
  <si>
    <t xml:space="preserve">Unchanged data Saved in DB </t>
  </si>
  <si>
    <t>MP01</t>
  </si>
  <si>
    <t>25F234</t>
  </si>
  <si>
    <t>Project2</t>
  </si>
  <si>
    <t>Ostesee, pilapo</t>
  </si>
  <si>
    <t>TP02</t>
  </si>
  <si>
    <t>wq</t>
  </si>
  <si>
    <t>qw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</si>
</sst>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8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164" fontId="1" fillId="0" borderId="0"/>
  </cellStyleXfs>
  <cellXfs count="102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1" fillId="0" borderId="0" xfId="0" applyFont="1"/>
    <xf numFmtId="0" fontId="5" fillId="17" borderId="0" xfId="0" applyFont="1" applyFill="1"/>
    <xf numFmtId="0" fontId="0" fillId="0" borderId="0" xfId="0" applyAlignment="1">
      <alignment vertical="center"/>
    </xf>
    <xf numFmtId="0" fontId="12" fillId="17" borderId="0" xfId="0" applyFont="1" applyFill="1"/>
    <xf numFmtId="0" fontId="12" fillId="0" borderId="0" xfId="0" applyFont="1"/>
    <xf numFmtId="0" fontId="3" fillId="0" borderId="0" xfId="0" applyFont="1"/>
    <xf numFmtId="0" fontId="0" fillId="0" borderId="25" xfId="0" applyBorder="1"/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  <xf numFmtId="0" fontId="0" fillId="0" borderId="0" xfId="0" applyFill="1"/>
    <xf numFmtId="0" fontId="0" fillId="18" borderId="0" xfId="0" applyFill="1"/>
  </cellXfs>
  <cellStyles count="2">
    <cellStyle name="Standard" xfId="0" builtinId="0"/>
    <cellStyle name="Standard 4" xfId="1" xr:uid="{7C2E7282-4006-4D40-8AAC-8E6944058B8E}"/>
  </cellStyles>
  <dxfs count="4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6" noThreeD="1" sel="3" val="0">
  <itemLst>
    <item val="MP01"/>
    <item val="MP02"/>
    <item val="MP03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6" noThreeD="1" sel="2" val="0">
  <itemLst>
    <item val="TP01"/>
    <item val="TP02"/>
    <item val="TP03"/>
  </itemLst>
</formControlPr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161925</xdr:rowOff>
        </xdr:from>
        <xdr:to>
          <xdr:col>4</xdr:col>
          <xdr:colOff>333375</xdr:colOff>
          <xdr:row>5</xdr:row>
          <xdr:rowOff>142875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28575</xdr:rowOff>
        </xdr:from>
        <xdr:to>
          <xdr:col>1</xdr:col>
          <xdr:colOff>800100</xdr:colOff>
          <xdr:row>3</xdr:row>
          <xdr:rowOff>257175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47625</xdr:colOff>
          <xdr:row>4</xdr:row>
          <xdr:rowOff>161925</xdr:rowOff>
        </xdr:from>
        <xdr:to>
          <xdr:col>28</xdr:col>
          <xdr:colOff>438150</xdr:colOff>
          <xdr:row>5</xdr:row>
          <xdr:rowOff>152400</xdr:rowOff>
        </xdr:to>
        <xdr:sp macro="" textlink="">
          <xdr:nvSpPr>
            <xdr:cNvPr id="4104" name="Dropdown_TP_Structure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28575</xdr:colOff>
          <xdr:row>3</xdr:row>
          <xdr:rowOff>28575</xdr:rowOff>
        </xdr:from>
        <xdr:to>
          <xdr:col>25</xdr:col>
          <xdr:colOff>800100</xdr:colOff>
          <xdr:row>3</xdr:row>
          <xdr:rowOff>257175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7</xdr:row>
          <xdr:rowOff>47625</xdr:rowOff>
        </xdr:from>
        <xdr:to>
          <xdr:col>11</xdr:col>
          <xdr:colOff>704850</xdr:colOff>
          <xdr:row>9</xdr:row>
          <xdr:rowOff>38100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0</xdr:rowOff>
        </xdr:from>
        <xdr:to>
          <xdr:col>2</xdr:col>
          <xdr:colOff>95250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19050</xdr:rowOff>
        </xdr:from>
        <xdr:to>
          <xdr:col>3</xdr:col>
          <xdr:colOff>600075</xdr:colOff>
          <xdr:row>12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6">
          <cell r="H36"/>
          <cell r="I36"/>
          <cell r="J36"/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5B7EAF-F4B3-4CB0-91CE-F052BEDE2D4C}" name="TP_DATA_TRUE" displayName="TP_DATA_TRUE" ref="AL14:AV39" totalsRowShown="0" headerRowDxfId="43">
  <autoFilter ref="AL14:AV39" xr:uid="{A05B7EAF-F4B3-4CB0-91CE-F052BEDE2D4C}"/>
  <tableColumns count="11">
    <tableColumn id="1" xr3:uid="{36A8AEBD-BCE8-4616-8BF1-244AC23DF635}" name="index"/>
    <tableColumn id="2" xr3:uid="{213DB178-23F5-4B18-8924-D2FACACFCB01}" name="Section"/>
    <tableColumn id="3" xr3:uid="{6D3244F2-6451-433F-B598-0434C7F17652}" name="Top"/>
    <tableColumn id="4" xr3:uid="{4323E14B-B20E-45CB-80B5-9ABE1324ECAB}" name="Bottom"/>
    <tableColumn id="5" xr3:uid="{D7E7C610-6414-4B3C-AC77-FEECE8F7A393}" name="D, top"/>
    <tableColumn id="6" xr3:uid="{5EF5BF37-07D0-4397-83DE-A67BCED8D316}" name="D, bottom"/>
    <tableColumn id="7" xr3:uid="{3B1F32B8-4836-442E-9D2C-7597DC9A451E}" name="t"/>
    <tableColumn id="8" xr3:uid="{AF86B466-0EF1-40EB-8643-1BAD6D93EF61}" name="Length"/>
    <tableColumn id="9" xr3:uid="{67FFD4A3-8671-43FC-92B4-7759AD2DC9DA}" name="Slope"/>
    <tableColumn id="10" xr3:uid="{F716DFDA-E68A-4605-A7A1-557C8748D22B}" name="Weight"/>
    <tableColumn id="11" xr3:uid="{B8AE2F28-2D24-4C83-BC72-E32EB0FF3DBF}" name="D/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DAAB8B-984A-463F-BA14-6D7DB6C1880F}" name="MP_DATA_TRUE" displayName="MP_DATA_TRUE" ref="N14:X39" totalsRowShown="0" dataDxfId="42">
  <autoFilter ref="N14:X39" xr:uid="{13DAAB8B-984A-463F-BA14-6D7DB6C1880F}"/>
  <tableColumns count="11">
    <tableColumn id="1" xr3:uid="{2D1F1E3D-35EF-4A00-8D95-8E35933021D2}" name="index" dataDxfId="41"/>
    <tableColumn id="2" xr3:uid="{343AE5A2-FD8C-4865-83CB-D7ADBD79CF1C}" name="Section" dataDxfId="40"/>
    <tableColumn id="3" xr3:uid="{9FC7306C-9191-4061-9433-606EF3FF343B}" name="Top" dataDxfId="39"/>
    <tableColumn id="4" xr3:uid="{54361E3A-894E-483A-B766-9CE77D2FF818}" name="Bottom" dataDxfId="38"/>
    <tableColumn id="5" xr3:uid="{CEF36E03-B817-4C73-B60C-748377B7D12F}" name="D, top" dataDxfId="37"/>
    <tableColumn id="6" xr3:uid="{932FEDCA-20AD-4CEF-8355-F739B9B740DC}" name="D, bottom" dataDxfId="36"/>
    <tableColumn id="7" xr3:uid="{808652A8-2621-426D-8ACE-D15E8FB8EF37}" name="t" dataDxfId="35"/>
    <tableColumn id="8" xr3:uid="{E0FBB75A-13D0-49AE-9E47-7771A91A1A86}" name="Length" dataDxfId="34"/>
    <tableColumn id="9" xr3:uid="{17647291-3A3F-4EC9-A563-2C4BD116E560}" name="Slope" dataDxfId="33"/>
    <tableColumn id="10" xr3:uid="{9AE97C37-E67A-4D45-A4E1-AB975157AE44}" name="Weight" dataDxfId="32"/>
    <tableColumn id="11" xr3:uid="{D39FEFBC-545E-495D-B13E-DC3212ACCD6B}" name="D/t" dataDxfId="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8:F9" totalsRowShown="0" headerRowDxfId="30">
  <autoFilter ref="B8:F9" xr:uid="{51AF5F9E-A6E5-4BA1-83BE-2546351DAE06}"/>
  <tableColumns count="5">
    <tableColumn id="1" xr3:uid="{8004DE55-01A0-4AB5-A007-D379F8ED184F}" name="index" dataDxfId="29"/>
    <tableColumn id="2" xr3:uid="{73AEE22B-B9CF-4401-B31E-64902257C6A9}" name="table_name"/>
    <tableColumn id="3" xr3:uid="{6CD7BEF9-707B-4F7D-A334-46DB51B6F454}" name="project_id"/>
    <tableColumn id="4" xr3:uid="{5572AB9F-884A-4001-85E7-5E708A2DFC71}" name="project_name"/>
    <tableColumn id="5" xr3:uid="{AFCB5F1D-C5C1-4D21-A7C0-310C0D52F9E4}" name="comm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448141-751E-4CE2-A594-6FB37278B989}" name="TP_META" displayName="TP_META" ref="Z8:AD9" totalsRowShown="0" headerRowDxfId="28">
  <autoFilter ref="Z8:AD9" xr:uid="{94448141-751E-4CE2-A594-6FB37278B989}"/>
  <tableColumns count="5">
    <tableColumn id="1" xr3:uid="{57DB9C8F-6298-444F-B781-43E493EC350C}" name="index"/>
    <tableColumn id="2" xr3:uid="{E7173C8D-9FFE-458C-872E-CE7E40948D81}" name="table_name"/>
    <tableColumn id="3" xr3:uid="{F7ED4469-200D-42A4-AC13-864E25AA4DF7}" name="project_id"/>
    <tableColumn id="4" xr3:uid="{51AB38F8-F9F6-4EC5-98F3-EF7061139063}" name="project_name"/>
    <tableColumn id="5" xr3:uid="{9757B10C-0135-418C-998A-27E8CF880303}" name="com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11:F12" totalsRowShown="0" headerRowDxfId="27">
  <autoFilter ref="B11:F12" xr:uid="{58117B73-5FCA-4002-A528-31B3F83BDE75}"/>
  <tableColumns count="5">
    <tableColumn id="1" xr3:uid="{5C484AAB-AA0F-4FBD-9543-28D80EB7F84D}" name="index" dataDxfId="26"/>
    <tableColumn id="2" xr3:uid="{87603448-795E-499B-8754-D6455D5FF52F}" name="table_name"/>
    <tableColumn id="3" xr3:uid="{51EA6487-4EF3-43A9-B440-34893EEEEAB2}" name="project_id"/>
    <tableColumn id="4" xr3:uid="{4AC48BB5-6D2E-492F-89B1-5662010991A8}" name="project_name"/>
    <tableColumn id="5" xr3:uid="{2AE3ED2D-7CAB-45B8-AA43-6197A5DBB9C2}" name="com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14:L39" totalsRowShown="0" headerRowDxfId="25" dataDxfId="0">
  <autoFilter ref="B14:L39" xr:uid="{C9C31EE9-6B44-4D67-9597-BD108F88B355}"/>
  <sortState xmlns:xlrd2="http://schemas.microsoft.com/office/spreadsheetml/2017/richdata2" ref="B15:L39">
    <sortCondition ref="B14:B39"/>
  </sortState>
  <tableColumns count="11">
    <tableColumn id="1" xr3:uid="{15F53C56-04A7-4EA4-A64D-A2A5A78E2AA2}" name="index" dataDxfId="11"/>
    <tableColumn id="2" xr3:uid="{01B5124C-F6E1-40D2-9236-F2D6BE941DD3}" name="Section" dataDxfId="10"/>
    <tableColumn id="3" xr3:uid="{0537C90E-D320-4AC4-8392-2A7C45CE31A1}" name="Top" dataDxfId="9"/>
    <tableColumn id="4" xr3:uid="{3F0DC3DB-26F8-4D70-A358-70EF5E1596F5}" name="Bottom" dataDxfId="8"/>
    <tableColumn id="5" xr3:uid="{25F6B1D8-AC49-468F-BDCD-72AC07BB3CD0}" name="D, top" dataDxfId="7"/>
    <tableColumn id="6" xr3:uid="{8903080D-EDD3-4988-B4E0-B83C140DA4BA}" name="D, bottom" dataDxfId="6"/>
    <tableColumn id="7" xr3:uid="{DF9432EA-FCDA-4710-9C80-D986C443BD63}" name="t" dataDxfId="5"/>
    <tableColumn id="8" xr3:uid="{EC5B54AD-7858-43F4-A232-34FB97CD60D5}" name="Length" dataDxfId="4"/>
    <tableColumn id="9" xr3:uid="{F11557F1-4BF4-4CB5-A6A1-D9E4740441BD}" name="Slope" dataDxfId="3"/>
    <tableColumn id="10" xr3:uid="{AF4F39B1-DCD0-4ECC-BEBF-C4F0489C4325}" name="Weight" dataDxfId="2"/>
    <tableColumn id="11" xr3:uid="{DFA648AD-AB87-4181-925D-59EBB5D0FBC7}" name="D/t" dataDxfId="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770E9F-FA7E-4954-9882-4BDCCA47D754}" name="TP_DATA" displayName="TP_DATA" ref="Z14:AJ39" totalsRowShown="0" headerRowDxfId="24" dataDxfId="12">
  <autoFilter ref="Z14:AJ39" xr:uid="{74770E9F-FA7E-4954-9882-4BDCCA47D754}"/>
  <tableColumns count="11">
    <tableColumn id="1" xr3:uid="{01E662F1-57F5-4660-BF9D-F84C54A3C27D}" name="index" dataDxfId="23"/>
    <tableColumn id="2" xr3:uid="{77ADA521-9367-4E8D-84A3-EF0902A21327}" name="Section" dataDxfId="22"/>
    <tableColumn id="3" xr3:uid="{C52F23D5-089D-402B-A3C5-F085DF35E1A3}" name="Top" dataDxfId="21"/>
    <tableColumn id="4" xr3:uid="{A48A6A87-766D-4330-8063-74E5B847017A}" name="Bottom" dataDxfId="20"/>
    <tableColumn id="5" xr3:uid="{C3F932C9-9C2D-4ED1-8B9C-175451BFD053}" name="D, top" dataDxfId="19"/>
    <tableColumn id="6" xr3:uid="{8A2E4BB0-B60B-4739-8FA0-C3238B83736C}" name="D, bottom" dataDxfId="18"/>
    <tableColumn id="7" xr3:uid="{966AFBB3-7397-4BF1-93DB-E43F2F3B1B83}" name="t" dataDxfId="17"/>
    <tableColumn id="8" xr3:uid="{44104434-7969-41B4-8297-F2C52F45DB36}" name="Length" dataDxfId="16"/>
    <tableColumn id="9" xr3:uid="{F9BB0FAA-8AEB-40F6-80BD-73B007739826}" name="Slope" dataDxfId="15"/>
    <tableColumn id="10" xr3:uid="{58C53509-471B-4D7D-815A-5B00DFC8AFE4}" name="Weight" dataDxfId="14"/>
    <tableColumn id="11" xr3:uid="{C43CA4BA-F450-4785-A221-1818560FB8E7}" name="D/t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15" Type="http://schemas.openxmlformats.org/officeDocument/2006/relationships/table" Target="../tables/table7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1.xml"/><Relationship Id="rId1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topLeftCell="A9" zoomScaleNormal="100" workbookViewId="0">
      <selection activeCell="I42" sqref="I42"/>
    </sheetView>
  </sheetViews>
  <sheetFormatPr baseColWidth="10" defaultRowHeight="15" x14ac:dyDescent="0.2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 x14ac:dyDescent="0.25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75" x14ac:dyDescent="0.25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.75" thickBot="1" x14ac:dyDescent="0.3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25">
      <c r="A4" s="53"/>
      <c r="B4" s="85" t="s">
        <v>55</v>
      </c>
      <c r="C4" s="86"/>
      <c r="D4" s="87"/>
      <c r="E4" s="52"/>
      <c r="F4" s="88" t="s">
        <v>39</v>
      </c>
      <c r="G4" s="89"/>
      <c r="H4" s="89"/>
      <c r="I4" s="90"/>
      <c r="J4" s="52"/>
      <c r="K4" s="91" t="s">
        <v>56</v>
      </c>
      <c r="L4" s="92"/>
      <c r="M4" s="93"/>
      <c r="N4" s="52"/>
      <c r="O4" s="53"/>
      <c r="P4" s="52"/>
      <c r="Q4" s="52"/>
      <c r="R4" s="51"/>
    </row>
    <row r="5" spans="1:24" x14ac:dyDescent="0.25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25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25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25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25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25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25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.75" thickBot="1" x14ac:dyDescent="0.3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.75" thickBot="1" x14ac:dyDescent="0.3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25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25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25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.75" thickBot="1" x14ac:dyDescent="0.3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2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25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25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25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25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25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25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25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25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25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25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25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25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25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25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25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25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25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25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25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25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25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25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25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25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25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25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25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25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25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25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25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25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25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25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25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25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25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25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25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25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25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25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25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25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25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25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25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25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.75" thickBot="1" x14ac:dyDescent="0.3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AW43"/>
  <sheetViews>
    <sheetView tabSelected="1" zoomScale="85" zoomScaleNormal="85" workbookViewId="0">
      <selection activeCell="I10" sqref="I10"/>
    </sheetView>
  </sheetViews>
  <sheetFormatPr baseColWidth="10" defaultColWidth="11.28515625" defaultRowHeight="15" outlineLevelCol="1" x14ac:dyDescent="0.25"/>
  <cols>
    <col min="1" max="1" width="19.85546875" customWidth="1"/>
    <col min="2" max="2" width="11.28515625" customWidth="1"/>
    <col min="3" max="3" width="12.7109375" customWidth="1"/>
    <col min="5" max="5" width="14.5703125" customWidth="1"/>
    <col min="13" max="14" width="11.28515625" hidden="1" customWidth="1" outlineLevel="1"/>
    <col min="15" max="15" width="12.7109375" hidden="1" customWidth="1" outlineLevel="1"/>
    <col min="16" max="16" width="11.28515625" hidden="1" customWidth="1" outlineLevel="1"/>
    <col min="17" max="17" width="14.5703125" hidden="1" customWidth="1" outlineLevel="1"/>
    <col min="18" max="24" width="11.28515625" hidden="1" customWidth="1" outlineLevel="1"/>
    <col min="25" max="25" width="11.28515625" collapsed="1"/>
    <col min="37" max="48" width="11.28515625" hidden="1" customWidth="1" outlineLevel="1"/>
    <col min="49" max="49" width="11.28515625" collapsed="1"/>
  </cols>
  <sheetData>
    <row r="1" spans="1:48" x14ac:dyDescent="0.25">
      <c r="A1" t="s">
        <v>125</v>
      </c>
      <c r="L1" t="s">
        <v>128</v>
      </c>
      <c r="Y1" s="84"/>
      <c r="AJ1" t="s">
        <v>128</v>
      </c>
    </row>
    <row r="2" spans="1:48" ht="18.75" x14ac:dyDescent="0.3">
      <c r="B2" s="78" t="s">
        <v>111</v>
      </c>
      <c r="Z2" s="78" t="s">
        <v>117</v>
      </c>
    </row>
    <row r="4" spans="1:48" ht="23.45" customHeight="1" x14ac:dyDescent="0.25">
      <c r="C4" s="80" t="s">
        <v>112</v>
      </c>
      <c r="AA4" s="80" t="s">
        <v>118</v>
      </c>
    </row>
    <row r="5" spans="1:48" ht="21.6" customHeight="1" x14ac:dyDescent="0.25"/>
    <row r="8" spans="1:48" x14ac:dyDescent="0.25">
      <c r="A8" s="83" t="s">
        <v>119</v>
      </c>
      <c r="B8" s="81" t="s">
        <v>114</v>
      </c>
      <c r="C8" s="79" t="s">
        <v>115</v>
      </c>
      <c r="D8" s="79" t="s">
        <v>113</v>
      </c>
      <c r="E8" s="79" t="s">
        <v>116</v>
      </c>
      <c r="F8" s="79" t="s">
        <v>27</v>
      </c>
      <c r="Z8" s="79" t="s">
        <v>114</v>
      </c>
      <c r="AA8" s="79" t="s">
        <v>115</v>
      </c>
      <c r="AB8" s="79" t="s">
        <v>113</v>
      </c>
      <c r="AC8" s="79" t="s">
        <v>116</v>
      </c>
      <c r="AD8" s="79" t="s">
        <v>27</v>
      </c>
    </row>
    <row r="9" spans="1:48" x14ac:dyDescent="0.25">
      <c r="A9" t="s">
        <v>127</v>
      </c>
      <c r="B9" s="82">
        <v>0</v>
      </c>
      <c r="C9" t="s">
        <v>130</v>
      </c>
      <c r="D9" t="s">
        <v>121</v>
      </c>
      <c r="E9" t="s">
        <v>122</v>
      </c>
      <c r="F9" t="s">
        <v>123</v>
      </c>
      <c r="Z9">
        <v>1</v>
      </c>
      <c r="AA9" t="s">
        <v>134</v>
      </c>
      <c r="AB9" t="s">
        <v>131</v>
      </c>
      <c r="AC9" t="s">
        <v>132</v>
      </c>
      <c r="AD9" t="s">
        <v>133</v>
      </c>
    </row>
    <row r="10" spans="1:48" x14ac:dyDescent="0.25">
      <c r="B10" s="82"/>
    </row>
    <row r="11" spans="1:48" x14ac:dyDescent="0.25">
      <c r="A11" s="83" t="s">
        <v>120</v>
      </c>
      <c r="B11" s="81" t="s">
        <v>114</v>
      </c>
      <c r="C11" s="79" t="s">
        <v>115</v>
      </c>
      <c r="D11" s="79" t="s">
        <v>113</v>
      </c>
      <c r="E11" s="79" t="s">
        <v>116</v>
      </c>
      <c r="F11" s="79" t="s">
        <v>27</v>
      </c>
    </row>
    <row r="12" spans="1:48" x14ac:dyDescent="0.25">
      <c r="A12" t="s">
        <v>124</v>
      </c>
      <c r="B12" s="82"/>
      <c r="N12" s="83" t="s">
        <v>129</v>
      </c>
      <c r="AL12" s="83" t="s">
        <v>129</v>
      </c>
    </row>
    <row r="13" spans="1:48" x14ac:dyDescent="0.25">
      <c r="B13" s="82"/>
    </row>
    <row r="14" spans="1:48" x14ac:dyDescent="0.25">
      <c r="A14" t="s">
        <v>126</v>
      </c>
      <c r="B14" t="s">
        <v>114</v>
      </c>
      <c r="C14" t="s">
        <v>1</v>
      </c>
      <c r="D14" t="s">
        <v>2</v>
      </c>
      <c r="E14" t="s">
        <v>3</v>
      </c>
      <c r="F14" t="s">
        <v>4</v>
      </c>
      <c r="G14" t="s">
        <v>5</v>
      </c>
      <c r="H14" t="s">
        <v>6</v>
      </c>
      <c r="I14" t="s">
        <v>9</v>
      </c>
      <c r="J14" t="s">
        <v>10</v>
      </c>
      <c r="K14" t="s">
        <v>11</v>
      </c>
      <c r="L14" t="s">
        <v>12</v>
      </c>
      <c r="N14" t="s">
        <v>114</v>
      </c>
      <c r="O14" t="s">
        <v>1</v>
      </c>
      <c r="P14" t="s">
        <v>2</v>
      </c>
      <c r="Q14" t="s">
        <v>3</v>
      </c>
      <c r="R14" t="s">
        <v>4</v>
      </c>
      <c r="S14" t="s">
        <v>5</v>
      </c>
      <c r="T14" t="s">
        <v>6</v>
      </c>
      <c r="U14" t="s">
        <v>9</v>
      </c>
      <c r="V14" t="s">
        <v>10</v>
      </c>
      <c r="W14" t="s">
        <v>11</v>
      </c>
      <c r="X14" t="s">
        <v>12</v>
      </c>
      <c r="Z14" s="79" t="s">
        <v>114</v>
      </c>
      <c r="AA14" s="79" t="s">
        <v>1</v>
      </c>
      <c r="AB14" s="79" t="s">
        <v>2</v>
      </c>
      <c r="AC14" s="79" t="s">
        <v>3</v>
      </c>
      <c r="AD14" s="79" t="s">
        <v>4</v>
      </c>
      <c r="AE14" s="79" t="s">
        <v>5</v>
      </c>
      <c r="AF14" s="79" t="s">
        <v>6</v>
      </c>
      <c r="AG14" s="79" t="s">
        <v>9</v>
      </c>
      <c r="AH14" s="79" t="s">
        <v>10</v>
      </c>
      <c r="AI14" s="79" t="s">
        <v>11</v>
      </c>
      <c r="AJ14" s="79" t="s">
        <v>12</v>
      </c>
      <c r="AL14" s="79" t="s">
        <v>114</v>
      </c>
      <c r="AM14" s="79" t="s">
        <v>1</v>
      </c>
      <c r="AN14" s="79" t="s">
        <v>2</v>
      </c>
      <c r="AO14" s="79" t="s">
        <v>3</v>
      </c>
      <c r="AP14" s="79" t="s">
        <v>4</v>
      </c>
      <c r="AQ14" s="79" t="s">
        <v>5</v>
      </c>
      <c r="AR14" s="79" t="s">
        <v>6</v>
      </c>
      <c r="AS14" s="79" t="s">
        <v>9</v>
      </c>
      <c r="AT14" s="79" t="s">
        <v>10</v>
      </c>
      <c r="AU14" s="79" t="s">
        <v>11</v>
      </c>
      <c r="AV14" s="79" t="s">
        <v>12</v>
      </c>
    </row>
    <row r="15" spans="1:48" x14ac:dyDescent="0.25">
      <c r="B15" s="100">
        <v>0</v>
      </c>
      <c r="C15" s="100">
        <v>1</v>
      </c>
      <c r="D15" s="100"/>
      <c r="E15" s="100">
        <v>5</v>
      </c>
      <c r="F15" s="100">
        <v>8</v>
      </c>
      <c r="G15" s="100">
        <v>8</v>
      </c>
      <c r="H15" s="100">
        <v>115</v>
      </c>
      <c r="I15" s="100">
        <v>-5</v>
      </c>
      <c r="J15" s="100">
        <v>0</v>
      </c>
      <c r="K15" s="100">
        <v>-111.8</v>
      </c>
      <c r="L15" s="100">
        <v>69.599999999999994</v>
      </c>
      <c r="N15">
        <v>0</v>
      </c>
      <c r="O15">
        <v>1</v>
      </c>
      <c r="Q15">
        <v>5</v>
      </c>
      <c r="R15">
        <v>8</v>
      </c>
      <c r="S15">
        <v>8</v>
      </c>
      <c r="T15">
        <v>115</v>
      </c>
      <c r="U15">
        <v>-5</v>
      </c>
      <c r="V15">
        <v>0</v>
      </c>
      <c r="W15">
        <v>-111.8</v>
      </c>
      <c r="X15">
        <v>69.599999999999994</v>
      </c>
      <c r="Z15" s="100">
        <v>0</v>
      </c>
      <c r="AA15" s="100">
        <v>1</v>
      </c>
      <c r="AB15" s="100"/>
      <c r="AC15" s="100">
        <v>5</v>
      </c>
      <c r="AD15" s="100">
        <v>8</v>
      </c>
      <c r="AE15" s="100">
        <v>8</v>
      </c>
      <c r="AF15" s="100">
        <v>115</v>
      </c>
      <c r="AG15" s="100">
        <v>-5</v>
      </c>
      <c r="AH15" s="100">
        <v>0</v>
      </c>
      <c r="AI15" s="100">
        <v>-111.8</v>
      </c>
      <c r="AJ15" s="100">
        <v>69.599999999999994</v>
      </c>
      <c r="AL15">
        <v>0</v>
      </c>
      <c r="AM15">
        <v>1</v>
      </c>
      <c r="AO15">
        <v>5</v>
      </c>
      <c r="AP15">
        <v>8</v>
      </c>
      <c r="AQ15">
        <v>8</v>
      </c>
      <c r="AR15">
        <v>115</v>
      </c>
      <c r="AS15">
        <v>-5</v>
      </c>
      <c r="AT15">
        <v>0</v>
      </c>
      <c r="AU15">
        <v>-111.8</v>
      </c>
      <c r="AV15">
        <v>69.599999999999994</v>
      </c>
    </row>
    <row r="16" spans="1:48" x14ac:dyDescent="0.25">
      <c r="B16" s="100">
        <v>1</v>
      </c>
      <c r="C16" s="100">
        <v>2</v>
      </c>
      <c r="D16" s="100">
        <v>5</v>
      </c>
      <c r="E16" s="100">
        <v>0</v>
      </c>
      <c r="F16" s="100">
        <v>8</v>
      </c>
      <c r="G16" s="100">
        <v>8</v>
      </c>
      <c r="H16" s="100">
        <v>120</v>
      </c>
      <c r="I16" s="100">
        <v>5</v>
      </c>
      <c r="J16" s="100">
        <v>0</v>
      </c>
      <c r="K16" s="100">
        <v>116.6</v>
      </c>
      <c r="L16" s="100">
        <v>66.7</v>
      </c>
      <c r="N16">
        <v>1</v>
      </c>
      <c r="O16">
        <v>2</v>
      </c>
      <c r="P16">
        <v>5</v>
      </c>
      <c r="Q16">
        <v>0</v>
      </c>
      <c r="R16">
        <v>8</v>
      </c>
      <c r="S16">
        <v>8</v>
      </c>
      <c r="T16">
        <v>120</v>
      </c>
      <c r="U16">
        <v>5</v>
      </c>
      <c r="V16">
        <v>0</v>
      </c>
      <c r="W16">
        <v>116.6</v>
      </c>
      <c r="X16">
        <v>66.7</v>
      </c>
      <c r="Z16" s="100">
        <v>1</v>
      </c>
      <c r="AA16" s="100">
        <v>2</v>
      </c>
      <c r="AB16" s="100">
        <v>5</v>
      </c>
      <c r="AC16" s="100">
        <v>0</v>
      </c>
      <c r="AD16" s="100">
        <v>8</v>
      </c>
      <c r="AE16" s="100">
        <v>8</v>
      </c>
      <c r="AF16" s="100">
        <v>120</v>
      </c>
      <c r="AG16" s="100">
        <v>5</v>
      </c>
      <c r="AH16" s="100">
        <v>0</v>
      </c>
      <c r="AI16" s="100">
        <v>116.6</v>
      </c>
      <c r="AJ16" s="100">
        <v>66.7</v>
      </c>
      <c r="AL16">
        <v>1</v>
      </c>
      <c r="AM16">
        <v>2</v>
      </c>
      <c r="AN16">
        <v>5</v>
      </c>
      <c r="AO16">
        <v>0</v>
      </c>
      <c r="AP16">
        <v>8</v>
      </c>
      <c r="AQ16">
        <v>8</v>
      </c>
      <c r="AR16">
        <v>120</v>
      </c>
      <c r="AS16">
        <v>5</v>
      </c>
      <c r="AT16">
        <v>0</v>
      </c>
      <c r="AU16">
        <v>116.6</v>
      </c>
      <c r="AV16">
        <v>66.7</v>
      </c>
    </row>
    <row r="17" spans="2:48" x14ac:dyDescent="0.25">
      <c r="B17" s="100">
        <v>2</v>
      </c>
      <c r="C17" s="100">
        <v>3</v>
      </c>
      <c r="D17" s="100">
        <v>0</v>
      </c>
      <c r="E17" s="100">
        <v>-5</v>
      </c>
      <c r="F17" s="100">
        <v>8</v>
      </c>
      <c r="G17" s="100">
        <v>8</v>
      </c>
      <c r="H17" s="100">
        <v>130</v>
      </c>
      <c r="I17" s="100">
        <v>5</v>
      </c>
      <c r="J17" s="100">
        <v>0</v>
      </c>
      <c r="K17" s="100">
        <v>126.2</v>
      </c>
      <c r="L17" s="100">
        <v>61.5</v>
      </c>
      <c r="N17">
        <v>2</v>
      </c>
      <c r="O17">
        <v>3</v>
      </c>
      <c r="P17">
        <v>0</v>
      </c>
      <c r="Q17">
        <v>-5</v>
      </c>
      <c r="R17">
        <v>8</v>
      </c>
      <c r="S17">
        <v>8</v>
      </c>
      <c r="T17">
        <v>130</v>
      </c>
      <c r="U17">
        <v>5</v>
      </c>
      <c r="V17">
        <v>0</v>
      </c>
      <c r="W17">
        <v>126.2</v>
      </c>
      <c r="X17">
        <v>61.5</v>
      </c>
      <c r="Z17" s="100">
        <v>2</v>
      </c>
      <c r="AA17" s="100">
        <v>3</v>
      </c>
      <c r="AB17" s="100">
        <v>0</v>
      </c>
      <c r="AC17" s="100">
        <v>-5</v>
      </c>
      <c r="AD17" s="100">
        <v>8</v>
      </c>
      <c r="AE17" s="100">
        <v>8</v>
      </c>
      <c r="AF17" s="100">
        <v>130</v>
      </c>
      <c r="AG17" s="100">
        <v>5</v>
      </c>
      <c r="AH17" s="100">
        <v>0</v>
      </c>
      <c r="AI17" s="100">
        <v>126.2</v>
      </c>
      <c r="AJ17" s="100">
        <v>61.5</v>
      </c>
      <c r="AL17">
        <v>2</v>
      </c>
      <c r="AM17">
        <v>3</v>
      </c>
      <c r="AN17">
        <v>0</v>
      </c>
      <c r="AO17">
        <v>-5</v>
      </c>
      <c r="AP17">
        <v>8</v>
      </c>
      <c r="AQ17">
        <v>8</v>
      </c>
      <c r="AR17">
        <v>130</v>
      </c>
      <c r="AS17">
        <v>5</v>
      </c>
      <c r="AT17">
        <v>0</v>
      </c>
      <c r="AU17">
        <v>126.2</v>
      </c>
      <c r="AV17">
        <v>61.5</v>
      </c>
    </row>
    <row r="18" spans="2:48" x14ac:dyDescent="0.25">
      <c r="B18" s="100">
        <v>3</v>
      </c>
      <c r="C18" s="100">
        <v>4</v>
      </c>
      <c r="D18" s="100">
        <v>-5</v>
      </c>
      <c r="E18" s="100">
        <v>-10</v>
      </c>
      <c r="F18" s="100">
        <v>8</v>
      </c>
      <c r="G18" s="100">
        <v>8.44</v>
      </c>
      <c r="H18" s="100">
        <v>130</v>
      </c>
      <c r="I18" s="100">
        <v>5</v>
      </c>
      <c r="J18" s="100">
        <v>2.5070000000000001</v>
      </c>
      <c r="K18" s="100">
        <v>129.69999999999999</v>
      </c>
      <c r="L18" s="100">
        <v>64.900000000000006</v>
      </c>
      <c r="N18">
        <v>3</v>
      </c>
      <c r="O18">
        <v>4</v>
      </c>
      <c r="P18">
        <v>-5</v>
      </c>
      <c r="Q18">
        <v>-10</v>
      </c>
      <c r="R18">
        <v>8</v>
      </c>
      <c r="S18">
        <v>8.44</v>
      </c>
      <c r="T18">
        <v>130</v>
      </c>
      <c r="U18">
        <v>5</v>
      </c>
      <c r="V18">
        <v>2.5070000000000001</v>
      </c>
      <c r="W18">
        <v>129.69999999999999</v>
      </c>
      <c r="X18">
        <v>64.900000000000006</v>
      </c>
      <c r="Z18" s="100">
        <v>3</v>
      </c>
      <c r="AA18" s="100">
        <v>4</v>
      </c>
      <c r="AB18" s="100">
        <v>-5</v>
      </c>
      <c r="AC18" s="100">
        <v>-10</v>
      </c>
      <c r="AD18" s="100">
        <v>8</v>
      </c>
      <c r="AE18" s="100">
        <v>8.44</v>
      </c>
      <c r="AF18" s="100">
        <v>130</v>
      </c>
      <c r="AG18" s="100">
        <v>5</v>
      </c>
      <c r="AH18" s="100">
        <v>2.5070000000000001</v>
      </c>
      <c r="AI18" s="100">
        <v>129.69999999999999</v>
      </c>
      <c r="AJ18" s="100">
        <v>64.900000000000006</v>
      </c>
      <c r="AL18">
        <v>3</v>
      </c>
      <c r="AM18">
        <v>4</v>
      </c>
      <c r="AN18">
        <v>-5</v>
      </c>
      <c r="AO18">
        <v>-10</v>
      </c>
      <c r="AP18">
        <v>8</v>
      </c>
      <c r="AQ18">
        <v>8.44</v>
      </c>
      <c r="AR18">
        <v>130</v>
      </c>
      <c r="AS18">
        <v>5</v>
      </c>
      <c r="AT18">
        <v>2.5070000000000001</v>
      </c>
      <c r="AU18">
        <v>129.69999999999999</v>
      </c>
      <c r="AV18">
        <v>64.900000000000006</v>
      </c>
    </row>
    <row r="19" spans="2:48" x14ac:dyDescent="0.25">
      <c r="B19" s="100">
        <v>4</v>
      </c>
      <c r="C19" s="100">
        <v>5</v>
      </c>
      <c r="D19" s="100">
        <v>-10</v>
      </c>
      <c r="E19" s="100">
        <v>-15</v>
      </c>
      <c r="F19" s="100">
        <v>8.44</v>
      </c>
      <c r="G19" s="100">
        <v>8.8800000000000008</v>
      </c>
      <c r="H19" s="100">
        <v>110</v>
      </c>
      <c r="I19" s="100">
        <v>5</v>
      </c>
      <c r="J19" s="100">
        <v>2.5070000000000001</v>
      </c>
      <c r="K19" s="100">
        <v>115.9</v>
      </c>
      <c r="L19" s="100">
        <v>80.7</v>
      </c>
      <c r="N19">
        <v>4</v>
      </c>
      <c r="O19">
        <v>5</v>
      </c>
      <c r="P19">
        <v>-10</v>
      </c>
      <c r="Q19">
        <v>-15</v>
      </c>
      <c r="R19">
        <v>8.44</v>
      </c>
      <c r="S19">
        <v>8.8800000000000008</v>
      </c>
      <c r="T19">
        <v>110</v>
      </c>
      <c r="U19">
        <v>5</v>
      </c>
      <c r="V19">
        <v>2.5070000000000001</v>
      </c>
      <c r="W19">
        <v>115.9</v>
      </c>
      <c r="X19">
        <v>80.7</v>
      </c>
      <c r="Z19" s="100">
        <v>4</v>
      </c>
      <c r="AA19" s="100">
        <v>5</v>
      </c>
      <c r="AB19" s="100">
        <v>-10</v>
      </c>
      <c r="AC19" s="100">
        <v>-15</v>
      </c>
      <c r="AD19" s="100">
        <v>8.44</v>
      </c>
      <c r="AE19" s="100">
        <v>8.8800000000000008</v>
      </c>
      <c r="AF19" s="100">
        <v>110</v>
      </c>
      <c r="AG19" s="100">
        <v>5</v>
      </c>
      <c r="AH19" s="100">
        <v>2.5070000000000001</v>
      </c>
      <c r="AI19" s="100">
        <v>115.9</v>
      </c>
      <c r="AJ19" s="100">
        <v>80.7</v>
      </c>
      <c r="AL19">
        <v>4</v>
      </c>
      <c r="AM19">
        <v>5</v>
      </c>
      <c r="AN19">
        <v>-10</v>
      </c>
      <c r="AO19">
        <v>-15</v>
      </c>
      <c r="AP19">
        <v>8.44</v>
      </c>
      <c r="AQ19">
        <v>8.8800000000000008</v>
      </c>
      <c r="AR19">
        <v>110</v>
      </c>
      <c r="AS19">
        <v>5</v>
      </c>
      <c r="AT19">
        <v>2.5070000000000001</v>
      </c>
      <c r="AU19">
        <v>115.9</v>
      </c>
      <c r="AV19">
        <v>80.7</v>
      </c>
    </row>
    <row r="20" spans="2:48" x14ac:dyDescent="0.25">
      <c r="B20" s="100">
        <v>5</v>
      </c>
      <c r="C20" s="100">
        <v>6</v>
      </c>
      <c r="D20" s="100">
        <v>-15</v>
      </c>
      <c r="E20" s="100">
        <v>-20</v>
      </c>
      <c r="F20" s="100">
        <v>8.8800000000000008</v>
      </c>
      <c r="G20" s="100">
        <v>9.31</v>
      </c>
      <c r="H20" s="100">
        <v>124</v>
      </c>
      <c r="I20" s="100">
        <v>5</v>
      </c>
      <c r="J20" s="100">
        <v>2.5070000000000001</v>
      </c>
      <c r="K20" s="100">
        <v>137.19999999999999</v>
      </c>
      <c r="L20" s="100">
        <v>75.099999999999994</v>
      </c>
      <c r="N20">
        <v>5</v>
      </c>
      <c r="O20">
        <v>6</v>
      </c>
      <c r="P20">
        <v>-15</v>
      </c>
      <c r="Q20">
        <v>-20</v>
      </c>
      <c r="R20">
        <v>8.8800000000000008</v>
      </c>
      <c r="S20">
        <v>9.31</v>
      </c>
      <c r="T20">
        <v>124</v>
      </c>
      <c r="U20">
        <v>5</v>
      </c>
      <c r="V20">
        <v>2.5070000000000001</v>
      </c>
      <c r="W20">
        <v>137.19999999999999</v>
      </c>
      <c r="X20">
        <v>75.099999999999994</v>
      </c>
      <c r="Z20" s="100">
        <v>5</v>
      </c>
      <c r="AA20" s="100">
        <v>6</v>
      </c>
      <c r="AB20" s="100">
        <v>-15</v>
      </c>
      <c r="AC20" s="100">
        <v>-20</v>
      </c>
      <c r="AD20" s="100">
        <v>8.8800000000000008</v>
      </c>
      <c r="AE20" s="100">
        <v>9.31</v>
      </c>
      <c r="AF20" s="100">
        <v>124</v>
      </c>
      <c r="AG20" s="100">
        <v>5</v>
      </c>
      <c r="AH20" s="100">
        <v>2.5070000000000001</v>
      </c>
      <c r="AI20" s="100">
        <v>137.19999999999999</v>
      </c>
      <c r="AJ20" s="100">
        <v>75.099999999999994</v>
      </c>
      <c r="AL20">
        <v>5</v>
      </c>
      <c r="AM20">
        <v>6</v>
      </c>
      <c r="AN20">
        <v>-15</v>
      </c>
      <c r="AO20">
        <v>-20</v>
      </c>
      <c r="AP20">
        <v>8.8800000000000008</v>
      </c>
      <c r="AQ20">
        <v>9.31</v>
      </c>
      <c r="AR20">
        <v>124</v>
      </c>
      <c r="AS20">
        <v>5</v>
      </c>
      <c r="AT20">
        <v>2.5070000000000001</v>
      </c>
      <c r="AU20">
        <v>137.19999999999999</v>
      </c>
      <c r="AV20">
        <v>75.099999999999994</v>
      </c>
    </row>
    <row r="21" spans="2:48" x14ac:dyDescent="0.25">
      <c r="B21" s="100">
        <v>6</v>
      </c>
      <c r="C21" s="100">
        <v>7</v>
      </c>
      <c r="D21" s="100">
        <v>-20</v>
      </c>
      <c r="E21" s="100">
        <v>-25</v>
      </c>
      <c r="F21" s="100">
        <v>9.31</v>
      </c>
      <c r="G21" s="100">
        <v>9.75</v>
      </c>
      <c r="H21" s="100">
        <v>109</v>
      </c>
      <c r="I21" s="100">
        <v>5</v>
      </c>
      <c r="J21" s="100">
        <v>2.5059999999999998</v>
      </c>
      <c r="K21" s="100">
        <v>126.7</v>
      </c>
      <c r="L21" s="100">
        <v>89.5</v>
      </c>
      <c r="N21">
        <v>6</v>
      </c>
      <c r="O21">
        <v>7</v>
      </c>
      <c r="P21">
        <v>-20</v>
      </c>
      <c r="Q21">
        <v>-25</v>
      </c>
      <c r="R21">
        <v>9.31</v>
      </c>
      <c r="S21">
        <v>9.75</v>
      </c>
      <c r="T21">
        <v>109</v>
      </c>
      <c r="U21">
        <v>5</v>
      </c>
      <c r="V21">
        <v>2.5059999999999998</v>
      </c>
      <c r="W21">
        <v>126.7</v>
      </c>
      <c r="X21">
        <v>89.5</v>
      </c>
      <c r="Z21" s="100">
        <v>6</v>
      </c>
      <c r="AA21" s="100">
        <v>7</v>
      </c>
      <c r="AB21" s="100">
        <v>-20</v>
      </c>
      <c r="AC21" s="100">
        <v>-25</v>
      </c>
      <c r="AD21" s="100">
        <v>9.31</v>
      </c>
      <c r="AE21" s="100">
        <v>9.75</v>
      </c>
      <c r="AF21" s="100">
        <v>109</v>
      </c>
      <c r="AG21" s="100">
        <v>5</v>
      </c>
      <c r="AH21" s="100">
        <v>2.5059999999999998</v>
      </c>
      <c r="AI21" s="100">
        <v>126.7</v>
      </c>
      <c r="AJ21" s="100">
        <v>89.5</v>
      </c>
      <c r="AL21">
        <v>6</v>
      </c>
      <c r="AM21">
        <v>7</v>
      </c>
      <c r="AN21">
        <v>-20</v>
      </c>
      <c r="AO21">
        <v>-25</v>
      </c>
      <c r="AP21">
        <v>9.31</v>
      </c>
      <c r="AQ21">
        <v>9.75</v>
      </c>
      <c r="AR21">
        <v>109</v>
      </c>
      <c r="AS21">
        <v>5</v>
      </c>
      <c r="AT21">
        <v>2.5059999999999998</v>
      </c>
      <c r="AU21">
        <v>126.7</v>
      </c>
      <c r="AV21">
        <v>89.5</v>
      </c>
    </row>
    <row r="22" spans="2:48" x14ac:dyDescent="0.25">
      <c r="B22" s="100">
        <v>7</v>
      </c>
      <c r="C22" s="100">
        <v>8</v>
      </c>
      <c r="D22" s="100">
        <v>-25</v>
      </c>
      <c r="E22" s="100">
        <v>-30</v>
      </c>
      <c r="F22" s="100">
        <v>9.75</v>
      </c>
      <c r="G22" s="100">
        <v>10.19</v>
      </c>
      <c r="H22" s="100">
        <v>98</v>
      </c>
      <c r="I22" s="100">
        <v>5</v>
      </c>
      <c r="J22" s="100">
        <v>2.5070000000000001</v>
      </c>
      <c r="K22" s="100">
        <v>119.3</v>
      </c>
      <c r="L22" s="100">
        <v>104</v>
      </c>
      <c r="N22">
        <v>7</v>
      </c>
      <c r="O22">
        <v>8</v>
      </c>
      <c r="P22">
        <v>-25</v>
      </c>
      <c r="Q22">
        <v>-30</v>
      </c>
      <c r="R22">
        <v>9.75</v>
      </c>
      <c r="S22">
        <v>10.19</v>
      </c>
      <c r="T22">
        <v>98</v>
      </c>
      <c r="U22">
        <v>5</v>
      </c>
      <c r="V22">
        <v>2.5070000000000001</v>
      </c>
      <c r="W22">
        <v>119.3</v>
      </c>
      <c r="X22">
        <v>104</v>
      </c>
      <c r="Z22" s="100">
        <v>7</v>
      </c>
      <c r="AA22" s="100">
        <v>8</v>
      </c>
      <c r="AB22" s="100">
        <v>-25</v>
      </c>
      <c r="AC22" s="100">
        <v>-30</v>
      </c>
      <c r="AD22" s="100">
        <v>9.75</v>
      </c>
      <c r="AE22" s="100">
        <v>10.19</v>
      </c>
      <c r="AF22" s="100">
        <v>98</v>
      </c>
      <c r="AG22" s="100">
        <v>5</v>
      </c>
      <c r="AH22" s="100">
        <v>2.5070000000000001</v>
      </c>
      <c r="AI22" s="100">
        <v>119.3</v>
      </c>
      <c r="AJ22" s="100">
        <v>104</v>
      </c>
      <c r="AL22">
        <v>7</v>
      </c>
      <c r="AM22">
        <v>8</v>
      </c>
      <c r="AN22">
        <v>-25</v>
      </c>
      <c r="AO22">
        <v>-30</v>
      </c>
      <c r="AP22">
        <v>9.75</v>
      </c>
      <c r="AQ22">
        <v>10.19</v>
      </c>
      <c r="AR22">
        <v>98</v>
      </c>
      <c r="AS22">
        <v>5</v>
      </c>
      <c r="AT22">
        <v>2.5070000000000001</v>
      </c>
      <c r="AU22">
        <v>119.3</v>
      </c>
      <c r="AV22">
        <v>104</v>
      </c>
    </row>
    <row r="23" spans="2:48" x14ac:dyDescent="0.25">
      <c r="B23" s="100">
        <v>8</v>
      </c>
      <c r="C23" s="100">
        <v>9</v>
      </c>
      <c r="D23" s="100">
        <v>-30</v>
      </c>
      <c r="E23" s="100">
        <v>-35</v>
      </c>
      <c r="F23" s="100">
        <v>10.19</v>
      </c>
      <c r="G23" s="100">
        <v>10.63</v>
      </c>
      <c r="H23" s="100">
        <v>98</v>
      </c>
      <c r="I23" s="100">
        <v>5</v>
      </c>
      <c r="J23" s="100">
        <v>2.5070000000000001</v>
      </c>
      <c r="K23" s="100">
        <v>124.6</v>
      </c>
      <c r="L23" s="100">
        <v>108.4</v>
      </c>
      <c r="N23">
        <v>8</v>
      </c>
      <c r="O23">
        <v>9</v>
      </c>
      <c r="P23">
        <v>-30</v>
      </c>
      <c r="Q23">
        <v>-35</v>
      </c>
      <c r="R23">
        <v>10.19</v>
      </c>
      <c r="S23">
        <v>10.63</v>
      </c>
      <c r="T23">
        <v>98</v>
      </c>
      <c r="U23">
        <v>5</v>
      </c>
      <c r="V23">
        <v>2.5070000000000001</v>
      </c>
      <c r="W23">
        <v>124.6</v>
      </c>
      <c r="X23">
        <v>108.4</v>
      </c>
      <c r="Z23" s="100">
        <v>8</v>
      </c>
      <c r="AA23" s="100">
        <v>9</v>
      </c>
      <c r="AB23" s="100">
        <v>-30</v>
      </c>
      <c r="AC23" s="100">
        <v>-35</v>
      </c>
      <c r="AD23" s="100">
        <v>10.19</v>
      </c>
      <c r="AE23" s="100">
        <v>10.63</v>
      </c>
      <c r="AF23" s="100">
        <v>98</v>
      </c>
      <c r="AG23" s="100">
        <v>5</v>
      </c>
      <c r="AH23" s="100">
        <v>2.5070000000000001</v>
      </c>
      <c r="AI23" s="100">
        <v>124.6</v>
      </c>
      <c r="AJ23" s="100">
        <v>108.4</v>
      </c>
      <c r="AL23">
        <v>8</v>
      </c>
      <c r="AM23">
        <v>9</v>
      </c>
      <c r="AN23">
        <v>-30</v>
      </c>
      <c r="AO23">
        <v>-35</v>
      </c>
      <c r="AP23">
        <v>10.19</v>
      </c>
      <c r="AQ23">
        <v>10.63</v>
      </c>
      <c r="AR23">
        <v>98</v>
      </c>
      <c r="AS23">
        <v>5</v>
      </c>
      <c r="AT23">
        <v>2.5070000000000001</v>
      </c>
      <c r="AU23">
        <v>124.6</v>
      </c>
      <c r="AV23">
        <v>108.4</v>
      </c>
    </row>
    <row r="24" spans="2:48" x14ac:dyDescent="0.25">
      <c r="B24" s="100">
        <v>9</v>
      </c>
      <c r="C24" s="100">
        <v>10</v>
      </c>
      <c r="D24" s="101" t="s">
        <v>135</v>
      </c>
      <c r="E24" s="101" t="s">
        <v>136</v>
      </c>
      <c r="F24" s="100">
        <v>10.63</v>
      </c>
      <c r="G24" s="100">
        <v>11.06</v>
      </c>
      <c r="H24" s="100">
        <v>98</v>
      </c>
      <c r="I24" s="100">
        <v>5</v>
      </c>
      <c r="J24" s="100">
        <v>2.5070000000000001</v>
      </c>
      <c r="K24" s="100">
        <v>129.9</v>
      </c>
      <c r="L24" s="100">
        <v>112.9</v>
      </c>
      <c r="N24">
        <v>9</v>
      </c>
      <c r="O24">
        <v>10</v>
      </c>
      <c r="P24">
        <v>-35</v>
      </c>
      <c r="Q24">
        <v>-40</v>
      </c>
      <c r="R24">
        <v>10.63</v>
      </c>
      <c r="S24">
        <v>11.06</v>
      </c>
      <c r="T24">
        <v>98</v>
      </c>
      <c r="U24">
        <v>5</v>
      </c>
      <c r="V24">
        <v>2.5070000000000001</v>
      </c>
      <c r="W24">
        <v>129.9</v>
      </c>
      <c r="X24">
        <v>112.9</v>
      </c>
      <c r="Z24" s="100">
        <v>9</v>
      </c>
      <c r="AA24" s="100">
        <v>10</v>
      </c>
      <c r="AB24" s="100">
        <v>-35</v>
      </c>
      <c r="AC24" s="100">
        <v>-40</v>
      </c>
      <c r="AD24" s="100">
        <v>10.63</v>
      </c>
      <c r="AE24" s="100">
        <v>11.06</v>
      </c>
      <c r="AF24" s="100">
        <v>98</v>
      </c>
      <c r="AG24" s="100">
        <v>5</v>
      </c>
      <c r="AH24" s="100">
        <v>2.5070000000000001</v>
      </c>
      <c r="AI24" s="100">
        <v>129.9</v>
      </c>
      <c r="AJ24" s="100">
        <v>112.9</v>
      </c>
      <c r="AL24">
        <v>9</v>
      </c>
      <c r="AM24">
        <v>10</v>
      </c>
      <c r="AN24">
        <v>-35</v>
      </c>
      <c r="AO24">
        <v>-40</v>
      </c>
      <c r="AP24">
        <v>10.63</v>
      </c>
      <c r="AQ24">
        <v>11.06</v>
      </c>
      <c r="AR24">
        <v>98</v>
      </c>
      <c r="AS24">
        <v>5</v>
      </c>
      <c r="AT24">
        <v>2.5070000000000001</v>
      </c>
      <c r="AU24">
        <v>129.9</v>
      </c>
      <c r="AV24">
        <v>112.9</v>
      </c>
    </row>
    <row r="25" spans="2:48" x14ac:dyDescent="0.25">
      <c r="B25" s="100">
        <v>10</v>
      </c>
      <c r="C25" s="100">
        <v>11</v>
      </c>
      <c r="D25" s="100">
        <v>-40</v>
      </c>
      <c r="E25" s="100">
        <v>-45</v>
      </c>
      <c r="F25" s="100">
        <v>11.06</v>
      </c>
      <c r="G25" s="100">
        <v>11.5</v>
      </c>
      <c r="H25" s="100">
        <v>98</v>
      </c>
      <c r="I25" s="100">
        <v>5</v>
      </c>
      <c r="J25" s="100">
        <v>2.4940000000000002</v>
      </c>
      <c r="K25" s="100">
        <v>135.19999999999999</v>
      </c>
      <c r="L25" s="100">
        <v>117.3</v>
      </c>
      <c r="N25">
        <v>10</v>
      </c>
      <c r="O25">
        <v>11</v>
      </c>
      <c r="P25">
        <v>-40</v>
      </c>
      <c r="Q25">
        <v>-45</v>
      </c>
      <c r="R25">
        <v>11.06</v>
      </c>
      <c r="S25">
        <v>11.5</v>
      </c>
      <c r="T25">
        <v>98</v>
      </c>
      <c r="U25">
        <v>5</v>
      </c>
      <c r="V25">
        <v>2.4940000000000002</v>
      </c>
      <c r="W25">
        <v>135.19999999999999</v>
      </c>
      <c r="X25">
        <v>117.3</v>
      </c>
      <c r="Z25" s="100">
        <v>10</v>
      </c>
      <c r="AA25" s="100">
        <v>11</v>
      </c>
      <c r="AB25" s="100">
        <v>-40</v>
      </c>
      <c r="AC25" s="100">
        <v>-45</v>
      </c>
      <c r="AD25" s="100">
        <v>11.06</v>
      </c>
      <c r="AE25" s="100">
        <v>11.5</v>
      </c>
      <c r="AF25" s="100">
        <v>98</v>
      </c>
      <c r="AG25" s="100">
        <v>5</v>
      </c>
      <c r="AH25" s="100">
        <v>2.4940000000000002</v>
      </c>
      <c r="AI25" s="100">
        <v>135.19999999999999</v>
      </c>
      <c r="AJ25" s="100">
        <v>117.3</v>
      </c>
      <c r="AL25">
        <v>10</v>
      </c>
      <c r="AM25">
        <v>11</v>
      </c>
      <c r="AN25">
        <v>-40</v>
      </c>
      <c r="AO25">
        <v>-45</v>
      </c>
      <c r="AP25">
        <v>11.06</v>
      </c>
      <c r="AQ25">
        <v>11.5</v>
      </c>
      <c r="AR25">
        <v>98</v>
      </c>
      <c r="AS25">
        <v>5</v>
      </c>
      <c r="AT25">
        <v>2.4940000000000002</v>
      </c>
      <c r="AU25">
        <v>135.19999999999999</v>
      </c>
      <c r="AV25">
        <v>117.3</v>
      </c>
    </row>
    <row r="26" spans="2:48" x14ac:dyDescent="0.25">
      <c r="B26" s="100">
        <v>11</v>
      </c>
      <c r="C26" s="100">
        <v>12</v>
      </c>
      <c r="D26" s="100">
        <v>-45</v>
      </c>
      <c r="E26" s="100">
        <v>-50</v>
      </c>
      <c r="F26" s="100">
        <v>11.5</v>
      </c>
      <c r="G26" s="100">
        <v>11.5</v>
      </c>
      <c r="H26" s="100">
        <v>98</v>
      </c>
      <c r="I26" s="100">
        <v>5</v>
      </c>
      <c r="J26" s="100">
        <v>0</v>
      </c>
      <c r="K26" s="100">
        <v>137.80000000000001</v>
      </c>
      <c r="L26" s="100">
        <v>117.3</v>
      </c>
      <c r="N26">
        <v>11</v>
      </c>
      <c r="O26">
        <v>12</v>
      </c>
      <c r="P26">
        <v>-45</v>
      </c>
      <c r="Q26">
        <v>-50</v>
      </c>
      <c r="R26">
        <v>11.5</v>
      </c>
      <c r="S26">
        <v>11.5</v>
      </c>
      <c r="T26">
        <v>98</v>
      </c>
      <c r="U26">
        <v>5</v>
      </c>
      <c r="V26">
        <v>0</v>
      </c>
      <c r="W26">
        <v>137.80000000000001</v>
      </c>
      <c r="X26">
        <v>117.3</v>
      </c>
      <c r="Z26" s="100">
        <v>11</v>
      </c>
      <c r="AA26" s="100">
        <v>12</v>
      </c>
      <c r="AB26" s="100">
        <v>-45</v>
      </c>
      <c r="AC26" s="100">
        <v>-50</v>
      </c>
      <c r="AD26" s="100">
        <v>11.5</v>
      </c>
      <c r="AE26" s="100">
        <v>11.5</v>
      </c>
      <c r="AF26" s="100">
        <v>98</v>
      </c>
      <c r="AG26" s="100">
        <v>5</v>
      </c>
      <c r="AH26" s="100">
        <v>0</v>
      </c>
      <c r="AI26" s="100">
        <v>137.80000000000001</v>
      </c>
      <c r="AJ26" s="100">
        <v>117.3</v>
      </c>
      <c r="AL26">
        <v>11</v>
      </c>
      <c r="AM26">
        <v>12</v>
      </c>
      <c r="AN26">
        <v>-45</v>
      </c>
      <c r="AO26">
        <v>-50</v>
      </c>
      <c r="AP26">
        <v>11.5</v>
      </c>
      <c r="AQ26">
        <v>11.5</v>
      </c>
      <c r="AR26">
        <v>98</v>
      </c>
      <c r="AS26">
        <v>5</v>
      </c>
      <c r="AT26">
        <v>0</v>
      </c>
      <c r="AU26">
        <v>137.80000000000001</v>
      </c>
      <c r="AV26">
        <v>117.3</v>
      </c>
    </row>
    <row r="27" spans="2:48" x14ac:dyDescent="0.25">
      <c r="B27" s="100">
        <v>12</v>
      </c>
      <c r="C27" s="100">
        <v>13</v>
      </c>
      <c r="D27" s="100">
        <v>-50</v>
      </c>
      <c r="E27" s="100">
        <v>-55</v>
      </c>
      <c r="F27" s="100">
        <v>11.5</v>
      </c>
      <c r="G27" s="100">
        <v>11.5</v>
      </c>
      <c r="H27" s="100">
        <v>98</v>
      </c>
      <c r="I27" s="100">
        <v>5</v>
      </c>
      <c r="J27" s="100">
        <v>0</v>
      </c>
      <c r="K27" s="100">
        <v>137.80000000000001</v>
      </c>
      <c r="L27" s="100">
        <v>117.3</v>
      </c>
      <c r="N27">
        <v>12</v>
      </c>
      <c r="O27">
        <v>13</v>
      </c>
      <c r="P27">
        <v>-50</v>
      </c>
      <c r="Q27">
        <v>-55</v>
      </c>
      <c r="R27">
        <v>11.5</v>
      </c>
      <c r="S27">
        <v>11.5</v>
      </c>
      <c r="T27">
        <v>98</v>
      </c>
      <c r="U27">
        <v>5</v>
      </c>
      <c r="V27">
        <v>0</v>
      </c>
      <c r="W27">
        <v>137.80000000000001</v>
      </c>
      <c r="X27">
        <v>117.3</v>
      </c>
      <c r="Z27" s="100">
        <v>12</v>
      </c>
      <c r="AA27" s="100">
        <v>13</v>
      </c>
      <c r="AB27" s="100">
        <v>-50</v>
      </c>
      <c r="AC27" s="100">
        <v>-55</v>
      </c>
      <c r="AD27" s="100">
        <v>11.5</v>
      </c>
      <c r="AE27" s="100">
        <v>11.5</v>
      </c>
      <c r="AF27" s="100">
        <v>98</v>
      </c>
      <c r="AG27" s="100">
        <v>5</v>
      </c>
      <c r="AH27" s="100">
        <v>0</v>
      </c>
      <c r="AI27" s="100">
        <v>137.80000000000001</v>
      </c>
      <c r="AJ27" s="100">
        <v>117.3</v>
      </c>
      <c r="AL27">
        <v>12</v>
      </c>
      <c r="AM27">
        <v>13</v>
      </c>
      <c r="AN27">
        <v>-50</v>
      </c>
      <c r="AO27">
        <v>-55</v>
      </c>
      <c r="AP27">
        <v>11.5</v>
      </c>
      <c r="AQ27">
        <v>11.5</v>
      </c>
      <c r="AR27">
        <v>98</v>
      </c>
      <c r="AS27">
        <v>5</v>
      </c>
      <c r="AT27">
        <v>0</v>
      </c>
      <c r="AU27">
        <v>137.80000000000001</v>
      </c>
      <c r="AV27">
        <v>117.3</v>
      </c>
    </row>
    <row r="28" spans="2:48" x14ac:dyDescent="0.25">
      <c r="B28" s="100">
        <v>13</v>
      </c>
      <c r="C28" s="100">
        <v>14</v>
      </c>
      <c r="D28" s="100">
        <v>-55</v>
      </c>
      <c r="E28" s="100">
        <v>-60</v>
      </c>
      <c r="F28" s="100">
        <v>11.5</v>
      </c>
      <c r="G28" s="100">
        <v>11.5</v>
      </c>
      <c r="H28" s="100">
        <v>98</v>
      </c>
      <c r="I28" s="100">
        <v>5</v>
      </c>
      <c r="J28" s="100">
        <v>0</v>
      </c>
      <c r="K28" s="100">
        <v>137.80000000000001</v>
      </c>
      <c r="L28" s="100">
        <v>117.3</v>
      </c>
      <c r="N28">
        <v>13</v>
      </c>
      <c r="O28">
        <v>14</v>
      </c>
      <c r="P28">
        <v>-55</v>
      </c>
      <c r="Q28">
        <v>-60</v>
      </c>
      <c r="R28">
        <v>11.5</v>
      </c>
      <c r="S28">
        <v>11.5</v>
      </c>
      <c r="T28">
        <v>98</v>
      </c>
      <c r="U28">
        <v>5</v>
      </c>
      <c r="V28">
        <v>0</v>
      </c>
      <c r="W28">
        <v>137.80000000000001</v>
      </c>
      <c r="X28">
        <v>117.3</v>
      </c>
      <c r="Z28" s="100">
        <v>13</v>
      </c>
      <c r="AA28" s="100">
        <v>14</v>
      </c>
      <c r="AB28" s="100">
        <v>-55</v>
      </c>
      <c r="AC28" s="100">
        <v>-60</v>
      </c>
      <c r="AD28" s="100">
        <v>11.5</v>
      </c>
      <c r="AE28" s="100">
        <v>11.5</v>
      </c>
      <c r="AF28" s="100">
        <v>98</v>
      </c>
      <c r="AG28" s="100">
        <v>5</v>
      </c>
      <c r="AH28" s="100">
        <v>0</v>
      </c>
      <c r="AI28" s="100">
        <v>137.80000000000001</v>
      </c>
      <c r="AJ28" s="100">
        <v>117.3</v>
      </c>
      <c r="AL28">
        <v>13</v>
      </c>
      <c r="AM28">
        <v>14</v>
      </c>
      <c r="AN28">
        <v>-55</v>
      </c>
      <c r="AO28">
        <v>-60</v>
      </c>
      <c r="AP28">
        <v>11.5</v>
      </c>
      <c r="AQ28">
        <v>11.5</v>
      </c>
      <c r="AR28">
        <v>98</v>
      </c>
      <c r="AS28">
        <v>5</v>
      </c>
      <c r="AT28">
        <v>0</v>
      </c>
      <c r="AU28">
        <v>137.80000000000001</v>
      </c>
      <c r="AV28">
        <v>117.3</v>
      </c>
    </row>
    <row r="29" spans="2:48" x14ac:dyDescent="0.25">
      <c r="B29" s="100">
        <v>14</v>
      </c>
      <c r="C29" s="100">
        <v>15</v>
      </c>
      <c r="D29" s="100">
        <v>-60</v>
      </c>
      <c r="E29" s="100">
        <v>-65</v>
      </c>
      <c r="F29" s="100">
        <v>11.5</v>
      </c>
      <c r="G29" s="100">
        <v>11.5</v>
      </c>
      <c r="H29" s="100">
        <v>100</v>
      </c>
      <c r="I29" s="100">
        <v>5</v>
      </c>
      <c r="J29" s="100">
        <v>0</v>
      </c>
      <c r="K29" s="100">
        <v>140.6</v>
      </c>
      <c r="L29" s="100">
        <v>115</v>
      </c>
      <c r="N29">
        <v>14</v>
      </c>
      <c r="O29">
        <v>15</v>
      </c>
      <c r="P29">
        <v>-60</v>
      </c>
      <c r="Q29">
        <v>-65</v>
      </c>
      <c r="R29">
        <v>11.5</v>
      </c>
      <c r="S29">
        <v>11.5</v>
      </c>
      <c r="T29">
        <v>100</v>
      </c>
      <c r="U29">
        <v>5</v>
      </c>
      <c r="V29">
        <v>0</v>
      </c>
      <c r="W29">
        <v>140.6</v>
      </c>
      <c r="X29">
        <v>115</v>
      </c>
      <c r="Z29" s="100">
        <v>14</v>
      </c>
      <c r="AA29" s="100">
        <v>15</v>
      </c>
      <c r="AB29" s="100">
        <v>-60</v>
      </c>
      <c r="AC29" s="100">
        <v>-65</v>
      </c>
      <c r="AD29" s="100">
        <v>11.5</v>
      </c>
      <c r="AE29" s="100">
        <v>11.5</v>
      </c>
      <c r="AF29" s="100">
        <v>100</v>
      </c>
      <c r="AG29" s="100">
        <v>5</v>
      </c>
      <c r="AH29" s="100">
        <v>0</v>
      </c>
      <c r="AI29" s="100">
        <v>140.6</v>
      </c>
      <c r="AJ29" s="100">
        <v>115</v>
      </c>
      <c r="AL29">
        <v>14</v>
      </c>
      <c r="AM29">
        <v>15</v>
      </c>
      <c r="AN29">
        <v>-60</v>
      </c>
      <c r="AO29">
        <v>-65</v>
      </c>
      <c r="AP29">
        <v>11.5</v>
      </c>
      <c r="AQ29">
        <v>11.5</v>
      </c>
      <c r="AR29">
        <v>100</v>
      </c>
      <c r="AS29">
        <v>5</v>
      </c>
      <c r="AT29">
        <v>0</v>
      </c>
      <c r="AU29">
        <v>140.6</v>
      </c>
      <c r="AV29">
        <v>115</v>
      </c>
    </row>
    <row r="30" spans="2:48" x14ac:dyDescent="0.25">
      <c r="B30" s="100">
        <v>15</v>
      </c>
      <c r="C30" s="100">
        <v>16</v>
      </c>
      <c r="D30" s="100">
        <v>-65</v>
      </c>
      <c r="E30" s="100">
        <v>-70</v>
      </c>
      <c r="F30" s="100">
        <v>11.5</v>
      </c>
      <c r="G30" s="100">
        <v>11.5</v>
      </c>
      <c r="H30" s="100">
        <v>98</v>
      </c>
      <c r="I30" s="100">
        <v>5</v>
      </c>
      <c r="J30" s="100">
        <v>0</v>
      </c>
      <c r="K30" s="100">
        <v>137.80000000000001</v>
      </c>
      <c r="L30" s="100">
        <v>117.3</v>
      </c>
      <c r="N30">
        <v>15</v>
      </c>
      <c r="O30">
        <v>16</v>
      </c>
      <c r="P30">
        <v>-65</v>
      </c>
      <c r="Q30">
        <v>-70</v>
      </c>
      <c r="R30">
        <v>11.5</v>
      </c>
      <c r="S30">
        <v>11.5</v>
      </c>
      <c r="T30">
        <v>98</v>
      </c>
      <c r="U30">
        <v>5</v>
      </c>
      <c r="V30">
        <v>0</v>
      </c>
      <c r="W30">
        <v>137.80000000000001</v>
      </c>
      <c r="X30">
        <v>117.3</v>
      </c>
      <c r="Z30" s="100">
        <v>15</v>
      </c>
      <c r="AA30" s="100">
        <v>16</v>
      </c>
      <c r="AB30" s="100">
        <v>-65</v>
      </c>
      <c r="AC30" s="100">
        <v>-70</v>
      </c>
      <c r="AD30" s="100">
        <v>11.5</v>
      </c>
      <c r="AE30" s="100">
        <v>11.5</v>
      </c>
      <c r="AF30" s="100">
        <v>98</v>
      </c>
      <c r="AG30" s="100">
        <v>5</v>
      </c>
      <c r="AH30" s="100">
        <v>0</v>
      </c>
      <c r="AI30" s="100">
        <v>137.80000000000001</v>
      </c>
      <c r="AJ30" s="100">
        <v>117.3</v>
      </c>
      <c r="AL30">
        <v>15</v>
      </c>
      <c r="AM30">
        <v>16</v>
      </c>
      <c r="AN30">
        <v>-65</v>
      </c>
      <c r="AO30">
        <v>-70</v>
      </c>
      <c r="AP30">
        <v>11.5</v>
      </c>
      <c r="AQ30">
        <v>11.5</v>
      </c>
      <c r="AR30">
        <v>98</v>
      </c>
      <c r="AS30">
        <v>5</v>
      </c>
      <c r="AT30">
        <v>0</v>
      </c>
      <c r="AU30">
        <v>137.80000000000001</v>
      </c>
      <c r="AV30">
        <v>117.3</v>
      </c>
    </row>
    <row r="31" spans="2:48" x14ac:dyDescent="0.25">
      <c r="B31" s="100">
        <v>16</v>
      </c>
      <c r="C31" s="100">
        <v>17</v>
      </c>
      <c r="D31" s="100">
        <v>-70</v>
      </c>
      <c r="E31" s="100">
        <v>-75</v>
      </c>
      <c r="F31" s="100">
        <v>11.5</v>
      </c>
      <c r="G31" s="100">
        <v>11.5</v>
      </c>
      <c r="H31" s="100">
        <v>96</v>
      </c>
      <c r="I31" s="100">
        <v>5</v>
      </c>
      <c r="J31" s="100">
        <v>0</v>
      </c>
      <c r="K31" s="100">
        <v>135</v>
      </c>
      <c r="L31" s="100">
        <v>119.8</v>
      </c>
      <c r="N31">
        <v>16</v>
      </c>
      <c r="O31">
        <v>17</v>
      </c>
      <c r="P31">
        <v>-70</v>
      </c>
      <c r="Q31">
        <v>-75</v>
      </c>
      <c r="R31">
        <v>11.5</v>
      </c>
      <c r="S31">
        <v>11.5</v>
      </c>
      <c r="T31">
        <v>96</v>
      </c>
      <c r="U31">
        <v>5</v>
      </c>
      <c r="V31">
        <v>0</v>
      </c>
      <c r="W31">
        <v>135</v>
      </c>
      <c r="X31">
        <v>119.8</v>
      </c>
      <c r="Z31" s="100">
        <v>16</v>
      </c>
      <c r="AA31" s="100">
        <v>17</v>
      </c>
      <c r="AB31" s="100">
        <v>-70</v>
      </c>
      <c r="AC31" s="100">
        <v>-75</v>
      </c>
      <c r="AD31" s="100">
        <v>11.5</v>
      </c>
      <c r="AE31" s="100">
        <v>11.5</v>
      </c>
      <c r="AF31" s="100">
        <v>96</v>
      </c>
      <c r="AG31" s="100">
        <v>5</v>
      </c>
      <c r="AH31" s="100">
        <v>0</v>
      </c>
      <c r="AI31" s="100">
        <v>135</v>
      </c>
      <c r="AJ31" s="100">
        <v>119.8</v>
      </c>
      <c r="AL31">
        <v>16</v>
      </c>
      <c r="AM31">
        <v>17</v>
      </c>
      <c r="AN31">
        <v>-70</v>
      </c>
      <c r="AO31">
        <v>-75</v>
      </c>
      <c r="AP31">
        <v>11.5</v>
      </c>
      <c r="AQ31">
        <v>11.5</v>
      </c>
      <c r="AR31">
        <v>96</v>
      </c>
      <c r="AS31">
        <v>5</v>
      </c>
      <c r="AT31">
        <v>0</v>
      </c>
      <c r="AU31">
        <v>135</v>
      </c>
      <c r="AV31">
        <v>119.8</v>
      </c>
    </row>
    <row r="32" spans="2:48" x14ac:dyDescent="0.25">
      <c r="B32" s="100">
        <v>17</v>
      </c>
      <c r="C32" s="100">
        <v>18</v>
      </c>
      <c r="D32" s="100">
        <v>-75</v>
      </c>
      <c r="E32" s="100">
        <v>-80</v>
      </c>
      <c r="F32" s="100">
        <v>11.5</v>
      </c>
      <c r="G32" s="100">
        <v>11.5</v>
      </c>
      <c r="H32" s="100">
        <v>93</v>
      </c>
      <c r="I32" s="100">
        <v>5</v>
      </c>
      <c r="J32" s="100">
        <v>0</v>
      </c>
      <c r="K32" s="100">
        <v>130.80000000000001</v>
      </c>
      <c r="L32" s="100">
        <v>123.7</v>
      </c>
      <c r="N32">
        <v>17</v>
      </c>
      <c r="O32">
        <v>18</v>
      </c>
      <c r="P32">
        <v>-75</v>
      </c>
      <c r="Q32">
        <v>-80</v>
      </c>
      <c r="R32">
        <v>11.5</v>
      </c>
      <c r="S32">
        <v>11.5</v>
      </c>
      <c r="T32">
        <v>93</v>
      </c>
      <c r="U32">
        <v>5</v>
      </c>
      <c r="V32">
        <v>0</v>
      </c>
      <c r="W32">
        <v>130.80000000000001</v>
      </c>
      <c r="X32">
        <v>123.7</v>
      </c>
      <c r="Z32" s="100">
        <v>17</v>
      </c>
      <c r="AA32" s="100">
        <v>18</v>
      </c>
      <c r="AB32" s="100">
        <v>-75</v>
      </c>
      <c r="AC32" s="100">
        <v>-80</v>
      </c>
      <c r="AD32" s="100">
        <v>11.5</v>
      </c>
      <c r="AE32" s="100">
        <v>11.5</v>
      </c>
      <c r="AF32" s="100">
        <v>93</v>
      </c>
      <c r="AG32" s="100">
        <v>5</v>
      </c>
      <c r="AH32" s="100">
        <v>0</v>
      </c>
      <c r="AI32" s="100">
        <v>130.80000000000001</v>
      </c>
      <c r="AJ32" s="100">
        <v>123.7</v>
      </c>
      <c r="AL32">
        <v>17</v>
      </c>
      <c r="AM32">
        <v>18</v>
      </c>
      <c r="AN32">
        <v>-75</v>
      </c>
      <c r="AO32">
        <v>-80</v>
      </c>
      <c r="AP32">
        <v>11.5</v>
      </c>
      <c r="AQ32">
        <v>11.5</v>
      </c>
      <c r="AR32">
        <v>93</v>
      </c>
      <c r="AS32">
        <v>5</v>
      </c>
      <c r="AT32">
        <v>0</v>
      </c>
      <c r="AU32">
        <v>130.80000000000001</v>
      </c>
      <c r="AV32">
        <v>123.7</v>
      </c>
    </row>
    <row r="33" spans="2:48" x14ac:dyDescent="0.25">
      <c r="B33" s="100">
        <v>18</v>
      </c>
      <c r="C33" s="100">
        <v>19</v>
      </c>
      <c r="D33" s="100">
        <v>-80</v>
      </c>
      <c r="E33" s="100">
        <v>-85</v>
      </c>
      <c r="F33" s="100">
        <v>11.5</v>
      </c>
      <c r="G33" s="100">
        <v>11.5</v>
      </c>
      <c r="H33" s="100">
        <v>93</v>
      </c>
      <c r="I33" s="100">
        <v>5</v>
      </c>
      <c r="J33" s="100">
        <v>0</v>
      </c>
      <c r="K33" s="100">
        <v>130.80000000000001</v>
      </c>
      <c r="L33" s="100">
        <v>123.7</v>
      </c>
      <c r="N33">
        <v>18</v>
      </c>
      <c r="O33">
        <v>19</v>
      </c>
      <c r="P33">
        <v>-80</v>
      </c>
      <c r="Q33">
        <v>-85</v>
      </c>
      <c r="R33">
        <v>11.5</v>
      </c>
      <c r="S33">
        <v>11.5</v>
      </c>
      <c r="T33">
        <v>93</v>
      </c>
      <c r="U33">
        <v>5</v>
      </c>
      <c r="V33">
        <v>0</v>
      </c>
      <c r="W33">
        <v>130.80000000000001</v>
      </c>
      <c r="X33">
        <v>123.7</v>
      </c>
      <c r="Z33" s="100">
        <v>18</v>
      </c>
      <c r="AA33" s="100">
        <v>19</v>
      </c>
      <c r="AB33" s="100">
        <v>-80</v>
      </c>
      <c r="AC33" s="100">
        <v>-85</v>
      </c>
      <c r="AD33" s="100">
        <v>11.5</v>
      </c>
      <c r="AE33" s="100">
        <v>11.5</v>
      </c>
      <c r="AF33" s="100">
        <v>93</v>
      </c>
      <c r="AG33" s="100">
        <v>5</v>
      </c>
      <c r="AH33" s="100">
        <v>0</v>
      </c>
      <c r="AI33" s="100">
        <v>130.80000000000001</v>
      </c>
      <c r="AJ33" s="100">
        <v>123.7</v>
      </c>
      <c r="AL33">
        <v>18</v>
      </c>
      <c r="AM33">
        <v>19</v>
      </c>
      <c r="AN33">
        <v>-80</v>
      </c>
      <c r="AO33">
        <v>-85</v>
      </c>
      <c r="AP33">
        <v>11.5</v>
      </c>
      <c r="AQ33">
        <v>11.5</v>
      </c>
      <c r="AR33">
        <v>93</v>
      </c>
      <c r="AS33">
        <v>5</v>
      </c>
      <c r="AT33">
        <v>0</v>
      </c>
      <c r="AU33">
        <v>130.80000000000001</v>
      </c>
      <c r="AV33">
        <v>123.7</v>
      </c>
    </row>
    <row r="34" spans="2:48" x14ac:dyDescent="0.25">
      <c r="B34" s="100">
        <v>19</v>
      </c>
      <c r="C34" s="100">
        <v>20</v>
      </c>
      <c r="D34" s="100">
        <v>-85</v>
      </c>
      <c r="E34" s="100">
        <v>-90</v>
      </c>
      <c r="F34" s="100">
        <v>11.5</v>
      </c>
      <c r="G34" s="100">
        <v>11.5</v>
      </c>
      <c r="H34" s="100">
        <v>93</v>
      </c>
      <c r="I34" s="100">
        <v>5</v>
      </c>
      <c r="J34" s="100">
        <v>0</v>
      </c>
      <c r="K34" s="100">
        <v>130.80000000000001</v>
      </c>
      <c r="L34" s="100">
        <v>123.7</v>
      </c>
      <c r="N34">
        <v>19</v>
      </c>
      <c r="O34">
        <v>20</v>
      </c>
      <c r="P34">
        <v>-85</v>
      </c>
      <c r="Q34">
        <v>-90</v>
      </c>
      <c r="R34">
        <v>11.5</v>
      </c>
      <c r="S34">
        <v>11.5</v>
      </c>
      <c r="T34">
        <v>93</v>
      </c>
      <c r="U34">
        <v>5</v>
      </c>
      <c r="V34">
        <v>0</v>
      </c>
      <c r="W34">
        <v>130.80000000000001</v>
      </c>
      <c r="X34">
        <v>123.7</v>
      </c>
      <c r="Z34" s="100">
        <v>19</v>
      </c>
      <c r="AA34" s="100">
        <v>20</v>
      </c>
      <c r="AB34" s="100">
        <v>-85</v>
      </c>
      <c r="AC34" s="100">
        <v>-90</v>
      </c>
      <c r="AD34" s="100">
        <v>11.5</v>
      </c>
      <c r="AE34" s="100">
        <v>11.5</v>
      </c>
      <c r="AF34" s="100">
        <v>93</v>
      </c>
      <c r="AG34" s="100">
        <v>5</v>
      </c>
      <c r="AH34" s="100">
        <v>0</v>
      </c>
      <c r="AI34" s="100">
        <v>130.80000000000001</v>
      </c>
      <c r="AJ34" s="100">
        <v>123.7</v>
      </c>
      <c r="AL34">
        <v>19</v>
      </c>
      <c r="AM34">
        <v>20</v>
      </c>
      <c r="AN34">
        <v>-85</v>
      </c>
      <c r="AO34">
        <v>-90</v>
      </c>
      <c r="AP34">
        <v>11.5</v>
      </c>
      <c r="AQ34">
        <v>11.5</v>
      </c>
      <c r="AR34">
        <v>93</v>
      </c>
      <c r="AS34">
        <v>5</v>
      </c>
      <c r="AT34">
        <v>0</v>
      </c>
      <c r="AU34">
        <v>130.80000000000001</v>
      </c>
      <c r="AV34">
        <v>123.7</v>
      </c>
    </row>
    <row r="35" spans="2:48" x14ac:dyDescent="0.25">
      <c r="B35" s="100">
        <v>20</v>
      </c>
      <c r="C35" s="100">
        <v>21</v>
      </c>
      <c r="D35" s="100">
        <v>-90</v>
      </c>
      <c r="E35" s="100">
        <v>-95</v>
      </c>
      <c r="F35" s="100">
        <v>11.5</v>
      </c>
      <c r="G35" s="100">
        <v>11.5</v>
      </c>
      <c r="H35" s="100">
        <v>93</v>
      </c>
      <c r="I35" s="100">
        <v>5</v>
      </c>
      <c r="J35" s="100">
        <v>0</v>
      </c>
      <c r="K35" s="100">
        <v>130.80000000000001</v>
      </c>
      <c r="L35" s="100">
        <v>123.7</v>
      </c>
      <c r="N35">
        <v>20</v>
      </c>
      <c r="O35">
        <v>21</v>
      </c>
      <c r="P35">
        <v>-90</v>
      </c>
      <c r="Q35">
        <v>-95</v>
      </c>
      <c r="R35">
        <v>11.5</v>
      </c>
      <c r="S35">
        <v>11.5</v>
      </c>
      <c r="T35">
        <v>93</v>
      </c>
      <c r="U35">
        <v>5</v>
      </c>
      <c r="V35">
        <v>0</v>
      </c>
      <c r="W35">
        <v>130.80000000000001</v>
      </c>
      <c r="X35">
        <v>123.7</v>
      </c>
      <c r="Z35" s="100">
        <v>20</v>
      </c>
      <c r="AA35" s="100">
        <v>21</v>
      </c>
      <c r="AB35" s="100">
        <v>-90</v>
      </c>
      <c r="AC35" s="100">
        <v>-95</v>
      </c>
      <c r="AD35" s="100">
        <v>11.5</v>
      </c>
      <c r="AE35" s="100">
        <v>11.5</v>
      </c>
      <c r="AF35" s="100">
        <v>93</v>
      </c>
      <c r="AG35" s="100">
        <v>5</v>
      </c>
      <c r="AH35" s="100">
        <v>0</v>
      </c>
      <c r="AI35" s="100">
        <v>130.80000000000001</v>
      </c>
      <c r="AJ35" s="100">
        <v>123.7</v>
      </c>
      <c r="AL35">
        <v>20</v>
      </c>
      <c r="AM35">
        <v>21</v>
      </c>
      <c r="AN35">
        <v>-90</v>
      </c>
      <c r="AO35">
        <v>-95</v>
      </c>
      <c r="AP35">
        <v>11.5</v>
      </c>
      <c r="AQ35">
        <v>11.5</v>
      </c>
      <c r="AR35">
        <v>93</v>
      </c>
      <c r="AS35">
        <v>5</v>
      </c>
      <c r="AT35">
        <v>0</v>
      </c>
      <c r="AU35">
        <v>130.80000000000001</v>
      </c>
      <c r="AV35">
        <v>123.7</v>
      </c>
    </row>
    <row r="36" spans="2:48" x14ac:dyDescent="0.25">
      <c r="B36" s="100">
        <v>21</v>
      </c>
      <c r="C36" s="100">
        <v>22</v>
      </c>
      <c r="D36" s="100">
        <v>-95</v>
      </c>
      <c r="E36" s="100">
        <v>-100</v>
      </c>
      <c r="F36" s="100">
        <v>11.5</v>
      </c>
      <c r="G36" s="100">
        <v>11.5</v>
      </c>
      <c r="H36" s="100">
        <v>93</v>
      </c>
      <c r="I36" s="100">
        <v>5</v>
      </c>
      <c r="J36" s="100">
        <v>0</v>
      </c>
      <c r="K36" s="100">
        <v>130.80000000000001</v>
      </c>
      <c r="L36" s="100">
        <v>123.7</v>
      </c>
      <c r="N36">
        <v>21</v>
      </c>
      <c r="O36">
        <v>22</v>
      </c>
      <c r="P36">
        <v>-95</v>
      </c>
      <c r="Q36">
        <v>-100</v>
      </c>
      <c r="R36">
        <v>11.5</v>
      </c>
      <c r="S36">
        <v>11.5</v>
      </c>
      <c r="T36">
        <v>93</v>
      </c>
      <c r="U36">
        <v>5</v>
      </c>
      <c r="V36">
        <v>0</v>
      </c>
      <c r="W36">
        <v>130.80000000000001</v>
      </c>
      <c r="X36">
        <v>123.7</v>
      </c>
      <c r="Z36" s="100">
        <v>21</v>
      </c>
      <c r="AA36" s="100">
        <v>22</v>
      </c>
      <c r="AB36" s="100">
        <v>-95</v>
      </c>
      <c r="AC36" s="100">
        <v>-100</v>
      </c>
      <c r="AD36" s="100">
        <v>11.5</v>
      </c>
      <c r="AE36" s="100">
        <v>11.5</v>
      </c>
      <c r="AF36" s="100">
        <v>93</v>
      </c>
      <c r="AG36" s="100">
        <v>5</v>
      </c>
      <c r="AH36" s="100">
        <v>0</v>
      </c>
      <c r="AI36" s="100">
        <v>130.80000000000001</v>
      </c>
      <c r="AJ36" s="100">
        <v>123.7</v>
      </c>
      <c r="AL36">
        <v>21</v>
      </c>
      <c r="AM36">
        <v>22</v>
      </c>
      <c r="AN36">
        <v>-95</v>
      </c>
      <c r="AO36">
        <v>-100</v>
      </c>
      <c r="AP36">
        <v>11.5</v>
      </c>
      <c r="AQ36">
        <v>11.5</v>
      </c>
      <c r="AR36">
        <v>93</v>
      </c>
      <c r="AS36">
        <v>5</v>
      </c>
      <c r="AT36">
        <v>0</v>
      </c>
      <c r="AU36">
        <v>130.80000000000001</v>
      </c>
      <c r="AV36">
        <v>123.7</v>
      </c>
    </row>
    <row r="37" spans="2:48" x14ac:dyDescent="0.25">
      <c r="B37" s="100">
        <v>22</v>
      </c>
      <c r="C37" s="100">
        <v>23</v>
      </c>
      <c r="D37" s="100">
        <v>-100</v>
      </c>
      <c r="E37" s="100">
        <v>-105</v>
      </c>
      <c r="F37" s="100">
        <v>11.5</v>
      </c>
      <c r="G37" s="100">
        <v>11.5</v>
      </c>
      <c r="H37" s="100">
        <v>96</v>
      </c>
      <c r="I37" s="100">
        <v>5</v>
      </c>
      <c r="J37" s="100">
        <v>0</v>
      </c>
      <c r="K37" s="100">
        <v>135</v>
      </c>
      <c r="L37" s="100">
        <v>119.8</v>
      </c>
      <c r="N37">
        <v>22</v>
      </c>
      <c r="O37">
        <v>23</v>
      </c>
      <c r="P37">
        <v>-100</v>
      </c>
      <c r="Q37">
        <v>-105</v>
      </c>
      <c r="R37">
        <v>11.5</v>
      </c>
      <c r="S37">
        <v>11.5</v>
      </c>
      <c r="T37">
        <v>96</v>
      </c>
      <c r="U37">
        <v>5</v>
      </c>
      <c r="V37">
        <v>0</v>
      </c>
      <c r="W37">
        <v>135</v>
      </c>
      <c r="X37">
        <v>119.8</v>
      </c>
      <c r="Z37" s="100">
        <v>22</v>
      </c>
      <c r="AA37" s="100">
        <v>23</v>
      </c>
      <c r="AB37" s="100">
        <v>-100</v>
      </c>
      <c r="AC37" s="100">
        <v>-105</v>
      </c>
      <c r="AD37" s="100">
        <v>11.5</v>
      </c>
      <c r="AE37" s="100">
        <v>11.5</v>
      </c>
      <c r="AF37" s="100">
        <v>96</v>
      </c>
      <c r="AG37" s="100">
        <v>5</v>
      </c>
      <c r="AH37" s="100">
        <v>0</v>
      </c>
      <c r="AI37" s="100">
        <v>135</v>
      </c>
      <c r="AJ37" s="100">
        <v>119.8</v>
      </c>
      <c r="AL37">
        <v>22</v>
      </c>
      <c r="AM37">
        <v>23</v>
      </c>
      <c r="AN37">
        <v>-100</v>
      </c>
      <c r="AO37">
        <v>-105</v>
      </c>
      <c r="AP37">
        <v>11.5</v>
      </c>
      <c r="AQ37">
        <v>11.5</v>
      </c>
      <c r="AR37">
        <v>96</v>
      </c>
      <c r="AS37">
        <v>5</v>
      </c>
      <c r="AT37">
        <v>0</v>
      </c>
      <c r="AU37">
        <v>135</v>
      </c>
      <c r="AV37">
        <v>119.8</v>
      </c>
    </row>
    <row r="38" spans="2:48" x14ac:dyDescent="0.25">
      <c r="B38" s="100">
        <v>23</v>
      </c>
      <c r="C38" s="100">
        <v>24</v>
      </c>
      <c r="D38" s="100">
        <v>-105</v>
      </c>
      <c r="E38" s="100">
        <v>-110</v>
      </c>
      <c r="F38" s="100">
        <v>11.5</v>
      </c>
      <c r="G38" s="100">
        <v>11.5</v>
      </c>
      <c r="H38" s="100">
        <v>100</v>
      </c>
      <c r="I38" s="100">
        <v>5</v>
      </c>
      <c r="J38" s="100">
        <v>0</v>
      </c>
      <c r="K38" s="100">
        <v>140.6</v>
      </c>
      <c r="L38" s="100">
        <v>115</v>
      </c>
      <c r="N38">
        <v>23</v>
      </c>
      <c r="O38">
        <v>24</v>
      </c>
      <c r="P38">
        <v>-105</v>
      </c>
      <c r="Q38">
        <v>-110</v>
      </c>
      <c r="R38">
        <v>11.5</v>
      </c>
      <c r="S38">
        <v>11.5</v>
      </c>
      <c r="T38">
        <v>100</v>
      </c>
      <c r="U38">
        <v>5</v>
      </c>
      <c r="V38">
        <v>0</v>
      </c>
      <c r="W38">
        <v>140.6</v>
      </c>
      <c r="X38">
        <v>115</v>
      </c>
      <c r="Z38" s="100">
        <v>23</v>
      </c>
      <c r="AA38" s="100">
        <v>24</v>
      </c>
      <c r="AB38" s="100">
        <v>-105</v>
      </c>
      <c r="AC38" s="100">
        <v>-110</v>
      </c>
      <c r="AD38" s="100">
        <v>11.5</v>
      </c>
      <c r="AE38" s="100">
        <v>11.5</v>
      </c>
      <c r="AF38" s="100">
        <v>100</v>
      </c>
      <c r="AG38" s="100">
        <v>5</v>
      </c>
      <c r="AH38" s="100">
        <v>0</v>
      </c>
      <c r="AI38" s="100">
        <v>140.6</v>
      </c>
      <c r="AJ38" s="100">
        <v>115</v>
      </c>
      <c r="AL38">
        <v>23</v>
      </c>
      <c r="AM38">
        <v>24</v>
      </c>
      <c r="AN38">
        <v>-105</v>
      </c>
      <c r="AO38">
        <v>-110</v>
      </c>
      <c r="AP38">
        <v>11.5</v>
      </c>
      <c r="AQ38">
        <v>11.5</v>
      </c>
      <c r="AR38">
        <v>100</v>
      </c>
      <c r="AS38">
        <v>5</v>
      </c>
      <c r="AT38">
        <v>0</v>
      </c>
      <c r="AU38">
        <v>140.6</v>
      </c>
      <c r="AV38">
        <v>115</v>
      </c>
    </row>
    <row r="39" spans="2:48" x14ac:dyDescent="0.25">
      <c r="B39" s="100">
        <v>24</v>
      </c>
      <c r="C39" s="100">
        <v>25</v>
      </c>
      <c r="D39" s="100">
        <v>-110</v>
      </c>
      <c r="E39" s="100">
        <v>-115</v>
      </c>
      <c r="F39" s="100">
        <v>11.5</v>
      </c>
      <c r="G39" s="100">
        <v>11.5</v>
      </c>
      <c r="H39" s="100">
        <v>105</v>
      </c>
      <c r="I39" s="100">
        <v>5</v>
      </c>
      <c r="J39" s="100">
        <v>0</v>
      </c>
      <c r="K39" s="100">
        <v>147.5</v>
      </c>
      <c r="L39" s="100">
        <v>109.5</v>
      </c>
      <c r="N39">
        <v>24</v>
      </c>
      <c r="O39">
        <v>25</v>
      </c>
      <c r="P39">
        <v>-110</v>
      </c>
      <c r="Q39">
        <v>-115</v>
      </c>
      <c r="R39">
        <v>11.5</v>
      </c>
      <c r="S39">
        <v>11.5</v>
      </c>
      <c r="T39">
        <v>105</v>
      </c>
      <c r="U39">
        <v>5</v>
      </c>
      <c r="V39">
        <v>0</v>
      </c>
      <c r="W39">
        <v>147.5</v>
      </c>
      <c r="X39">
        <v>109.5</v>
      </c>
      <c r="Z39" s="100">
        <v>24</v>
      </c>
      <c r="AA39" s="100">
        <v>25</v>
      </c>
      <c r="AB39" s="100">
        <v>-110</v>
      </c>
      <c r="AC39" s="100">
        <v>-115</v>
      </c>
      <c r="AD39" s="100">
        <v>11.5</v>
      </c>
      <c r="AE39" s="100">
        <v>11.5</v>
      </c>
      <c r="AF39" s="100">
        <v>105</v>
      </c>
      <c r="AG39" s="100">
        <v>5</v>
      </c>
      <c r="AH39" s="100">
        <v>0</v>
      </c>
      <c r="AI39" s="100">
        <v>147.5</v>
      </c>
      <c r="AJ39" s="100">
        <v>109.5</v>
      </c>
      <c r="AL39">
        <v>24</v>
      </c>
      <c r="AM39">
        <v>25</v>
      </c>
      <c r="AN39">
        <v>-110</v>
      </c>
      <c r="AO39">
        <v>-115</v>
      </c>
      <c r="AP39">
        <v>11.5</v>
      </c>
      <c r="AQ39">
        <v>11.5</v>
      </c>
      <c r="AR39">
        <v>105</v>
      </c>
      <c r="AS39">
        <v>5</v>
      </c>
      <c r="AT39">
        <v>0</v>
      </c>
      <c r="AU39">
        <v>147.5</v>
      </c>
      <c r="AV39">
        <v>109.5</v>
      </c>
    </row>
    <row r="40" spans="2:48" x14ac:dyDescent="0.25"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</row>
    <row r="41" spans="2:48" x14ac:dyDescent="0.25"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</row>
    <row r="42" spans="2:48" x14ac:dyDescent="0.25"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</row>
    <row r="43" spans="2:48" x14ac:dyDescent="0.25">
      <c r="B43" s="100"/>
      <c r="C43" s="100"/>
      <c r="D43" s="100"/>
      <c r="E43" s="100"/>
      <c r="F43" s="100"/>
      <c r="G43" s="100"/>
      <c r="H43" s="100"/>
      <c r="I43" s="100"/>
      <c r="J43" s="100"/>
      <c r="K43" s="100"/>
      <c r="L43" s="100"/>
    </row>
  </sheetData>
  <dataConsolidate/>
  <phoneticPr fontId="13" type="noConversion"/>
  <conditionalFormatting sqref="B1960">
    <cfRule type="expression" dxfId="48" priority="10">
      <formula>B1959&lt;&gt;_xludf.INDIRECT("B" &amp; _xludf.ROW() + 200)</formula>
    </cfRule>
  </conditionalFormatting>
  <conditionalFormatting sqref="G202:G208 H201:H208 B186:F208 G186:G200 H186:H199 I186:L208">
    <cfRule type="expression" dxfId="47" priority="7">
      <formula>B14&lt;&gt;_xludf.INDIRECT(_xludf.ADDRESS(_xludf.ROW()-200,_xludf.COLUMN()))</formula>
    </cfRule>
  </conditionalFormatting>
  <conditionalFormatting sqref="B50:L185">
    <cfRule type="expression" dxfId="46" priority="12">
      <formula>#REF!&lt;&gt;_xludf.INDIRECT(_xludf.ADDRESS(_xludf.ROW()-200,_xludf.COLUMN()))</formula>
    </cfRule>
  </conditionalFormatting>
  <conditionalFormatting sqref="G201">
    <cfRule type="expression" dxfId="45" priority="13">
      <formula>H28&lt;&gt;_xludf.INDIRECT(_xludf.ADDRESS(_xludf.ROW()-200,_xludf.COLUMN()))</formula>
    </cfRule>
  </conditionalFormatting>
  <conditionalFormatting sqref="H200">
    <cfRule type="expression" dxfId="44" priority="14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4</xdr:row>
                    <xdr:rowOff>161925</xdr:rowOff>
                  </from>
                  <to>
                    <xdr:col>4</xdr:col>
                    <xdr:colOff>333375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B">
                <anchor moveWithCells="1" sizeWithCells="1">
                  <from>
                    <xdr:col>1</xdr:col>
                    <xdr:colOff>28575</xdr:colOff>
                    <xdr:row>3</xdr:row>
                    <xdr:rowOff>28575</xdr:rowOff>
                  </from>
                  <to>
                    <xdr:col>1</xdr:col>
                    <xdr:colOff>800100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Dropdown_TP_Structures">
              <controlPr defaultSize="0" autoLine="0" autoPict="0" macro="[0]!load_TP_Data">
                <anchor moveWithCells="1">
                  <from>
                    <xdr:col>25</xdr:col>
                    <xdr:colOff>47625</xdr:colOff>
                    <xdr:row>4</xdr:row>
                    <xdr:rowOff>161925</xdr:rowOff>
                  </from>
                  <to>
                    <xdr:col>28</xdr:col>
                    <xdr:colOff>438150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7" name="Button 9">
              <controlPr defaultSize="0" print="0" autoFill="0" autoPict="0" macro="[0]!load_TP_DB">
                <anchor moveWithCells="1" sizeWithCells="1">
                  <from>
                    <xdr:col>25</xdr:col>
                    <xdr:colOff>28575</xdr:colOff>
                    <xdr:row>3</xdr:row>
                    <xdr:rowOff>28575</xdr:rowOff>
                  </from>
                  <to>
                    <xdr:col>25</xdr:col>
                    <xdr:colOff>800100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ave_MP_Data">
                <anchor moveWithCells="1" sizeWithCells="1">
                  <from>
                    <xdr:col>10</xdr:col>
                    <xdr:colOff>381000</xdr:colOff>
                    <xdr:row>7</xdr:row>
                    <xdr:rowOff>47625</xdr:rowOff>
                  </from>
                  <to>
                    <xdr:col>11</xdr:col>
                    <xdr:colOff>704850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F62" sqref="F62"/>
    </sheetView>
  </sheetViews>
  <sheetFormatPr baseColWidth="10" defaultRowHeight="15" x14ac:dyDescent="0.25"/>
  <cols>
    <col min="2" max="2" width="18.140625" customWidth="1"/>
    <col min="3" max="3" width="12" customWidth="1"/>
    <col min="7" max="7" width="21.42578125" customWidth="1"/>
    <col min="8" max="9" width="17.28515625" customWidth="1"/>
    <col min="11" max="11" width="14.42578125" customWidth="1"/>
    <col min="12" max="12" width="22.28515625" customWidth="1"/>
    <col min="13" max="13" width="22" customWidth="1"/>
    <col min="14" max="14" width="25" customWidth="1"/>
    <col min="16" max="16" width="17.5703125" customWidth="1"/>
    <col min="17" max="17" width="11.42578125" customWidth="1"/>
    <col min="18" max="18" width="16.42578125" customWidth="1"/>
    <col min="19" max="19" width="11.42578125" customWidth="1"/>
    <col min="22" max="23" width="18.140625" customWidth="1"/>
  </cols>
  <sheetData>
    <row r="2" spans="1:24" ht="15.75" thickBot="1" x14ac:dyDescent="0.3"/>
    <row r="3" spans="1:24" ht="15.75" customHeight="1" thickBot="1" x14ac:dyDescent="0.3">
      <c r="B3" s="12" t="s">
        <v>64</v>
      </c>
      <c r="C3" s="96">
        <f>[2]Geometrie!D36</f>
        <v>91.787000000000006</v>
      </c>
      <c r="D3" s="97"/>
      <c r="E3" s="98"/>
      <c r="G3" s="63" t="s">
        <v>65</v>
      </c>
      <c r="H3" s="64" t="s">
        <v>66</v>
      </c>
      <c r="I3" s="65" t="s">
        <v>67</v>
      </c>
      <c r="K3" s="94" t="s">
        <v>68</v>
      </c>
      <c r="L3" s="99"/>
      <c r="M3" s="99"/>
      <c r="N3" s="95"/>
      <c r="P3" s="63" t="s">
        <v>82</v>
      </c>
      <c r="Q3" s="64"/>
      <c r="R3" s="65" t="s">
        <v>83</v>
      </c>
    </row>
    <row r="4" spans="1:24" ht="15.75" customHeight="1" thickBot="1" x14ac:dyDescent="0.3">
      <c r="G4" s="94" t="s">
        <v>69</v>
      </c>
      <c r="H4" s="95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94"/>
      <c r="Q4" s="95"/>
      <c r="R4" s="10"/>
    </row>
    <row r="5" spans="1:24" ht="15.75" thickBot="1" x14ac:dyDescent="0.3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.75" thickBot="1" x14ac:dyDescent="0.3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.75" thickBot="1" x14ac:dyDescent="0.3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25">
      <c r="K8" s="75" t="s">
        <v>84</v>
      </c>
    </row>
    <row r="9" spans="1:24" ht="15.75" thickBot="1" x14ac:dyDescent="0.3"/>
    <row r="10" spans="1:24" x14ac:dyDescent="0.25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25">
      <c r="A11" s="16"/>
      <c r="X11" s="17"/>
    </row>
    <row r="12" spans="1:24" x14ac:dyDescent="0.25">
      <c r="A12" s="16"/>
      <c r="F12" t="s">
        <v>85</v>
      </c>
      <c r="X12" s="17"/>
    </row>
    <row r="13" spans="1:24" x14ac:dyDescent="0.25">
      <c r="A13" s="16"/>
      <c r="X13" s="17"/>
    </row>
    <row r="14" spans="1:24" ht="15.75" thickBot="1" x14ac:dyDescent="0.3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25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75" x14ac:dyDescent="0.25">
      <c r="A16" s="16"/>
      <c r="B16" s="62" t="s">
        <v>86</v>
      </c>
      <c r="X16" s="17"/>
    </row>
    <row r="17" spans="1:24" x14ac:dyDescent="0.25">
      <c r="A17" s="16"/>
      <c r="X17" s="17"/>
    </row>
    <row r="18" spans="1:24" x14ac:dyDescent="0.25">
      <c r="A18" s="16"/>
      <c r="B18" t="s">
        <v>17</v>
      </c>
      <c r="M18" t="s">
        <v>19</v>
      </c>
      <c r="X18" s="17"/>
    </row>
    <row r="19" spans="1:24" x14ac:dyDescent="0.25">
      <c r="A19" s="16"/>
      <c r="X19" s="17"/>
    </row>
    <row r="20" spans="1:24" x14ac:dyDescent="0.25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25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25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25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25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25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25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25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25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25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25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25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25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25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25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25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25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25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25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25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25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25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25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25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25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25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25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.75" thickBot="1" x14ac:dyDescent="0.3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19050</xdr:colOff>
                    <xdr:row>10</xdr:row>
                    <xdr:rowOff>0</xdr:rowOff>
                  </from>
                  <to>
                    <xdr:col>2</xdr:col>
                    <xdr:colOff>95250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19050</xdr:rowOff>
                  </from>
                  <to>
                    <xdr:col>3</xdr:col>
                    <xdr:colOff>600075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5" x14ac:dyDescent="0.25"/>
  <cols>
    <col min="2" max="2" width="130.7109375" customWidth="1"/>
  </cols>
  <sheetData>
    <row r="2" spans="2:4" x14ac:dyDescent="0.25">
      <c r="C2" t="s">
        <v>110</v>
      </c>
    </row>
    <row r="3" spans="2:4" ht="17.25" customHeight="1" x14ac:dyDescent="0.25">
      <c r="B3" s="76" t="s">
        <v>91</v>
      </c>
    </row>
    <row r="4" spans="2:4" ht="17.25" customHeight="1" x14ac:dyDescent="0.25">
      <c r="B4" s="76" t="s">
        <v>92</v>
      </c>
      <c r="D4" s="76"/>
    </row>
    <row r="5" spans="2:4" ht="17.25" customHeight="1" x14ac:dyDescent="0.25">
      <c r="B5" s="76" t="s">
        <v>93</v>
      </c>
    </row>
    <row r="6" spans="2:4" ht="17.25" customHeight="1" x14ac:dyDescent="0.25">
      <c r="B6" s="76" t="s">
        <v>94</v>
      </c>
    </row>
    <row r="7" spans="2:4" ht="17.25" customHeight="1" x14ac:dyDescent="0.25">
      <c r="B7" s="77" t="s">
        <v>95</v>
      </c>
    </row>
    <row r="8" spans="2:4" ht="17.25" customHeight="1" x14ac:dyDescent="0.25">
      <c r="B8" s="77" t="s">
        <v>96</v>
      </c>
    </row>
    <row r="9" spans="2:4" ht="17.25" customHeight="1" x14ac:dyDescent="0.25">
      <c r="B9" s="77" t="s">
        <v>97</v>
      </c>
    </row>
    <row r="10" spans="2:4" ht="17.25" customHeight="1" x14ac:dyDescent="0.25">
      <c r="B10" s="77" t="s">
        <v>98</v>
      </c>
    </row>
    <row r="11" spans="2:4" ht="17.25" customHeight="1" x14ac:dyDescent="0.25">
      <c r="B11" s="77" t="s">
        <v>99</v>
      </c>
    </row>
    <row r="12" spans="2:4" ht="17.25" customHeight="1" x14ac:dyDescent="0.25">
      <c r="B12" s="76" t="s">
        <v>100</v>
      </c>
    </row>
    <row r="13" spans="2:4" ht="17.25" customHeight="1" x14ac:dyDescent="0.25">
      <c r="B13" s="76" t="s">
        <v>101</v>
      </c>
    </row>
    <row r="14" spans="2:4" ht="17.25" customHeight="1" x14ac:dyDescent="0.25">
      <c r="B14" s="76" t="s">
        <v>102</v>
      </c>
    </row>
    <row r="15" spans="2:4" ht="17.25" customHeight="1" x14ac:dyDescent="0.25">
      <c r="B15" s="76" t="s">
        <v>103</v>
      </c>
    </row>
    <row r="16" spans="2:4" ht="17.25" customHeight="1" x14ac:dyDescent="0.25">
      <c r="B16" s="76" t="s">
        <v>104</v>
      </c>
    </row>
    <row r="17" spans="2:2" ht="17.25" customHeight="1" x14ac:dyDescent="0.25">
      <c r="B17" s="76" t="s">
        <v>105</v>
      </c>
    </row>
    <row r="18" spans="2:2" ht="17.25" customHeight="1" x14ac:dyDescent="0.25">
      <c r="B18" s="76" t="s">
        <v>106</v>
      </c>
    </row>
    <row r="19" spans="2:2" ht="17.25" customHeight="1" x14ac:dyDescent="0.25">
      <c r="B19" s="76" t="s">
        <v>107</v>
      </c>
    </row>
    <row r="20" spans="2:2" ht="17.25" customHeight="1" x14ac:dyDescent="0.25">
      <c r="B20" s="76" t="s">
        <v>108</v>
      </c>
    </row>
    <row r="21" spans="2:2" ht="17.25" customHeight="1" x14ac:dyDescent="0.25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7</vt:i4>
      </vt:variant>
    </vt:vector>
  </HeadingPairs>
  <TitlesOfParts>
    <vt:vector size="11" baseType="lpstr">
      <vt:lpstr>CreateStucture</vt:lpstr>
      <vt:lpstr>BuildYourStructure</vt:lpstr>
      <vt:lpstr>Overview</vt:lpstr>
      <vt:lpstr>Loop</vt:lpstr>
      <vt:lpstr>Tabale_MP_META</vt:lpstr>
      <vt:lpstr>Table_MP_DATA</vt:lpstr>
      <vt:lpstr>Table_MP_META</vt:lpstr>
      <vt:lpstr>Table_TP_DATA</vt:lpstr>
      <vt:lpstr>Table_TP_META</vt:lpstr>
      <vt:lpstr>TextBox_MP_db_path</vt:lpstr>
      <vt:lpstr>TextBox_TP_db_path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2025-04-29T13:52:08Z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