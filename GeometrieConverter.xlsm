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drawings/drawing3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tables/table3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aaron.lange\Desktop\Projekte\Geometrie_Converter\GeometrieConverter\"/>
    </mc:Choice>
  </mc:AlternateContent>
  <xr:revisionPtr revIDLastSave="0" documentId="13_ncr:1_{485A3532-5758-4D13-A28A-9F32121F74B4}" xr6:coauthVersionLast="47" xr6:coauthVersionMax="47" xr10:uidLastSave="{00000000-0000-0000-0000-000000000000}"/>
  <bookViews>
    <workbookView xWindow="28680" yWindow="-120" windowWidth="29040" windowHeight="15720" activeTab="2" xr2:uid="{52C6B389-4C94-430F-9043-C68D8C94A3E4}"/>
  </bookViews>
  <sheets>
    <sheet name="CreateStucture" sheetId="1" r:id="rId1"/>
    <sheet name="BuildYourStructure" sheetId="5" r:id="rId2"/>
    <sheet name="StructureOverview" sheetId="6" r:id="rId3"/>
    <sheet name="ExportStructure" sheetId="7" r:id="rId4"/>
    <sheet name="Loop" sheetId="3" r:id="rId5"/>
  </sheets>
  <functionGroups builtInGroupCount="19"/>
  <externalReferences>
    <externalReference r:id="rId6"/>
  </externalReferences>
  <definedNames>
    <definedName name="_xleta.N" hidden="1" xlm="1">#NAME?</definedName>
    <definedName name="_xleta.T" hidden="1" xlm="1">#NAME?</definedName>
    <definedName name="DISPL_MP">BuildYourStructure!$F$15</definedName>
    <definedName name="DISPL_TP">BuildYourStructure!$AP$15</definedName>
    <definedName name="Import_MP_path">BuildYourStructure!$B$9</definedName>
    <definedName name="JBOOST_Path">ExportStructure!$B$6</definedName>
    <definedName name="MOVE_STRUCT">BuildYourStructure!$E$15</definedName>
    <definedName name="RNA_META_FULL36">RNA_META_FULL[]</definedName>
    <definedName name="SKIRT_MASS">StructureOverview!$U$13</definedName>
    <definedName name="Table_MP_DATA">BuildYourStructure!$Q$24</definedName>
    <definedName name="Table_MP_META">BuildYourStructure!$B$18</definedName>
    <definedName name="Table_TP_DATA">BuildYourStructure!$AV$24</definedName>
    <definedName name="Table_TP_META">BuildYourStructure!$AJ$18</definedName>
    <definedName name="Text">BuildYourStructure!$BS$13</definedName>
    <definedName name="TextBox_Import_MP_path">BuildYourStructure!$B$9</definedName>
    <definedName name="TextBox_MP_db_path">BuildYourStructure!$C$13</definedName>
    <definedName name="TextBox_RNA_db_path">BuildYourStructure!$DA$13</definedName>
    <definedName name="TextBox_TOWER_db_path">BuildYourStructure!$BS$13</definedName>
    <definedName name="TextBox_TP_db_path">BuildYourStructure!$AK$13</definedName>
    <definedName name="TextBox_TWR_db_path">#REF!</definedName>
    <definedName name="Use_MP">BuildYourStructure!$E$6</definedName>
    <definedName name="USE_TP">BuildYourStructure!$E$8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I166" i="5" l="1"/>
  <c r="DG166" i="5"/>
  <c r="DF166" i="5"/>
  <c r="DI165" i="5"/>
  <c r="DG165" i="5"/>
  <c r="DF165" i="5"/>
  <c r="DI164" i="5"/>
  <c r="DG164" i="5"/>
  <c r="DF164" i="5"/>
  <c r="DI163" i="5"/>
  <c r="DG163" i="5"/>
  <c r="DF163" i="5"/>
  <c r="DI162" i="5"/>
  <c r="DH162" i="5"/>
  <c r="DG162" i="5"/>
  <c r="DF162" i="5"/>
  <c r="DI161" i="5"/>
  <c r="DH161" i="5"/>
  <c r="DG161" i="5"/>
  <c r="DF161" i="5"/>
  <c r="DI160" i="5"/>
  <c r="DH160" i="5"/>
  <c r="DG160" i="5"/>
  <c r="DF160" i="5"/>
  <c r="DI159" i="5"/>
  <c r="DH159" i="5"/>
  <c r="DG159" i="5"/>
  <c r="DF159" i="5"/>
  <c r="DI158" i="5"/>
  <c r="DH158" i="5"/>
  <c r="DG158" i="5"/>
  <c r="DF158" i="5"/>
  <c r="DI157" i="5"/>
  <c r="DH157" i="5"/>
  <c r="DG157" i="5"/>
  <c r="DF157" i="5"/>
  <c r="DI156" i="5"/>
  <c r="DH156" i="5"/>
  <c r="DG156" i="5"/>
  <c r="DF156" i="5"/>
  <c r="DI155" i="5"/>
  <c r="DH155" i="5"/>
  <c r="DG155" i="5"/>
  <c r="DF155" i="5"/>
  <c r="DI154" i="5"/>
  <c r="DH154" i="5"/>
  <c r="DG154" i="5"/>
  <c r="DF154" i="5"/>
  <c r="DI153" i="5"/>
  <c r="DH153" i="5"/>
  <c r="DG153" i="5"/>
  <c r="DF153" i="5"/>
  <c r="DI152" i="5"/>
  <c r="DH152" i="5"/>
  <c r="DG152" i="5"/>
  <c r="DF152" i="5"/>
  <c r="DI151" i="5"/>
  <c r="DH151" i="5"/>
  <c r="DG151" i="5"/>
  <c r="DF151" i="5"/>
  <c r="DI150" i="5"/>
  <c r="DH150" i="5"/>
  <c r="DG150" i="5"/>
  <c r="DF150" i="5"/>
  <c r="DI149" i="5"/>
  <c r="DH149" i="5"/>
  <c r="DG149" i="5"/>
  <c r="DF149" i="5"/>
  <c r="DI148" i="5"/>
  <c r="DH148" i="5"/>
  <c r="DG148" i="5"/>
  <c r="DF148" i="5"/>
  <c r="DI147" i="5"/>
  <c r="DH147" i="5"/>
  <c r="DG147" i="5"/>
  <c r="DF147" i="5"/>
  <c r="DI146" i="5"/>
  <c r="DH146" i="5"/>
  <c r="DG146" i="5"/>
  <c r="DF146" i="5"/>
  <c r="DI145" i="5"/>
  <c r="DH145" i="5"/>
  <c r="DG145" i="5"/>
  <c r="DF145" i="5"/>
  <c r="DI144" i="5"/>
  <c r="DH144" i="5"/>
  <c r="DG144" i="5"/>
  <c r="DF144" i="5"/>
  <c r="DI143" i="5"/>
  <c r="DH143" i="5"/>
  <c r="DG143" i="5"/>
  <c r="DF143" i="5"/>
  <c r="DI142" i="5"/>
  <c r="DH142" i="5"/>
  <c r="DG142" i="5"/>
  <c r="DF142" i="5"/>
  <c r="DI141" i="5"/>
  <c r="DH141" i="5"/>
  <c r="DG141" i="5"/>
  <c r="DF141" i="5"/>
  <c r="DI140" i="5"/>
  <c r="DH140" i="5"/>
  <c r="DG140" i="5"/>
  <c r="DF140" i="5"/>
  <c r="DI139" i="5"/>
  <c r="DH139" i="5"/>
  <c r="DG139" i="5"/>
  <c r="DF139" i="5"/>
  <c r="DI138" i="5"/>
  <c r="DH138" i="5"/>
  <c r="DG138" i="5"/>
  <c r="DF138" i="5"/>
  <c r="DI137" i="5"/>
  <c r="DH137" i="5"/>
  <c r="DG137" i="5"/>
  <c r="DF137" i="5"/>
  <c r="DI136" i="5"/>
  <c r="DH136" i="5"/>
  <c r="DG136" i="5"/>
  <c r="DF136" i="5"/>
  <c r="DI135" i="5"/>
  <c r="DH135" i="5"/>
  <c r="DG135" i="5"/>
  <c r="DF135" i="5"/>
  <c r="DI134" i="5"/>
  <c r="DH134" i="5"/>
  <c r="DG134" i="5"/>
  <c r="DF134" i="5"/>
  <c r="DI133" i="5"/>
  <c r="DH133" i="5"/>
  <c r="DG133" i="5"/>
  <c r="DF133" i="5"/>
  <c r="DI132" i="5"/>
  <c r="DH132" i="5"/>
  <c r="DG132" i="5"/>
  <c r="DF132" i="5"/>
  <c r="DI131" i="5"/>
  <c r="DH131" i="5"/>
  <c r="DG131" i="5"/>
  <c r="DF131" i="5"/>
  <c r="DI130" i="5"/>
  <c r="DH130" i="5"/>
  <c r="DG130" i="5"/>
  <c r="DF130" i="5"/>
  <c r="DI129" i="5"/>
  <c r="DH129" i="5"/>
  <c r="DG129" i="5"/>
  <c r="DF129" i="5"/>
  <c r="DI128" i="5"/>
  <c r="DH128" i="5"/>
  <c r="DG128" i="5"/>
  <c r="DF128" i="5"/>
  <c r="DI127" i="5"/>
  <c r="DH127" i="5"/>
  <c r="DG127" i="5"/>
  <c r="DF127" i="5"/>
  <c r="DI126" i="5"/>
  <c r="DH126" i="5"/>
  <c r="DG126" i="5"/>
  <c r="DF126" i="5"/>
  <c r="DI125" i="5"/>
  <c r="DH125" i="5"/>
  <c r="DG125" i="5"/>
  <c r="DF125" i="5"/>
  <c r="DI124" i="5"/>
  <c r="DH124" i="5"/>
  <c r="DG124" i="5"/>
  <c r="DF124" i="5"/>
  <c r="DI123" i="5"/>
  <c r="DH123" i="5"/>
  <c r="DG123" i="5"/>
  <c r="DF123" i="5"/>
  <c r="DI122" i="5"/>
  <c r="DH122" i="5"/>
  <c r="DG122" i="5"/>
  <c r="DF122" i="5"/>
  <c r="DI121" i="5"/>
  <c r="DH121" i="5"/>
  <c r="DG121" i="5"/>
  <c r="DF121" i="5"/>
  <c r="DI120" i="5"/>
  <c r="DH120" i="5"/>
  <c r="DG120" i="5"/>
  <c r="DF120" i="5"/>
  <c r="DI119" i="5"/>
  <c r="DH119" i="5"/>
  <c r="DG119" i="5"/>
  <c r="DF119" i="5"/>
  <c r="DI118" i="5"/>
  <c r="DH118" i="5"/>
  <c r="DG118" i="5"/>
  <c r="DF118" i="5"/>
  <c r="DI117" i="5"/>
  <c r="DH117" i="5"/>
  <c r="DG117" i="5"/>
  <c r="DF117" i="5"/>
  <c r="DI116" i="5"/>
  <c r="DH116" i="5"/>
  <c r="DG116" i="5"/>
  <c r="DF116" i="5"/>
  <c r="DI115" i="5"/>
  <c r="DH115" i="5"/>
  <c r="DG115" i="5"/>
  <c r="DF115" i="5"/>
  <c r="DI114" i="5"/>
  <c r="DH114" i="5"/>
  <c r="DG114" i="5"/>
  <c r="DF114" i="5"/>
  <c r="DI113" i="5"/>
  <c r="DH113" i="5"/>
  <c r="DG113" i="5"/>
  <c r="DF113" i="5"/>
  <c r="DI112" i="5"/>
  <c r="DH112" i="5"/>
  <c r="DG112" i="5"/>
  <c r="DF112" i="5"/>
  <c r="DI111" i="5"/>
  <c r="DH111" i="5"/>
  <c r="DG111" i="5"/>
  <c r="DF111" i="5"/>
  <c r="DI110" i="5"/>
  <c r="DH110" i="5"/>
  <c r="DG110" i="5"/>
  <c r="DF110" i="5"/>
  <c r="DI109" i="5"/>
  <c r="DH109" i="5"/>
  <c r="DG109" i="5"/>
  <c r="DF109" i="5"/>
  <c r="DI108" i="5"/>
  <c r="DH108" i="5"/>
  <c r="DG108" i="5"/>
  <c r="DF108" i="5"/>
  <c r="DI107" i="5"/>
  <c r="DH107" i="5"/>
  <c r="DG107" i="5"/>
  <c r="DF107" i="5"/>
  <c r="DI106" i="5"/>
  <c r="DH106" i="5"/>
  <c r="DG106" i="5"/>
  <c r="DF106" i="5"/>
  <c r="DI105" i="5"/>
  <c r="DH105" i="5"/>
  <c r="DG105" i="5"/>
  <c r="DF105" i="5"/>
  <c r="DI104" i="5"/>
  <c r="DH104" i="5"/>
  <c r="DG104" i="5"/>
  <c r="DF104" i="5"/>
  <c r="DI103" i="5"/>
  <c r="DH103" i="5"/>
  <c r="DG103" i="5"/>
  <c r="DF103" i="5"/>
  <c r="DI102" i="5"/>
  <c r="DH102" i="5"/>
  <c r="DG102" i="5"/>
  <c r="DF102" i="5"/>
  <c r="DI101" i="5"/>
  <c r="DH101" i="5"/>
  <c r="DG101" i="5"/>
  <c r="DF101" i="5"/>
  <c r="DI100" i="5"/>
  <c r="DH100" i="5"/>
  <c r="DG100" i="5"/>
  <c r="DF100" i="5"/>
  <c r="DI99" i="5"/>
  <c r="DH99" i="5"/>
  <c r="DG99" i="5"/>
  <c r="DF99" i="5"/>
  <c r="DI98" i="5"/>
  <c r="DH98" i="5"/>
  <c r="DG98" i="5"/>
  <c r="DF98" i="5"/>
  <c r="DI97" i="5"/>
  <c r="DH97" i="5"/>
  <c r="DG97" i="5"/>
  <c r="DF97" i="5"/>
  <c r="DI96" i="5"/>
  <c r="DH96" i="5"/>
  <c r="DG96" i="5"/>
  <c r="DF96" i="5"/>
  <c r="DI95" i="5"/>
  <c r="DH95" i="5"/>
  <c r="DG95" i="5"/>
  <c r="DF95" i="5"/>
  <c r="DI94" i="5"/>
  <c r="DH94" i="5"/>
  <c r="DG94" i="5"/>
  <c r="DF94" i="5"/>
  <c r="DI93" i="5"/>
  <c r="DH93" i="5"/>
  <c r="DG93" i="5"/>
  <c r="DF93" i="5"/>
  <c r="AK15" i="6" l="1"/>
  <c r="AK14" i="6"/>
  <c r="AG15" i="6"/>
  <c r="AG14" i="6"/>
  <c r="J13" i="6" l="1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BZ56" i="5"/>
  <c r="BZ57" i="5"/>
  <c r="BZ58" i="5"/>
  <c r="BZ59" i="5"/>
  <c r="BZ60" i="5"/>
  <c r="BZ61" i="5"/>
  <c r="BZ62" i="5"/>
  <c r="BZ63" i="5"/>
  <c r="BZ64" i="5"/>
  <c r="BZ65" i="5"/>
  <c r="BZ66" i="5"/>
  <c r="BZ67" i="5"/>
  <c r="BZ68" i="5"/>
  <c r="BZ69" i="5"/>
  <c r="BZ70" i="5"/>
  <c r="BZ71" i="5"/>
  <c r="BZ72" i="5"/>
  <c r="BZ73" i="5"/>
  <c r="BZ74" i="5"/>
  <c r="BZ75" i="5"/>
  <c r="BZ76" i="5"/>
  <c r="BZ77" i="5"/>
  <c r="BZ78" i="5"/>
  <c r="BZ79" i="5"/>
  <c r="BZ80" i="5"/>
  <c r="BZ81" i="5"/>
  <c r="BZ82" i="5"/>
  <c r="BZ83" i="5"/>
  <c r="BZ84" i="5"/>
  <c r="BZ85" i="5"/>
  <c r="BZ86" i="5"/>
  <c r="BZ87" i="5"/>
  <c r="BZ88" i="5"/>
  <c r="BZ89" i="5"/>
  <c r="BZ90" i="5"/>
  <c r="BZ91" i="5"/>
  <c r="BZ92" i="5"/>
  <c r="BZ93" i="5"/>
  <c r="BZ94" i="5"/>
  <c r="BZ95" i="5"/>
  <c r="BZ96" i="5"/>
  <c r="BZ97" i="5"/>
  <c r="BZ98" i="5"/>
  <c r="BZ99" i="5"/>
  <c r="BZ100" i="5"/>
  <c r="BZ101" i="5"/>
  <c r="BZ102" i="5"/>
  <c r="BZ103" i="5"/>
  <c r="BZ104" i="5"/>
  <c r="BZ105" i="5"/>
  <c r="BZ106" i="5"/>
  <c r="BZ107" i="5"/>
  <c r="BZ108" i="5"/>
  <c r="BZ109" i="5"/>
  <c r="BZ110" i="5"/>
  <c r="BZ111" i="5"/>
  <c r="BZ112" i="5"/>
  <c r="BZ113" i="5"/>
  <c r="BZ114" i="5"/>
  <c r="BZ115" i="5"/>
  <c r="BZ116" i="5"/>
  <c r="BZ117" i="5"/>
  <c r="BZ118" i="5"/>
  <c r="BZ119" i="5"/>
  <c r="BZ120" i="5"/>
  <c r="BZ121" i="5"/>
  <c r="BZ122" i="5"/>
  <c r="BZ123" i="5"/>
  <c r="BZ124" i="5"/>
  <c r="BZ125" i="5"/>
  <c r="BZ126" i="5"/>
  <c r="BZ127" i="5"/>
  <c r="BZ128" i="5"/>
  <c r="BZ129" i="5"/>
  <c r="BZ130" i="5"/>
  <c r="BZ131" i="5"/>
  <c r="BZ132" i="5"/>
  <c r="BZ133" i="5"/>
  <c r="BZ134" i="5"/>
  <c r="BZ135" i="5"/>
  <c r="BZ136" i="5"/>
  <c r="BZ137" i="5"/>
  <c r="BZ138" i="5"/>
  <c r="BZ139" i="5"/>
  <c r="BZ140" i="5"/>
  <c r="BZ141" i="5"/>
  <c r="BZ142" i="5"/>
  <c r="BZ143" i="5"/>
  <c r="BZ144" i="5"/>
  <c r="BZ145" i="5"/>
  <c r="BZ146" i="5"/>
  <c r="BZ147" i="5"/>
  <c r="BZ148" i="5"/>
  <c r="BZ149" i="5"/>
  <c r="BZ150" i="5"/>
  <c r="BZ151" i="5"/>
  <c r="BZ152" i="5"/>
  <c r="BZ153" i="5"/>
  <c r="BZ154" i="5"/>
  <c r="BZ155" i="5"/>
  <c r="BZ156" i="5"/>
  <c r="BZ157" i="5"/>
  <c r="BZ158" i="5"/>
  <c r="BZ159" i="5"/>
  <c r="BZ160" i="5"/>
  <c r="BZ161" i="5"/>
  <c r="BZ162" i="5"/>
  <c r="H25" i="5" l="1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7" i="6"/>
  <c r="L67" i="6"/>
  <c r="J67" i="6"/>
  <c r="M67" i="6"/>
  <c r="K68" i="6"/>
  <c r="L68" i="6"/>
  <c r="J68" i="6"/>
  <c r="M68" i="6"/>
  <c r="K69" i="6"/>
  <c r="L69" i="6"/>
  <c r="J69" i="6"/>
  <c r="M69" i="6"/>
  <c r="K70" i="6"/>
  <c r="L70" i="6"/>
  <c r="J70" i="6"/>
  <c r="M70" i="6"/>
  <c r="K71" i="6"/>
  <c r="L71" i="6"/>
  <c r="J71" i="6"/>
  <c r="M71" i="6"/>
  <c r="K72" i="6"/>
  <c r="L72" i="6"/>
  <c r="J72" i="6"/>
  <c r="M72" i="6"/>
  <c r="K73" i="6"/>
  <c r="L73" i="6"/>
  <c r="J73" i="6"/>
  <c r="M73" i="6"/>
  <c r="K74" i="6"/>
  <c r="L74" i="6"/>
  <c r="J74" i="6"/>
  <c r="M74" i="6"/>
  <c r="K75" i="6"/>
  <c r="L75" i="6"/>
  <c r="J75" i="6"/>
  <c r="M75" i="6"/>
  <c r="K76" i="6"/>
  <c r="L76" i="6"/>
  <c r="J76" i="6"/>
  <c r="M76" i="6"/>
  <c r="K77" i="6"/>
  <c r="L77" i="6"/>
  <c r="J77" i="6"/>
  <c r="M77" i="6"/>
  <c r="K78" i="6"/>
  <c r="L78" i="6"/>
  <c r="J78" i="6"/>
  <c r="M78" i="6"/>
  <c r="K79" i="6"/>
  <c r="L79" i="6"/>
  <c r="J79" i="6"/>
  <c r="M79" i="6"/>
  <c r="K80" i="6"/>
  <c r="L80" i="6"/>
  <c r="J80" i="6"/>
  <c r="M80" i="6"/>
  <c r="K81" i="6"/>
  <c r="L81" i="6"/>
  <c r="J81" i="6"/>
  <c r="M81" i="6"/>
  <c r="K82" i="6"/>
  <c r="L82" i="6"/>
  <c r="J82" i="6"/>
  <c r="M82" i="6"/>
  <c r="K83" i="6"/>
  <c r="L83" i="6"/>
  <c r="J83" i="6"/>
  <c r="M83" i="6"/>
  <c r="K84" i="6"/>
  <c r="L84" i="6"/>
  <c r="J84" i="6"/>
  <c r="M84" i="6"/>
  <c r="K85" i="6"/>
  <c r="L85" i="6"/>
  <c r="J85" i="6"/>
  <c r="M85" i="6"/>
  <c r="K86" i="6"/>
  <c r="L86" i="6"/>
  <c r="J86" i="6"/>
  <c r="M86" i="6"/>
  <c r="K87" i="6"/>
  <c r="L87" i="6"/>
  <c r="J87" i="6"/>
  <c r="M87" i="6"/>
  <c r="K88" i="6"/>
  <c r="L88" i="6"/>
  <c r="J88" i="6"/>
  <c r="M88" i="6"/>
  <c r="K89" i="6"/>
  <c r="L89" i="6"/>
  <c r="J89" i="6"/>
  <c r="M89" i="6"/>
  <c r="K90" i="6"/>
  <c r="L90" i="6"/>
  <c r="J90" i="6"/>
  <c r="M90" i="6"/>
  <c r="K91" i="6"/>
  <c r="L91" i="6"/>
  <c r="J91" i="6"/>
  <c r="M91" i="6"/>
  <c r="K92" i="6"/>
  <c r="L92" i="6"/>
  <c r="J92" i="6"/>
  <c r="M92" i="6"/>
  <c r="K93" i="6"/>
  <c r="L93" i="6"/>
  <c r="J93" i="6"/>
  <c r="M93" i="6"/>
  <c r="K94" i="6"/>
  <c r="L94" i="6"/>
  <c r="J94" i="6"/>
  <c r="M94" i="6"/>
  <c r="K95" i="6"/>
  <c r="L95" i="6"/>
  <c r="J95" i="6"/>
  <c r="M95" i="6"/>
  <c r="K96" i="6"/>
  <c r="L96" i="6"/>
  <c r="J96" i="6"/>
  <c r="M96" i="6"/>
  <c r="K97" i="6"/>
  <c r="L97" i="6"/>
  <c r="J97" i="6"/>
  <c r="M97" i="6"/>
  <c r="K98" i="6"/>
  <c r="L98" i="6"/>
  <c r="J98" i="6"/>
  <c r="M98" i="6"/>
  <c r="K99" i="6"/>
  <c r="L99" i="6"/>
  <c r="J99" i="6"/>
  <c r="M99" i="6"/>
  <c r="K100" i="6"/>
  <c r="L100" i="6"/>
  <c r="J100" i="6"/>
  <c r="M100" i="6"/>
  <c r="K101" i="6"/>
  <c r="L101" i="6"/>
  <c r="J101" i="6"/>
  <c r="M101" i="6"/>
  <c r="K102" i="6"/>
  <c r="L102" i="6"/>
  <c r="J102" i="6"/>
  <c r="M102" i="6"/>
  <c r="K103" i="6"/>
  <c r="L103" i="6"/>
  <c r="J103" i="6"/>
  <c r="M103" i="6"/>
  <c r="K104" i="6"/>
  <c r="L104" i="6"/>
  <c r="J104" i="6"/>
  <c r="M104" i="6"/>
  <c r="K105" i="6"/>
  <c r="L105" i="6"/>
  <c r="J105" i="6"/>
  <c r="M105" i="6"/>
  <c r="K106" i="6"/>
  <c r="L106" i="6"/>
  <c r="J106" i="6"/>
  <c r="M106" i="6"/>
  <c r="K107" i="6"/>
  <c r="L107" i="6"/>
  <c r="J107" i="6"/>
  <c r="M107" i="6"/>
  <c r="K108" i="6"/>
  <c r="L108" i="6"/>
  <c r="J108" i="6"/>
  <c r="M108" i="6"/>
  <c r="K109" i="6"/>
  <c r="L109" i="6"/>
  <c r="J109" i="6"/>
  <c r="M109" i="6"/>
  <c r="K110" i="6"/>
  <c r="L110" i="6"/>
  <c r="J110" i="6"/>
  <c r="M110" i="6"/>
  <c r="K111" i="6"/>
  <c r="L111" i="6"/>
  <c r="J111" i="6"/>
  <c r="M111" i="6"/>
  <c r="K112" i="6"/>
  <c r="L112" i="6"/>
  <c r="J112" i="6"/>
  <c r="M112" i="6"/>
  <c r="K113" i="6"/>
  <c r="L113" i="6"/>
  <c r="J113" i="6"/>
  <c r="M113" i="6"/>
  <c r="K114" i="6"/>
  <c r="L114" i="6"/>
  <c r="J114" i="6"/>
  <c r="M114" i="6"/>
  <c r="K115" i="6"/>
  <c r="L115" i="6"/>
  <c r="J115" i="6"/>
  <c r="M115" i="6"/>
  <c r="K116" i="6"/>
  <c r="L116" i="6"/>
  <c r="J116" i="6"/>
  <c r="M116" i="6"/>
  <c r="K117" i="6"/>
  <c r="L117" i="6"/>
  <c r="J117" i="6"/>
  <c r="M117" i="6"/>
  <c r="K118" i="6"/>
  <c r="L118" i="6"/>
  <c r="J118" i="6"/>
  <c r="M118" i="6"/>
  <c r="K119" i="6"/>
  <c r="L119" i="6"/>
  <c r="J119" i="6"/>
  <c r="M119" i="6"/>
  <c r="K120" i="6"/>
  <c r="L120" i="6"/>
  <c r="J120" i="6"/>
  <c r="M120" i="6"/>
  <c r="K121" i="6"/>
  <c r="L121" i="6"/>
  <c r="J121" i="6"/>
  <c r="M121" i="6"/>
  <c r="K122" i="6"/>
  <c r="L122" i="6"/>
  <c r="J122" i="6"/>
  <c r="M122" i="6"/>
  <c r="K123" i="6"/>
  <c r="L123" i="6"/>
  <c r="J123" i="6"/>
  <c r="M123" i="6"/>
  <c r="K124" i="6"/>
  <c r="L124" i="6"/>
  <c r="J124" i="6"/>
  <c r="M124" i="6"/>
  <c r="K125" i="6"/>
  <c r="L125" i="6"/>
  <c r="J125" i="6"/>
  <c r="M125" i="6"/>
  <c r="K126" i="6"/>
  <c r="L126" i="6"/>
  <c r="J126" i="6"/>
  <c r="M126" i="6"/>
  <c r="K127" i="6"/>
  <c r="L127" i="6"/>
  <c r="J127" i="6"/>
  <c r="M127" i="6"/>
  <c r="K128" i="6"/>
  <c r="L128" i="6"/>
  <c r="J128" i="6"/>
  <c r="M128" i="6"/>
  <c r="K129" i="6"/>
  <c r="L129" i="6"/>
  <c r="J129" i="6"/>
  <c r="M129" i="6"/>
  <c r="K130" i="6"/>
  <c r="L130" i="6"/>
  <c r="J130" i="6"/>
  <c r="M130" i="6"/>
  <c r="K131" i="6"/>
  <c r="L131" i="6"/>
  <c r="J131" i="6"/>
  <c r="M131" i="6"/>
  <c r="K132" i="6"/>
  <c r="L132" i="6"/>
  <c r="J132" i="6"/>
  <c r="M132" i="6"/>
  <c r="K133" i="6"/>
  <c r="L133" i="6"/>
  <c r="J133" i="6"/>
  <c r="M133" i="6"/>
  <c r="K134" i="6"/>
  <c r="L134" i="6"/>
  <c r="J134" i="6"/>
  <c r="M134" i="6"/>
  <c r="K135" i="6"/>
  <c r="L135" i="6"/>
  <c r="J135" i="6"/>
  <c r="M135" i="6"/>
  <c r="K136" i="6"/>
  <c r="L136" i="6"/>
  <c r="J136" i="6"/>
  <c r="M136" i="6"/>
  <c r="K137" i="6"/>
  <c r="L137" i="6"/>
  <c r="J137" i="6"/>
  <c r="M137" i="6"/>
  <c r="K138" i="6"/>
  <c r="L138" i="6"/>
  <c r="J138" i="6"/>
  <c r="M138" i="6"/>
  <c r="K139" i="6"/>
  <c r="L139" i="6"/>
  <c r="J139" i="6"/>
  <c r="M139" i="6"/>
  <c r="K140" i="6"/>
  <c r="L140" i="6"/>
  <c r="J140" i="6"/>
  <c r="M140" i="6"/>
  <c r="K141" i="6"/>
  <c r="L141" i="6"/>
  <c r="J141" i="6"/>
  <c r="M141" i="6"/>
  <c r="K142" i="6"/>
  <c r="L142" i="6"/>
  <c r="J142" i="6"/>
  <c r="M142" i="6"/>
  <c r="K143" i="6"/>
  <c r="L143" i="6"/>
  <c r="J143" i="6"/>
  <c r="M143" i="6"/>
  <c r="K144" i="6"/>
  <c r="L144" i="6"/>
  <c r="J144" i="6"/>
  <c r="M144" i="6"/>
  <c r="K145" i="6"/>
  <c r="L145" i="6"/>
  <c r="J145" i="6"/>
  <c r="M145" i="6"/>
  <c r="K146" i="6"/>
  <c r="L146" i="6"/>
  <c r="J146" i="6"/>
  <c r="M146" i="6"/>
  <c r="K147" i="6"/>
  <c r="L147" i="6"/>
  <c r="J147" i="6"/>
  <c r="M147" i="6"/>
  <c r="K148" i="6"/>
  <c r="L148" i="6"/>
  <c r="J148" i="6"/>
  <c r="M148" i="6"/>
  <c r="K149" i="6"/>
  <c r="L149" i="6"/>
  <c r="J149" i="6"/>
  <c r="M149" i="6"/>
  <c r="K150" i="6"/>
  <c r="L150" i="6"/>
  <c r="J150" i="6"/>
  <c r="M150" i="6"/>
  <c r="K151" i="6"/>
  <c r="L151" i="6"/>
  <c r="J151" i="6"/>
  <c r="M151" i="6"/>
  <c r="K152" i="6"/>
  <c r="L152" i="6"/>
  <c r="J152" i="6"/>
  <c r="M152" i="6"/>
  <c r="K153" i="6"/>
  <c r="L153" i="6"/>
  <c r="J153" i="6"/>
  <c r="M153" i="6"/>
  <c r="K154" i="6"/>
  <c r="L154" i="6"/>
  <c r="J154" i="6"/>
  <c r="M154" i="6"/>
  <c r="K155" i="6"/>
  <c r="L155" i="6"/>
  <c r="J155" i="6"/>
  <c r="M155" i="6"/>
  <c r="K156" i="6"/>
  <c r="L156" i="6"/>
  <c r="J156" i="6"/>
  <c r="M156" i="6"/>
  <c r="K157" i="6"/>
  <c r="L157" i="6"/>
  <c r="J157" i="6"/>
  <c r="M157" i="6"/>
  <c r="K158" i="6"/>
  <c r="L158" i="6"/>
  <c r="J158" i="6"/>
  <c r="M158" i="6"/>
  <c r="K159" i="6"/>
  <c r="L159" i="6"/>
  <c r="J159" i="6"/>
  <c r="M159" i="6"/>
  <c r="K160" i="6"/>
  <c r="L160" i="6"/>
  <c r="J160" i="6"/>
  <c r="M160" i="6"/>
  <c r="K161" i="6"/>
  <c r="L161" i="6"/>
  <c r="J161" i="6"/>
  <c r="M161" i="6"/>
  <c r="K162" i="6"/>
  <c r="L162" i="6"/>
  <c r="J162" i="6"/>
  <c r="M162" i="6"/>
  <c r="K163" i="6"/>
  <c r="L163" i="6"/>
  <c r="J163" i="6"/>
  <c r="M163" i="6"/>
  <c r="K164" i="6"/>
  <c r="L164" i="6"/>
  <c r="J164" i="6"/>
  <c r="M164" i="6"/>
  <c r="K165" i="6"/>
  <c r="L165" i="6"/>
  <c r="J165" i="6"/>
  <c r="M165" i="6"/>
  <c r="K166" i="6"/>
  <c r="L166" i="6"/>
  <c r="J166" i="6"/>
  <c r="M166" i="6"/>
  <c r="K167" i="6"/>
  <c r="L167" i="6"/>
  <c r="J167" i="6"/>
  <c r="M167" i="6"/>
  <c r="K168" i="6"/>
  <c r="L168" i="6"/>
  <c r="J168" i="6"/>
  <c r="M168" i="6"/>
  <c r="K169" i="6"/>
  <c r="L169" i="6"/>
  <c r="J169" i="6"/>
  <c r="M169" i="6"/>
  <c r="K170" i="6"/>
  <c r="L170" i="6"/>
  <c r="J170" i="6"/>
  <c r="M170" i="6"/>
  <c r="K171" i="6"/>
  <c r="L171" i="6"/>
  <c r="J171" i="6"/>
  <c r="M171" i="6"/>
  <c r="K172" i="6"/>
  <c r="L172" i="6"/>
  <c r="J172" i="6"/>
  <c r="M172" i="6"/>
  <c r="K173" i="6"/>
  <c r="L173" i="6"/>
  <c r="J173" i="6"/>
  <c r="M173" i="6"/>
  <c r="K174" i="6"/>
  <c r="L174" i="6"/>
  <c r="J174" i="6"/>
  <c r="M174" i="6"/>
  <c r="K175" i="6"/>
  <c r="L175" i="6"/>
  <c r="J175" i="6"/>
  <c r="M175" i="6"/>
  <c r="K176" i="6"/>
  <c r="L176" i="6"/>
  <c r="J176" i="6"/>
  <c r="M176" i="6"/>
  <c r="K177" i="6"/>
  <c r="L177" i="6"/>
  <c r="J177" i="6"/>
  <c r="M177" i="6"/>
  <c r="K178" i="6"/>
  <c r="L178" i="6"/>
  <c r="J178" i="6"/>
  <c r="M178" i="6"/>
  <c r="K179" i="6"/>
  <c r="L179" i="6"/>
  <c r="J179" i="6"/>
  <c r="M179" i="6"/>
  <c r="K180" i="6"/>
  <c r="L180" i="6"/>
  <c r="J180" i="6"/>
  <c r="M180" i="6"/>
  <c r="K181" i="6"/>
  <c r="L181" i="6"/>
  <c r="J181" i="6"/>
  <c r="M181" i="6"/>
  <c r="K182" i="6"/>
  <c r="L182" i="6"/>
  <c r="J182" i="6"/>
  <c r="M182" i="6"/>
  <c r="K183" i="6"/>
  <c r="L183" i="6"/>
  <c r="J183" i="6"/>
  <c r="M183" i="6"/>
  <c r="K184" i="6"/>
  <c r="L184" i="6"/>
  <c r="J184" i="6"/>
  <c r="M184" i="6"/>
  <c r="K185" i="6"/>
  <c r="L185" i="6"/>
  <c r="J185" i="6"/>
  <c r="M185" i="6"/>
  <c r="K186" i="6"/>
  <c r="L186" i="6"/>
  <c r="J186" i="6"/>
  <c r="M186" i="6"/>
  <c r="K187" i="6"/>
  <c r="L187" i="6"/>
  <c r="J187" i="6"/>
  <c r="M187" i="6"/>
  <c r="K188" i="6"/>
  <c r="L188" i="6"/>
  <c r="J188" i="6"/>
  <c r="M188" i="6"/>
  <c r="K189" i="6"/>
  <c r="L189" i="6"/>
  <c r="J189" i="6"/>
  <c r="M189" i="6"/>
  <c r="K190" i="6"/>
  <c r="L190" i="6"/>
  <c r="J190" i="6"/>
  <c r="M190" i="6"/>
  <c r="K191" i="6"/>
  <c r="L191" i="6"/>
  <c r="J191" i="6"/>
  <c r="M191" i="6"/>
  <c r="K192" i="6"/>
  <c r="L192" i="6"/>
  <c r="J192" i="6"/>
  <c r="M192" i="6"/>
  <c r="K193" i="6"/>
  <c r="L193" i="6"/>
  <c r="J193" i="6"/>
  <c r="M193" i="6"/>
  <c r="K194" i="6"/>
  <c r="L194" i="6"/>
  <c r="J194" i="6"/>
  <c r="M194" i="6"/>
  <c r="K195" i="6"/>
  <c r="L195" i="6"/>
  <c r="J195" i="6"/>
  <c r="M195" i="6"/>
  <c r="K196" i="6"/>
  <c r="L196" i="6"/>
  <c r="J196" i="6"/>
  <c r="M196" i="6"/>
  <c r="K197" i="6"/>
  <c r="L197" i="6"/>
  <c r="J197" i="6"/>
  <c r="M197" i="6"/>
  <c r="K198" i="6"/>
  <c r="L198" i="6"/>
  <c r="J198" i="6"/>
  <c r="M198" i="6"/>
  <c r="K199" i="6"/>
  <c r="L199" i="6"/>
  <c r="J199" i="6"/>
  <c r="M199" i="6"/>
  <c r="K200" i="6"/>
  <c r="L200" i="6"/>
  <c r="J200" i="6"/>
  <c r="M200" i="6"/>
  <c r="K201" i="6"/>
  <c r="L201" i="6"/>
  <c r="J201" i="6"/>
  <c r="M201" i="6"/>
  <c r="K202" i="6"/>
  <c r="L202" i="6"/>
  <c r="J202" i="6"/>
  <c r="M202" i="6"/>
  <c r="K203" i="6"/>
  <c r="L203" i="6"/>
  <c r="J203" i="6"/>
  <c r="M203" i="6"/>
  <c r="K204" i="6"/>
  <c r="L204" i="6"/>
  <c r="J204" i="6"/>
  <c r="M204" i="6"/>
  <c r="K205" i="6"/>
  <c r="L205" i="6"/>
  <c r="J205" i="6"/>
  <c r="M205" i="6"/>
  <c r="K206" i="6"/>
  <c r="L206" i="6"/>
  <c r="J206" i="6"/>
  <c r="M206" i="6"/>
  <c r="K207" i="6"/>
  <c r="L207" i="6"/>
  <c r="J207" i="6"/>
  <c r="M207" i="6"/>
  <c r="K208" i="6"/>
  <c r="L208" i="6"/>
  <c r="J208" i="6"/>
  <c r="M208" i="6"/>
  <c r="K209" i="6"/>
  <c r="L209" i="6"/>
  <c r="J209" i="6"/>
  <c r="M209" i="6"/>
  <c r="K210" i="6"/>
  <c r="L210" i="6"/>
  <c r="J210" i="6"/>
  <c r="M210" i="6"/>
  <c r="K211" i="6"/>
  <c r="L211" i="6"/>
  <c r="J211" i="6"/>
  <c r="M211" i="6"/>
  <c r="K212" i="6"/>
  <c r="L212" i="6"/>
  <c r="J212" i="6"/>
  <c r="M212" i="6"/>
  <c r="K213" i="6"/>
  <c r="L213" i="6"/>
  <c r="J213" i="6"/>
  <c r="M213" i="6"/>
  <c r="K214" i="6"/>
  <c r="L214" i="6"/>
  <c r="J214" i="6"/>
  <c r="M214" i="6"/>
  <c r="K215" i="6"/>
  <c r="L215" i="6"/>
  <c r="J215" i="6"/>
  <c r="M215" i="6"/>
  <c r="K216" i="6"/>
  <c r="L216" i="6"/>
  <c r="J216" i="6"/>
  <c r="M216" i="6"/>
  <c r="K217" i="6"/>
  <c r="L217" i="6"/>
  <c r="J217" i="6"/>
  <c r="M217" i="6"/>
  <c r="K218" i="6"/>
  <c r="L218" i="6"/>
  <c r="J218" i="6"/>
  <c r="M218" i="6"/>
  <c r="K219" i="6"/>
  <c r="L219" i="6"/>
  <c r="J219" i="6"/>
  <c r="M219" i="6"/>
  <c r="K220" i="6"/>
  <c r="L220" i="6"/>
  <c r="J220" i="6"/>
  <c r="M220" i="6"/>
  <c r="K221" i="6"/>
  <c r="L221" i="6"/>
  <c r="J221" i="6"/>
  <c r="M221" i="6"/>
  <c r="K222" i="6"/>
  <c r="L222" i="6"/>
  <c r="J222" i="6"/>
  <c r="M222" i="6"/>
  <c r="K223" i="6"/>
  <c r="L223" i="6"/>
  <c r="J223" i="6"/>
  <c r="M223" i="6"/>
  <c r="K224" i="6"/>
  <c r="L224" i="6"/>
  <c r="J224" i="6"/>
  <c r="M224" i="6"/>
  <c r="K225" i="6"/>
  <c r="L225" i="6"/>
  <c r="J225" i="6"/>
  <c r="M225" i="6"/>
  <c r="K226" i="6"/>
  <c r="L226" i="6"/>
  <c r="J226" i="6"/>
  <c r="M226" i="6"/>
  <c r="K227" i="6"/>
  <c r="L227" i="6"/>
  <c r="J227" i="6"/>
  <c r="M227" i="6"/>
  <c r="K228" i="6"/>
  <c r="L228" i="6"/>
  <c r="J228" i="6"/>
  <c r="M228" i="6"/>
  <c r="K229" i="6"/>
  <c r="L229" i="6"/>
  <c r="J229" i="6"/>
  <c r="M229" i="6"/>
  <c r="K230" i="6"/>
  <c r="L230" i="6"/>
  <c r="J230" i="6"/>
  <c r="M230" i="6"/>
  <c r="K231" i="6"/>
  <c r="L231" i="6"/>
  <c r="J231" i="6"/>
  <c r="M231" i="6"/>
  <c r="K232" i="6"/>
  <c r="L232" i="6"/>
  <c r="J232" i="6"/>
  <c r="M232" i="6"/>
  <c r="K233" i="6"/>
  <c r="L233" i="6"/>
  <c r="J233" i="6"/>
  <c r="M233" i="6"/>
  <c r="K234" i="6"/>
  <c r="L234" i="6"/>
  <c r="J234" i="6"/>
  <c r="M234" i="6"/>
  <c r="K235" i="6"/>
  <c r="L235" i="6"/>
  <c r="J235" i="6"/>
  <c r="M235" i="6"/>
  <c r="K236" i="6"/>
  <c r="L236" i="6"/>
  <c r="J236" i="6"/>
  <c r="M236" i="6"/>
  <c r="K237" i="6"/>
  <c r="L237" i="6"/>
  <c r="J237" i="6"/>
  <c r="M237" i="6"/>
  <c r="K238" i="6"/>
  <c r="L238" i="6"/>
  <c r="J238" i="6"/>
  <c r="M238" i="6"/>
  <c r="K239" i="6"/>
  <c r="L239" i="6"/>
  <c r="J239" i="6"/>
  <c r="M239" i="6"/>
  <c r="K240" i="6"/>
  <c r="L240" i="6"/>
  <c r="J240" i="6"/>
  <c r="M240" i="6"/>
  <c r="K241" i="6"/>
  <c r="L241" i="6"/>
  <c r="J241" i="6"/>
  <c r="M241" i="6"/>
  <c r="K242" i="6"/>
  <c r="L242" i="6"/>
  <c r="J242" i="6"/>
  <c r="M242" i="6"/>
  <c r="K243" i="6"/>
  <c r="L243" i="6"/>
  <c r="J243" i="6"/>
  <c r="M243" i="6"/>
  <c r="K244" i="6"/>
  <c r="L244" i="6"/>
  <c r="J244" i="6"/>
  <c r="M244" i="6"/>
  <c r="K245" i="6"/>
  <c r="L245" i="6"/>
  <c r="J245" i="6"/>
  <c r="M245" i="6"/>
  <c r="K246" i="6"/>
  <c r="L246" i="6"/>
  <c r="J246" i="6"/>
  <c r="M246" i="6"/>
  <c r="K247" i="6"/>
  <c r="L247" i="6"/>
  <c r="J247" i="6"/>
  <c r="M247" i="6"/>
  <c r="K248" i="6"/>
  <c r="L248" i="6"/>
  <c r="J248" i="6"/>
  <c r="M248" i="6"/>
  <c r="K249" i="6"/>
  <c r="L249" i="6"/>
  <c r="J249" i="6"/>
  <c r="M249" i="6"/>
  <c r="K250" i="6"/>
  <c r="L250" i="6"/>
  <c r="J250" i="6"/>
  <c r="M250" i="6"/>
  <c r="K251" i="6"/>
  <c r="L251" i="6"/>
  <c r="J251" i="6"/>
  <c r="M251" i="6"/>
  <c r="K252" i="6"/>
  <c r="L252" i="6"/>
  <c r="J252" i="6"/>
  <c r="M252" i="6"/>
  <c r="K253" i="6"/>
  <c r="L253" i="6"/>
  <c r="J253" i="6"/>
  <c r="M253" i="6"/>
  <c r="K254" i="6"/>
  <c r="L254" i="6"/>
  <c r="J254" i="6"/>
  <c r="M254" i="6"/>
  <c r="K255" i="6"/>
  <c r="L255" i="6"/>
  <c r="J255" i="6"/>
  <c r="M255" i="6"/>
  <c r="K256" i="6"/>
  <c r="L256" i="6"/>
  <c r="J256" i="6"/>
  <c r="M256" i="6"/>
  <c r="K257" i="6"/>
  <c r="L257" i="6"/>
  <c r="J257" i="6"/>
  <c r="M257" i="6"/>
  <c r="K258" i="6"/>
  <c r="L258" i="6"/>
  <c r="J258" i="6"/>
  <c r="M258" i="6"/>
  <c r="K259" i="6"/>
  <c r="L259" i="6"/>
  <c r="J259" i="6"/>
  <c r="M259" i="6"/>
  <c r="K260" i="6"/>
  <c r="L260" i="6"/>
  <c r="J260" i="6"/>
  <c r="M260" i="6"/>
  <c r="K261" i="6"/>
  <c r="L261" i="6"/>
  <c r="J261" i="6"/>
  <c r="M261" i="6"/>
  <c r="K262" i="6"/>
  <c r="L262" i="6"/>
  <c r="J262" i="6"/>
  <c r="M262" i="6"/>
  <c r="K263" i="6"/>
  <c r="L263" i="6"/>
  <c r="J263" i="6"/>
  <c r="M263" i="6"/>
  <c r="K264" i="6"/>
  <c r="L264" i="6"/>
  <c r="J264" i="6"/>
  <c r="M264" i="6"/>
  <c r="K265" i="6"/>
  <c r="L265" i="6"/>
  <c r="J265" i="6"/>
  <c r="M265" i="6"/>
  <c r="K266" i="6"/>
  <c r="L266" i="6"/>
  <c r="J266" i="6"/>
  <c r="M266" i="6"/>
  <c r="K267" i="6"/>
  <c r="L267" i="6"/>
  <c r="J267" i="6"/>
  <c r="M267" i="6"/>
  <c r="K268" i="6"/>
  <c r="L268" i="6"/>
  <c r="J268" i="6"/>
  <c r="M268" i="6"/>
  <c r="K269" i="6"/>
  <c r="L269" i="6"/>
  <c r="J269" i="6"/>
  <c r="M269" i="6"/>
  <c r="K270" i="6"/>
  <c r="L270" i="6"/>
  <c r="J270" i="6"/>
  <c r="M270" i="6"/>
  <c r="K271" i="6"/>
  <c r="L271" i="6"/>
  <c r="J271" i="6"/>
  <c r="M271" i="6"/>
  <c r="K272" i="6"/>
  <c r="L272" i="6"/>
  <c r="J272" i="6"/>
  <c r="M272" i="6"/>
  <c r="K273" i="6"/>
  <c r="L273" i="6"/>
  <c r="J273" i="6"/>
  <c r="M273" i="6"/>
  <c r="K274" i="6"/>
  <c r="L274" i="6"/>
  <c r="J274" i="6"/>
  <c r="M274" i="6"/>
  <c r="K275" i="6"/>
  <c r="L275" i="6"/>
  <c r="J275" i="6"/>
  <c r="M275" i="6"/>
  <c r="K276" i="6"/>
  <c r="L276" i="6"/>
  <c r="J276" i="6"/>
  <c r="M276" i="6"/>
  <c r="K277" i="6"/>
  <c r="L277" i="6"/>
  <c r="J277" i="6"/>
  <c r="M277" i="6"/>
  <c r="K278" i="6"/>
  <c r="L278" i="6"/>
  <c r="J278" i="6"/>
  <c r="M278" i="6"/>
  <c r="K279" i="6"/>
  <c r="L279" i="6"/>
  <c r="J279" i="6"/>
  <c r="M279" i="6"/>
  <c r="K280" i="6"/>
  <c r="L280" i="6"/>
  <c r="J280" i="6"/>
  <c r="M280" i="6"/>
  <c r="K281" i="6"/>
  <c r="L281" i="6"/>
  <c r="J281" i="6"/>
  <c r="M281" i="6"/>
  <c r="K282" i="6"/>
  <c r="L282" i="6"/>
  <c r="J282" i="6"/>
  <c r="M282" i="6"/>
  <c r="K283" i="6"/>
  <c r="L283" i="6"/>
  <c r="J283" i="6"/>
  <c r="M283" i="6"/>
  <c r="K284" i="6"/>
  <c r="L284" i="6"/>
  <c r="J284" i="6"/>
  <c r="M284" i="6"/>
  <c r="K285" i="6"/>
  <c r="L285" i="6"/>
  <c r="J285" i="6"/>
  <c r="M285" i="6"/>
  <c r="K286" i="6"/>
  <c r="L286" i="6"/>
  <c r="J286" i="6"/>
  <c r="M286" i="6"/>
  <c r="K287" i="6"/>
  <c r="L287" i="6"/>
  <c r="J287" i="6"/>
  <c r="M287" i="6"/>
  <c r="K288" i="6"/>
  <c r="L288" i="6"/>
  <c r="J288" i="6"/>
  <c r="M288" i="6"/>
  <c r="K289" i="6"/>
  <c r="L289" i="6"/>
  <c r="J289" i="6"/>
  <c r="M289" i="6"/>
  <c r="K290" i="6"/>
  <c r="L290" i="6"/>
  <c r="J290" i="6"/>
  <c r="M290" i="6"/>
  <c r="K291" i="6"/>
  <c r="L291" i="6"/>
  <c r="J291" i="6"/>
  <c r="M291" i="6"/>
  <c r="K292" i="6"/>
  <c r="L292" i="6"/>
  <c r="J292" i="6"/>
  <c r="M292" i="6"/>
  <c r="K293" i="6"/>
  <c r="L293" i="6"/>
  <c r="J293" i="6"/>
  <c r="M293" i="6"/>
  <c r="K294" i="6"/>
  <c r="L294" i="6"/>
  <c r="J294" i="6"/>
  <c r="M294" i="6"/>
  <c r="K295" i="6"/>
  <c r="L295" i="6"/>
  <c r="J295" i="6"/>
  <c r="M295" i="6"/>
  <c r="K296" i="6"/>
  <c r="L296" i="6"/>
  <c r="J296" i="6"/>
  <c r="M296" i="6"/>
  <c r="K297" i="6"/>
  <c r="L297" i="6"/>
  <c r="J297" i="6"/>
  <c r="M297" i="6"/>
  <c r="K298" i="6"/>
  <c r="L298" i="6"/>
  <c r="J298" i="6"/>
  <c r="M298" i="6"/>
  <c r="K299" i="6"/>
  <c r="L299" i="6"/>
  <c r="J299" i="6"/>
  <c r="M299" i="6"/>
  <c r="K300" i="6"/>
  <c r="L300" i="6"/>
  <c r="J300" i="6"/>
  <c r="M300" i="6"/>
  <c r="K301" i="6"/>
  <c r="L301" i="6"/>
  <c r="J301" i="6"/>
  <c r="M301" i="6"/>
  <c r="K302" i="6"/>
  <c r="L302" i="6"/>
  <c r="J302" i="6"/>
  <c r="M302" i="6"/>
  <c r="K303" i="6"/>
  <c r="L303" i="6"/>
  <c r="J303" i="6"/>
  <c r="M303" i="6"/>
  <c r="K304" i="6"/>
  <c r="L304" i="6"/>
  <c r="J304" i="6"/>
  <c r="M304" i="6"/>
  <c r="K305" i="6"/>
  <c r="L305" i="6"/>
  <c r="J305" i="6"/>
  <c r="M305" i="6"/>
  <c r="K306" i="6"/>
  <c r="L306" i="6"/>
  <c r="J306" i="6"/>
  <c r="M306" i="6"/>
  <c r="K307" i="6"/>
  <c r="L307" i="6"/>
  <c r="J307" i="6"/>
  <c r="M307" i="6"/>
  <c r="K308" i="6"/>
  <c r="L308" i="6"/>
  <c r="J308" i="6"/>
  <c r="M308" i="6"/>
  <c r="K309" i="6"/>
  <c r="L309" i="6"/>
  <c r="J309" i="6"/>
  <c r="M309" i="6"/>
  <c r="K310" i="6"/>
  <c r="L310" i="6"/>
  <c r="J310" i="6"/>
  <c r="M310" i="6"/>
  <c r="K311" i="6"/>
  <c r="L311" i="6"/>
  <c r="J311" i="6"/>
  <c r="M311" i="6"/>
  <c r="K312" i="6"/>
  <c r="L312" i="6"/>
  <c r="J312" i="6"/>
  <c r="M312" i="6"/>
  <c r="K313" i="6"/>
  <c r="L313" i="6"/>
  <c r="J313" i="6"/>
  <c r="M313" i="6"/>
  <c r="K314" i="6"/>
  <c r="L314" i="6"/>
  <c r="J314" i="6"/>
  <c r="M314" i="6"/>
  <c r="K315" i="6"/>
  <c r="L315" i="6"/>
  <c r="J315" i="6"/>
  <c r="M315" i="6"/>
  <c r="K316" i="6"/>
  <c r="L316" i="6"/>
  <c r="J316" i="6"/>
  <c r="M316" i="6"/>
  <c r="K317" i="6"/>
  <c r="L317" i="6"/>
  <c r="J317" i="6"/>
  <c r="M317" i="6"/>
  <c r="K318" i="6"/>
  <c r="L318" i="6"/>
  <c r="J318" i="6"/>
  <c r="M318" i="6"/>
  <c r="K319" i="6"/>
  <c r="L319" i="6"/>
  <c r="J319" i="6"/>
  <c r="M319" i="6"/>
  <c r="K320" i="6"/>
  <c r="L320" i="6"/>
  <c r="J320" i="6"/>
  <c r="M320" i="6"/>
  <c r="K321" i="6"/>
  <c r="L321" i="6"/>
  <c r="J321" i="6"/>
  <c r="M321" i="6"/>
  <c r="K322" i="6"/>
  <c r="L322" i="6"/>
  <c r="J322" i="6"/>
  <c r="M322" i="6"/>
  <c r="K323" i="6"/>
  <c r="L323" i="6"/>
  <c r="J323" i="6"/>
  <c r="M323" i="6"/>
  <c r="K324" i="6"/>
  <c r="L324" i="6"/>
  <c r="J324" i="6"/>
  <c r="M324" i="6"/>
  <c r="K325" i="6"/>
  <c r="L325" i="6"/>
  <c r="J325" i="6"/>
  <c r="M325" i="6"/>
  <c r="K326" i="6"/>
  <c r="L326" i="6"/>
  <c r="J326" i="6"/>
  <c r="M326" i="6"/>
  <c r="K327" i="6"/>
  <c r="L327" i="6"/>
  <c r="J327" i="6"/>
  <c r="M327" i="6"/>
  <c r="K328" i="6"/>
  <c r="L328" i="6"/>
  <c r="J328" i="6"/>
  <c r="M328" i="6"/>
  <c r="K329" i="6"/>
  <c r="L329" i="6"/>
  <c r="J329" i="6"/>
  <c r="M329" i="6"/>
  <c r="K330" i="6"/>
  <c r="L330" i="6"/>
  <c r="J330" i="6"/>
  <c r="M330" i="6"/>
  <c r="K331" i="6"/>
  <c r="L331" i="6"/>
  <c r="J331" i="6"/>
  <c r="M331" i="6"/>
  <c r="K332" i="6"/>
  <c r="L332" i="6"/>
  <c r="J332" i="6"/>
  <c r="M332" i="6"/>
  <c r="K333" i="6"/>
  <c r="L333" i="6"/>
  <c r="J333" i="6"/>
  <c r="M333" i="6"/>
  <c r="K334" i="6"/>
  <c r="L334" i="6"/>
  <c r="J334" i="6"/>
  <c r="M334" i="6"/>
  <c r="K335" i="6"/>
  <c r="L335" i="6"/>
  <c r="J335" i="6"/>
  <c r="M335" i="6"/>
  <c r="K336" i="6"/>
  <c r="L336" i="6"/>
  <c r="J336" i="6"/>
  <c r="M336" i="6"/>
  <c r="K337" i="6"/>
  <c r="L337" i="6"/>
  <c r="J337" i="6"/>
  <c r="M337" i="6"/>
  <c r="K338" i="6"/>
  <c r="L338" i="6"/>
  <c r="J338" i="6"/>
  <c r="M338" i="6"/>
  <c r="K339" i="6"/>
  <c r="L339" i="6"/>
  <c r="J339" i="6"/>
  <c r="M339" i="6"/>
  <c r="K340" i="6"/>
  <c r="L340" i="6"/>
  <c r="J340" i="6"/>
  <c r="M340" i="6"/>
  <c r="K341" i="6"/>
  <c r="L341" i="6"/>
  <c r="J341" i="6"/>
  <c r="M341" i="6"/>
  <c r="K342" i="6"/>
  <c r="L342" i="6"/>
  <c r="J342" i="6"/>
  <c r="M342" i="6"/>
  <c r="K343" i="6"/>
  <c r="L343" i="6"/>
  <c r="J343" i="6"/>
  <c r="M343" i="6"/>
  <c r="K344" i="6"/>
  <c r="L344" i="6"/>
  <c r="J344" i="6"/>
  <c r="M344" i="6"/>
  <c r="K345" i="6"/>
  <c r="L345" i="6"/>
  <c r="J345" i="6"/>
  <c r="M345" i="6"/>
  <c r="K346" i="6"/>
  <c r="L346" i="6"/>
  <c r="J346" i="6"/>
  <c r="M346" i="6"/>
  <c r="K347" i="6"/>
  <c r="L347" i="6"/>
  <c r="J347" i="6"/>
  <c r="M347" i="6"/>
  <c r="K348" i="6"/>
  <c r="L348" i="6"/>
  <c r="J348" i="6"/>
  <c r="M348" i="6"/>
  <c r="K349" i="6"/>
  <c r="L349" i="6"/>
  <c r="J349" i="6"/>
  <c r="M349" i="6"/>
  <c r="K350" i="6"/>
  <c r="L350" i="6"/>
  <c r="J350" i="6"/>
  <c r="M350" i="6"/>
  <c r="K351" i="6"/>
  <c r="L351" i="6"/>
  <c r="J351" i="6"/>
  <c r="M351" i="6"/>
  <c r="K352" i="6"/>
  <c r="L352" i="6"/>
  <c r="J352" i="6"/>
  <c r="M352" i="6"/>
  <c r="K353" i="6"/>
  <c r="L353" i="6"/>
  <c r="J353" i="6"/>
  <c r="M353" i="6"/>
  <c r="K354" i="6"/>
  <c r="L354" i="6"/>
  <c r="J354" i="6"/>
  <c r="M354" i="6"/>
  <c r="K355" i="6"/>
  <c r="L355" i="6"/>
  <c r="J355" i="6"/>
  <c r="M355" i="6"/>
  <c r="K356" i="6"/>
  <c r="L356" i="6"/>
  <c r="J356" i="6"/>
  <c r="M356" i="6"/>
  <c r="K357" i="6"/>
  <c r="L357" i="6"/>
  <c r="J357" i="6"/>
  <c r="M357" i="6"/>
  <c r="K358" i="6"/>
  <c r="L358" i="6"/>
  <c r="J358" i="6"/>
  <c r="M358" i="6"/>
  <c r="K359" i="6"/>
  <c r="L359" i="6"/>
  <c r="J359" i="6"/>
  <c r="M359" i="6"/>
  <c r="K360" i="6"/>
  <c r="L360" i="6"/>
  <c r="J360" i="6"/>
  <c r="M360" i="6"/>
  <c r="K361" i="6"/>
  <c r="L361" i="6"/>
  <c r="J361" i="6"/>
  <c r="M361" i="6"/>
  <c r="K362" i="6"/>
  <c r="L362" i="6"/>
  <c r="J362" i="6"/>
  <c r="M362" i="6"/>
  <c r="K363" i="6"/>
  <c r="L363" i="6"/>
  <c r="J363" i="6"/>
  <c r="M363" i="6"/>
  <c r="K364" i="6"/>
  <c r="L364" i="6"/>
  <c r="J364" i="6"/>
  <c r="M364" i="6"/>
  <c r="K365" i="6"/>
  <c r="L365" i="6"/>
  <c r="J365" i="6"/>
  <c r="M365" i="6"/>
  <c r="K366" i="6"/>
  <c r="L366" i="6"/>
  <c r="J366" i="6"/>
  <c r="M366" i="6"/>
  <c r="K367" i="6"/>
  <c r="L367" i="6"/>
  <c r="J367" i="6"/>
  <c r="M367" i="6"/>
  <c r="K368" i="6"/>
  <c r="L368" i="6"/>
  <c r="J368" i="6"/>
  <c r="M368" i="6"/>
  <c r="K369" i="6"/>
  <c r="L369" i="6"/>
  <c r="J369" i="6"/>
  <c r="M369" i="6"/>
  <c r="K370" i="6"/>
  <c r="L370" i="6"/>
  <c r="J370" i="6"/>
  <c r="M370" i="6"/>
  <c r="K371" i="6"/>
  <c r="L371" i="6"/>
  <c r="J371" i="6"/>
  <c r="M371" i="6"/>
  <c r="K372" i="6"/>
  <c r="L372" i="6"/>
  <c r="J372" i="6"/>
  <c r="M372" i="6"/>
  <c r="K373" i="6"/>
  <c r="L373" i="6"/>
  <c r="J373" i="6"/>
  <c r="M373" i="6"/>
  <c r="K374" i="6"/>
  <c r="L374" i="6"/>
  <c r="J374" i="6"/>
  <c r="M374" i="6"/>
  <c r="K375" i="6"/>
  <c r="L375" i="6"/>
  <c r="J375" i="6"/>
  <c r="M375" i="6"/>
  <c r="K376" i="6"/>
  <c r="L376" i="6"/>
  <c r="J376" i="6"/>
  <c r="M376" i="6"/>
  <c r="K377" i="6"/>
  <c r="L377" i="6"/>
  <c r="J377" i="6"/>
  <c r="M377" i="6"/>
  <c r="K378" i="6"/>
  <c r="L378" i="6"/>
  <c r="J378" i="6"/>
  <c r="M378" i="6"/>
  <c r="K379" i="6"/>
  <c r="L379" i="6"/>
  <c r="J379" i="6"/>
  <c r="M379" i="6"/>
  <c r="K380" i="6"/>
  <c r="L380" i="6"/>
  <c r="J380" i="6"/>
  <c r="M380" i="6"/>
  <c r="K381" i="6"/>
  <c r="L381" i="6"/>
  <c r="J381" i="6"/>
  <c r="M381" i="6"/>
  <c r="K382" i="6"/>
  <c r="L382" i="6"/>
  <c r="J382" i="6"/>
  <c r="M382" i="6"/>
  <c r="K383" i="6"/>
  <c r="L383" i="6"/>
  <c r="J383" i="6"/>
  <c r="M383" i="6"/>
  <c r="K384" i="6"/>
  <c r="L384" i="6"/>
  <c r="J384" i="6"/>
  <c r="M384" i="6"/>
  <c r="K385" i="6"/>
  <c r="L385" i="6"/>
  <c r="J385" i="6"/>
  <c r="M385" i="6"/>
  <c r="K386" i="6"/>
  <c r="L386" i="6"/>
  <c r="J386" i="6"/>
  <c r="M386" i="6"/>
  <c r="K387" i="6"/>
  <c r="L387" i="6"/>
  <c r="J387" i="6"/>
  <c r="M387" i="6"/>
  <c r="K388" i="6"/>
  <c r="L388" i="6"/>
  <c r="J388" i="6"/>
  <c r="M388" i="6"/>
  <c r="K389" i="6"/>
  <c r="L389" i="6"/>
  <c r="J389" i="6"/>
  <c r="M389" i="6"/>
  <c r="K390" i="6"/>
  <c r="L390" i="6"/>
  <c r="J390" i="6"/>
  <c r="M390" i="6"/>
  <c r="K391" i="6"/>
  <c r="L391" i="6"/>
  <c r="J391" i="6"/>
  <c r="M391" i="6"/>
  <c r="K392" i="6"/>
  <c r="L392" i="6"/>
  <c r="J392" i="6"/>
  <c r="M392" i="6"/>
  <c r="K393" i="6"/>
  <c r="L393" i="6"/>
  <c r="J393" i="6"/>
  <c r="M393" i="6"/>
  <c r="K394" i="6"/>
  <c r="L394" i="6"/>
  <c r="J394" i="6"/>
  <c r="M394" i="6"/>
  <c r="K395" i="6"/>
  <c r="L395" i="6"/>
  <c r="J395" i="6"/>
  <c r="M395" i="6"/>
  <c r="K396" i="6"/>
  <c r="L396" i="6"/>
  <c r="J396" i="6"/>
  <c r="M396" i="6"/>
  <c r="K397" i="6"/>
  <c r="L397" i="6"/>
  <c r="J397" i="6"/>
  <c r="M397" i="6"/>
  <c r="K398" i="6"/>
  <c r="L398" i="6"/>
  <c r="J398" i="6"/>
  <c r="M398" i="6"/>
  <c r="K399" i="6"/>
  <c r="L399" i="6"/>
  <c r="J399" i="6"/>
  <c r="M399" i="6"/>
  <c r="K400" i="6"/>
  <c r="L400" i="6"/>
  <c r="J400" i="6"/>
  <c r="M400" i="6"/>
  <c r="K401" i="6"/>
  <c r="L401" i="6"/>
  <c r="J401" i="6"/>
  <c r="M401" i="6"/>
  <c r="K402" i="6"/>
  <c r="L402" i="6"/>
  <c r="J402" i="6"/>
  <c r="M402" i="6"/>
  <c r="K403" i="6"/>
  <c r="L403" i="6"/>
  <c r="J403" i="6"/>
  <c r="M403" i="6"/>
  <c r="K404" i="6"/>
  <c r="L404" i="6"/>
  <c r="J404" i="6"/>
  <c r="M404" i="6"/>
  <c r="K405" i="6"/>
  <c r="L405" i="6"/>
  <c r="J405" i="6"/>
  <c r="M405" i="6"/>
  <c r="K406" i="6"/>
  <c r="L406" i="6"/>
  <c r="J406" i="6"/>
  <c r="M406" i="6"/>
  <c r="K407" i="6"/>
  <c r="L407" i="6"/>
  <c r="J407" i="6"/>
  <c r="M407" i="6"/>
  <c r="K408" i="6"/>
  <c r="L408" i="6"/>
  <c r="J408" i="6"/>
  <c r="M408" i="6"/>
  <c r="K409" i="6"/>
  <c r="L409" i="6"/>
  <c r="J409" i="6"/>
  <c r="M409" i="6"/>
  <c r="K410" i="6"/>
  <c r="L410" i="6"/>
  <c r="J410" i="6"/>
  <c r="M410" i="6"/>
  <c r="K411" i="6"/>
  <c r="L411" i="6"/>
  <c r="J411" i="6"/>
  <c r="M411" i="6"/>
  <c r="K412" i="6"/>
  <c r="L412" i="6"/>
  <c r="J412" i="6"/>
  <c r="M412" i="6"/>
  <c r="K413" i="6"/>
  <c r="L413" i="6"/>
  <c r="J413" i="6"/>
  <c r="M413" i="6"/>
  <c r="K414" i="6"/>
  <c r="L414" i="6"/>
  <c r="J414" i="6"/>
  <c r="M414" i="6"/>
  <c r="K415" i="6"/>
  <c r="L415" i="6"/>
  <c r="J415" i="6"/>
  <c r="M415" i="6"/>
  <c r="K416" i="6"/>
  <c r="L416" i="6"/>
  <c r="J416" i="6"/>
  <c r="M416" i="6"/>
  <c r="K417" i="6"/>
  <c r="L417" i="6"/>
  <c r="J417" i="6"/>
  <c r="M417" i="6"/>
  <c r="K418" i="6"/>
  <c r="L418" i="6"/>
  <c r="J418" i="6"/>
  <c r="M418" i="6"/>
  <c r="K419" i="6"/>
  <c r="L419" i="6"/>
  <c r="J419" i="6"/>
  <c r="M419" i="6"/>
  <c r="K420" i="6"/>
  <c r="L420" i="6"/>
  <c r="J420" i="6"/>
  <c r="M420" i="6"/>
  <c r="K421" i="6"/>
  <c r="L421" i="6"/>
  <c r="J421" i="6"/>
  <c r="M421" i="6"/>
  <c r="K422" i="6"/>
  <c r="L422" i="6"/>
  <c r="J422" i="6"/>
  <c r="M422" i="6"/>
  <c r="K423" i="6"/>
  <c r="L423" i="6"/>
  <c r="J423" i="6"/>
  <c r="M423" i="6"/>
  <c r="K424" i="6"/>
  <c r="L424" i="6"/>
  <c r="J424" i="6"/>
  <c r="M424" i="6"/>
  <c r="K425" i="6"/>
  <c r="L425" i="6"/>
  <c r="J425" i="6"/>
  <c r="M425" i="6"/>
  <c r="K426" i="6"/>
  <c r="L426" i="6"/>
  <c r="J426" i="6"/>
  <c r="M426" i="6"/>
  <c r="K427" i="6"/>
  <c r="L427" i="6"/>
  <c r="J427" i="6"/>
  <c r="M427" i="6"/>
  <c r="K428" i="6"/>
  <c r="L428" i="6"/>
  <c r="J428" i="6"/>
  <c r="M428" i="6"/>
  <c r="K429" i="6"/>
  <c r="L429" i="6"/>
  <c r="J429" i="6"/>
  <c r="M429" i="6"/>
  <c r="K430" i="6"/>
  <c r="L430" i="6"/>
  <c r="J430" i="6"/>
  <c r="M430" i="6"/>
  <c r="K431" i="6"/>
  <c r="L431" i="6"/>
  <c r="J431" i="6"/>
  <c r="M431" i="6"/>
  <c r="K432" i="6"/>
  <c r="L432" i="6"/>
  <c r="J432" i="6"/>
  <c r="M432" i="6"/>
  <c r="K433" i="6"/>
  <c r="L433" i="6"/>
  <c r="J433" i="6"/>
  <c r="M433" i="6"/>
  <c r="K434" i="6"/>
  <c r="L434" i="6"/>
  <c r="J434" i="6"/>
  <c r="M434" i="6"/>
  <c r="K435" i="6"/>
  <c r="L435" i="6"/>
  <c r="J435" i="6"/>
  <c r="M435" i="6"/>
  <c r="K436" i="6"/>
  <c r="L436" i="6"/>
  <c r="J436" i="6"/>
  <c r="M436" i="6"/>
  <c r="K437" i="6"/>
  <c r="L437" i="6"/>
  <c r="J437" i="6"/>
  <c r="M437" i="6"/>
  <c r="K438" i="6"/>
  <c r="L438" i="6"/>
  <c r="J438" i="6"/>
  <c r="M438" i="6"/>
  <c r="K439" i="6"/>
  <c r="L439" i="6"/>
  <c r="J439" i="6"/>
  <c r="M439" i="6"/>
  <c r="K440" i="6"/>
  <c r="L440" i="6"/>
  <c r="J440" i="6"/>
  <c r="M440" i="6"/>
  <c r="K441" i="6"/>
  <c r="L441" i="6"/>
  <c r="J441" i="6"/>
  <c r="M441" i="6"/>
  <c r="K442" i="6"/>
  <c r="L442" i="6"/>
  <c r="J442" i="6"/>
  <c r="M442" i="6"/>
  <c r="K443" i="6"/>
  <c r="L443" i="6"/>
  <c r="J443" i="6"/>
  <c r="M443" i="6"/>
  <c r="K444" i="6"/>
  <c r="L444" i="6"/>
  <c r="J444" i="6"/>
  <c r="M444" i="6"/>
  <c r="K445" i="6"/>
  <c r="L445" i="6"/>
  <c r="J445" i="6"/>
  <c r="M445" i="6"/>
  <c r="K446" i="6"/>
  <c r="L446" i="6"/>
  <c r="J446" i="6"/>
  <c r="M446" i="6"/>
  <c r="K447" i="6"/>
  <c r="L447" i="6"/>
  <c r="J447" i="6"/>
  <c r="M447" i="6"/>
  <c r="K448" i="6"/>
  <c r="L448" i="6"/>
  <c r="J448" i="6"/>
  <c r="M448" i="6"/>
  <c r="K449" i="6"/>
  <c r="L449" i="6"/>
  <c r="J449" i="6"/>
  <c r="M449" i="6"/>
  <c r="K450" i="6"/>
  <c r="L450" i="6"/>
  <c r="J450" i="6"/>
  <c r="M450" i="6"/>
  <c r="K451" i="6"/>
  <c r="L451" i="6"/>
  <c r="J451" i="6"/>
  <c r="M451" i="6"/>
  <c r="K452" i="6"/>
  <c r="L452" i="6"/>
  <c r="J452" i="6"/>
  <c r="M452" i="6"/>
  <c r="L14" i="6"/>
  <c r="M14" i="6"/>
  <c r="L15" i="6"/>
  <c r="M15" i="6"/>
  <c r="L16" i="6"/>
  <c r="M16" i="6"/>
  <c r="L17" i="6"/>
  <c r="M17" i="6"/>
  <c r="L18" i="6"/>
  <c r="M18" i="6"/>
  <c r="L19" i="6"/>
  <c r="M19" i="6"/>
  <c r="L20" i="6"/>
  <c r="M20" i="6"/>
  <c r="L21" i="6"/>
  <c r="M21" i="6"/>
  <c r="L22" i="6"/>
  <c r="M22" i="6"/>
  <c r="L23" i="6"/>
  <c r="M23" i="6"/>
  <c r="L24" i="6"/>
  <c r="M24" i="6"/>
  <c r="L25" i="6"/>
  <c r="M25" i="6"/>
  <c r="L26" i="6"/>
  <c r="M26" i="6"/>
  <c r="L27" i="6"/>
  <c r="M27" i="6"/>
  <c r="L28" i="6"/>
  <c r="M28" i="6"/>
  <c r="L29" i="6"/>
  <c r="M29" i="6"/>
  <c r="L30" i="6"/>
  <c r="M30" i="6"/>
  <c r="L31" i="6"/>
  <c r="M31" i="6"/>
  <c r="L32" i="6"/>
  <c r="M32" i="6"/>
  <c r="L33" i="6"/>
  <c r="M33" i="6"/>
  <c r="L34" i="6"/>
  <c r="M34" i="6"/>
  <c r="L35" i="6"/>
  <c r="M35" i="6"/>
  <c r="L36" i="6"/>
  <c r="M36" i="6"/>
  <c r="L37" i="6"/>
  <c r="M37" i="6"/>
  <c r="L38" i="6"/>
  <c r="M38" i="6"/>
  <c r="L39" i="6"/>
  <c r="M39" i="6"/>
  <c r="L40" i="6"/>
  <c r="M40" i="6"/>
  <c r="L41" i="6"/>
  <c r="M41" i="6"/>
  <c r="L42" i="6"/>
  <c r="M42" i="6"/>
  <c r="L43" i="6"/>
  <c r="M43" i="6"/>
  <c r="L44" i="6"/>
  <c r="M44" i="6"/>
  <c r="L45" i="6"/>
  <c r="M45" i="6"/>
  <c r="L46" i="6"/>
  <c r="M46" i="6"/>
  <c r="L47" i="6"/>
  <c r="M47" i="6"/>
  <c r="L48" i="6"/>
  <c r="M48" i="6"/>
  <c r="L49" i="6"/>
  <c r="M49" i="6"/>
  <c r="L50" i="6"/>
  <c r="M50" i="6"/>
  <c r="L51" i="6"/>
  <c r="M51" i="6"/>
  <c r="L52" i="6"/>
  <c r="M52" i="6"/>
  <c r="L53" i="6"/>
  <c r="M53" i="6"/>
  <c r="L54" i="6"/>
  <c r="M54" i="6"/>
  <c r="L55" i="6"/>
  <c r="M55" i="6"/>
  <c r="L56" i="6"/>
  <c r="M56" i="6"/>
  <c r="L57" i="6"/>
  <c r="M57" i="6"/>
  <c r="L58" i="6"/>
  <c r="M58" i="6"/>
  <c r="L59" i="6"/>
  <c r="M59" i="6"/>
  <c r="L60" i="6"/>
  <c r="M60" i="6"/>
  <c r="L61" i="6"/>
  <c r="M61" i="6"/>
  <c r="L62" i="6"/>
  <c r="M62" i="6"/>
  <c r="K63" i="6"/>
  <c r="L63" i="6"/>
  <c r="M63" i="6"/>
  <c r="K64" i="6"/>
  <c r="L64" i="6"/>
  <c r="M64" i="6"/>
  <c r="K65" i="6"/>
  <c r="L65" i="6"/>
  <c r="M65" i="6"/>
  <c r="K66" i="6"/>
  <c r="L66" i="6"/>
  <c r="M66" i="6"/>
  <c r="M13" i="6"/>
  <c r="L13" i="6"/>
  <c r="CA166" i="5" l="1"/>
  <c r="BY166" i="5"/>
  <c r="BX166" i="5"/>
  <c r="CA165" i="5"/>
  <c r="BY165" i="5"/>
  <c r="BX165" i="5"/>
  <c r="CA164" i="5"/>
  <c r="BY164" i="5"/>
  <c r="BX164" i="5"/>
  <c r="CA163" i="5"/>
  <c r="BY163" i="5"/>
  <c r="BX163" i="5"/>
  <c r="CA162" i="5"/>
  <c r="BY162" i="5"/>
  <c r="BX162" i="5"/>
  <c r="CA161" i="5"/>
  <c r="BY161" i="5"/>
  <c r="BX161" i="5"/>
  <c r="CA160" i="5"/>
  <c r="BY160" i="5"/>
  <c r="BX160" i="5"/>
  <c r="CA159" i="5"/>
  <c r="BY159" i="5"/>
  <c r="BX159" i="5"/>
  <c r="CA158" i="5"/>
  <c r="BY158" i="5"/>
  <c r="BX158" i="5"/>
  <c r="CA157" i="5"/>
  <c r="BY157" i="5"/>
  <c r="BX157" i="5"/>
  <c r="CA156" i="5"/>
  <c r="BY156" i="5"/>
  <c r="BX156" i="5"/>
  <c r="CA155" i="5"/>
  <c r="BY155" i="5"/>
  <c r="BX155" i="5"/>
  <c r="CA154" i="5"/>
  <c r="BY154" i="5"/>
  <c r="BX154" i="5"/>
  <c r="CA153" i="5"/>
  <c r="BY153" i="5"/>
  <c r="BX153" i="5"/>
  <c r="CA152" i="5"/>
  <c r="BY152" i="5"/>
  <c r="BX152" i="5"/>
  <c r="CA151" i="5"/>
  <c r="BY151" i="5"/>
  <c r="BX151" i="5"/>
  <c r="CA150" i="5"/>
  <c r="BY150" i="5"/>
  <c r="BX150" i="5"/>
  <c r="CA149" i="5"/>
  <c r="BY149" i="5"/>
  <c r="BX149" i="5"/>
  <c r="CA148" i="5"/>
  <c r="BY148" i="5"/>
  <c r="BX148" i="5"/>
  <c r="CA147" i="5"/>
  <c r="BY147" i="5"/>
  <c r="BX147" i="5"/>
  <c r="CA146" i="5"/>
  <c r="BY146" i="5"/>
  <c r="BX146" i="5"/>
  <c r="CA145" i="5"/>
  <c r="BY145" i="5"/>
  <c r="BX145" i="5"/>
  <c r="CA144" i="5"/>
  <c r="BY144" i="5"/>
  <c r="BX144" i="5"/>
  <c r="CA143" i="5"/>
  <c r="BY143" i="5"/>
  <c r="BX143" i="5"/>
  <c r="CA142" i="5"/>
  <c r="BY142" i="5"/>
  <c r="BX142" i="5"/>
  <c r="CB141" i="5"/>
  <c r="CA141" i="5"/>
  <c r="BY141" i="5"/>
  <c r="BX141" i="5"/>
  <c r="CB140" i="5"/>
  <c r="CA140" i="5"/>
  <c r="BY140" i="5"/>
  <c r="BX140" i="5"/>
  <c r="CB139" i="5"/>
  <c r="CA139" i="5"/>
  <c r="BY139" i="5"/>
  <c r="BX139" i="5"/>
  <c r="CB138" i="5"/>
  <c r="CA138" i="5"/>
  <c r="BY138" i="5"/>
  <c r="BX138" i="5"/>
  <c r="CB137" i="5"/>
  <c r="CA137" i="5"/>
  <c r="BY137" i="5"/>
  <c r="BX137" i="5"/>
  <c r="CB136" i="5"/>
  <c r="CA136" i="5"/>
  <c r="BY136" i="5"/>
  <c r="BX136" i="5"/>
  <c r="CB135" i="5"/>
  <c r="CA135" i="5"/>
  <c r="BY135" i="5"/>
  <c r="BX135" i="5"/>
  <c r="CB134" i="5"/>
  <c r="CA134" i="5"/>
  <c r="BY134" i="5"/>
  <c r="BX134" i="5"/>
  <c r="CB133" i="5"/>
  <c r="CA133" i="5"/>
  <c r="BY133" i="5"/>
  <c r="BX133" i="5"/>
  <c r="CB132" i="5"/>
  <c r="CA132" i="5"/>
  <c r="BY132" i="5"/>
  <c r="BX132" i="5"/>
  <c r="CB131" i="5"/>
  <c r="CA131" i="5"/>
  <c r="BY131" i="5"/>
  <c r="BX131" i="5"/>
  <c r="CB130" i="5"/>
  <c r="CA130" i="5"/>
  <c r="BY130" i="5"/>
  <c r="BX130" i="5"/>
  <c r="CB129" i="5"/>
  <c r="CA129" i="5"/>
  <c r="BY129" i="5"/>
  <c r="BX129" i="5"/>
  <c r="CB128" i="5"/>
  <c r="CA128" i="5"/>
  <c r="BY128" i="5"/>
  <c r="BX128" i="5"/>
  <c r="CB127" i="5"/>
  <c r="CA127" i="5"/>
  <c r="BY127" i="5"/>
  <c r="BX127" i="5"/>
  <c r="CB126" i="5"/>
  <c r="CA126" i="5"/>
  <c r="BY126" i="5"/>
  <c r="BX126" i="5"/>
  <c r="CB125" i="5"/>
  <c r="CA125" i="5"/>
  <c r="BY125" i="5"/>
  <c r="BX125" i="5"/>
  <c r="CB124" i="5"/>
  <c r="CA124" i="5"/>
  <c r="BY124" i="5"/>
  <c r="BX124" i="5"/>
  <c r="CB123" i="5"/>
  <c r="CA123" i="5"/>
  <c r="BY123" i="5"/>
  <c r="BX123" i="5"/>
  <c r="CB122" i="5"/>
  <c r="CA122" i="5"/>
  <c r="BY122" i="5"/>
  <c r="BX122" i="5"/>
  <c r="CB121" i="5"/>
  <c r="CA121" i="5"/>
  <c r="BY121" i="5"/>
  <c r="BX121" i="5"/>
  <c r="CB120" i="5"/>
  <c r="CA120" i="5"/>
  <c r="BY120" i="5"/>
  <c r="BX120" i="5"/>
  <c r="CB119" i="5"/>
  <c r="CA119" i="5"/>
  <c r="BY119" i="5"/>
  <c r="BX119" i="5"/>
  <c r="CB118" i="5"/>
  <c r="CA118" i="5"/>
  <c r="BY118" i="5"/>
  <c r="BX118" i="5"/>
  <c r="CB117" i="5"/>
  <c r="CA117" i="5"/>
  <c r="BY117" i="5"/>
  <c r="BX117" i="5"/>
  <c r="CB116" i="5"/>
  <c r="CA116" i="5"/>
  <c r="BY116" i="5"/>
  <c r="BX116" i="5"/>
  <c r="CB115" i="5"/>
  <c r="CA115" i="5"/>
  <c r="BY115" i="5"/>
  <c r="BX115" i="5"/>
  <c r="CB114" i="5"/>
  <c r="CA114" i="5"/>
  <c r="BY114" i="5"/>
  <c r="BX114" i="5"/>
  <c r="CB113" i="5"/>
  <c r="CA113" i="5"/>
  <c r="BY113" i="5"/>
  <c r="BX113" i="5"/>
  <c r="CB112" i="5"/>
  <c r="CA112" i="5"/>
  <c r="BY112" i="5"/>
  <c r="BX112" i="5"/>
  <c r="CB111" i="5"/>
  <c r="CA111" i="5"/>
  <c r="BY111" i="5"/>
  <c r="BX111" i="5"/>
  <c r="CB110" i="5"/>
  <c r="CA110" i="5"/>
  <c r="BY110" i="5"/>
  <c r="BX110" i="5"/>
  <c r="CB109" i="5"/>
  <c r="CA109" i="5"/>
  <c r="BY109" i="5"/>
  <c r="BX109" i="5"/>
  <c r="CB108" i="5"/>
  <c r="CA108" i="5"/>
  <c r="BY108" i="5"/>
  <c r="BX108" i="5"/>
  <c r="CB107" i="5"/>
  <c r="CA107" i="5"/>
  <c r="BY107" i="5"/>
  <c r="BX107" i="5"/>
  <c r="CB106" i="5"/>
  <c r="CA106" i="5"/>
  <c r="BY106" i="5"/>
  <c r="BX106" i="5"/>
  <c r="CB105" i="5"/>
  <c r="CA105" i="5"/>
  <c r="BY105" i="5"/>
  <c r="BX105" i="5"/>
  <c r="CB104" i="5"/>
  <c r="CA104" i="5"/>
  <c r="BY104" i="5"/>
  <c r="BX104" i="5"/>
  <c r="CB103" i="5"/>
  <c r="CA103" i="5"/>
  <c r="BY103" i="5"/>
  <c r="BX103" i="5"/>
  <c r="CB102" i="5"/>
  <c r="CA102" i="5"/>
  <c r="BY102" i="5"/>
  <c r="BX102" i="5"/>
  <c r="CB101" i="5"/>
  <c r="CA101" i="5"/>
  <c r="BY101" i="5"/>
  <c r="BX101" i="5"/>
  <c r="CB100" i="5"/>
  <c r="CA100" i="5"/>
  <c r="BY100" i="5"/>
  <c r="BX100" i="5"/>
  <c r="CB99" i="5"/>
  <c r="CA99" i="5"/>
  <c r="BY99" i="5"/>
  <c r="BX99" i="5"/>
  <c r="CB98" i="5"/>
  <c r="CA98" i="5"/>
  <c r="BY98" i="5"/>
  <c r="BX98" i="5"/>
  <c r="CB97" i="5"/>
  <c r="CA97" i="5"/>
  <c r="BY97" i="5"/>
  <c r="BX97" i="5"/>
  <c r="CB96" i="5"/>
  <c r="CA96" i="5"/>
  <c r="BY96" i="5"/>
  <c r="BX96" i="5"/>
  <c r="CB95" i="5"/>
  <c r="CA95" i="5"/>
  <c r="BY95" i="5"/>
  <c r="BX95" i="5"/>
  <c r="CB94" i="5"/>
  <c r="CA94" i="5"/>
  <c r="BY94" i="5"/>
  <c r="BX94" i="5"/>
  <c r="CB93" i="5"/>
  <c r="CA93" i="5"/>
  <c r="BY93" i="5"/>
  <c r="BX93" i="5"/>
  <c r="CB92" i="5"/>
  <c r="CA92" i="5"/>
  <c r="BY92" i="5"/>
  <c r="BX92" i="5"/>
  <c r="CB91" i="5"/>
  <c r="CA91" i="5"/>
  <c r="BY91" i="5"/>
  <c r="BX91" i="5"/>
  <c r="CB90" i="5"/>
  <c r="CA90" i="5"/>
  <c r="BY90" i="5"/>
  <c r="BX90" i="5"/>
  <c r="CB89" i="5"/>
  <c r="CA89" i="5"/>
  <c r="BY89" i="5"/>
  <c r="BX89" i="5"/>
  <c r="CB88" i="5"/>
  <c r="CA88" i="5"/>
  <c r="BY88" i="5"/>
  <c r="BX88" i="5"/>
  <c r="CB87" i="5"/>
  <c r="CA87" i="5"/>
  <c r="BY87" i="5"/>
  <c r="BX87" i="5"/>
  <c r="CB86" i="5"/>
  <c r="CA86" i="5"/>
  <c r="BY86" i="5"/>
  <c r="BX86" i="5"/>
  <c r="CB85" i="5"/>
  <c r="CA85" i="5"/>
  <c r="BY85" i="5"/>
  <c r="BX85" i="5"/>
  <c r="CB84" i="5"/>
  <c r="CA84" i="5"/>
  <c r="BY84" i="5"/>
  <c r="BX84" i="5"/>
  <c r="CB83" i="5"/>
  <c r="CA83" i="5"/>
  <c r="BY83" i="5"/>
  <c r="BX83" i="5"/>
  <c r="CB82" i="5"/>
  <c r="CA82" i="5"/>
  <c r="BY82" i="5"/>
  <c r="BX82" i="5"/>
  <c r="CB81" i="5"/>
  <c r="CA81" i="5"/>
  <c r="BY81" i="5"/>
  <c r="BX81" i="5"/>
  <c r="CB80" i="5"/>
  <c r="CA80" i="5"/>
  <c r="BY80" i="5"/>
  <c r="BX80" i="5"/>
  <c r="CB79" i="5"/>
  <c r="CA79" i="5"/>
  <c r="BY79" i="5"/>
  <c r="BX79" i="5"/>
  <c r="CB78" i="5"/>
  <c r="CA78" i="5"/>
  <c r="BY78" i="5"/>
  <c r="BX78" i="5"/>
  <c r="CB77" i="5"/>
  <c r="CA77" i="5"/>
  <c r="BY77" i="5"/>
  <c r="BX77" i="5"/>
  <c r="CB76" i="5"/>
  <c r="CA76" i="5"/>
  <c r="BY76" i="5"/>
  <c r="BX76" i="5"/>
  <c r="CB75" i="5"/>
  <c r="CA75" i="5"/>
  <c r="BY75" i="5"/>
  <c r="BX75" i="5"/>
  <c r="CB74" i="5"/>
  <c r="CA74" i="5"/>
  <c r="BY74" i="5"/>
  <c r="BX74" i="5"/>
  <c r="CB73" i="5"/>
  <c r="CA73" i="5"/>
  <c r="BY73" i="5"/>
  <c r="BX73" i="5"/>
  <c r="CB72" i="5"/>
  <c r="CA72" i="5"/>
  <c r="BY72" i="5"/>
  <c r="BX72" i="5"/>
  <c r="CB71" i="5"/>
  <c r="CA71" i="5"/>
  <c r="BY71" i="5"/>
  <c r="BX71" i="5"/>
  <c r="CB70" i="5"/>
  <c r="CA70" i="5"/>
  <c r="BY70" i="5"/>
  <c r="BX70" i="5"/>
  <c r="CB69" i="5"/>
  <c r="CA69" i="5"/>
  <c r="BY69" i="5"/>
  <c r="BX69" i="5"/>
  <c r="CB68" i="5"/>
  <c r="CA68" i="5"/>
  <c r="BY68" i="5"/>
  <c r="BX68" i="5"/>
  <c r="CB67" i="5"/>
  <c r="CA67" i="5"/>
  <c r="BY67" i="5"/>
  <c r="BX67" i="5"/>
  <c r="CB66" i="5"/>
  <c r="CA66" i="5"/>
  <c r="BY66" i="5"/>
  <c r="BX66" i="5"/>
  <c r="CA65" i="5"/>
  <c r="BY65" i="5"/>
  <c r="BX65" i="5"/>
  <c r="CA64" i="5"/>
  <c r="BY64" i="5"/>
  <c r="BX64" i="5"/>
  <c r="CA63" i="5"/>
  <c r="BY63" i="5"/>
  <c r="BX63" i="5"/>
  <c r="CA62" i="5"/>
  <c r="BY62" i="5"/>
  <c r="BX62" i="5"/>
  <c r="CA61" i="5"/>
  <c r="BY61" i="5"/>
  <c r="BX61" i="5"/>
  <c r="CA60" i="5"/>
  <c r="BY60" i="5"/>
  <c r="BX60" i="5"/>
  <c r="CA59" i="5"/>
  <c r="BY59" i="5"/>
  <c r="BX59" i="5"/>
  <c r="CA58" i="5"/>
  <c r="BY58" i="5"/>
  <c r="BX58" i="5"/>
  <c r="CA57" i="5"/>
  <c r="BY57" i="5"/>
  <c r="BX57" i="5"/>
  <c r="CA56" i="5"/>
  <c r="BY56" i="5"/>
  <c r="BX56" i="5"/>
  <c r="CA55" i="5"/>
  <c r="BZ55" i="5"/>
  <c r="BY55" i="5"/>
  <c r="BX55" i="5"/>
  <c r="CA54" i="5"/>
  <c r="BZ54" i="5"/>
  <c r="BY54" i="5"/>
  <c r="BX54" i="5"/>
  <c r="CB53" i="5"/>
  <c r="CA53" i="5"/>
  <c r="BZ53" i="5"/>
  <c r="BY53" i="5"/>
  <c r="BX53" i="5"/>
  <c r="CB52" i="5"/>
  <c r="CA52" i="5"/>
  <c r="BZ52" i="5"/>
  <c r="BY52" i="5"/>
  <c r="BX52" i="5"/>
  <c r="CB51" i="5"/>
  <c r="CA51" i="5"/>
  <c r="BZ51" i="5"/>
  <c r="BY51" i="5"/>
  <c r="BX51" i="5"/>
  <c r="CB50" i="5"/>
  <c r="CA50" i="5"/>
  <c r="BZ50" i="5"/>
  <c r="BY50" i="5"/>
  <c r="BX50" i="5"/>
  <c r="CB49" i="5"/>
  <c r="CA49" i="5"/>
  <c r="BZ49" i="5"/>
  <c r="BY49" i="5"/>
  <c r="BX49" i="5"/>
  <c r="CB48" i="5"/>
  <c r="CA48" i="5"/>
  <c r="BZ48" i="5"/>
  <c r="BY48" i="5"/>
  <c r="BX48" i="5"/>
  <c r="CB47" i="5"/>
  <c r="CA47" i="5"/>
  <c r="BZ47" i="5"/>
  <c r="BY47" i="5"/>
  <c r="BX47" i="5"/>
  <c r="CB46" i="5"/>
  <c r="CA46" i="5"/>
  <c r="BZ46" i="5"/>
  <c r="BY46" i="5"/>
  <c r="BX46" i="5"/>
  <c r="CB45" i="5"/>
  <c r="CA45" i="5"/>
  <c r="BZ45" i="5"/>
  <c r="BY45" i="5"/>
  <c r="BX45" i="5"/>
  <c r="CB44" i="5"/>
  <c r="CA44" i="5"/>
  <c r="BZ44" i="5"/>
  <c r="BY44" i="5"/>
  <c r="BX44" i="5"/>
  <c r="CB43" i="5"/>
  <c r="CA43" i="5"/>
  <c r="BZ43" i="5"/>
  <c r="BY43" i="5"/>
  <c r="BX43" i="5"/>
  <c r="CB42" i="5"/>
  <c r="CA42" i="5"/>
  <c r="BZ42" i="5"/>
  <c r="BY42" i="5"/>
  <c r="BX42" i="5"/>
  <c r="CB41" i="5"/>
  <c r="CA41" i="5"/>
  <c r="BZ41" i="5"/>
  <c r="BY41" i="5"/>
  <c r="BX41" i="5"/>
  <c r="CB40" i="5"/>
  <c r="CA40" i="5"/>
  <c r="BZ40" i="5"/>
  <c r="BY40" i="5"/>
  <c r="BX40" i="5"/>
  <c r="CB39" i="5"/>
  <c r="CA39" i="5"/>
  <c r="BZ39" i="5"/>
  <c r="BY39" i="5"/>
  <c r="BX39" i="5"/>
  <c r="CB38" i="5"/>
  <c r="CA38" i="5"/>
  <c r="BZ38" i="5"/>
  <c r="BY38" i="5"/>
  <c r="BX38" i="5"/>
  <c r="CB37" i="5"/>
  <c r="CA37" i="5"/>
  <c r="BZ37" i="5"/>
  <c r="BY37" i="5"/>
  <c r="BX37" i="5"/>
  <c r="CB36" i="5"/>
  <c r="CA36" i="5"/>
  <c r="BZ36" i="5"/>
  <c r="BY36" i="5"/>
  <c r="BX36" i="5"/>
  <c r="CB35" i="5"/>
  <c r="CA35" i="5"/>
  <c r="BZ35" i="5"/>
  <c r="BY35" i="5"/>
  <c r="BX35" i="5"/>
  <c r="CB34" i="5"/>
  <c r="CA34" i="5"/>
  <c r="BZ34" i="5"/>
  <c r="BY34" i="5"/>
  <c r="BX34" i="5"/>
  <c r="CB33" i="5"/>
  <c r="CA33" i="5"/>
  <c r="BZ33" i="5"/>
  <c r="BY33" i="5"/>
  <c r="BX33" i="5"/>
  <c r="CB32" i="5"/>
  <c r="CA32" i="5"/>
  <c r="BZ32" i="5"/>
  <c r="BY32" i="5"/>
  <c r="BX32" i="5"/>
  <c r="CB31" i="5"/>
  <c r="CA31" i="5"/>
  <c r="BZ31" i="5"/>
  <c r="BY31" i="5"/>
  <c r="BX31" i="5"/>
  <c r="CB30" i="5"/>
  <c r="CA30" i="5"/>
  <c r="BZ30" i="5"/>
  <c r="BY30" i="5"/>
  <c r="BX30" i="5"/>
  <c r="CB29" i="5"/>
  <c r="CA29" i="5"/>
  <c r="BZ29" i="5"/>
  <c r="BY29" i="5"/>
  <c r="BX29" i="5"/>
  <c r="CA28" i="5"/>
  <c r="BZ28" i="5"/>
  <c r="BY28" i="5"/>
  <c r="BX28" i="5"/>
  <c r="CA27" i="5"/>
  <c r="BZ27" i="5"/>
  <c r="BY27" i="5"/>
  <c r="BX27" i="5"/>
  <c r="CA26" i="5"/>
  <c r="BZ26" i="5"/>
  <c r="BY26" i="5"/>
  <c r="BX26" i="5"/>
  <c r="CA25" i="5"/>
  <c r="BZ25" i="5"/>
  <c r="BY25" i="5"/>
  <c r="BX25" i="5"/>
  <c r="AS166" i="5"/>
  <c r="AQ166" i="5"/>
  <c r="AP166" i="5"/>
  <c r="AS165" i="5"/>
  <c r="AQ165" i="5"/>
  <c r="AP165" i="5"/>
  <c r="AS164" i="5"/>
  <c r="AQ164" i="5"/>
  <c r="AP164" i="5"/>
  <c r="AS163" i="5"/>
  <c r="AQ163" i="5"/>
  <c r="AP163" i="5"/>
  <c r="AS162" i="5"/>
  <c r="AQ162" i="5"/>
  <c r="AP162" i="5"/>
  <c r="AS161" i="5"/>
  <c r="AQ161" i="5"/>
  <c r="AP161" i="5"/>
  <c r="AS160" i="5"/>
  <c r="AR160" i="5"/>
  <c r="AQ160" i="5"/>
  <c r="AP160" i="5"/>
  <c r="AS159" i="5"/>
  <c r="AR159" i="5"/>
  <c r="AQ159" i="5"/>
  <c r="AP159" i="5"/>
  <c r="AS158" i="5"/>
  <c r="AR158" i="5"/>
  <c r="AQ158" i="5"/>
  <c r="AP158" i="5"/>
  <c r="AS157" i="5"/>
  <c r="AR157" i="5"/>
  <c r="AQ157" i="5"/>
  <c r="AP157" i="5"/>
  <c r="AS156" i="5"/>
  <c r="AR156" i="5"/>
  <c r="AQ156" i="5"/>
  <c r="AP156" i="5"/>
  <c r="AS155" i="5"/>
  <c r="AR155" i="5"/>
  <c r="AQ155" i="5"/>
  <c r="AP155" i="5"/>
  <c r="AS154" i="5"/>
  <c r="AR154" i="5"/>
  <c r="AQ154" i="5"/>
  <c r="AP154" i="5"/>
  <c r="AS153" i="5"/>
  <c r="AR153" i="5"/>
  <c r="AQ153" i="5"/>
  <c r="AP153" i="5"/>
  <c r="AS152" i="5"/>
  <c r="AR152" i="5"/>
  <c r="AQ152" i="5"/>
  <c r="AP152" i="5"/>
  <c r="AS151" i="5"/>
  <c r="AR151" i="5"/>
  <c r="AQ151" i="5"/>
  <c r="AP151" i="5"/>
  <c r="AS150" i="5"/>
  <c r="AR150" i="5"/>
  <c r="AQ150" i="5"/>
  <c r="AP150" i="5"/>
  <c r="AS149" i="5"/>
  <c r="AR149" i="5"/>
  <c r="AQ149" i="5"/>
  <c r="AP149" i="5"/>
  <c r="AS148" i="5"/>
  <c r="AR148" i="5"/>
  <c r="AQ148" i="5"/>
  <c r="AP148" i="5"/>
  <c r="AS147" i="5"/>
  <c r="AR147" i="5"/>
  <c r="AQ147" i="5"/>
  <c r="AP147" i="5"/>
  <c r="AS146" i="5"/>
  <c r="AR146" i="5"/>
  <c r="AQ146" i="5"/>
  <c r="AP146" i="5"/>
  <c r="AS145" i="5"/>
  <c r="AR145" i="5"/>
  <c r="AQ145" i="5"/>
  <c r="AP145" i="5"/>
  <c r="AS144" i="5"/>
  <c r="AR144" i="5"/>
  <c r="AQ144" i="5"/>
  <c r="AP144" i="5"/>
  <c r="AS143" i="5"/>
  <c r="AR143" i="5"/>
  <c r="AQ143" i="5"/>
  <c r="AP143" i="5"/>
  <c r="AS142" i="5"/>
  <c r="AR142" i="5"/>
  <c r="AQ142" i="5"/>
  <c r="AP142" i="5"/>
  <c r="AT141" i="5"/>
  <c r="AS141" i="5"/>
  <c r="AR141" i="5"/>
  <c r="AQ141" i="5"/>
  <c r="AP141" i="5"/>
  <c r="AT140" i="5"/>
  <c r="AS140" i="5"/>
  <c r="AR140" i="5"/>
  <c r="AQ140" i="5"/>
  <c r="AP140" i="5"/>
  <c r="AT139" i="5"/>
  <c r="AS139" i="5"/>
  <c r="AR139" i="5"/>
  <c r="AQ139" i="5"/>
  <c r="AP139" i="5"/>
  <c r="AT138" i="5"/>
  <c r="AS138" i="5"/>
  <c r="AR138" i="5"/>
  <c r="AQ138" i="5"/>
  <c r="AP138" i="5"/>
  <c r="AT137" i="5"/>
  <c r="AS137" i="5"/>
  <c r="AR137" i="5"/>
  <c r="AQ137" i="5"/>
  <c r="AP137" i="5"/>
  <c r="AT136" i="5"/>
  <c r="AS136" i="5"/>
  <c r="AR136" i="5"/>
  <c r="AQ136" i="5"/>
  <c r="AP136" i="5"/>
  <c r="AT135" i="5"/>
  <c r="AS135" i="5"/>
  <c r="AR135" i="5"/>
  <c r="AQ135" i="5"/>
  <c r="AP135" i="5"/>
  <c r="AT134" i="5"/>
  <c r="AS134" i="5"/>
  <c r="AR134" i="5"/>
  <c r="AQ134" i="5"/>
  <c r="AP134" i="5"/>
  <c r="AT133" i="5"/>
  <c r="AS133" i="5"/>
  <c r="AR133" i="5"/>
  <c r="AQ133" i="5"/>
  <c r="AP133" i="5"/>
  <c r="AT132" i="5"/>
  <c r="AS132" i="5"/>
  <c r="AR132" i="5"/>
  <c r="AQ132" i="5"/>
  <c r="AP132" i="5"/>
  <c r="AT131" i="5"/>
  <c r="AS131" i="5"/>
  <c r="AR131" i="5"/>
  <c r="AQ131" i="5"/>
  <c r="AP131" i="5"/>
  <c r="AT130" i="5"/>
  <c r="AS130" i="5"/>
  <c r="AR130" i="5"/>
  <c r="AQ130" i="5"/>
  <c r="AP130" i="5"/>
  <c r="AT129" i="5"/>
  <c r="AS129" i="5"/>
  <c r="AR129" i="5"/>
  <c r="AQ129" i="5"/>
  <c r="AP129" i="5"/>
  <c r="AT128" i="5"/>
  <c r="AS128" i="5"/>
  <c r="AR128" i="5"/>
  <c r="AQ128" i="5"/>
  <c r="AP128" i="5"/>
  <c r="AT127" i="5"/>
  <c r="AS127" i="5"/>
  <c r="AR127" i="5"/>
  <c r="AQ127" i="5"/>
  <c r="AP127" i="5"/>
  <c r="AT126" i="5"/>
  <c r="AS126" i="5"/>
  <c r="AR126" i="5"/>
  <c r="AQ126" i="5"/>
  <c r="AP126" i="5"/>
  <c r="AT125" i="5"/>
  <c r="AS125" i="5"/>
  <c r="AR125" i="5"/>
  <c r="AQ125" i="5"/>
  <c r="AP125" i="5"/>
  <c r="AT124" i="5"/>
  <c r="AS124" i="5"/>
  <c r="AR124" i="5"/>
  <c r="AQ124" i="5"/>
  <c r="AP124" i="5"/>
  <c r="AT123" i="5"/>
  <c r="AS123" i="5"/>
  <c r="AR123" i="5"/>
  <c r="AQ123" i="5"/>
  <c r="AP123" i="5"/>
  <c r="AT122" i="5"/>
  <c r="AS122" i="5"/>
  <c r="AR122" i="5"/>
  <c r="AQ122" i="5"/>
  <c r="AP122" i="5"/>
  <c r="AT121" i="5"/>
  <c r="AS121" i="5"/>
  <c r="AR121" i="5"/>
  <c r="AQ121" i="5"/>
  <c r="AP121" i="5"/>
  <c r="AT120" i="5"/>
  <c r="AS120" i="5"/>
  <c r="AR120" i="5"/>
  <c r="AQ120" i="5"/>
  <c r="AP120" i="5"/>
  <c r="AT119" i="5"/>
  <c r="AS119" i="5"/>
  <c r="AR119" i="5"/>
  <c r="AQ119" i="5"/>
  <c r="AP119" i="5"/>
  <c r="AT118" i="5"/>
  <c r="AS118" i="5"/>
  <c r="AR118" i="5"/>
  <c r="AQ118" i="5"/>
  <c r="AP118" i="5"/>
  <c r="AT117" i="5"/>
  <c r="AS117" i="5"/>
  <c r="AR117" i="5"/>
  <c r="AQ117" i="5"/>
  <c r="AP117" i="5"/>
  <c r="AT116" i="5"/>
  <c r="AS116" i="5"/>
  <c r="AR116" i="5"/>
  <c r="AQ116" i="5"/>
  <c r="AP116" i="5"/>
  <c r="AT115" i="5"/>
  <c r="AS115" i="5"/>
  <c r="AR115" i="5"/>
  <c r="AQ115" i="5"/>
  <c r="AP115" i="5"/>
  <c r="AT114" i="5"/>
  <c r="AS114" i="5"/>
  <c r="AR114" i="5"/>
  <c r="AQ114" i="5"/>
  <c r="AP114" i="5"/>
  <c r="AT113" i="5"/>
  <c r="AS113" i="5"/>
  <c r="AR113" i="5"/>
  <c r="AQ113" i="5"/>
  <c r="AP113" i="5"/>
  <c r="AT112" i="5"/>
  <c r="AS112" i="5"/>
  <c r="AR112" i="5"/>
  <c r="AQ112" i="5"/>
  <c r="AP112" i="5"/>
  <c r="AT111" i="5"/>
  <c r="AS111" i="5"/>
  <c r="AR111" i="5"/>
  <c r="AQ111" i="5"/>
  <c r="AP111" i="5"/>
  <c r="AT110" i="5"/>
  <c r="AS110" i="5"/>
  <c r="AR110" i="5"/>
  <c r="AQ110" i="5"/>
  <c r="AP110" i="5"/>
  <c r="AT109" i="5"/>
  <c r="AS109" i="5"/>
  <c r="AR109" i="5"/>
  <c r="AQ109" i="5"/>
  <c r="AP109" i="5"/>
  <c r="AT108" i="5"/>
  <c r="AS108" i="5"/>
  <c r="AR108" i="5"/>
  <c r="AQ108" i="5"/>
  <c r="AP108" i="5"/>
  <c r="AT107" i="5"/>
  <c r="AS107" i="5"/>
  <c r="AR107" i="5"/>
  <c r="AQ107" i="5"/>
  <c r="AP107" i="5"/>
  <c r="AT106" i="5"/>
  <c r="AS106" i="5"/>
  <c r="AR106" i="5"/>
  <c r="AQ106" i="5"/>
  <c r="AP106" i="5"/>
  <c r="AT105" i="5"/>
  <c r="AS105" i="5"/>
  <c r="AR105" i="5"/>
  <c r="AQ105" i="5"/>
  <c r="AP105" i="5"/>
  <c r="AT104" i="5"/>
  <c r="AS104" i="5"/>
  <c r="AR104" i="5"/>
  <c r="AQ104" i="5"/>
  <c r="AP104" i="5"/>
  <c r="AT103" i="5"/>
  <c r="AS103" i="5"/>
  <c r="AR103" i="5"/>
  <c r="AQ103" i="5"/>
  <c r="AP103" i="5"/>
  <c r="AT102" i="5"/>
  <c r="AS102" i="5"/>
  <c r="AR102" i="5"/>
  <c r="AQ102" i="5"/>
  <c r="AP102" i="5"/>
  <c r="AT101" i="5"/>
  <c r="AS101" i="5"/>
  <c r="AR101" i="5"/>
  <c r="AQ101" i="5"/>
  <c r="AP101" i="5"/>
  <c r="AT100" i="5"/>
  <c r="AS100" i="5"/>
  <c r="AR100" i="5"/>
  <c r="AQ100" i="5"/>
  <c r="AP100" i="5"/>
  <c r="AT99" i="5"/>
  <c r="AS99" i="5"/>
  <c r="AR99" i="5"/>
  <c r="AQ99" i="5"/>
  <c r="AP99" i="5"/>
  <c r="AT98" i="5"/>
  <c r="AS98" i="5"/>
  <c r="AR98" i="5"/>
  <c r="AQ98" i="5"/>
  <c r="AP98" i="5"/>
  <c r="AT97" i="5"/>
  <c r="AS97" i="5"/>
  <c r="AR97" i="5"/>
  <c r="AQ97" i="5"/>
  <c r="AP97" i="5"/>
  <c r="AT96" i="5"/>
  <c r="AS96" i="5"/>
  <c r="AR96" i="5"/>
  <c r="AQ96" i="5"/>
  <c r="AP96" i="5"/>
  <c r="AT95" i="5"/>
  <c r="AS95" i="5"/>
  <c r="AR95" i="5"/>
  <c r="AQ95" i="5"/>
  <c r="AP95" i="5"/>
  <c r="AT94" i="5"/>
  <c r="AS94" i="5"/>
  <c r="AR94" i="5"/>
  <c r="AQ94" i="5"/>
  <c r="AP94" i="5"/>
  <c r="AT93" i="5"/>
  <c r="AS93" i="5"/>
  <c r="AR93" i="5"/>
  <c r="AQ93" i="5"/>
  <c r="AP93" i="5"/>
  <c r="AT92" i="5"/>
  <c r="AS92" i="5"/>
  <c r="AR92" i="5"/>
  <c r="AQ92" i="5"/>
  <c r="AP92" i="5"/>
  <c r="AT91" i="5"/>
  <c r="AS91" i="5"/>
  <c r="AR91" i="5"/>
  <c r="AQ91" i="5"/>
  <c r="AP91" i="5"/>
  <c r="AT90" i="5"/>
  <c r="AS90" i="5"/>
  <c r="AR90" i="5"/>
  <c r="AQ90" i="5"/>
  <c r="AP90" i="5"/>
  <c r="AT89" i="5"/>
  <c r="AS89" i="5"/>
  <c r="AR89" i="5"/>
  <c r="AQ89" i="5"/>
  <c r="AP89" i="5"/>
  <c r="AT88" i="5"/>
  <c r="AS88" i="5"/>
  <c r="AR88" i="5"/>
  <c r="AQ88" i="5"/>
  <c r="AP88" i="5"/>
  <c r="AT87" i="5"/>
  <c r="AS87" i="5"/>
  <c r="AR87" i="5"/>
  <c r="AQ87" i="5"/>
  <c r="AP87" i="5"/>
  <c r="AT86" i="5"/>
  <c r="AS86" i="5"/>
  <c r="AR86" i="5"/>
  <c r="AQ86" i="5"/>
  <c r="AP86" i="5"/>
  <c r="AT85" i="5"/>
  <c r="AS85" i="5"/>
  <c r="AR85" i="5"/>
  <c r="AQ85" i="5"/>
  <c r="AP85" i="5"/>
  <c r="AT84" i="5"/>
  <c r="AS84" i="5"/>
  <c r="AR84" i="5"/>
  <c r="AQ84" i="5"/>
  <c r="AP84" i="5"/>
  <c r="AT83" i="5"/>
  <c r="AS83" i="5"/>
  <c r="AR83" i="5"/>
  <c r="AQ83" i="5"/>
  <c r="AP83" i="5"/>
  <c r="AT82" i="5"/>
  <c r="AS82" i="5"/>
  <c r="AR82" i="5"/>
  <c r="AQ82" i="5"/>
  <c r="AP82" i="5"/>
  <c r="AT81" i="5"/>
  <c r="AS81" i="5"/>
  <c r="AR81" i="5"/>
  <c r="AQ81" i="5"/>
  <c r="AP81" i="5"/>
  <c r="AT80" i="5"/>
  <c r="AS80" i="5"/>
  <c r="AR80" i="5"/>
  <c r="AQ80" i="5"/>
  <c r="AP80" i="5"/>
  <c r="AT79" i="5"/>
  <c r="AS79" i="5"/>
  <c r="AR79" i="5"/>
  <c r="AQ79" i="5"/>
  <c r="AP79" i="5"/>
  <c r="AT78" i="5"/>
  <c r="AS78" i="5"/>
  <c r="AR78" i="5"/>
  <c r="AQ78" i="5"/>
  <c r="AP78" i="5"/>
  <c r="AT77" i="5"/>
  <c r="AS77" i="5"/>
  <c r="AR77" i="5"/>
  <c r="AQ77" i="5"/>
  <c r="AP77" i="5"/>
  <c r="AT76" i="5"/>
  <c r="AS76" i="5"/>
  <c r="AR76" i="5"/>
  <c r="AQ76" i="5"/>
  <c r="AP76" i="5"/>
  <c r="AT75" i="5"/>
  <c r="AS75" i="5"/>
  <c r="AR75" i="5"/>
  <c r="AQ75" i="5"/>
  <c r="AP75" i="5"/>
  <c r="AT74" i="5"/>
  <c r="AS74" i="5"/>
  <c r="AR74" i="5"/>
  <c r="AQ74" i="5"/>
  <c r="AP74" i="5"/>
  <c r="AT73" i="5"/>
  <c r="AS73" i="5"/>
  <c r="AR73" i="5"/>
  <c r="AQ73" i="5"/>
  <c r="AP73" i="5"/>
  <c r="AT72" i="5"/>
  <c r="AS72" i="5"/>
  <c r="AR72" i="5"/>
  <c r="AQ72" i="5"/>
  <c r="AP72" i="5"/>
  <c r="AT71" i="5"/>
  <c r="AS71" i="5"/>
  <c r="AR71" i="5"/>
  <c r="AQ71" i="5"/>
  <c r="AP71" i="5"/>
  <c r="AT70" i="5"/>
  <c r="AS70" i="5"/>
  <c r="AR70" i="5"/>
  <c r="AQ70" i="5"/>
  <c r="AP70" i="5"/>
  <c r="AT69" i="5"/>
  <c r="AS69" i="5"/>
  <c r="AR69" i="5"/>
  <c r="AQ69" i="5"/>
  <c r="AP69" i="5"/>
  <c r="AT68" i="5"/>
  <c r="AS68" i="5"/>
  <c r="AR68" i="5"/>
  <c r="AQ68" i="5"/>
  <c r="AP68" i="5"/>
  <c r="AT67" i="5"/>
  <c r="AS67" i="5"/>
  <c r="AR67" i="5"/>
  <c r="AQ67" i="5"/>
  <c r="AP67" i="5"/>
  <c r="AT66" i="5"/>
  <c r="AS66" i="5"/>
  <c r="AR66" i="5"/>
  <c r="AQ66" i="5"/>
  <c r="AP66" i="5"/>
  <c r="AS65" i="5"/>
  <c r="AR65" i="5"/>
  <c r="AQ65" i="5"/>
  <c r="AP65" i="5"/>
  <c r="AS64" i="5"/>
  <c r="AR64" i="5"/>
  <c r="AQ64" i="5"/>
  <c r="AP64" i="5"/>
  <c r="AS63" i="5"/>
  <c r="AR63" i="5"/>
  <c r="AQ63" i="5"/>
  <c r="AP63" i="5"/>
  <c r="AS62" i="5"/>
  <c r="AR62" i="5"/>
  <c r="AQ62" i="5"/>
  <c r="AP62" i="5"/>
  <c r="AS61" i="5"/>
  <c r="AR61" i="5"/>
  <c r="AQ61" i="5"/>
  <c r="AP61" i="5"/>
  <c r="AS60" i="5"/>
  <c r="AR60" i="5"/>
  <c r="AQ60" i="5"/>
  <c r="AP60" i="5"/>
  <c r="AS59" i="5"/>
  <c r="AR59" i="5"/>
  <c r="AQ59" i="5"/>
  <c r="AP59" i="5"/>
  <c r="AS58" i="5"/>
  <c r="AR58" i="5"/>
  <c r="AQ58" i="5"/>
  <c r="AP58" i="5"/>
  <c r="AS57" i="5"/>
  <c r="AR57" i="5"/>
  <c r="AQ57" i="5"/>
  <c r="AP57" i="5"/>
  <c r="AS56" i="5"/>
  <c r="AR56" i="5"/>
  <c r="AQ56" i="5"/>
  <c r="AP56" i="5"/>
  <c r="AS55" i="5"/>
  <c r="AR55" i="5"/>
  <c r="AQ55" i="5"/>
  <c r="AP55" i="5"/>
  <c r="AS54" i="5"/>
  <c r="AR54" i="5"/>
  <c r="AQ54" i="5"/>
  <c r="AP54" i="5"/>
  <c r="AT53" i="5"/>
  <c r="AS53" i="5"/>
  <c r="AR53" i="5"/>
  <c r="AQ53" i="5"/>
  <c r="AP53" i="5"/>
  <c r="AT52" i="5"/>
  <c r="AS52" i="5"/>
  <c r="AR52" i="5"/>
  <c r="AQ52" i="5"/>
  <c r="AP52" i="5"/>
  <c r="AT51" i="5"/>
  <c r="AS51" i="5"/>
  <c r="AR51" i="5"/>
  <c r="AQ51" i="5"/>
  <c r="AP51" i="5"/>
  <c r="AT50" i="5"/>
  <c r="AS50" i="5"/>
  <c r="AR50" i="5"/>
  <c r="AQ50" i="5"/>
  <c r="AP50" i="5"/>
  <c r="AT49" i="5"/>
  <c r="AS49" i="5"/>
  <c r="AR49" i="5"/>
  <c r="AQ49" i="5"/>
  <c r="AP49" i="5"/>
  <c r="AT48" i="5"/>
  <c r="AS48" i="5"/>
  <c r="AR48" i="5"/>
  <c r="AQ48" i="5"/>
  <c r="AP48" i="5"/>
  <c r="AT47" i="5"/>
  <c r="AS47" i="5"/>
  <c r="AR47" i="5"/>
  <c r="AQ47" i="5"/>
  <c r="AP47" i="5"/>
  <c r="AT46" i="5"/>
  <c r="AS46" i="5"/>
  <c r="AR46" i="5"/>
  <c r="AQ46" i="5"/>
  <c r="AP46" i="5"/>
  <c r="AT45" i="5"/>
  <c r="AS45" i="5"/>
  <c r="AR45" i="5"/>
  <c r="AQ45" i="5"/>
  <c r="AP45" i="5"/>
  <c r="AT44" i="5"/>
  <c r="AS44" i="5"/>
  <c r="AR44" i="5"/>
  <c r="AQ44" i="5"/>
  <c r="AP44" i="5"/>
  <c r="AT43" i="5"/>
  <c r="AS43" i="5"/>
  <c r="AR43" i="5"/>
  <c r="AQ43" i="5"/>
  <c r="AP43" i="5"/>
  <c r="AT42" i="5"/>
  <c r="AS42" i="5"/>
  <c r="AR42" i="5"/>
  <c r="AQ42" i="5"/>
  <c r="AP42" i="5"/>
  <c r="AT41" i="5"/>
  <c r="AS41" i="5"/>
  <c r="AR41" i="5"/>
  <c r="AQ41" i="5"/>
  <c r="AP41" i="5"/>
  <c r="AT40" i="5"/>
  <c r="AS40" i="5"/>
  <c r="AR40" i="5"/>
  <c r="AQ40" i="5"/>
  <c r="AP40" i="5"/>
  <c r="AT39" i="5"/>
  <c r="AS39" i="5"/>
  <c r="AR39" i="5"/>
  <c r="AQ39" i="5"/>
  <c r="AP39" i="5"/>
  <c r="AT38" i="5"/>
  <c r="AS38" i="5"/>
  <c r="AR38" i="5"/>
  <c r="AQ38" i="5"/>
  <c r="AP38" i="5"/>
  <c r="AT37" i="5"/>
  <c r="AS37" i="5"/>
  <c r="AR37" i="5"/>
  <c r="AQ37" i="5"/>
  <c r="AP37" i="5"/>
  <c r="AT36" i="5"/>
  <c r="AS36" i="5"/>
  <c r="AR36" i="5"/>
  <c r="AQ36" i="5"/>
  <c r="AP36" i="5"/>
  <c r="AT35" i="5"/>
  <c r="AS35" i="5"/>
  <c r="AR35" i="5"/>
  <c r="AQ35" i="5"/>
  <c r="AP35" i="5"/>
  <c r="AT34" i="5"/>
  <c r="AS34" i="5"/>
  <c r="AR34" i="5"/>
  <c r="AQ34" i="5"/>
  <c r="AP34" i="5"/>
  <c r="AT33" i="5"/>
  <c r="AS33" i="5"/>
  <c r="AR33" i="5"/>
  <c r="AQ33" i="5"/>
  <c r="AP33" i="5"/>
  <c r="AT32" i="5"/>
  <c r="AS32" i="5"/>
  <c r="AR32" i="5"/>
  <c r="AQ32" i="5"/>
  <c r="AP32" i="5"/>
  <c r="AT31" i="5"/>
  <c r="AS31" i="5"/>
  <c r="AR31" i="5"/>
  <c r="AQ31" i="5"/>
  <c r="AP31" i="5"/>
  <c r="AT30" i="5"/>
  <c r="AS30" i="5"/>
  <c r="AR30" i="5"/>
  <c r="AQ30" i="5"/>
  <c r="AP30" i="5"/>
  <c r="AT29" i="5"/>
  <c r="AS29" i="5"/>
  <c r="AR29" i="5"/>
  <c r="AQ29" i="5"/>
  <c r="AP29" i="5"/>
  <c r="AS28" i="5"/>
  <c r="AR28" i="5"/>
  <c r="AQ28" i="5"/>
  <c r="AP28" i="5"/>
  <c r="AS27" i="5"/>
  <c r="AR27" i="5"/>
  <c r="AQ27" i="5"/>
  <c r="AP27" i="5"/>
  <c r="AS26" i="5"/>
  <c r="AR26" i="5"/>
  <c r="AQ26" i="5"/>
  <c r="AP26" i="5"/>
  <c r="AS25" i="5"/>
  <c r="AR25" i="5"/>
  <c r="AQ25" i="5"/>
  <c r="AP25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25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25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26" i="5"/>
  <c r="H27" i="5"/>
  <c r="H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K47" i="1" l="1"/>
  <c r="K46" i="1"/>
  <c r="D46" i="1"/>
  <c r="C47" i="1" s="1"/>
  <c r="H47" i="1" s="1"/>
  <c r="I47" i="1" s="1"/>
  <c r="J47" i="1" s="1"/>
  <c r="C46" i="1"/>
  <c r="H46" i="1" s="1"/>
  <c r="I46" i="1" s="1"/>
  <c r="J46" i="1" s="1"/>
  <c r="K45" i="1"/>
  <c r="C45" i="1"/>
  <c r="H45" i="1" s="1"/>
  <c r="I45" i="1" s="1"/>
  <c r="J45" i="1" s="1"/>
  <c r="K44" i="1"/>
  <c r="C44" i="1"/>
  <c r="H44" i="1" s="1"/>
  <c r="I44" i="1" s="1"/>
  <c r="J44" i="1" s="1"/>
  <c r="K43" i="1"/>
  <c r="H43" i="1"/>
  <c r="I43" i="1" s="1"/>
  <c r="J43" i="1" s="1"/>
  <c r="C43" i="1"/>
  <c r="K42" i="1"/>
  <c r="C42" i="1"/>
  <c r="H42" i="1" s="1"/>
  <c r="I42" i="1" s="1"/>
  <c r="J42" i="1" s="1"/>
  <c r="K41" i="1"/>
  <c r="H41" i="1"/>
  <c r="I41" i="1" s="1"/>
  <c r="J41" i="1" s="1"/>
  <c r="C41" i="1"/>
  <c r="K40" i="1"/>
  <c r="H40" i="1"/>
  <c r="I40" i="1" s="1"/>
  <c r="J40" i="1" s="1"/>
  <c r="C40" i="1"/>
  <c r="K39" i="1"/>
  <c r="C39" i="1"/>
  <c r="H39" i="1" s="1"/>
  <c r="I39" i="1" s="1"/>
  <c r="J39" i="1" s="1"/>
  <c r="K38" i="1"/>
  <c r="C38" i="1"/>
  <c r="H38" i="1" s="1"/>
  <c r="I38" i="1" s="1"/>
  <c r="J38" i="1" s="1"/>
  <c r="K37" i="1"/>
  <c r="C37" i="1"/>
  <c r="H37" i="1" s="1"/>
  <c r="I37" i="1" s="1"/>
  <c r="J37" i="1" s="1"/>
  <c r="K36" i="1"/>
  <c r="C36" i="1"/>
  <c r="H36" i="1" s="1"/>
  <c r="I36" i="1" s="1"/>
  <c r="J36" i="1" s="1"/>
  <c r="K35" i="1"/>
  <c r="C35" i="1"/>
  <c r="H35" i="1" s="1"/>
  <c r="I35" i="1" s="1"/>
  <c r="J35" i="1" s="1"/>
  <c r="K34" i="1"/>
  <c r="C34" i="1"/>
  <c r="H34" i="1" s="1"/>
  <c r="I34" i="1" s="1"/>
  <c r="J34" i="1" s="1"/>
  <c r="K33" i="1"/>
  <c r="C33" i="1"/>
  <c r="H33" i="1" s="1"/>
  <c r="I33" i="1" s="1"/>
  <c r="J33" i="1" s="1"/>
  <c r="K32" i="1"/>
  <c r="C32" i="1"/>
  <c r="H32" i="1" s="1"/>
  <c r="I32" i="1" s="1"/>
  <c r="J32" i="1" s="1"/>
  <c r="K31" i="1"/>
  <c r="H31" i="1"/>
  <c r="I31" i="1" s="1"/>
  <c r="J31" i="1" s="1"/>
  <c r="C31" i="1"/>
  <c r="K30" i="1"/>
  <c r="C30" i="1"/>
  <c r="H30" i="1" s="1"/>
  <c r="I30" i="1" s="1"/>
  <c r="J30" i="1" s="1"/>
  <c r="K29" i="1"/>
  <c r="H29" i="1"/>
  <c r="I29" i="1" s="1"/>
  <c r="J29" i="1" s="1"/>
  <c r="C29" i="1"/>
  <c r="K28" i="1"/>
  <c r="H28" i="1"/>
  <c r="I28" i="1" s="1"/>
  <c r="J28" i="1" s="1"/>
  <c r="C28" i="1"/>
  <c r="K27" i="1"/>
  <c r="C27" i="1"/>
  <c r="H27" i="1" s="1"/>
  <c r="I27" i="1" s="1"/>
  <c r="J27" i="1" s="1"/>
  <c r="K26" i="1"/>
  <c r="C26" i="1"/>
  <c r="H26" i="1" s="1"/>
  <c r="I26" i="1" s="1"/>
  <c r="J26" i="1" s="1"/>
  <c r="K25" i="1"/>
  <c r="C25" i="1"/>
  <c r="H25" i="1" s="1"/>
  <c r="I25" i="1" s="1"/>
  <c r="J25" i="1" s="1"/>
  <c r="K24" i="1"/>
  <c r="C24" i="1"/>
  <c r="H24" i="1" s="1"/>
  <c r="I24" i="1" s="1"/>
  <c r="J24" i="1" s="1"/>
  <c r="K23" i="1"/>
  <c r="I23" i="1"/>
  <c r="J23" i="1" s="1"/>
  <c r="H23" i="1"/>
  <c r="D22" i="1"/>
  <c r="C22" i="1"/>
</calcChain>
</file>

<file path=xl/sharedStrings.xml><?xml version="1.0" encoding="utf-8"?>
<sst xmlns="http://schemas.openxmlformats.org/spreadsheetml/2006/main" count="573" uniqueCount="157">
  <si>
    <t xml:space="preserve">Paramerter </t>
  </si>
  <si>
    <t>Section</t>
  </si>
  <si>
    <t>Top</t>
  </si>
  <si>
    <t>Bottom</t>
  </si>
  <si>
    <t>D, top</t>
  </si>
  <si>
    <t>D, bottom</t>
  </si>
  <si>
    <t>t</t>
  </si>
  <si>
    <t>[m]</t>
  </si>
  <si>
    <t>[mm]</t>
  </si>
  <si>
    <t>Length</t>
  </si>
  <si>
    <t>Slope</t>
  </si>
  <si>
    <t>Weight</t>
  </si>
  <si>
    <t>D/t</t>
  </si>
  <si>
    <t>[°]</t>
  </si>
  <si>
    <t>[t]</t>
  </si>
  <si>
    <t>[-]</t>
  </si>
  <si>
    <t xml:space="preserve">Load from DB </t>
  </si>
  <si>
    <t>cd</t>
  </si>
  <si>
    <t>cm</t>
  </si>
  <si>
    <t>comment</t>
  </si>
  <si>
    <t>Marine Growth</t>
  </si>
  <si>
    <t>z_trans</t>
  </si>
  <si>
    <t>z_enbedded</t>
  </si>
  <si>
    <t>z_waterline</t>
  </si>
  <si>
    <t>z_max_slope</t>
  </si>
  <si>
    <t>z_min_slope</t>
  </si>
  <si>
    <t>Constrains</t>
  </si>
  <si>
    <t>Parameter</t>
  </si>
  <si>
    <t>min</t>
  </si>
  <si>
    <t>max</t>
  </si>
  <si>
    <t>len straight</t>
  </si>
  <si>
    <t>len sloped</t>
  </si>
  <si>
    <t xml:space="preserve">tapering </t>
  </si>
  <si>
    <t>slope</t>
  </si>
  <si>
    <t>weight straight</t>
  </si>
  <si>
    <t>weight sloped</t>
  </si>
  <si>
    <t>value</t>
  </si>
  <si>
    <t>dz_min</t>
  </si>
  <si>
    <t>dz_pref</t>
  </si>
  <si>
    <t>length_wiggleroom</t>
  </si>
  <si>
    <t>wiggle_side</t>
  </si>
  <si>
    <t>devison_mode</t>
  </si>
  <si>
    <t>Global Dimensions</t>
  </si>
  <si>
    <t xml:space="preserve">Generataion Fine Tuning </t>
  </si>
  <si>
    <t>explanation</t>
  </si>
  <si>
    <t>Generate</t>
  </si>
  <si>
    <t xml:space="preserve">Output Structure (read only) </t>
  </si>
  <si>
    <t>&lt;&lt;&lt;&lt;&lt;&lt;&lt;&lt;</t>
  </si>
  <si>
    <t>Plots</t>
  </si>
  <si>
    <t>LAT</t>
  </si>
  <si>
    <t>Have Excel interface to input boundary conditions, and to show output</t>
  </si>
  <si>
    <t>Read in MP Tool (geometries)</t>
  </si>
  <si>
    <t>Run database solution in background where tower models incl. point masses and RNA models are accessible</t>
  </si>
  <si>
    <t>Implement interfaces to:</t>
  </si>
  <si>
    <t>DNV Bladed</t>
  </si>
  <si>
    <t>DNV Sesam</t>
  </si>
  <si>
    <t>JBOOST</t>
  </si>
  <si>
    <t>ANSYS</t>
  </si>
  <si>
    <t>etc.</t>
  </si>
  <si>
    <t>Transfer also soil curve converter tool into this tool, to model full structure</t>
  </si>
  <si>
    <t>Capable of also modelling jackets?</t>
  </si>
  <si>
    <t>Automatically apply Skirt for wave load input files</t>
  </si>
  <si>
    <t>Lumped mass and "Zusätzliche Eingaben massen" - two different set-ups necessary for JBOOST and waveloadgen file</t>
  </si>
  <si>
    <t>Bladed postprocessing nodes definition</t>
  </si>
  <si>
    <t>Input for our postproc tools with repsect to heights/nodes evaluated</t>
  </si>
  <si>
    <t>Buttons to insert MP/TPs from MP-Tools (template exists in LoadSummary tool)</t>
  </si>
  <si>
    <t>Whole MP geometry from top to end of pile (way below mudline - right now, geometry must be cut at mudline level for Bladed model, JBOOST model)</t>
  </si>
  <si>
    <t>Optional warnings (for new heights in model - right now, they come permanently)</t>
  </si>
  <si>
    <t>Additional masses shall not be in descending order but in random order</t>
  </si>
  <si>
    <t>Prio</t>
  </si>
  <si>
    <t>MP</t>
  </si>
  <si>
    <t>C:\Users\aaron.lange\Desktop\Projekte\Geometrie_Converter\GeometrieConverter\databases\TP.db</t>
  </si>
  <si>
    <t>LOADED</t>
  </si>
  <si>
    <t>NEW</t>
  </si>
  <si>
    <t>(edit for new db entry)</t>
  </si>
  <si>
    <t>don't sort</t>
  </si>
  <si>
    <t>click to show db data</t>
  </si>
  <si>
    <t xml:space="preserve">Unchanged data Saved in DB </t>
  </si>
  <si>
    <t>(edits change db entry when saved!!)</t>
  </si>
  <si>
    <t>TOWER</t>
  </si>
  <si>
    <t>Phase</t>
  </si>
  <si>
    <t>waterdepth</t>
  </si>
  <si>
    <t>Identifier</t>
  </si>
  <si>
    <t>Project ID</t>
  </si>
  <si>
    <t>Structure ID</t>
  </si>
  <si>
    <t>comments</t>
  </si>
  <si>
    <t>24A535_FEED_DP-A1_L0_G0_S0</t>
  </si>
  <si>
    <t>24A535</t>
  </si>
  <si>
    <t>FEED</t>
  </si>
  <si>
    <t>DP-A1_L0_G0_S0</t>
  </si>
  <si>
    <t>-</t>
  </si>
  <si>
    <t>24A535_FEED_DP-A1_L0_G1_S1</t>
  </si>
  <si>
    <t>24A536</t>
  </si>
  <si>
    <t>DP-A1_L0_G1_S1</t>
  </si>
  <si>
    <t>D, top [m]</t>
  </si>
  <si>
    <t>D, bottom [m]</t>
  </si>
  <si>
    <t>t [mm]</t>
  </si>
  <si>
    <t xml:space="preserve">TP  </t>
  </si>
  <si>
    <t>C:\Users\aaron.lange\Desktop\Projekte\Geometrie_Converter\GeometrieConverter\databases\TOWER.db</t>
  </si>
  <si>
    <t>C:\Users\aaron.lange\Desktop\Projekte\Geometrie_Converter\GeometrieConverter\databases\MP.db</t>
  </si>
  <si>
    <t>local Section</t>
  </si>
  <si>
    <t>TP</t>
  </si>
  <si>
    <t>Weight [t]</t>
  </si>
  <si>
    <t>Affiliation</t>
  </si>
  <si>
    <t>Bolting Platform</t>
  </si>
  <si>
    <t>commment</t>
  </si>
  <si>
    <t>Mass [kg]</t>
  </si>
  <si>
    <t>TP/MP flange</t>
  </si>
  <si>
    <t>Airtight platform</t>
  </si>
  <si>
    <t>Skirt</t>
  </si>
  <si>
    <t>Skirt Lower end</t>
  </si>
  <si>
    <t>dummy to have same number of Bladed nodes as in DP B1 v2</t>
  </si>
  <si>
    <t>TP-sided flange to tower</t>
  </si>
  <si>
    <t>Service Platform</t>
  </si>
  <si>
    <t>Junction Box Platform</t>
  </si>
  <si>
    <t>Internal Access System</t>
  </si>
  <si>
    <t>None</t>
  </si>
  <si>
    <t>MSL</t>
  </si>
  <si>
    <t>SKIRT</t>
  </si>
  <si>
    <t>height reference</t>
  </si>
  <si>
    <t>Bottom [m]</t>
  </si>
  <si>
    <t>Top [m]</t>
  </si>
  <si>
    <t>vertical displacement</t>
  </si>
  <si>
    <t>Elevation [m]</t>
  </si>
  <si>
    <t>Geometry</t>
  </si>
  <si>
    <t>Added Masses</t>
  </si>
  <si>
    <t>Hydro Coefficients</t>
  </si>
  <si>
    <r>
      <t xml:space="preserve">Skirt </t>
    </r>
    <r>
      <rPr>
        <sz val="22"/>
        <color theme="1"/>
        <rFont val="Aptos Narrow"/>
        <family val="2"/>
        <scheme val="minor"/>
      </rPr>
      <t>(has to be added manually to Added Masses)</t>
    </r>
  </si>
  <si>
    <t>Marine Growth [mm]</t>
  </si>
  <si>
    <t>C:\Users\aaron.lange\Desktop\Projekte\Geometrie_Converter\Example_Exports\JBOOST</t>
  </si>
  <si>
    <t>ModelName</t>
  </si>
  <si>
    <t>struct</t>
  </si>
  <si>
    <t>EModul</t>
  </si>
  <si>
    <t>dens</t>
  </si>
  <si>
    <t>Value</t>
  </si>
  <si>
    <t>Unit</t>
  </si>
  <si>
    <t>kg·m−1·s−2</t>
  </si>
  <si>
    <t>kg ·m-3</t>
  </si>
  <si>
    <t>deflection MP</t>
  </si>
  <si>
    <t>deg</t>
  </si>
  <si>
    <t>deflection TOWER</t>
  </si>
  <si>
    <t>mm/m</t>
  </si>
  <si>
    <t>deflection TP</t>
  </si>
  <si>
    <t>used as name for .lua file</t>
  </si>
  <si>
    <t>RNA</t>
  </si>
  <si>
    <t>Inertia [kg·m²]</t>
  </si>
  <si>
    <t>Offset TT_COG [m]</t>
  </si>
  <si>
    <t>GE-13.0-210</t>
  </si>
  <si>
    <t>Mass [t]</t>
  </si>
  <si>
    <t>Massentabelle [t]</t>
  </si>
  <si>
    <t>Dimensional tolerance for node generating [m] :</t>
  </si>
  <si>
    <t>Point masses</t>
  </si>
  <si>
    <t>Height Reference</t>
  </si>
  <si>
    <t xml:space="preserve">Water level </t>
  </si>
  <si>
    <t>Model Name</t>
  </si>
  <si>
    <t>m</t>
  </si>
  <si>
    <t>Seabed level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</si>
</sst>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\ [$€-1]_-;\-* #,##0.00\ [$€-1]_-;_-* &quot;-&quot;??\ [$€-1]_-"/>
    <numFmt numFmtId="165" formatCode="#,##0_ ;\-#,##0\ "/>
    <numFmt numFmtId="166" formatCode="0.000"/>
    <numFmt numFmtId="167" formatCode="0.0"/>
    <numFmt numFmtId="168" formatCode="0.0000"/>
  </numFmts>
  <fonts count="1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sz val="11"/>
      <color theme="1"/>
      <name val="Arial"/>
      <family val="2"/>
    </font>
    <font>
      <b/>
      <sz val="24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49998474074526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164" fontId="1" fillId="0" borderId="0"/>
  </cellStyleXfs>
  <cellXfs count="108">
    <xf numFmtId="0" fontId="0" fillId="0" borderId="0" xfId="0"/>
    <xf numFmtId="164" fontId="2" fillId="2" borderId="2" xfId="1" applyFont="1" applyFill="1" applyBorder="1" applyAlignment="1">
      <alignment horizontal="center" vertical="center"/>
    </xf>
    <xf numFmtId="165" fontId="4" fillId="2" borderId="2" xfId="1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 applyProtection="1">
      <alignment horizontal="center" vertical="center"/>
      <protection locked="0"/>
    </xf>
    <xf numFmtId="1" fontId="5" fillId="3" borderId="2" xfId="0" applyNumberFormat="1" applyFont="1" applyFill="1" applyBorder="1" applyAlignment="1" applyProtection="1">
      <alignment horizontal="center" vertical="center"/>
      <protection locked="0"/>
    </xf>
    <xf numFmtId="2" fontId="5" fillId="4" borderId="2" xfId="0" applyNumberFormat="1" applyFont="1" applyFill="1" applyBorder="1" applyAlignment="1">
      <alignment horizontal="center" vertical="center"/>
    </xf>
    <xf numFmtId="2" fontId="5" fillId="5" borderId="2" xfId="1" applyNumberFormat="1" applyFont="1" applyFill="1" applyBorder="1" applyAlignment="1">
      <alignment horizontal="center" vertical="center"/>
    </xf>
    <xf numFmtId="166" fontId="5" fillId="5" borderId="2" xfId="1" applyNumberFormat="1" applyFont="1" applyFill="1" applyBorder="1" applyAlignment="1">
      <alignment horizontal="center" vertical="center"/>
    </xf>
    <xf numFmtId="167" fontId="0" fillId="4" borderId="2" xfId="1" applyNumberFormat="1" applyFont="1" applyFill="1" applyBorder="1" applyAlignment="1">
      <alignment horizontal="center" vertical="center"/>
    </xf>
    <xf numFmtId="0" fontId="0" fillId="6" borderId="2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17" xfId="0" applyFill="1" applyBorder="1"/>
    <xf numFmtId="0" fontId="0" fillId="6" borderId="18" xfId="0" applyFill="1" applyBorder="1"/>
    <xf numFmtId="0" fontId="0" fillId="7" borderId="2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0" fontId="0" fillId="8" borderId="2" xfId="0" applyFill="1" applyBorder="1"/>
    <xf numFmtId="0" fontId="0" fillId="8" borderId="14" xfId="0" applyFill="1" applyBorder="1"/>
    <xf numFmtId="0" fontId="0" fillId="8" borderId="15" xfId="0" applyFill="1" applyBorder="1"/>
    <xf numFmtId="0" fontId="0" fillId="8" borderId="16" xfId="0" applyFill="1" applyBorder="1"/>
    <xf numFmtId="0" fontId="0" fillId="8" borderId="17" xfId="0" applyFill="1" applyBorder="1"/>
    <xf numFmtId="0" fontId="0" fillId="8" borderId="18" xfId="0" applyFill="1" applyBorder="1"/>
    <xf numFmtId="0" fontId="0" fillId="9" borderId="11" xfId="0" applyFill="1" applyBorder="1"/>
    <xf numFmtId="0" fontId="0" fillId="9" borderId="0" xfId="0" applyFill="1"/>
    <xf numFmtId="0" fontId="0" fillId="9" borderId="12" xfId="0" applyFill="1" applyBorder="1"/>
    <xf numFmtId="0" fontId="0" fillId="10" borderId="11" xfId="0" applyFill="1" applyBorder="1"/>
    <xf numFmtId="0" fontId="0" fillId="10" borderId="0" xfId="0" applyFill="1"/>
    <xf numFmtId="0" fontId="0" fillId="10" borderId="12" xfId="0" applyFill="1" applyBorder="1"/>
    <xf numFmtId="0" fontId="0" fillId="11" borderId="11" xfId="0" applyFill="1" applyBorder="1"/>
    <xf numFmtId="0" fontId="0" fillId="11" borderId="0" xfId="0" applyFill="1"/>
    <xf numFmtId="0" fontId="0" fillId="11" borderId="12" xfId="0" applyFill="1" applyBorder="1"/>
    <xf numFmtId="0" fontId="0" fillId="12" borderId="5" xfId="0" applyFill="1" applyBorder="1"/>
    <xf numFmtId="0" fontId="0" fillId="12" borderId="13" xfId="0" applyFill="1" applyBorder="1"/>
    <xf numFmtId="0" fontId="0" fillId="12" borderId="4" xfId="0" applyFill="1" applyBorder="1"/>
    <xf numFmtId="0" fontId="0" fillId="12" borderId="12" xfId="0" applyFill="1" applyBorder="1"/>
    <xf numFmtId="0" fontId="0" fillId="12" borderId="0" xfId="0" applyFill="1"/>
    <xf numFmtId="0" fontId="0" fillId="12" borderId="11" xfId="0" applyFill="1" applyBorder="1"/>
    <xf numFmtId="0" fontId="0" fillId="12" borderId="9" xfId="0" applyFill="1" applyBorder="1"/>
    <xf numFmtId="0" fontId="0" fillId="12" borderId="10" xfId="0" applyFill="1" applyBorder="1"/>
    <xf numFmtId="0" fontId="6" fillId="12" borderId="0" xfId="0" applyFont="1" applyFill="1"/>
    <xf numFmtId="0" fontId="0" fillId="12" borderId="8" xfId="0" applyFill="1" applyBorder="1"/>
    <xf numFmtId="0" fontId="3" fillId="12" borderId="0" xfId="0" applyFont="1" applyFill="1"/>
    <xf numFmtId="164" fontId="2" fillId="2" borderId="1" xfId="1" applyFont="1" applyFill="1" applyBorder="1" applyAlignment="1">
      <alignment horizontal="center" vertical="center"/>
    </xf>
    <xf numFmtId="164" fontId="2" fillId="2" borderId="3" xfId="1" applyFont="1" applyFill="1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2" fillId="14" borderId="21" xfId="0" applyFont="1" applyFill="1" applyBorder="1"/>
    <xf numFmtId="0" fontId="2" fillId="14" borderId="22" xfId="0" applyFont="1" applyFill="1" applyBorder="1"/>
    <xf numFmtId="0" fontId="0" fillId="15" borderId="23" xfId="0" applyFill="1" applyBorder="1" applyAlignment="1">
      <alignment horizontal="center"/>
    </xf>
    <xf numFmtId="1" fontId="0" fillId="15" borderId="23" xfId="0" applyNumberFormat="1" applyFill="1" applyBorder="1" applyAlignment="1">
      <alignment horizontal="center"/>
    </xf>
    <xf numFmtId="0" fontId="0" fillId="15" borderId="0" xfId="0" applyFill="1" applyAlignment="1">
      <alignment horizontal="center"/>
    </xf>
    <xf numFmtId="0" fontId="0" fillId="0" borderId="7" xfId="0" applyBorder="1"/>
    <xf numFmtId="0" fontId="0" fillId="0" borderId="19" xfId="0" applyBorder="1"/>
    <xf numFmtId="0" fontId="0" fillId="0" borderId="20" xfId="0" applyBorder="1"/>
    <xf numFmtId="0" fontId="5" fillId="0" borderId="6" xfId="0" applyFont="1" applyBorder="1"/>
    <xf numFmtId="0" fontId="0" fillId="0" borderId="6" xfId="0" applyBorder="1"/>
    <xf numFmtId="0" fontId="2" fillId="14" borderId="21" xfId="0" applyFont="1" applyFill="1" applyBorder="1" applyAlignment="1">
      <alignment horizontal="left"/>
    </xf>
    <xf numFmtId="0" fontId="2" fillId="14" borderId="24" xfId="0" applyFont="1" applyFill="1" applyBorder="1" applyAlignment="1">
      <alignment horizontal="left"/>
    </xf>
    <xf numFmtId="0" fontId="13" fillId="0" borderId="0" xfId="0" applyFont="1" applyAlignment="1">
      <alignment horizontal="left"/>
    </xf>
    <xf numFmtId="167" fontId="0" fillId="0" borderId="0" xfId="0" applyNumberFormat="1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11" xfId="0" applyBorder="1"/>
    <xf numFmtId="0" fontId="4" fillId="0" borderId="0" xfId="0" applyFont="1"/>
    <xf numFmtId="0" fontId="0" fillId="0" borderId="12" xfId="0" applyBorder="1"/>
    <xf numFmtId="0" fontId="9" fillId="0" borderId="0" xfId="0" applyFont="1"/>
    <xf numFmtId="0" fontId="0" fillId="0" borderId="0" xfId="0" applyAlignment="1">
      <alignment vertical="center"/>
    </xf>
    <xf numFmtId="0" fontId="3" fillId="0" borderId="11" xfId="0" applyFont="1" applyBorder="1" applyAlignment="1">
      <alignment horizontal="right"/>
    </xf>
    <xf numFmtId="0" fontId="0" fillId="0" borderId="11" xfId="0" applyBorder="1" applyAlignment="1">
      <alignment horizontal="right"/>
    </xf>
    <xf numFmtId="0" fontId="0" fillId="13" borderId="0" xfId="0" applyFill="1"/>
    <xf numFmtId="0" fontId="3" fillId="0" borderId="0" xfId="0" applyFont="1"/>
    <xf numFmtId="168" fontId="0" fillId="0" borderId="0" xfId="0" applyNumberFormat="1"/>
    <xf numFmtId="2" fontId="0" fillId="13" borderId="0" xfId="0" applyNumberFormat="1" applyFill="1"/>
    <xf numFmtId="0" fontId="9" fillId="0" borderId="11" xfId="0" applyFont="1" applyBorder="1"/>
    <xf numFmtId="2" fontId="12" fillId="0" borderId="0" xfId="0" applyNumberFormat="1" applyFont="1" applyAlignment="1" applyProtection="1">
      <alignment horizontal="center" vertical="center"/>
      <protection locked="0"/>
    </xf>
    <xf numFmtId="0" fontId="2" fillId="14" borderId="22" xfId="0" applyFont="1" applyFill="1" applyBorder="1" applyAlignment="1">
      <alignment horizontal="center"/>
    </xf>
    <xf numFmtId="0" fontId="3" fillId="9" borderId="8" xfId="0" applyFont="1" applyFill="1" applyBorder="1" applyAlignment="1">
      <alignment horizontal="center"/>
    </xf>
    <xf numFmtId="0" fontId="3" fillId="9" borderId="9" xfId="0" applyFont="1" applyFill="1" applyBorder="1" applyAlignment="1">
      <alignment horizontal="center"/>
    </xf>
    <xf numFmtId="0" fontId="3" fillId="9" borderId="10" xfId="0" applyFont="1" applyFill="1" applyBorder="1" applyAlignment="1">
      <alignment horizontal="center"/>
    </xf>
    <xf numFmtId="0" fontId="3" fillId="10" borderId="8" xfId="0" applyFont="1" applyFill="1" applyBorder="1" applyAlignment="1">
      <alignment horizontal="center"/>
    </xf>
    <xf numFmtId="0" fontId="3" fillId="10" borderId="9" xfId="0" applyFont="1" applyFill="1" applyBorder="1" applyAlignment="1">
      <alignment horizontal="center"/>
    </xf>
    <xf numFmtId="0" fontId="3" fillId="10" borderId="10" xfId="0" applyFont="1" applyFill="1" applyBorder="1" applyAlignment="1">
      <alignment horizontal="center"/>
    </xf>
    <xf numFmtId="0" fontId="3" fillId="11" borderId="8" xfId="0" applyFont="1" applyFill="1" applyBorder="1" applyAlignment="1">
      <alignment horizontal="center"/>
    </xf>
    <xf numFmtId="0" fontId="3" fillId="11" borderId="9" xfId="0" applyFont="1" applyFill="1" applyBorder="1" applyAlignment="1">
      <alignment horizontal="center"/>
    </xf>
    <xf numFmtId="0" fontId="3" fillId="11" borderId="10" xfId="0" applyFont="1" applyFill="1" applyBorder="1" applyAlignment="1">
      <alignment horizontal="center"/>
    </xf>
    <xf numFmtId="0" fontId="0" fillId="15" borderId="25" xfId="0" applyFont="1" applyFill="1" applyBorder="1"/>
    <xf numFmtId="0" fontId="0" fillId="0" borderId="25" xfId="0" applyFont="1" applyBorder="1"/>
    <xf numFmtId="0" fontId="0" fillId="0" borderId="0" xfId="0" applyFill="1"/>
    <xf numFmtId="2" fontId="0" fillId="0" borderId="0" xfId="0" applyNumberFormat="1" applyFill="1"/>
    <xf numFmtId="0" fontId="0" fillId="0" borderId="0" xfId="0" applyFont="1" applyFill="1"/>
    <xf numFmtId="2" fontId="0" fillId="0" borderId="0" xfId="0" applyNumberFormat="1" applyFont="1" applyFill="1"/>
    <xf numFmtId="0" fontId="0" fillId="0" borderId="11" xfId="0" applyFill="1" applyBorder="1"/>
    <xf numFmtId="2" fontId="12" fillId="0" borderId="0" xfId="0" applyNumberFormat="1" applyFont="1" applyFill="1" applyAlignment="1" applyProtection="1">
      <alignment horizontal="center" vertical="center"/>
      <protection locked="0"/>
    </xf>
    <xf numFmtId="0" fontId="0" fillId="15" borderId="23" xfId="0" applyFont="1" applyFill="1" applyBorder="1" applyAlignment="1">
      <alignment horizontal="center"/>
    </xf>
    <xf numFmtId="1" fontId="0" fillId="15" borderId="23" xfId="0" applyNumberFormat="1" applyFont="1" applyFill="1" applyBorder="1" applyAlignment="1">
      <alignment horizontal="center"/>
    </xf>
    <xf numFmtId="0" fontId="0" fillId="15" borderId="26" xfId="0" applyFont="1" applyFill="1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0" fillId="0" borderId="27" xfId="0" applyFont="1" applyBorder="1" applyAlignment="1">
      <alignment horizontal="center"/>
    </xf>
    <xf numFmtId="0" fontId="0" fillId="15" borderId="27" xfId="0" applyFont="1" applyFill="1" applyBorder="1" applyAlignment="1">
      <alignment horizontal="center"/>
    </xf>
  </cellXfs>
  <cellStyles count="2">
    <cellStyle name="Standard" xfId="0" builtinId="0"/>
    <cellStyle name="Standard 4" xfId="1" xr:uid="{7C2E7282-4006-4D40-8AAC-8E6944058B8E}"/>
  </cellStyles>
  <dxfs count="308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font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Wall thickness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WT[mm]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73"/>
              <c:pt idx="0">
                <c:v>30</c:v>
              </c:pt>
              <c:pt idx="1">
                <c:v>30</c:v>
              </c:pt>
              <c:pt idx="2">
                <c:v>26</c:v>
              </c:pt>
              <c:pt idx="3">
                <c:v>26</c:v>
              </c:pt>
              <c:pt idx="4">
                <c:v>22.3</c:v>
              </c:pt>
              <c:pt idx="5">
                <c:v>22.3</c:v>
              </c:pt>
              <c:pt idx="6">
                <c:v>22.3</c:v>
              </c:pt>
              <c:pt idx="7">
                <c:v>22.3</c:v>
              </c:pt>
              <c:pt idx="8">
                <c:v>21.8</c:v>
              </c:pt>
              <c:pt idx="9">
                <c:v>21.8</c:v>
              </c:pt>
              <c:pt idx="10">
                <c:v>21.8</c:v>
              </c:pt>
              <c:pt idx="11">
                <c:v>21.8</c:v>
              </c:pt>
              <c:pt idx="12">
                <c:v>21.5</c:v>
              </c:pt>
              <c:pt idx="13">
                <c:v>21.5</c:v>
              </c:pt>
              <c:pt idx="14">
                <c:v>21.5</c:v>
              </c:pt>
              <c:pt idx="15">
                <c:v>21.5</c:v>
              </c:pt>
              <c:pt idx="16">
                <c:v>21.6</c:v>
              </c:pt>
              <c:pt idx="17">
                <c:v>21.6</c:v>
              </c:pt>
              <c:pt idx="18">
                <c:v>19.599999999999998</c:v>
              </c:pt>
              <c:pt idx="19">
                <c:v>19.599999999999998</c:v>
              </c:pt>
              <c:pt idx="20">
                <c:v>20.100000000000001</c:v>
              </c:pt>
              <c:pt idx="21">
                <c:v>20.100000000000001</c:v>
              </c:pt>
              <c:pt idx="22">
                <c:v>20.6</c:v>
              </c:pt>
              <c:pt idx="23">
                <c:v>20.6</c:v>
              </c:pt>
              <c:pt idx="24">
                <c:v>21.5</c:v>
              </c:pt>
              <c:pt idx="25">
                <c:v>21.5</c:v>
              </c:pt>
              <c:pt idx="26">
                <c:v>22.4</c:v>
              </c:pt>
              <c:pt idx="27">
                <c:v>22.4</c:v>
              </c:pt>
              <c:pt idx="28">
                <c:v>23.099999999999998</c:v>
              </c:pt>
              <c:pt idx="29">
                <c:v>23.099999999999998</c:v>
              </c:pt>
              <c:pt idx="30">
                <c:v>23.099999999999998</c:v>
              </c:pt>
              <c:pt idx="31">
                <c:v>23.099999999999998</c:v>
              </c:pt>
              <c:pt idx="32">
                <c:v>23.099999999999998</c:v>
              </c:pt>
              <c:pt idx="33">
                <c:v>23.099999999999998</c:v>
              </c:pt>
              <c:pt idx="34">
                <c:v>23.099999999999998</c:v>
              </c:pt>
              <c:pt idx="35">
                <c:v>23.099999999999998</c:v>
              </c:pt>
              <c:pt idx="36">
                <c:v>23.099999999999998</c:v>
              </c:pt>
              <c:pt idx="37">
                <c:v>23.099999999999998</c:v>
              </c:pt>
              <c:pt idx="38">
                <c:v>23.099999999999998</c:v>
              </c:pt>
              <c:pt idx="39">
                <c:v>23.099999999999998</c:v>
              </c:pt>
              <c:pt idx="40">
                <c:v>23.5</c:v>
              </c:pt>
              <c:pt idx="41">
                <c:v>23.5</c:v>
              </c:pt>
              <c:pt idx="42">
                <c:v>24.299999999999997</c:v>
              </c:pt>
              <c:pt idx="43">
                <c:v>24.299999999999997</c:v>
              </c:pt>
              <c:pt idx="44">
                <c:v>25.2</c:v>
              </c:pt>
              <c:pt idx="45">
                <c:v>25.2</c:v>
              </c:pt>
              <c:pt idx="46">
                <c:v>25.6</c:v>
              </c:pt>
              <c:pt idx="47">
                <c:v>25.6</c:v>
              </c:pt>
              <c:pt idx="48">
                <c:v>25.8</c:v>
              </c:pt>
              <c:pt idx="49">
                <c:v>25.8</c:v>
              </c:pt>
              <c:pt idx="50">
                <c:v>26</c:v>
              </c:pt>
              <c:pt idx="51">
                <c:v>26</c:v>
              </c:pt>
              <c:pt idx="52">
                <c:v>26.599999999999998</c:v>
              </c:pt>
              <c:pt idx="53">
                <c:v>26.599999999999998</c:v>
              </c:pt>
              <c:pt idx="54">
                <c:v>27.3</c:v>
              </c:pt>
              <c:pt idx="55">
                <c:v>27.3</c:v>
              </c:pt>
              <c:pt idx="56">
                <c:v>27.900000000000002</c:v>
              </c:pt>
              <c:pt idx="57">
                <c:v>27.900000000000002</c:v>
              </c:pt>
              <c:pt idx="58">
                <c:v>28.6</c:v>
              </c:pt>
              <c:pt idx="59">
                <c:v>28.6</c:v>
              </c:pt>
              <c:pt idx="60">
                <c:v>29.2</c:v>
              </c:pt>
              <c:pt idx="61">
                <c:v>29.2</c:v>
              </c:pt>
              <c:pt idx="62">
                <c:v>29.8</c:v>
              </c:pt>
              <c:pt idx="63">
                <c:v>29.8</c:v>
              </c:pt>
              <c:pt idx="64">
                <c:v>30.4</c:v>
              </c:pt>
              <c:pt idx="65">
                <c:v>30.4</c:v>
              </c:pt>
              <c:pt idx="66">
                <c:v>32</c:v>
              </c:pt>
              <c:pt idx="67">
                <c:v>32</c:v>
              </c:pt>
              <c:pt idx="68">
                <c:v>32</c:v>
              </c:pt>
              <c:pt idx="69">
                <c:v>32</c:v>
              </c:pt>
              <c:pt idx="70">
                <c:v>32</c:v>
              </c:pt>
              <c:pt idx="71">
                <c:v>32</c:v>
              </c:pt>
              <c:pt idx="72">
                <c:v>32</c:v>
              </c:pt>
              <c:pt idx="73">
                <c:v>32</c:v>
              </c:pt>
              <c:pt idx="74">
                <c:v>32</c:v>
              </c:pt>
              <c:pt idx="75">
                <c:v>32</c:v>
              </c:pt>
              <c:pt idx="76">
                <c:v>32</c:v>
              </c:pt>
              <c:pt idx="77">
                <c:v>32</c:v>
              </c:pt>
              <c:pt idx="78">
                <c:v>31.7</c:v>
              </c:pt>
              <c:pt idx="79">
                <c:v>31.7</c:v>
              </c:pt>
              <c:pt idx="80">
                <c:v>32.300000000000004</c:v>
              </c:pt>
              <c:pt idx="81">
                <c:v>32.300000000000004</c:v>
              </c:pt>
              <c:pt idx="82">
                <c:v>32.800000000000004</c:v>
              </c:pt>
              <c:pt idx="83">
                <c:v>32.800000000000004</c:v>
              </c:pt>
              <c:pt idx="84">
                <c:v>33.4</c:v>
              </c:pt>
              <c:pt idx="85">
                <c:v>33.4</c:v>
              </c:pt>
              <c:pt idx="86">
                <c:v>33.9</c:v>
              </c:pt>
              <c:pt idx="87">
                <c:v>33.9</c:v>
              </c:pt>
              <c:pt idx="88">
                <c:v>34.4</c:v>
              </c:pt>
              <c:pt idx="89">
                <c:v>34.4</c:v>
              </c:pt>
              <c:pt idx="90">
                <c:v>34.9</c:v>
              </c:pt>
              <c:pt idx="91">
                <c:v>34.9</c:v>
              </c:pt>
              <c:pt idx="92">
                <c:v>35.4</c:v>
              </c:pt>
              <c:pt idx="93">
                <c:v>35.4</c:v>
              </c:pt>
              <c:pt idx="94">
                <c:v>35.799999999999997</c:v>
              </c:pt>
              <c:pt idx="95">
                <c:v>35.799999999999997</c:v>
              </c:pt>
              <c:pt idx="96">
                <c:v>36.4</c:v>
              </c:pt>
              <c:pt idx="97">
                <c:v>36.4</c:v>
              </c:pt>
              <c:pt idx="98">
                <c:v>39.5</c:v>
              </c:pt>
              <c:pt idx="99">
                <c:v>39.5</c:v>
              </c:pt>
              <c:pt idx="100">
                <c:v>39.5</c:v>
              </c:pt>
              <c:pt idx="101">
                <c:v>39.5</c:v>
              </c:pt>
              <c:pt idx="102">
                <c:v>39.5</c:v>
              </c:pt>
              <c:pt idx="103">
                <c:v>39.5</c:v>
              </c:pt>
              <c:pt idx="104">
                <c:v>39.5</c:v>
              </c:pt>
              <c:pt idx="105">
                <c:v>39.5</c:v>
              </c:pt>
              <c:pt idx="106">
                <c:v>39.5</c:v>
              </c:pt>
              <c:pt idx="107">
                <c:v>39.5</c:v>
              </c:pt>
              <c:pt idx="108">
                <c:v>38</c:v>
              </c:pt>
              <c:pt idx="109">
                <c:v>38</c:v>
              </c:pt>
              <c:pt idx="110">
                <c:v>38</c:v>
              </c:pt>
              <c:pt idx="111">
                <c:v>38</c:v>
              </c:pt>
              <c:pt idx="112">
                <c:v>38.800000000000004</c:v>
              </c:pt>
              <c:pt idx="113">
                <c:v>38.800000000000004</c:v>
              </c:pt>
              <c:pt idx="114">
                <c:v>40.4</c:v>
              </c:pt>
              <c:pt idx="115">
                <c:v>40.4</c:v>
              </c:pt>
              <c:pt idx="116">
                <c:v>41.2</c:v>
              </c:pt>
              <c:pt idx="117">
                <c:v>41.2</c:v>
              </c:pt>
              <c:pt idx="118">
                <c:v>42.1</c:v>
              </c:pt>
              <c:pt idx="119">
                <c:v>42.1</c:v>
              </c:pt>
              <c:pt idx="120">
                <c:v>43</c:v>
              </c:pt>
              <c:pt idx="121">
                <c:v>43</c:v>
              </c:pt>
              <c:pt idx="122">
                <c:v>64.5</c:v>
              </c:pt>
              <c:pt idx="123">
                <c:v>64.5</c:v>
              </c:pt>
              <c:pt idx="124">
                <c:v>64.5</c:v>
              </c:pt>
              <c:pt idx="125">
                <c:v>64.5</c:v>
              </c:pt>
              <c:pt idx="126">
                <c:v>64.5</c:v>
              </c:pt>
              <c:pt idx="127">
                <c:v>64.5</c:v>
              </c:pt>
              <c:pt idx="128">
                <c:v>64.5</c:v>
              </c:pt>
              <c:pt idx="129">
                <c:v>64.5</c:v>
              </c:pt>
              <c:pt idx="130">
                <c:v>64.5</c:v>
              </c:pt>
              <c:pt idx="131">
                <c:v>64.5</c:v>
              </c:pt>
              <c:pt idx="132">
                <c:v>64.5</c:v>
              </c:pt>
              <c:pt idx="133">
                <c:v>64.5</c:v>
              </c:pt>
              <c:pt idx="134">
                <c:v>64.5</c:v>
              </c:pt>
              <c:pt idx="135">
                <c:v>64.5</c:v>
              </c:pt>
              <c:pt idx="136">
                <c:v>86</c:v>
              </c:pt>
              <c:pt idx="137">
                <c:v>86</c:v>
              </c:pt>
              <c:pt idx="138">
                <c:v>86</c:v>
              </c:pt>
              <c:pt idx="139">
                <c:v>86</c:v>
              </c:pt>
              <c:pt idx="140">
                <c:v>88</c:v>
              </c:pt>
              <c:pt idx="141">
                <c:v>88</c:v>
              </c:pt>
              <c:pt idx="142">
                <c:v>92</c:v>
              </c:pt>
              <c:pt idx="143">
                <c:v>92</c:v>
              </c:pt>
              <c:pt idx="144">
                <c:v>100</c:v>
              </c:pt>
              <c:pt idx="145">
                <c:v>100</c:v>
              </c:pt>
              <c:pt idx="146">
                <c:v>60</c:v>
              </c:pt>
              <c:pt idx="147">
                <c:v>60</c:v>
              </c:pt>
              <c:pt idx="148">
                <c:v>60</c:v>
              </c:pt>
              <c:pt idx="149">
                <c:v>60</c:v>
              </c:pt>
              <c:pt idx="150">
                <c:v>62</c:v>
              </c:pt>
              <c:pt idx="151">
                <c:v>62</c:v>
              </c:pt>
              <c:pt idx="152">
                <c:v>64</c:v>
              </c:pt>
              <c:pt idx="153">
                <c:v>64</c:v>
              </c:pt>
              <c:pt idx="154">
                <c:v>66</c:v>
              </c:pt>
              <c:pt idx="155">
                <c:v>66</c:v>
              </c:pt>
              <c:pt idx="156">
                <c:v>60</c:v>
              </c:pt>
              <c:pt idx="157">
                <c:v>60</c:v>
              </c:pt>
              <c:pt idx="158">
                <c:v>62</c:v>
              </c:pt>
              <c:pt idx="159">
                <c:v>62</c:v>
              </c:pt>
              <c:pt idx="160">
                <c:v>64</c:v>
              </c:pt>
              <c:pt idx="161">
                <c:v>64</c:v>
              </c:pt>
              <c:pt idx="162">
                <c:v>66</c:v>
              </c:pt>
              <c:pt idx="163">
                <c:v>66</c:v>
              </c:pt>
              <c:pt idx="164">
                <c:v>68</c:v>
              </c:pt>
              <c:pt idx="165">
                <c:v>68</c:v>
              </c:pt>
              <c:pt idx="166">
                <c:v>72</c:v>
              </c:pt>
              <c:pt idx="167">
                <c:v>72</c:v>
              </c:pt>
              <c:pt idx="168">
                <c:v>77</c:v>
              </c:pt>
              <c:pt idx="169">
                <c:v>77</c:v>
              </c:pt>
              <c:pt idx="170">
                <c:v>82</c:v>
              </c:pt>
              <c:pt idx="171">
                <c:v>#N/A</c:v>
              </c:pt>
              <c:pt idx="172">
                <c:v>82</c:v>
              </c:pt>
            </c:numLit>
          </c:xVal>
          <c:yVal>
            <c:numLit>
              <c:formatCode>General</c:formatCode>
              <c:ptCount val="173"/>
              <c:pt idx="0">
                <c:v>139.70000000000002</c:v>
              </c:pt>
              <c:pt idx="1">
                <c:v>139.62</c:v>
              </c:pt>
              <c:pt idx="2">
                <c:v>139.62</c:v>
              </c:pt>
              <c:pt idx="3">
                <c:v>139.57</c:v>
              </c:pt>
              <c:pt idx="4">
                <c:v>139.57</c:v>
              </c:pt>
              <c:pt idx="5">
                <c:v>138.72</c:v>
              </c:pt>
              <c:pt idx="6">
                <c:v>138.72</c:v>
              </c:pt>
              <c:pt idx="7">
                <c:v>138.602</c:v>
              </c:pt>
              <c:pt idx="8">
                <c:v>138.602</c:v>
              </c:pt>
              <c:pt idx="9">
                <c:v>136.524</c:v>
              </c:pt>
              <c:pt idx="10">
                <c:v>136.524</c:v>
              </c:pt>
              <c:pt idx="11">
                <c:v>135.708</c:v>
              </c:pt>
              <c:pt idx="12">
                <c:v>135.708</c:v>
              </c:pt>
              <c:pt idx="13">
                <c:v>133.73699999999999</c:v>
              </c:pt>
              <c:pt idx="14">
                <c:v>133.73699999999999</c:v>
              </c:pt>
              <c:pt idx="15">
                <c:v>133.71100000000001</c:v>
              </c:pt>
              <c:pt idx="16">
                <c:v>133.71100000000001</c:v>
              </c:pt>
              <c:pt idx="17">
                <c:v>130.953</c:v>
              </c:pt>
              <c:pt idx="18">
                <c:v>130.953</c:v>
              </c:pt>
              <c:pt idx="19">
                <c:v>128.16899999999998</c:v>
              </c:pt>
              <c:pt idx="20">
                <c:v>128.16899999999998</c:v>
              </c:pt>
              <c:pt idx="21">
                <c:v>125.386</c:v>
              </c:pt>
              <c:pt idx="22">
                <c:v>125.386</c:v>
              </c:pt>
              <c:pt idx="23">
                <c:v>122.60599999999999</c:v>
              </c:pt>
              <c:pt idx="24">
                <c:v>122.60599999999999</c:v>
              </c:pt>
              <c:pt idx="25">
                <c:v>119.82599999999999</c:v>
              </c:pt>
              <c:pt idx="26">
                <c:v>119.82599999999999</c:v>
              </c:pt>
              <c:pt idx="27">
                <c:v>117.047</c:v>
              </c:pt>
              <c:pt idx="28">
                <c:v>117.047</c:v>
              </c:pt>
              <c:pt idx="29">
                <c:v>114.271</c:v>
              </c:pt>
              <c:pt idx="30">
                <c:v>114.271</c:v>
              </c:pt>
              <c:pt idx="31">
                <c:v>114.241</c:v>
              </c:pt>
              <c:pt idx="32">
                <c:v>114.241</c:v>
              </c:pt>
              <c:pt idx="33">
                <c:v>114.121</c:v>
              </c:pt>
              <c:pt idx="34">
                <c:v>114.121</c:v>
              </c:pt>
              <c:pt idx="35">
                <c:v>114.001</c:v>
              </c:pt>
              <c:pt idx="36">
                <c:v>114.001</c:v>
              </c:pt>
              <c:pt idx="37">
                <c:v>113.971</c:v>
              </c:pt>
              <c:pt idx="38">
                <c:v>113.971</c:v>
              </c:pt>
              <c:pt idx="39">
                <c:v>112.82299999999999</c:v>
              </c:pt>
              <c:pt idx="40">
                <c:v>112.82299999999999</c:v>
              </c:pt>
              <c:pt idx="41">
                <c:v>112.614</c:v>
              </c:pt>
              <c:pt idx="42">
                <c:v>112.614</c:v>
              </c:pt>
              <c:pt idx="43">
                <c:v>111.191</c:v>
              </c:pt>
              <c:pt idx="44">
                <c:v>111.191</c:v>
              </c:pt>
              <c:pt idx="45">
                <c:v>108.41500000000001</c:v>
              </c:pt>
              <c:pt idx="46">
                <c:v>108.41500000000001</c:v>
              </c:pt>
              <c:pt idx="47">
                <c:v>105.64</c:v>
              </c:pt>
              <c:pt idx="48">
                <c:v>105.64</c:v>
              </c:pt>
              <c:pt idx="49">
                <c:v>102.866</c:v>
              </c:pt>
              <c:pt idx="50">
                <c:v>102.866</c:v>
              </c:pt>
              <c:pt idx="51">
                <c:v>100.095</c:v>
              </c:pt>
              <c:pt idx="52">
                <c:v>100.095</c:v>
              </c:pt>
              <c:pt idx="53">
                <c:v>97.323999999999998</c:v>
              </c:pt>
              <c:pt idx="54">
                <c:v>97.323999999999998</c:v>
              </c:pt>
              <c:pt idx="55">
                <c:v>94.554000000000002</c:v>
              </c:pt>
              <c:pt idx="56">
                <c:v>94.554000000000002</c:v>
              </c:pt>
              <c:pt idx="57">
                <c:v>91.787000000000006</c:v>
              </c:pt>
              <c:pt idx="58">
                <c:v>91.787000000000006</c:v>
              </c:pt>
              <c:pt idx="59">
                <c:v>89.02</c:v>
              </c:pt>
              <c:pt idx="60">
                <c:v>89.02</c:v>
              </c:pt>
              <c:pt idx="61">
                <c:v>86.254000000000005</c:v>
              </c:pt>
              <c:pt idx="62">
                <c:v>86.254000000000005</c:v>
              </c:pt>
              <c:pt idx="63">
                <c:v>83.49</c:v>
              </c:pt>
              <c:pt idx="64">
                <c:v>83.49</c:v>
              </c:pt>
              <c:pt idx="65">
                <c:v>80.72699999999999</c:v>
              </c:pt>
              <c:pt idx="66">
                <c:v>80.72699999999999</c:v>
              </c:pt>
              <c:pt idx="67">
                <c:v>77.965000000000003</c:v>
              </c:pt>
              <c:pt idx="68">
                <c:v>77.965000000000003</c:v>
              </c:pt>
              <c:pt idx="69">
                <c:v>77.92</c:v>
              </c:pt>
              <c:pt idx="70">
                <c:v>77.92</c:v>
              </c:pt>
              <c:pt idx="71">
                <c:v>77.789999999999992</c:v>
              </c:pt>
              <c:pt idx="72">
                <c:v>77.789999999999992</c:v>
              </c:pt>
              <c:pt idx="73">
                <c:v>77.661000000000001</c:v>
              </c:pt>
              <c:pt idx="74">
                <c:v>77.661000000000001</c:v>
              </c:pt>
              <c:pt idx="75">
                <c:v>77.616</c:v>
              </c:pt>
              <c:pt idx="76">
                <c:v>77.616</c:v>
              </c:pt>
              <c:pt idx="77">
                <c:v>76.492999999999995</c:v>
              </c:pt>
              <c:pt idx="78">
                <c:v>76.492999999999995</c:v>
              </c:pt>
              <c:pt idx="79">
                <c:v>75.292999999999992</c:v>
              </c:pt>
              <c:pt idx="80">
                <c:v>75.292999999999992</c:v>
              </c:pt>
              <c:pt idx="81">
                <c:v>72.531999999999996</c:v>
              </c:pt>
              <c:pt idx="82">
                <c:v>72.531999999999996</c:v>
              </c:pt>
              <c:pt idx="83">
                <c:v>69.774000000000001</c:v>
              </c:pt>
              <c:pt idx="84">
                <c:v>69.774000000000001</c:v>
              </c:pt>
              <c:pt idx="85">
                <c:v>67.015999999999991</c:v>
              </c:pt>
              <c:pt idx="86">
                <c:v>67.015999999999991</c:v>
              </c:pt>
              <c:pt idx="87">
                <c:v>64.259</c:v>
              </c:pt>
              <c:pt idx="88">
                <c:v>64.259</c:v>
              </c:pt>
              <c:pt idx="89">
                <c:v>61.503999999999991</c:v>
              </c:pt>
              <c:pt idx="90">
                <c:v>61.503999999999991</c:v>
              </c:pt>
              <c:pt idx="91">
                <c:v>58.75</c:v>
              </c:pt>
              <c:pt idx="92">
                <c:v>58.75</c:v>
              </c:pt>
              <c:pt idx="93">
                <c:v>55.997</c:v>
              </c:pt>
              <c:pt idx="94">
                <c:v>55.997</c:v>
              </c:pt>
              <c:pt idx="95">
                <c:v>53.24499999999999</c:v>
              </c:pt>
              <c:pt idx="96">
                <c:v>53.24499999999999</c:v>
              </c:pt>
              <c:pt idx="97">
                <c:v>50.494999999999997</c:v>
              </c:pt>
              <c:pt idx="98">
                <c:v>50.494999999999997</c:v>
              </c:pt>
              <c:pt idx="99">
                <c:v>47.745999999999995</c:v>
              </c:pt>
              <c:pt idx="100">
                <c:v>47.745999999999995</c:v>
              </c:pt>
              <c:pt idx="101">
                <c:v>44.997999999999998</c:v>
              </c:pt>
              <c:pt idx="102">
                <c:v>44.997999999999998</c:v>
              </c:pt>
              <c:pt idx="103">
                <c:v>44.952999999999996</c:v>
              </c:pt>
              <c:pt idx="104">
                <c:v>44.952999999999996</c:v>
              </c:pt>
              <c:pt idx="105">
                <c:v>44.812999999999995</c:v>
              </c:pt>
              <c:pt idx="106">
                <c:v>44.812999999999995</c:v>
              </c:pt>
              <c:pt idx="107">
                <c:v>44.673999999999992</c:v>
              </c:pt>
              <c:pt idx="108">
                <c:v>44.673999999999992</c:v>
              </c:pt>
              <c:pt idx="109">
                <c:v>44.628999999999998</c:v>
              </c:pt>
              <c:pt idx="110">
                <c:v>44.628999999999998</c:v>
              </c:pt>
              <c:pt idx="111">
                <c:v>43.515999999999991</c:v>
              </c:pt>
              <c:pt idx="112">
                <c:v>43.515999999999991</c:v>
              </c:pt>
              <c:pt idx="113">
                <c:v>41.718999999999994</c:v>
              </c:pt>
              <c:pt idx="114">
                <c:v>41.718999999999994</c:v>
              </c:pt>
              <c:pt idx="115">
                <c:v>38.795000000000002</c:v>
              </c:pt>
              <c:pt idx="116">
                <c:v>38.795000000000002</c:v>
              </c:pt>
              <c:pt idx="117">
                <c:v>35.870999999999995</c:v>
              </c:pt>
              <c:pt idx="118">
                <c:v>35.870999999999995</c:v>
              </c:pt>
              <c:pt idx="119">
                <c:v>32.945999999999998</c:v>
              </c:pt>
              <c:pt idx="120">
                <c:v>32.945999999999998</c:v>
              </c:pt>
              <c:pt idx="121">
                <c:v>30.022000000000002</c:v>
              </c:pt>
              <c:pt idx="122">
                <c:v>30.022000000000002</c:v>
              </c:pt>
              <c:pt idx="123">
                <c:v>27.097000000000001</c:v>
              </c:pt>
              <c:pt idx="124">
                <c:v>27.097000000000001</c:v>
              </c:pt>
              <c:pt idx="125">
                <c:v>25.021000000000001</c:v>
              </c:pt>
              <c:pt idx="126">
                <c:v>25.021000000000001</c:v>
              </c:pt>
              <c:pt idx="127">
                <c:v>22.495999999999999</c:v>
              </c:pt>
              <c:pt idx="128">
                <c:v>22.495999999999999</c:v>
              </c:pt>
              <c:pt idx="129">
                <c:v>22.097000000000001</c:v>
              </c:pt>
              <c:pt idx="130">
                <c:v>22.097000000000001</c:v>
              </c:pt>
              <c:pt idx="131">
                <c:v>20.71</c:v>
              </c:pt>
              <c:pt idx="132">
                <c:v>20.71</c:v>
              </c:pt>
              <c:pt idx="133">
                <c:v>20.655000000000001</c:v>
              </c:pt>
              <c:pt idx="134">
                <c:v>20.655000000000001</c:v>
              </c:pt>
              <c:pt idx="135">
                <c:v>20.5</c:v>
              </c:pt>
              <c:pt idx="136">
                <c:v>20.5</c:v>
              </c:pt>
              <c:pt idx="137">
                <c:v>20.25</c:v>
              </c:pt>
              <c:pt idx="138">
                <c:v>20.25</c:v>
              </c:pt>
              <c:pt idx="139">
                <c:v>17.8</c:v>
              </c:pt>
              <c:pt idx="140">
                <c:v>17.8</c:v>
              </c:pt>
              <c:pt idx="141">
                <c:v>14.8</c:v>
              </c:pt>
              <c:pt idx="142">
                <c:v>14.8</c:v>
              </c:pt>
              <c:pt idx="143">
                <c:v>10.8</c:v>
              </c:pt>
              <c:pt idx="144">
                <c:v>10.8</c:v>
              </c:pt>
              <c:pt idx="145">
                <c:v>7.3</c:v>
              </c:pt>
              <c:pt idx="146">
                <c:v>7.3</c:v>
              </c:pt>
              <c:pt idx="147">
                <c:v>4.3</c:v>
              </c:pt>
              <c:pt idx="148">
                <c:v>4.3</c:v>
              </c:pt>
              <c:pt idx="149">
                <c:v>1.3</c:v>
              </c:pt>
              <c:pt idx="150">
                <c:v>1.3</c:v>
              </c:pt>
              <c:pt idx="151">
                <c:v>-1.7</c:v>
              </c:pt>
              <c:pt idx="152">
                <c:v>-1.7</c:v>
              </c:pt>
              <c:pt idx="153">
                <c:v>-4.7</c:v>
              </c:pt>
              <c:pt idx="154">
                <c:v>-4.7</c:v>
              </c:pt>
              <c:pt idx="155">
                <c:v>-8</c:v>
              </c:pt>
              <c:pt idx="156">
                <c:v>1.4</c:v>
              </c:pt>
              <c:pt idx="157">
                <c:v>-2.1</c:v>
              </c:pt>
              <c:pt idx="158">
                <c:v>-2.1</c:v>
              </c:pt>
              <c:pt idx="159">
                <c:v>-5.6</c:v>
              </c:pt>
              <c:pt idx="160">
                <c:v>-5.6</c:v>
              </c:pt>
              <c:pt idx="161">
                <c:v>-9.1</c:v>
              </c:pt>
              <c:pt idx="162">
                <c:v>-9.1</c:v>
              </c:pt>
              <c:pt idx="163">
                <c:v>-12.6</c:v>
              </c:pt>
              <c:pt idx="164">
                <c:v>-12.6</c:v>
              </c:pt>
              <c:pt idx="165">
                <c:v>-16.100000000000001</c:v>
              </c:pt>
              <c:pt idx="166">
                <c:v>-16.100000000000001</c:v>
              </c:pt>
              <c:pt idx="167">
                <c:v>-19.600000000000001</c:v>
              </c:pt>
              <c:pt idx="168">
                <c:v>-19.600000000000001</c:v>
              </c:pt>
              <c:pt idx="169">
                <c:v>-23.1</c:v>
              </c:pt>
              <c:pt idx="170">
                <c:v>-23.1</c:v>
              </c:pt>
              <c:pt idx="171">
                <c:v>#N/A</c:v>
              </c:pt>
              <c:pt idx="172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D4C-45B9-9C25-EE2F998CA6E8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D4C-45B9-9C25-EE2F998CA6E8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D4C-45B9-9C25-EE2F998CA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WT[mm]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Diameter</a:t>
            </a:r>
            <a:r>
              <a:rPr lang="de-DE" sz="2000" baseline="0"/>
              <a:t>s</a:t>
            </a:r>
            <a:endParaRPr lang="de-DE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Diam[m]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87"/>
              <c:pt idx="0">
                <c:v>5.7039999999999997</c:v>
              </c:pt>
              <c:pt idx="1">
                <c:v>5.7039999999999997</c:v>
              </c:pt>
              <c:pt idx="2">
                <c:v>5.7</c:v>
              </c:pt>
              <c:pt idx="3">
                <c:v>5.7023000000000001</c:v>
              </c:pt>
              <c:pt idx="4">
                <c:v>5.7051999999999996</c:v>
              </c:pt>
              <c:pt idx="5">
                <c:v>5.7557999999999998</c:v>
              </c:pt>
              <c:pt idx="6">
                <c:v>5.7717999999999998</c:v>
              </c:pt>
              <c:pt idx="7">
                <c:v>5.8105000000000002</c:v>
              </c:pt>
              <c:pt idx="8">
                <c:v>5.8109999999999999</c:v>
              </c:pt>
              <c:pt idx="9">
                <c:v>5.8646000000000003</c:v>
              </c:pt>
              <c:pt idx="10">
                <c:v>5.9176000000000002</c:v>
              </c:pt>
              <c:pt idx="11">
                <c:v>5.9721000000000002</c:v>
              </c:pt>
              <c:pt idx="12">
                <c:v>6.0275999999999996</c:v>
              </c:pt>
              <c:pt idx="13">
                <c:v>6.0824999999999996</c:v>
              </c:pt>
              <c:pt idx="14">
                <c:v>6.1383999999999999</c:v>
              </c:pt>
              <c:pt idx="15">
                <c:v>6.1931000000000003</c:v>
              </c:pt>
              <c:pt idx="16">
                <c:v>6.1931000000000003</c:v>
              </c:pt>
              <c:pt idx="17">
                <c:v>6.1931000000000003</c:v>
              </c:pt>
              <c:pt idx="18">
                <c:v>6.1931000000000003</c:v>
              </c:pt>
              <c:pt idx="19">
                <c:v>6.1931000000000003</c:v>
              </c:pt>
              <c:pt idx="20">
                <c:v>6.2171000000000003</c:v>
              </c:pt>
              <c:pt idx="21">
                <c:v>6.2214999999999998</c:v>
              </c:pt>
              <c:pt idx="22">
                <c:v>6.2492999999999999</c:v>
              </c:pt>
              <c:pt idx="23">
                <c:v>6.3041999999999998</c:v>
              </c:pt>
              <c:pt idx="24">
                <c:v>6.3586</c:v>
              </c:pt>
              <c:pt idx="25">
                <c:v>6.4127999999999998</c:v>
              </c:pt>
              <c:pt idx="26">
                <c:v>6.4669999999999996</c:v>
              </c:pt>
              <c:pt idx="27">
                <c:v>6.5206</c:v>
              </c:pt>
              <c:pt idx="28">
                <c:v>6.5753000000000004</c:v>
              </c:pt>
              <c:pt idx="29">
                <c:v>6.6299000000000001</c:v>
              </c:pt>
              <c:pt idx="30">
                <c:v>6.6836000000000002</c:v>
              </c:pt>
              <c:pt idx="31">
                <c:v>6.7382</c:v>
              </c:pt>
              <c:pt idx="32">
                <c:v>6.7927999999999997</c:v>
              </c:pt>
              <c:pt idx="33">
                <c:v>6.8464</c:v>
              </c:pt>
              <c:pt idx="34">
                <c:v>6.9020000000000001</c:v>
              </c:pt>
              <c:pt idx="35">
                <c:v>6.9020000000000001</c:v>
              </c:pt>
              <c:pt idx="36">
                <c:v>6.9020000000000001</c:v>
              </c:pt>
              <c:pt idx="37">
                <c:v>6.9020000000000001</c:v>
              </c:pt>
              <c:pt idx="38">
                <c:v>6.9020000000000001</c:v>
              </c:pt>
              <c:pt idx="39">
                <c:v>6.9241000000000001</c:v>
              </c:pt>
              <c:pt idx="40">
                <c:v>6.9477000000000002</c:v>
              </c:pt>
              <c:pt idx="41">
                <c:v>7.0012999999999996</c:v>
              </c:pt>
              <c:pt idx="42">
                <c:v>7.0548000000000002</c:v>
              </c:pt>
              <c:pt idx="43">
                <c:v>7.1083999999999996</c:v>
              </c:pt>
              <c:pt idx="44">
                <c:v>7.1619000000000002</c:v>
              </c:pt>
              <c:pt idx="45">
                <c:v>7.2164000000000001</c:v>
              </c:pt>
              <c:pt idx="46">
                <c:v>7.2698999999999998</c:v>
              </c:pt>
              <c:pt idx="47">
                <c:v>7.3234000000000004</c:v>
              </c:pt>
              <c:pt idx="48">
                <c:v>7.3768000000000002</c:v>
              </c:pt>
              <c:pt idx="49">
                <c:v>7.4303999999999997</c:v>
              </c:pt>
              <c:pt idx="50">
                <c:v>7.4749999999999996</c:v>
              </c:pt>
              <c:pt idx="51">
                <c:v>7.4749999999999996</c:v>
              </c:pt>
              <c:pt idx="52">
                <c:v>7.4749999999999996</c:v>
              </c:pt>
              <c:pt idx="53">
                <c:v>7.4749999999999996</c:v>
              </c:pt>
              <c:pt idx="54">
                <c:v>7.4749999999999996</c:v>
              </c:pt>
              <c:pt idx="55">
                <c:v>7.4749999999999996</c:v>
              </c:pt>
              <c:pt idx="56">
                <c:v>7.4749999999999996</c:v>
              </c:pt>
              <c:pt idx="57">
                <c:v>7.4749999999999996</c:v>
              </c:pt>
              <c:pt idx="58">
                <c:v>7.4749999999999996</c:v>
              </c:pt>
              <c:pt idx="59">
                <c:v>7.4767000000000001</c:v>
              </c:pt>
              <c:pt idx="60">
                <c:v>7.4775999999999998</c:v>
              </c:pt>
              <c:pt idx="61">
                <c:v>7.4785000000000004</c:v>
              </c:pt>
              <c:pt idx="62">
                <c:v>7.5</c:v>
              </c:pt>
              <c:pt idx="63">
                <c:v>7.5</c:v>
              </c:pt>
              <c:pt idx="64">
                <c:v>7.5</c:v>
              </c:pt>
              <c:pt idx="65">
                <c:v>7.5</c:v>
              </c:pt>
              <c:pt idx="66">
                <c:v>7.5</c:v>
              </c:pt>
              <c:pt idx="67">
                <c:v>7.5</c:v>
              </c:pt>
              <c:pt idx="68">
                <c:v>7.5</c:v>
              </c:pt>
              <c:pt idx="69">
                <c:v>7.5</c:v>
              </c:pt>
              <c:pt idx="70">
                <c:v>7.5</c:v>
              </c:pt>
              <c:pt idx="71">
                <c:v>7.5</c:v>
              </c:pt>
              <c:pt idx="72">
                <c:v>7.5</c:v>
              </c:pt>
              <c:pt idx="73">
                <c:v>7.8729801669480493</c:v>
              </c:pt>
              <c:pt idx="74">
                <c:v>8.1926774529035207</c:v>
              </c:pt>
              <c:pt idx="75">
                <c:v>8.5123747388589912</c:v>
              </c:pt>
              <c:pt idx="76">
                <c:v>8.8320720248144617</c:v>
              </c:pt>
              <c:pt idx="77">
                <c:v>9.1517693107699323</c:v>
              </c:pt>
              <c:pt idx="78">
                <c:v>7.3817181626604764</c:v>
              </c:pt>
              <c:pt idx="79">
                <c:v>7.7546983296085257</c:v>
              </c:pt>
              <c:pt idx="80">
                <c:v>8.1276784965565749</c:v>
              </c:pt>
              <c:pt idx="81">
                <c:v>8.5006586635046251</c:v>
              </c:pt>
              <c:pt idx="82">
                <c:v>8.8736388304526752</c:v>
              </c:pt>
              <c:pt idx="83">
                <c:v>9.2466189974007253</c:v>
              </c:pt>
              <c:pt idx="84">
                <c:v>9.6195991643487755</c:v>
              </c:pt>
              <c:pt idx="85">
                <c:v>10</c:v>
              </c:pt>
              <c:pt idx="86">
                <c:v>10</c:v>
              </c:pt>
            </c:numLit>
          </c:xVal>
          <c:yVal>
            <c:numLit>
              <c:formatCode>General</c:formatCode>
              <c:ptCount val="87"/>
              <c:pt idx="0">
                <c:v>139.70000000000002</c:v>
              </c:pt>
              <c:pt idx="1">
                <c:v>139.62</c:v>
              </c:pt>
              <c:pt idx="2">
                <c:v>139.57</c:v>
              </c:pt>
              <c:pt idx="3">
                <c:v>138.72</c:v>
              </c:pt>
              <c:pt idx="4">
                <c:v>138.602</c:v>
              </c:pt>
              <c:pt idx="5">
                <c:v>136.524</c:v>
              </c:pt>
              <c:pt idx="6">
                <c:v>135.708</c:v>
              </c:pt>
              <c:pt idx="7">
                <c:v>133.73699999999999</c:v>
              </c:pt>
              <c:pt idx="8">
                <c:v>133.71100000000001</c:v>
              </c:pt>
              <c:pt idx="9">
                <c:v>130.953</c:v>
              </c:pt>
              <c:pt idx="10">
                <c:v>128.16899999999998</c:v>
              </c:pt>
              <c:pt idx="11">
                <c:v>125.386</c:v>
              </c:pt>
              <c:pt idx="12">
                <c:v>122.60599999999999</c:v>
              </c:pt>
              <c:pt idx="13">
                <c:v>119.82599999999999</c:v>
              </c:pt>
              <c:pt idx="14">
                <c:v>117.047</c:v>
              </c:pt>
              <c:pt idx="15">
                <c:v>114.271</c:v>
              </c:pt>
              <c:pt idx="16">
                <c:v>114.241</c:v>
              </c:pt>
              <c:pt idx="17">
                <c:v>114.121</c:v>
              </c:pt>
              <c:pt idx="18">
                <c:v>114.001</c:v>
              </c:pt>
              <c:pt idx="19">
                <c:v>113.971</c:v>
              </c:pt>
              <c:pt idx="20">
                <c:v>112.82299999999999</c:v>
              </c:pt>
              <c:pt idx="21">
                <c:v>112.614</c:v>
              </c:pt>
              <c:pt idx="22">
                <c:v>111.191</c:v>
              </c:pt>
              <c:pt idx="23">
                <c:v>108.41500000000001</c:v>
              </c:pt>
              <c:pt idx="24">
                <c:v>105.64</c:v>
              </c:pt>
              <c:pt idx="25">
                <c:v>102.866</c:v>
              </c:pt>
              <c:pt idx="26">
                <c:v>100.095</c:v>
              </c:pt>
              <c:pt idx="27">
                <c:v>97.323999999999998</c:v>
              </c:pt>
              <c:pt idx="28">
                <c:v>94.554000000000002</c:v>
              </c:pt>
              <c:pt idx="29">
                <c:v>91.787000000000006</c:v>
              </c:pt>
              <c:pt idx="30">
                <c:v>89.02</c:v>
              </c:pt>
              <c:pt idx="31">
                <c:v>86.254000000000005</c:v>
              </c:pt>
              <c:pt idx="32">
                <c:v>83.49</c:v>
              </c:pt>
              <c:pt idx="33">
                <c:v>80.72699999999999</c:v>
              </c:pt>
              <c:pt idx="34">
                <c:v>77.965000000000003</c:v>
              </c:pt>
              <c:pt idx="35">
                <c:v>77.92</c:v>
              </c:pt>
              <c:pt idx="36">
                <c:v>77.789999999999992</c:v>
              </c:pt>
              <c:pt idx="37">
                <c:v>77.661000000000001</c:v>
              </c:pt>
              <c:pt idx="38">
                <c:v>77.616</c:v>
              </c:pt>
              <c:pt idx="39">
                <c:v>76.492999999999995</c:v>
              </c:pt>
              <c:pt idx="40">
                <c:v>75.292999999999992</c:v>
              </c:pt>
              <c:pt idx="41">
                <c:v>72.531999999999996</c:v>
              </c:pt>
              <c:pt idx="42">
                <c:v>69.774000000000001</c:v>
              </c:pt>
              <c:pt idx="43">
                <c:v>67.015999999999991</c:v>
              </c:pt>
              <c:pt idx="44">
                <c:v>64.259</c:v>
              </c:pt>
              <c:pt idx="45">
                <c:v>61.503999999999991</c:v>
              </c:pt>
              <c:pt idx="46">
                <c:v>58.75</c:v>
              </c:pt>
              <c:pt idx="47">
                <c:v>55.997</c:v>
              </c:pt>
              <c:pt idx="48">
                <c:v>53.24499999999999</c:v>
              </c:pt>
              <c:pt idx="49">
                <c:v>50.494999999999997</c:v>
              </c:pt>
              <c:pt idx="50">
                <c:v>47.745999999999995</c:v>
              </c:pt>
              <c:pt idx="51">
                <c:v>44.997999999999998</c:v>
              </c:pt>
              <c:pt idx="52">
                <c:v>44.952999999999996</c:v>
              </c:pt>
              <c:pt idx="53">
                <c:v>44.812999999999995</c:v>
              </c:pt>
              <c:pt idx="54">
                <c:v>44.673999999999992</c:v>
              </c:pt>
              <c:pt idx="55">
                <c:v>44.628999999999998</c:v>
              </c:pt>
              <c:pt idx="56">
                <c:v>43.515999999999991</c:v>
              </c:pt>
              <c:pt idx="57">
                <c:v>41.718999999999994</c:v>
              </c:pt>
              <c:pt idx="58">
                <c:v>38.795000000000002</c:v>
              </c:pt>
              <c:pt idx="59">
                <c:v>35.870999999999995</c:v>
              </c:pt>
              <c:pt idx="60">
                <c:v>32.945999999999998</c:v>
              </c:pt>
              <c:pt idx="61">
                <c:v>30.022000000000002</c:v>
              </c:pt>
              <c:pt idx="62">
                <c:v>27.097000000000001</c:v>
              </c:pt>
              <c:pt idx="63">
                <c:v>25.021000000000001</c:v>
              </c:pt>
              <c:pt idx="64">
                <c:v>22.495999999999999</c:v>
              </c:pt>
              <c:pt idx="65">
                <c:v>22.097000000000001</c:v>
              </c:pt>
              <c:pt idx="66">
                <c:v>20.71</c:v>
              </c:pt>
              <c:pt idx="67">
                <c:v>20.655000000000001</c:v>
              </c:pt>
              <c:pt idx="68">
                <c:v>20.5</c:v>
              </c:pt>
              <c:pt idx="69">
                <c:v>20.25</c:v>
              </c:pt>
              <c:pt idx="70">
                <c:v>17.8</c:v>
              </c:pt>
              <c:pt idx="71">
                <c:v>14.8</c:v>
              </c:pt>
              <c:pt idx="72">
                <c:v>10.8</c:v>
              </c:pt>
              <c:pt idx="73">
                <c:v>7.3</c:v>
              </c:pt>
              <c:pt idx="74">
                <c:v>4.3</c:v>
              </c:pt>
              <c:pt idx="75">
                <c:v>1.3</c:v>
              </c:pt>
              <c:pt idx="76">
                <c:v>-1.7</c:v>
              </c:pt>
              <c:pt idx="77">
                <c:v>-4.7</c:v>
              </c:pt>
              <c:pt idx="78">
                <c:v>1.4</c:v>
              </c:pt>
              <c:pt idx="79">
                <c:v>-2.1</c:v>
              </c:pt>
              <c:pt idx="80">
                <c:v>-5.6</c:v>
              </c:pt>
              <c:pt idx="81">
                <c:v>-9.1</c:v>
              </c:pt>
              <c:pt idx="82">
                <c:v>-12.6</c:v>
              </c:pt>
              <c:pt idx="83">
                <c:v>-16.100000000000001</c:v>
              </c:pt>
              <c:pt idx="84">
                <c:v>-19.600000000000001</c:v>
              </c:pt>
              <c:pt idx="85">
                <c:v>-23.1</c:v>
              </c:pt>
              <c:pt idx="86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687-4D19-92F1-5318E0F5EE9B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687-4D19-92F1-5318E0F5EE9B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687-4D19-92F1-5318E0F5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2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Diam[m]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26" noThreeD="1" sel="1" val="0">
  <itemLst>
    <item val="24A535_FEED_DP-A1_L0_G0_S0"/>
    <item val="24A535_FEED_DP-A1_L0_G1_S1"/>
  </itemLst>
</formControlPr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Style="combo" dx="26" noThreeD="1" sel="1" val="0">
  <itemLst>
    <item val="24A535_FEED_DP-A1_L0_G0_S0"/>
    <item val="24A535_FEED_DP-A1_L0_G1_S1"/>
  </itemLst>
</formControlPr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Drop" dropStyle="combo" dx="26" noThreeD="1" sel="1" val="0">
  <itemLst>
    <item val="24A535_FEED_DP-A1_L0_G0_S0"/>
    <item val="24A535_FEED_DP-A1_L0_G1_S1"/>
  </itemLst>
</formControlPr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CheckBox" checked="Checked" fmlaLink="USE_TP" lockText="1" noThreeD="1"/>
</file>

<file path=xl/ctrlProps/ctrlProp23.xml><?xml version="1.0" encoding="utf-8"?>
<formControlPr xmlns="http://schemas.microsoft.com/office/spreadsheetml/2009/9/main" objectType="CheckBox" checked="Checked" fmlaLink="Use_MP" lockText="1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26" noThreeD="1" sel="1" val="0">
  <itemLst>
    <item val="24A535_FEED_DP-A1_L0_G1_S1"/>
  </itemLst>
</formControlPr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297180</xdr:colOff>
          <xdr:row>13</xdr:row>
          <xdr:rowOff>106680</xdr:rowOff>
        </xdr:from>
        <xdr:to>
          <xdr:col>3</xdr:col>
          <xdr:colOff>556260</xdr:colOff>
          <xdr:row>16</xdr:row>
          <xdr:rowOff>99060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13</xdr:row>
          <xdr:rowOff>121920</xdr:rowOff>
        </xdr:from>
        <xdr:to>
          <xdr:col>5</xdr:col>
          <xdr:colOff>495300</xdr:colOff>
          <xdr:row>16</xdr:row>
          <xdr:rowOff>83820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Drawing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13</xdr:row>
          <xdr:rowOff>121920</xdr:rowOff>
        </xdr:from>
        <xdr:to>
          <xdr:col>2</xdr:col>
          <xdr:colOff>30480</xdr:colOff>
          <xdr:row>16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Structure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163286</xdr:colOff>
      <xdr:row>20</xdr:row>
      <xdr:rowOff>53068</xdr:rowOff>
    </xdr:from>
    <xdr:to>
      <xdr:col>16</xdr:col>
      <xdr:colOff>381000</xdr:colOff>
      <xdr:row>64</xdr:row>
      <xdr:rowOff>122464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3E0C3FA-6CFC-429C-AC0A-9E2C023A7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612322</xdr:colOff>
      <xdr:row>20</xdr:row>
      <xdr:rowOff>66675</xdr:rowOff>
    </xdr:from>
    <xdr:to>
      <xdr:col>21</xdr:col>
      <xdr:colOff>258535</xdr:colOff>
      <xdr:row>64</xdr:row>
      <xdr:rowOff>163284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BFCE6BF-024C-416F-902B-5C620C672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822960</xdr:colOff>
          <xdr:row>13</xdr:row>
          <xdr:rowOff>137160</xdr:rowOff>
        </xdr:from>
        <xdr:to>
          <xdr:col>7</xdr:col>
          <xdr:colOff>373380</xdr:colOff>
          <xdr:row>16</xdr:row>
          <xdr:rowOff>106680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Pick this 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160020</xdr:rowOff>
        </xdr:from>
        <xdr:to>
          <xdr:col>2</xdr:col>
          <xdr:colOff>190500</xdr:colOff>
          <xdr:row>14</xdr:row>
          <xdr:rowOff>152400</xdr:rowOff>
        </xdr:to>
        <xdr:sp macro="" textlink="">
          <xdr:nvSpPr>
            <xdr:cNvPr id="4102" name="Dropdown_MP_Structures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12</xdr:row>
          <xdr:rowOff>30480</xdr:rowOff>
        </xdr:from>
        <xdr:to>
          <xdr:col>1</xdr:col>
          <xdr:colOff>1074420</xdr:colOff>
          <xdr:row>12</xdr:row>
          <xdr:rowOff>274320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17</xdr:row>
          <xdr:rowOff>22860</xdr:rowOff>
        </xdr:from>
        <xdr:to>
          <xdr:col>14</xdr:col>
          <xdr:colOff>1341120</xdr:colOff>
          <xdr:row>21</xdr:row>
          <xdr:rowOff>144780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358140</xdr:colOff>
          <xdr:row>16</xdr:row>
          <xdr:rowOff>167640</xdr:rowOff>
        </xdr:from>
        <xdr:to>
          <xdr:col>11</xdr:col>
          <xdr:colOff>815340</xdr:colOff>
          <xdr:row>21</xdr:row>
          <xdr:rowOff>129540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0</xdr:row>
          <xdr:rowOff>121920</xdr:rowOff>
        </xdr:from>
        <xdr:to>
          <xdr:col>4</xdr:col>
          <xdr:colOff>137160</xdr:colOff>
          <xdr:row>3</xdr:row>
          <xdr:rowOff>144780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1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Assemble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4</xdr:row>
          <xdr:rowOff>99060</xdr:rowOff>
        </xdr:from>
        <xdr:to>
          <xdr:col>2</xdr:col>
          <xdr:colOff>289560</xdr:colOff>
          <xdr:row>7</xdr:row>
          <xdr:rowOff>175260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1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 Tool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38100</xdr:colOff>
          <xdr:row>13</xdr:row>
          <xdr:rowOff>160020</xdr:rowOff>
        </xdr:from>
        <xdr:to>
          <xdr:col>37</xdr:col>
          <xdr:colOff>363855</xdr:colOff>
          <xdr:row>14</xdr:row>
          <xdr:rowOff>152400</xdr:rowOff>
        </xdr:to>
        <xdr:sp macro="" textlink="">
          <xdr:nvSpPr>
            <xdr:cNvPr id="4117" name="Dropdown_TP_Structures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1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30480</xdr:colOff>
          <xdr:row>12</xdr:row>
          <xdr:rowOff>30480</xdr:rowOff>
        </xdr:from>
        <xdr:to>
          <xdr:col>35</xdr:col>
          <xdr:colOff>800100</xdr:colOff>
          <xdr:row>12</xdr:row>
          <xdr:rowOff>259080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1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38100</xdr:colOff>
          <xdr:row>17</xdr:row>
          <xdr:rowOff>22860</xdr:rowOff>
        </xdr:from>
        <xdr:to>
          <xdr:col>48</xdr:col>
          <xdr:colOff>1341120</xdr:colOff>
          <xdr:row>21</xdr:row>
          <xdr:rowOff>144780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1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274320</xdr:colOff>
          <xdr:row>17</xdr:row>
          <xdr:rowOff>45720</xdr:rowOff>
        </xdr:from>
        <xdr:to>
          <xdr:col>46</xdr:col>
          <xdr:colOff>762000</xdr:colOff>
          <xdr:row>21</xdr:row>
          <xdr:rowOff>152400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38100</xdr:colOff>
          <xdr:row>13</xdr:row>
          <xdr:rowOff>160020</xdr:rowOff>
        </xdr:from>
        <xdr:to>
          <xdr:col>71</xdr:col>
          <xdr:colOff>400050</xdr:colOff>
          <xdr:row>14</xdr:row>
          <xdr:rowOff>152400</xdr:rowOff>
        </xdr:to>
        <xdr:sp macro="" textlink="">
          <xdr:nvSpPr>
            <xdr:cNvPr id="4122" name="Dropdown_TOWER_Structures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1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</xdr:col>
          <xdr:colOff>38100</xdr:colOff>
          <xdr:row>12</xdr:row>
          <xdr:rowOff>38100</xdr:rowOff>
        </xdr:from>
        <xdr:to>
          <xdr:col>69</xdr:col>
          <xdr:colOff>792480</xdr:colOff>
          <xdr:row>12</xdr:row>
          <xdr:rowOff>266700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1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81</xdr:col>
          <xdr:colOff>868680</xdr:colOff>
          <xdr:row>17</xdr:row>
          <xdr:rowOff>22860</xdr:rowOff>
        </xdr:from>
        <xdr:to>
          <xdr:col>82</xdr:col>
          <xdr:colOff>2171700</xdr:colOff>
          <xdr:row>21</xdr:row>
          <xdr:rowOff>144780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1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335280</xdr:colOff>
          <xdr:row>16</xdr:row>
          <xdr:rowOff>175260</xdr:rowOff>
        </xdr:from>
        <xdr:to>
          <xdr:col>81</xdr:col>
          <xdr:colOff>807720</xdr:colOff>
          <xdr:row>21</xdr:row>
          <xdr:rowOff>129540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1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1143000</xdr:colOff>
          <xdr:row>12</xdr:row>
          <xdr:rowOff>38100</xdr:rowOff>
        </xdr:from>
        <xdr:to>
          <xdr:col>2</xdr:col>
          <xdr:colOff>22860</xdr:colOff>
          <xdr:row>12</xdr:row>
          <xdr:rowOff>274320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1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838200</xdr:colOff>
          <xdr:row>12</xdr:row>
          <xdr:rowOff>22860</xdr:rowOff>
        </xdr:from>
        <xdr:to>
          <xdr:col>36</xdr:col>
          <xdr:colOff>0</xdr:colOff>
          <xdr:row>12</xdr:row>
          <xdr:rowOff>251460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1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</xdr:col>
          <xdr:colOff>822960</xdr:colOff>
          <xdr:row>12</xdr:row>
          <xdr:rowOff>22860</xdr:rowOff>
        </xdr:from>
        <xdr:to>
          <xdr:col>70</xdr:col>
          <xdr:colOff>7620</xdr:colOff>
          <xdr:row>12</xdr:row>
          <xdr:rowOff>259080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1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6</xdr:row>
          <xdr:rowOff>22860</xdr:rowOff>
        </xdr:from>
        <xdr:to>
          <xdr:col>3</xdr:col>
          <xdr:colOff>859155</xdr:colOff>
          <xdr:row>8</xdr:row>
          <xdr:rowOff>129540</xdr:rowOff>
        </xdr:to>
        <xdr:sp macro="" textlink="">
          <xdr:nvSpPr>
            <xdr:cNvPr id="4130" name="Import_MP_use_TP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4</xdr:row>
          <xdr:rowOff>38100</xdr:rowOff>
        </xdr:from>
        <xdr:to>
          <xdr:col>3</xdr:col>
          <xdr:colOff>935355</xdr:colOff>
          <xdr:row>6</xdr:row>
          <xdr:rowOff>129540</xdr:rowOff>
        </xdr:to>
        <xdr:sp macro="" textlink="">
          <xdr:nvSpPr>
            <xdr:cNvPr id="4131" name="Import_MP_use_MP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1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</xdr:colOff>
          <xdr:row>14</xdr:row>
          <xdr:rowOff>0</xdr:rowOff>
        </xdr:from>
        <xdr:to>
          <xdr:col>7</xdr:col>
          <xdr:colOff>708660</xdr:colOff>
          <xdr:row>14</xdr:row>
          <xdr:rowOff>251460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1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60960</xdr:colOff>
          <xdr:row>14</xdr:row>
          <xdr:rowOff>0</xdr:rowOff>
        </xdr:from>
        <xdr:to>
          <xdr:col>43</xdr:col>
          <xdr:colOff>731520</xdr:colOff>
          <xdr:row>14</xdr:row>
          <xdr:rowOff>251460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1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38100</xdr:colOff>
          <xdr:row>13</xdr:row>
          <xdr:rowOff>160020</xdr:rowOff>
        </xdr:from>
        <xdr:to>
          <xdr:col>105</xdr:col>
          <xdr:colOff>152400</xdr:colOff>
          <xdr:row>14</xdr:row>
          <xdr:rowOff>152400</xdr:rowOff>
        </xdr:to>
        <xdr:sp macro="" textlink="">
          <xdr:nvSpPr>
            <xdr:cNvPr id="4135" name="Dropdown_RNA_Structures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1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</xdr:col>
          <xdr:colOff>38100</xdr:colOff>
          <xdr:row>12</xdr:row>
          <xdr:rowOff>38100</xdr:rowOff>
        </xdr:from>
        <xdr:to>
          <xdr:col>103</xdr:col>
          <xdr:colOff>792480</xdr:colOff>
          <xdr:row>12</xdr:row>
          <xdr:rowOff>266700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1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</xdr:col>
          <xdr:colOff>228600</xdr:colOff>
          <xdr:row>13</xdr:row>
          <xdr:rowOff>60960</xdr:rowOff>
        </xdr:from>
        <xdr:to>
          <xdr:col>112</xdr:col>
          <xdr:colOff>708660</xdr:colOff>
          <xdr:row>16</xdr:row>
          <xdr:rowOff>160020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1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110</xdr:col>
          <xdr:colOff>220980</xdr:colOff>
          <xdr:row>17</xdr:row>
          <xdr:rowOff>30480</xdr:rowOff>
        </xdr:from>
        <xdr:to>
          <xdr:col>112</xdr:col>
          <xdr:colOff>693420</xdr:colOff>
          <xdr:row>21</xdr:row>
          <xdr:rowOff>167640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1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103</xdr:col>
          <xdr:colOff>822960</xdr:colOff>
          <xdr:row>12</xdr:row>
          <xdr:rowOff>22860</xdr:rowOff>
        </xdr:from>
        <xdr:to>
          <xdr:col>104</xdr:col>
          <xdr:colOff>7620</xdr:colOff>
          <xdr:row>12</xdr:row>
          <xdr:rowOff>259080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1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144780</xdr:rowOff>
        </xdr:from>
        <xdr:to>
          <xdr:col>1</xdr:col>
          <xdr:colOff>1036320</xdr:colOff>
          <xdr:row>4</xdr:row>
          <xdr:rowOff>220980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pick 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1080266</xdr:colOff>
          <xdr:row>3</xdr:row>
          <xdr:rowOff>145831</xdr:rowOff>
        </xdr:from>
        <xdr:to>
          <xdr:col>1</xdr:col>
          <xdr:colOff>2116192</xdr:colOff>
          <xdr:row>4</xdr:row>
          <xdr:rowOff>223345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JBOOST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I:\2024\A\24A525_EnBW_Dreekant_FEED\02_Statik\03_Gr&#252;ndungsstruktur\01_MP\01_FEED\22MW\MPTP_DP-B1_L0_G0_S0.xlsm" TargetMode="External"/><Relationship Id="rId1" Type="http://schemas.openxmlformats.org/officeDocument/2006/relationships/externalLinkPath" Target="file:///I:\2024\A\24A525_EnBW_Dreekant_FEED\02_Statik\03_Gr&#252;ndungsstruktur\01_MP\01_FEED\22MW\MPTP_DP-B1_L0_G0_S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nual"/>
      <sheetName val="Rev info"/>
      <sheetName val="Control"/>
      <sheetName val="Notes"/>
      <sheetName val="Geometry"/>
      <sheetName val="Eff. thickness (DNVGL-RP-C203)"/>
      <sheetName val="Loads"/>
      <sheetName val="Background_data"/>
      <sheetName val="Steel grades"/>
      <sheetName val="Draw.Gen. TP"/>
      <sheetName val="Draw.Gen. MP"/>
      <sheetName val="Geometry_loads"/>
      <sheetName val="FLS TP"/>
      <sheetName val="FLS MP"/>
      <sheetName val="ULS TP"/>
      <sheetName val="ULS MP"/>
      <sheetName val="ULS MP (driving)"/>
      <sheetName val="FLS MP (driving)"/>
      <sheetName val="FLS driv. welds"/>
      <sheetName val="FLS driv. attachments"/>
    </sheetNames>
    <sheetDataSet>
      <sheetData sheetId="0"/>
      <sheetData sheetId="1"/>
      <sheetData sheetId="2">
        <row r="7">
          <cell r="F7" t="str">
            <v>LAT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AF5F9E-A6E5-4BA1-83BE-2546351DAE06}" name="MP_META" displayName="MP_META" ref="B18:H19" totalsRowShown="0" headerRowDxfId="307" dataDxfId="27">
  <autoFilter ref="B18:H19" xr:uid="{51AF5F9E-A6E5-4BA1-83BE-2546351DAE06}"/>
  <tableColumns count="7">
    <tableColumn id="1" xr3:uid="{8004DE55-01A0-4AB5-A007-D379F8ED184F}" name="Identifier" dataDxfId="34"/>
    <tableColumn id="2" xr3:uid="{73AEE22B-B9CF-4401-B31E-64902257C6A9}" name="Project ID" dataDxfId="33"/>
    <tableColumn id="3" xr3:uid="{6CD7BEF9-707B-4F7D-A334-46DB51B6F454}" name="Phase" dataDxfId="32"/>
    <tableColumn id="4" xr3:uid="{5572AB9F-884A-4001-85E7-5E708A2DFC71}" name="Structure ID" dataDxfId="31"/>
    <tableColumn id="5" xr3:uid="{AFCB5F1D-C5C1-4D21-A7C0-310C0D52F9E4}" name="waterdepth" dataDxfId="30"/>
    <tableColumn id="6" xr3:uid="{149EEBB8-62A5-42C4-97FD-484848DB0825}" name="height reference" dataDxfId="29"/>
    <tableColumn id="7" xr3:uid="{82ECC3EB-0382-490B-8CE7-963B13E4D1A1}" name="comments" dataDxfId="2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8117B73-5FCA-4002-A528-31B3F83BDE75}" name="MP_META_NEW" displayName="MP_META_NEW" ref="B21:H23" totalsRowShown="0" headerRowDxfId="306" dataDxfId="305">
  <autoFilter ref="B21:H23" xr:uid="{58117B73-5FCA-4002-A528-31B3F83BDE75}"/>
  <tableColumns count="7">
    <tableColumn id="1" xr3:uid="{5C484AAB-AA0F-4FBD-9543-28D80EB7F84D}" name="Identifier" dataDxfId="304"/>
    <tableColumn id="2" xr3:uid="{87603448-795E-499B-8754-D6455D5FF52F}" name="Project ID" dataDxfId="303"/>
    <tableColumn id="3" xr3:uid="{51EA6487-4EF3-43A9-B440-34893EEEEAB2}" name="Phase" dataDxfId="302"/>
    <tableColumn id="4" xr3:uid="{4AC48BB5-6D2E-492F-89B1-5662010991A8}" name="Structure ID" dataDxfId="301"/>
    <tableColumn id="5" xr3:uid="{2AE3ED2D-7CAB-45B8-AA43-6197A5DBB9C2}" name="waterdepth" dataDxfId="300"/>
    <tableColumn id="6" xr3:uid="{BC0E3E2E-DE67-4FD9-94E9-5C112B52D3FD}" name="height reference" dataDxfId="299"/>
    <tableColumn id="7" xr3:uid="{16928D7F-3DB7-43BD-BCF5-5C279A3E16F5}" name="comments" dataDxfId="29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9C31EE9-6B44-4D67-9597-BD108F88B355}" name="MP_DATA" displayName="MP_DATA" ref="B24:G49" totalsRowShown="0" headerRowDxfId="297" dataDxfId="20">
  <autoFilter ref="B24:G49" xr:uid="{C9C31EE9-6B44-4D67-9597-BD108F88B355}"/>
  <sortState xmlns:xlrd2="http://schemas.microsoft.com/office/spreadsheetml/2017/richdata2" ref="B25:L49">
    <sortCondition ref="B24:B49"/>
  </sortState>
  <tableColumns count="6">
    <tableColumn id="1" xr3:uid="{15F53C56-04A7-4EA4-A64D-A2A5A78E2AA2}" name="Section" dataDxfId="26"/>
    <tableColumn id="2" xr3:uid="{01B5124C-F6E1-40D2-9236-F2D6BE941DD3}" name="Top [m]" dataDxfId="25"/>
    <tableColumn id="3" xr3:uid="{0537C90E-D320-4AC4-8392-2A7C45CE31A1}" name="Bottom [m]" dataDxfId="24"/>
    <tableColumn id="4" xr3:uid="{3F0DC3DB-26F8-4D70-A358-70EF5E1596F5}" name="D, top [m]" dataDxfId="23"/>
    <tableColumn id="5" xr3:uid="{25F6B1D8-AC49-468F-BDCD-72AC07BB3CD0}" name="D, bottom [m]" dataDxfId="22"/>
    <tableColumn id="6" xr3:uid="{3ED99EE5-BCA8-4244-A3E5-81C6F22A9AB2}" name="t [mm]" dataDxfId="2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6B677D-4D25-4464-BE0D-6A1E644518C5}" name="MP_META_TRUE" displayName="MP_META_TRUE" ref="Q18:W19" totalsRowShown="0" headerRowDxfId="296" dataDxfId="295">
  <autoFilter ref="Q18:W19" xr:uid="{F46B677D-4D25-4464-BE0D-6A1E644518C5}"/>
  <tableColumns count="7">
    <tableColumn id="1" xr3:uid="{ECD0389F-015D-412B-9FF1-D5BEAAD27FC1}" name="Identifier" dataDxfId="294"/>
    <tableColumn id="2" xr3:uid="{90794316-AE1E-4D40-A728-B5B995A9CF65}" name="Project ID" dataDxfId="293"/>
    <tableColumn id="3" xr3:uid="{B8C9242D-AC32-4E57-A861-DB7E615D6A1C}" name="Phase" dataDxfId="292"/>
    <tableColumn id="4" xr3:uid="{1EEB510B-3010-431D-B8C6-870D9180A629}" name="Structure ID" dataDxfId="291"/>
    <tableColumn id="5" xr3:uid="{B6F5C20C-83C1-4B16-B4D3-933D066BB6A0}" name="waterdepth" dataDxfId="290"/>
    <tableColumn id="6" xr3:uid="{26EA3A2D-14E0-4809-9795-74592B4984AD}" name="height reference" dataDxfId="289"/>
    <tableColumn id="7" xr3:uid="{9AC62F3C-D12C-40A1-8AF4-F7C9B043F1FB}" name="comments" dataDxfId="28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FD7C67-BF9C-41F4-B134-682EDE7A007C}" name="MP_META_FULL" displayName="MP_META_FULL" ref="AB18:AH20" totalsRowShown="0" headerRowDxfId="287" dataDxfId="286">
  <autoFilter ref="AB18:AH20" xr:uid="{46FD7C67-BF9C-41F4-B134-682EDE7A007C}"/>
  <sortState xmlns:xlrd2="http://schemas.microsoft.com/office/spreadsheetml/2017/richdata2" ref="AB19:AF20">
    <sortCondition descending="1" ref="AD18:AD20"/>
  </sortState>
  <tableColumns count="7">
    <tableColumn id="1" xr3:uid="{43AB1C43-FBC5-42AE-8DFA-4651B77C56A0}" name="Identifier" dataDxfId="285"/>
    <tableColumn id="2" xr3:uid="{75FB6F15-9784-4F9D-9947-41C8E7DD1CC9}" name="Project ID" dataDxfId="284"/>
    <tableColumn id="3" xr3:uid="{DF3379D9-9371-4EDE-B715-A6A40C072275}" name="Phase" dataDxfId="283"/>
    <tableColumn id="4" xr3:uid="{B2F66CA1-64D8-49D4-A1DA-28FD14EC75C2}" name="Structure ID" dataDxfId="282"/>
    <tableColumn id="5" xr3:uid="{E0EC4989-22E7-49A3-8DAC-034A87568E19}" name="waterdepth" dataDxfId="281"/>
    <tableColumn id="6" xr3:uid="{9873A46F-D488-4AA7-BC64-C1E65C65D808}" name="height reference" dataDxfId="280"/>
    <tableColumn id="7" xr3:uid="{CD60E691-17C5-40B2-9E26-571B6CB0C11D}" name="comments" dataDxfId="27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6CFF05-2CD9-405C-829A-5AD7B62A8ACE}" name="MP_DATA_TRUE" displayName="MP_DATA_TRUE" ref="Q24:V49" totalsRowShown="0" headerRowDxfId="278" dataDxfId="277">
  <autoFilter ref="Q24:V49" xr:uid="{186CFF05-2CD9-405C-829A-5AD7B62A8ACE}"/>
  <sortState xmlns:xlrd2="http://schemas.microsoft.com/office/spreadsheetml/2017/richdata2" ref="Q25:AA49">
    <sortCondition ref="Q24:Q49"/>
  </sortState>
  <tableColumns count="6">
    <tableColumn id="1" xr3:uid="{66D6C4E1-74CA-4A30-A085-277EA5E62B3C}" name="Section" dataDxfId="276"/>
    <tableColumn id="2" xr3:uid="{D0F6ECD2-6414-48B2-9B47-1C3B8BAC860B}" name="Top [m]" dataDxfId="275"/>
    <tableColumn id="3" xr3:uid="{575FC20A-0259-4081-83F8-71040557AEA8}" name="Bottom [m]" dataDxfId="274"/>
    <tableColumn id="4" xr3:uid="{529E5CD0-69F2-4E59-86A7-A3E6F1B39E96}" name="D, top [m]" dataDxfId="273"/>
    <tableColumn id="5" xr3:uid="{7F90AAFA-52D7-47DB-A99D-3E3E0AEE6541}" name="D, bottom [m]" dataDxfId="272"/>
    <tableColumn id="6" xr3:uid="{1B01547B-4485-4B79-8DB3-FCEA1C806B60}" name="t [mm]" dataDxfId="27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2F2D263-B298-4967-B7BA-2043D2636A28}" name="MP_MASSES" displayName="MP_MASSES" ref="M24:O29" totalsRowShown="0" headerRowDxfId="270" dataDxfId="16">
  <autoFilter ref="M24:O29" xr:uid="{C2F2D263-B298-4967-B7BA-2043D2636A28}"/>
  <tableColumns count="3">
    <tableColumn id="2" xr3:uid="{365B74CD-D14D-4F75-ABA6-B5CBD126E6F2}" name="Elevation [m]" dataDxfId="19"/>
    <tableColumn id="12" xr3:uid="{3CC0B321-8A95-4AEE-8DFB-77DAE8FAB528}" name="Mass [kg]" dataDxfId="18"/>
    <tableColumn id="3" xr3:uid="{29EF80FE-079C-4A10-9ADB-03D595E35311}" name="commment" dataDxfId="1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D5B4094-2520-4C0E-83CB-05269AAFC062}" name="MP_MASSES_TRUE" displayName="MP_MASSES_TRUE" ref="X24:Z29" totalsRowShown="0" headerRowDxfId="269" dataDxfId="268">
  <autoFilter ref="X24:Z29" xr:uid="{4D5B4094-2520-4C0E-83CB-05269AAFC062}"/>
  <tableColumns count="3">
    <tableColumn id="1" xr3:uid="{C2D9CE8B-C220-46E5-BFE0-3791AC870182}" name="Elevation [m]" dataDxfId="267"/>
    <tableColumn id="2" xr3:uid="{1DE92BEA-EA77-4A06-9EE3-C4BCA53FA4BA}" name="Mass [kg]" dataDxfId="266"/>
    <tableColumn id="3" xr3:uid="{6F0C1064-8277-4D7C-890E-7B7872EA90CF}" name="commment" dataDxfId="26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04AF76-1113-4DD9-A88C-A478EB316C6E}" name="TP_META" displayName="TP_META" ref="AJ18:AP19" totalsRowShown="0" headerRowDxfId="264" dataDxfId="49">
  <autoFilter ref="AJ18:AP19" xr:uid="{0B04AF76-1113-4DD9-A88C-A478EB316C6E}"/>
  <tableColumns count="7">
    <tableColumn id="1" xr3:uid="{58455F34-16BF-4A81-8A57-F2B2E3E28892}" name="Identifier" dataDxfId="53"/>
    <tableColumn id="2" xr3:uid="{BDC511B7-0336-49CC-A0D7-40D96154D38D}" name="Project ID" dataDxfId="52"/>
    <tableColumn id="3" xr3:uid="{2D75BE55-2BF9-456C-AE5A-2A1218318BAA}" name="Phase" dataDxfId="51"/>
    <tableColumn id="4" xr3:uid="{2B0B47A1-6AA2-4D55-8DF5-A88A949DEAB3}" name="Structure ID" dataDxfId="50"/>
    <tableColumn id="5" xr3:uid="{24994B91-D518-4335-8AFB-5B728F5B9A9A}" name="waterdepth" dataDxfId="48"/>
    <tableColumn id="6" xr3:uid="{BC674145-8AD9-4667-B204-310C7780D8BD}" name="height reference" dataDxfId="46"/>
    <tableColumn id="7" xr3:uid="{8574AD8B-5882-49EF-B1C0-6AEBD6820423}" name="comments" dataDxfId="4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5DB58A4-E4A6-44E9-9800-F1D5AD7D9AA7}" name="TP_META_NEW" displayName="TP_META_NEW" ref="AJ21:AP22" insertRow="1" totalsRowShown="0" headerRowDxfId="263" dataDxfId="262">
  <autoFilter ref="AJ21:AP22" xr:uid="{05DB58A4-E4A6-44E9-9800-F1D5AD7D9AA7}"/>
  <tableColumns count="7">
    <tableColumn id="1" xr3:uid="{2E834674-089F-43C8-8D07-2A374229A7BC}" name="Identifier" dataDxfId="261"/>
    <tableColumn id="2" xr3:uid="{6BEA972F-3506-4C48-AEB4-7F07A56A7185}" name="Project ID" dataDxfId="260"/>
    <tableColumn id="3" xr3:uid="{4E216AD3-8A97-4909-B2FD-78BAAFF0AD26}" name="Phase" dataDxfId="259"/>
    <tableColumn id="4" xr3:uid="{787011D0-F0FA-4EDD-881B-22121DF4902E}" name="Structure ID" dataDxfId="258"/>
    <tableColumn id="5" xr3:uid="{2067DA19-30E8-4DC2-9605-F5989A843C96}" name="waterdepth" dataDxfId="257"/>
    <tableColumn id="6" xr3:uid="{E1008977-49E5-479B-9DB3-40A483860F73}" name="height reference" dataDxfId="256"/>
    <tableColumn id="7" xr3:uid="{F3EB13E3-9193-4095-B8C2-92AB811162B8}" name="comments" dataDxfId="25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63505FA-4645-4E01-B220-9A826ACB16FB}" name="TP_DATA" displayName="TP_DATA" ref="AJ24:AO28" totalsRowShown="0" headerRowDxfId="254" dataDxfId="39">
  <autoFilter ref="AJ24:AO28" xr:uid="{463505FA-4645-4E01-B220-9A826ACB16FB}"/>
  <sortState xmlns:xlrd2="http://schemas.microsoft.com/office/spreadsheetml/2017/richdata2" ref="AJ25:AT49">
    <sortCondition ref="AJ24:AJ49"/>
  </sortState>
  <tableColumns count="6">
    <tableColumn id="1" xr3:uid="{B63189BD-DBD1-4507-A787-F69DD84B759C}" name="Section" dataDxfId="45"/>
    <tableColumn id="2" xr3:uid="{20DD1485-D982-4D84-8836-A1F004AD90A8}" name="Top [m]" dataDxfId="44"/>
    <tableColumn id="3" xr3:uid="{A05F4E1F-5C83-413A-B9BE-2BBE3AB13A3B}" name="Bottom [m]" dataDxfId="43"/>
    <tableColumn id="4" xr3:uid="{EBAC8D31-17F8-4535-9E03-9B656FFD2B81}" name="D, top [m]" dataDxfId="42"/>
    <tableColumn id="5" xr3:uid="{A4A3D92C-C993-453F-AF5C-E4B75CB27682}" name="D, bottom [m]" dataDxfId="41"/>
    <tableColumn id="6" xr3:uid="{32AD350F-83E6-4938-BC67-33A5C8B767FF}" name="t [mm]" dataDxfId="4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ED14D31-21E8-495C-899A-C1BE36AC7D57}" name="TP_META_TRUE" displayName="TP_META_TRUE" ref="AY18:BE19" totalsRowShown="0" headerRowDxfId="253" dataDxfId="252">
  <autoFilter ref="AY18:BE19" xr:uid="{6ED14D31-21E8-495C-899A-C1BE36AC7D57}"/>
  <tableColumns count="7">
    <tableColumn id="1" xr3:uid="{DA9D700C-EEF5-42F6-A311-BAEEF88B1BB7}" name="Identifier" dataDxfId="251"/>
    <tableColumn id="2" xr3:uid="{F3154507-C41A-47B8-8944-C5C95FFA02DB}" name="Project ID" dataDxfId="250"/>
    <tableColumn id="3" xr3:uid="{80771C1F-325D-4BE1-93EC-AEBADAEF8C45}" name="Phase" dataDxfId="249"/>
    <tableColumn id="4" xr3:uid="{58EF9147-D484-4AD2-85BC-FC61A3DF1B06}" name="Structure ID" dataDxfId="248"/>
    <tableColumn id="5" xr3:uid="{08D6C2E1-6DB9-491C-8175-4D57250F03F8}" name="waterdepth" dataDxfId="247"/>
    <tableColumn id="6" xr3:uid="{6D129076-7D09-47E2-9F0F-2301ACE416A2}" name="height reference" dataDxfId="246"/>
    <tableColumn id="7" xr3:uid="{F96CE66F-661C-4D0F-869C-6075FFBE1D63}" name="comments" dataDxfId="24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3895FE4-33B0-49A8-99F6-25EAD4C42C05}" name="TP_META_FULL" displayName="TP_META_FULL" ref="BJ18:BP20" totalsRowShown="0" headerRowDxfId="244" dataDxfId="243">
  <autoFilter ref="BJ18:BP20" xr:uid="{C3895FE4-33B0-49A8-99F6-25EAD4C42C05}"/>
  <sortState xmlns:xlrd2="http://schemas.microsoft.com/office/spreadsheetml/2017/richdata2" ref="BJ19:BN20">
    <sortCondition descending="1" ref="BL18:BL20"/>
  </sortState>
  <tableColumns count="7">
    <tableColumn id="1" xr3:uid="{39574F94-1416-4BF2-B8F9-333B3F24B77C}" name="Identifier" dataDxfId="242"/>
    <tableColumn id="2" xr3:uid="{10221FF0-6669-415E-A4C9-1A925A636E0E}" name="Project ID" dataDxfId="241"/>
    <tableColumn id="3" xr3:uid="{51ED7DEE-637C-4EB3-BD51-712CBF1C3A3F}" name="Phase" dataDxfId="240"/>
    <tableColumn id="4" xr3:uid="{1FA8653A-38E1-49B7-812A-65D83A87164E}" name="Structure ID" dataDxfId="239"/>
    <tableColumn id="5" xr3:uid="{6C9EA130-8028-4AEB-8FB2-AF4D80F48270}" name="waterdepth" dataDxfId="238"/>
    <tableColumn id="6" xr3:uid="{83CD3E29-C555-4D73-9F88-767BB7CFEAA2}" name="height reference" dataDxfId="237"/>
    <tableColumn id="7" xr3:uid="{E5776344-EC8E-455B-8C7D-2D48B57F6EF9}" name="comments" dataDxfId="23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2A1D9C7-47A9-4F63-8343-1C661E8816F7}" name="TP_DATA_TRUE" displayName="TP_DATA_TRUE" ref="AY24:BD28" totalsRowShown="0" headerRowDxfId="235" dataDxfId="234">
  <autoFilter ref="AY24:BD28" xr:uid="{62A1D9C7-47A9-4F63-8343-1C661E8816F7}"/>
  <sortState xmlns:xlrd2="http://schemas.microsoft.com/office/spreadsheetml/2017/richdata2" ref="AY25:BI49">
    <sortCondition ref="AY24:AY49"/>
  </sortState>
  <tableColumns count="6">
    <tableColumn id="1" xr3:uid="{E243C011-FF5E-4AF1-A1B3-9F3C7CF7C9AA}" name="Section" dataDxfId="233"/>
    <tableColumn id="2" xr3:uid="{00F60C63-2770-42C2-B48C-5D66D3C52BC7}" name="Top [m]" dataDxfId="232"/>
    <tableColumn id="3" xr3:uid="{B0C70BDD-2B8F-4EF1-9287-C431F103B9ED}" name="Bottom [m]" dataDxfId="231"/>
    <tableColumn id="4" xr3:uid="{5762D413-3034-4D8C-93B6-FD4630B02B90}" name="D, top [m]" dataDxfId="230"/>
    <tableColumn id="5" xr3:uid="{14D973BE-EA8A-4E59-909A-5E1466E24A50}" name="D, bottom [m]" dataDxfId="229"/>
    <tableColumn id="6" xr3:uid="{7BFD2029-1F5C-43ED-A6F8-296E86962F79}" name="t [mm]" dataDxfId="228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F6AB3BF-A5B9-4898-A2AA-B1E2D904FCE0}" name="TP_MASSES" displayName="TP_MASSES" ref="AU24:AW29" totalsRowShown="0" headerRowDxfId="227" dataDxfId="35">
  <autoFilter ref="AU24:AW29" xr:uid="{EF6AB3BF-A5B9-4898-A2AA-B1E2D904FCE0}"/>
  <tableColumns count="3">
    <tableColumn id="1" xr3:uid="{1A53106D-E4B7-4076-A33D-6CE63AD9AC29}" name="Elevation [m]" dataDxfId="38"/>
    <tableColumn id="2" xr3:uid="{9D7DAE9F-A86B-4D74-801F-55226E9F4D94}" name="Mass [kg]" dataDxfId="37"/>
    <tableColumn id="3" xr3:uid="{3FD5DC94-754D-4B55-A30B-0CF2D12CDE7F}" name="commment" dataDxfId="36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190E545-CB48-44A3-A5CA-9A97C610D06A}" name="TP_MASSES_TRUE" displayName="TP_MASSES_TRUE" ref="BF24:BH29" totalsRowShown="0" headerRowDxfId="226" dataDxfId="225">
  <autoFilter ref="BF24:BH29" xr:uid="{6190E545-CB48-44A3-A5CA-9A97C610D06A}"/>
  <tableColumns count="3">
    <tableColumn id="1" xr3:uid="{1CD0DD89-8DB0-4FF9-B740-5D74EB586B63}" name="Elevation [m]" dataDxfId="224"/>
    <tableColumn id="2" xr3:uid="{229F8007-E6CC-45A8-B672-6374F80B1923}" name="Mass [kg]" dataDxfId="223"/>
    <tableColumn id="3" xr3:uid="{23823EA6-A689-44B2-958B-8A7D00EFF106}" name="commment" dataDxfId="22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70D3808-2D33-45AA-AE67-BB82CAED07EC}" name="TOWER_META" displayName="TOWER_META" ref="BR18:BX19" totalsRowShown="0" headerRowDxfId="221" dataDxfId="65">
  <autoFilter ref="BR18:BX19" xr:uid="{570D3808-2D33-45AA-AE67-BB82CAED07EC}"/>
  <tableColumns count="7">
    <tableColumn id="1" xr3:uid="{CCDDEDAF-7D35-44BE-9711-5BB94A7933B5}" name="Identifier" dataDxfId="72"/>
    <tableColumn id="2" xr3:uid="{A6622A20-5B2E-4695-A263-CDE9418E44CF}" name="Project ID" dataDxfId="71"/>
    <tableColumn id="3" xr3:uid="{352D7C0A-3620-4627-BAFA-7328A9D0D37D}" name="Phase" dataDxfId="70"/>
    <tableColumn id="4" xr3:uid="{B321ED1F-34C0-412F-A702-8500F62ECCC6}" name="Structure ID" dataDxfId="69"/>
    <tableColumn id="5" xr3:uid="{80D47030-3591-4982-92EF-BACC66E1FE86}" name="waterdepth" dataDxfId="68"/>
    <tableColumn id="6" xr3:uid="{EF78C918-5D9E-4AE9-872B-673153622FEA}" name="height reference" dataDxfId="67"/>
    <tableColumn id="7" xr3:uid="{170AACDE-B844-4EEC-A0B3-69E2508B4EDA}" name="comments" dataDxfId="66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5A6DD8B-1B03-4405-8692-950A70C42223}" name="TOWER_META_NEW" displayName="TOWER_META_NEW" ref="BR21:BX22" insertRow="1" totalsRowShown="0" headerRowDxfId="220" dataDxfId="219">
  <autoFilter ref="BR21:BX22" xr:uid="{35A6DD8B-1B03-4405-8692-950A70C42223}"/>
  <tableColumns count="7">
    <tableColumn id="1" xr3:uid="{1E986C31-3F41-4D2E-A5B3-1F241849BF8F}" name="Identifier" dataDxfId="218"/>
    <tableColumn id="2" xr3:uid="{BFA6A302-1312-44A9-9D24-00404B96F93D}" name="Project ID" dataDxfId="217"/>
    <tableColumn id="3" xr3:uid="{6FC4FB3D-D4AD-4191-B505-D0037CFE0AE6}" name="Phase" dataDxfId="216"/>
    <tableColumn id="4" xr3:uid="{869514EC-8FC7-48A8-9C17-94321EE95FF7}" name="Structure ID" dataDxfId="215"/>
    <tableColumn id="5" xr3:uid="{863DC3E8-E570-4145-B742-09AB28340D03}" name="waterdepth" dataDxfId="214"/>
    <tableColumn id="6" xr3:uid="{9DF4DE17-029C-4704-967A-33C81C46070E}" name="height reference" dataDxfId="213"/>
    <tableColumn id="7" xr3:uid="{769D8177-1D18-4F53-87D2-AB6EDE9D675F}" name="comments" dataDxfId="212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CCFBE8E-EBFA-4AA0-A18D-3AB7BDB6B464}" name="TOWER_DATA" displayName="TOWER_DATA" ref="BR24:BW49" totalsRowShown="0" headerRowDxfId="211" dataDxfId="58">
  <autoFilter ref="BR24:BW49" xr:uid="{6CCFBE8E-EBFA-4AA0-A18D-3AB7BDB6B464}"/>
  <sortState xmlns:xlrd2="http://schemas.microsoft.com/office/spreadsheetml/2017/richdata2" ref="BR25:CB49">
    <sortCondition ref="BR24:BR49"/>
  </sortState>
  <tableColumns count="6">
    <tableColumn id="1" xr3:uid="{85C28FF3-9287-4D46-8CEF-6A66D92B23F6}" name="Section" dataDxfId="64"/>
    <tableColumn id="2" xr3:uid="{BC63B096-D7B8-47B5-B5E9-FC896BC9868B}" name="Top [m]" dataDxfId="63"/>
    <tableColumn id="3" xr3:uid="{B9C7376D-FAD6-493B-8287-40DCA419DD50}" name="Bottom [m]" dataDxfId="62"/>
    <tableColumn id="4" xr3:uid="{6DC756E0-08B6-443E-9B2C-8D790BB94B8D}" name="D, top [m]" dataDxfId="61"/>
    <tableColumn id="5" xr3:uid="{BBD13E2B-0AEF-41AA-A565-50855C7E6296}" name="D, bottom [m]" dataDxfId="60"/>
    <tableColumn id="6" xr3:uid="{123F9676-EB92-4044-A35A-E032C3EBF8E7}" name="t [mm]" dataDxfId="59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714A6A-8D53-444B-883B-7E7991C4738D}" name="TOWER_META_TRUE" displayName="TOWER_META_TRUE" ref="CG18:CM19" totalsRowShown="0" headerRowDxfId="210" dataDxfId="209">
  <autoFilter ref="CG18:CM19" xr:uid="{BC714A6A-8D53-444B-883B-7E7991C4738D}"/>
  <tableColumns count="7">
    <tableColumn id="1" xr3:uid="{2851D88E-C4FF-4F89-9EC3-EAFBEA54B71F}" name="Identifier" dataDxfId="208"/>
    <tableColumn id="2" xr3:uid="{02792EA3-7910-49BB-A8F1-6C715F3370FC}" name="Project ID" dataDxfId="207"/>
    <tableColumn id="3" xr3:uid="{E61B3620-9AD6-47D6-B636-C8C2AD063634}" name="Phase" dataDxfId="206"/>
    <tableColumn id="4" xr3:uid="{605E5017-0F2F-4443-A933-4E5CD08A4C23}" name="Structure ID" dataDxfId="205"/>
    <tableColumn id="5" xr3:uid="{BDF5F12B-CA8B-48E8-87A7-7D0364DE2FB2}" name="waterdepth" dataDxfId="204"/>
    <tableColumn id="6" xr3:uid="{EE01736A-C2DC-472E-BB17-6D42BEB50FD3}" name="height reference" dataDxfId="203"/>
    <tableColumn id="7" xr3:uid="{89F52D24-3700-4E96-A3EE-54C0BD6E6850}" name="comments" dataDxfId="202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4707D43-E248-4B9D-AB58-3D0829DFBB4F}" name="TOWER_META_FULL" displayName="TOWER_META_FULL" ref="CR18:CX20" totalsRowShown="0" headerRowDxfId="201" dataDxfId="200">
  <autoFilter ref="CR18:CX20" xr:uid="{B4707D43-E248-4B9D-AB58-3D0829DFBB4F}"/>
  <sortState xmlns:xlrd2="http://schemas.microsoft.com/office/spreadsheetml/2017/richdata2" ref="CR19:CV20">
    <sortCondition descending="1" ref="CT18:CT20"/>
  </sortState>
  <tableColumns count="7">
    <tableColumn id="1" xr3:uid="{7672BA03-0DF7-4E41-B249-02049D4F4A5C}" name="Identifier" dataDxfId="199"/>
    <tableColumn id="2" xr3:uid="{BCD09FD8-ED15-428C-A59B-CFD0BF079641}" name="Project ID" dataDxfId="198"/>
    <tableColumn id="3" xr3:uid="{76AFB3BE-3FC3-4189-A098-6A9EA54A5EC9}" name="Phase" dataDxfId="197"/>
    <tableColumn id="4" xr3:uid="{33378BDF-E99D-44A7-8811-811CD7F1395F}" name="Structure ID" dataDxfId="196"/>
    <tableColumn id="5" xr3:uid="{DE6D6C26-BA61-4AFF-8E06-02AD273B29E8}" name="waterdepth" dataDxfId="195"/>
    <tableColumn id="6" xr3:uid="{B865CAD0-836B-45FC-8185-9945C6562913}" name="height reference" dataDxfId="194"/>
    <tableColumn id="7" xr3:uid="{1F656F81-71F7-4B46-A4A6-8B1FC6147EC5}" name="comments" dataDxfId="193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E222362-04CC-46F7-A72F-CA8E23DD0237}" name="TOWER_DATA_TRUE" displayName="TOWER_DATA_TRUE" ref="CG24:CL49" totalsRowShown="0" headerRowDxfId="192" dataDxfId="191">
  <autoFilter ref="CG24:CL49" xr:uid="{DE222362-04CC-46F7-A72F-CA8E23DD0237}"/>
  <sortState xmlns:xlrd2="http://schemas.microsoft.com/office/spreadsheetml/2017/richdata2" ref="CG25:CQ49">
    <sortCondition ref="CG24:CG49"/>
  </sortState>
  <tableColumns count="6">
    <tableColumn id="1" xr3:uid="{A9C701CB-47B4-48F4-AFAB-2A8641408C96}" name="Section" dataDxfId="190"/>
    <tableColumn id="2" xr3:uid="{B6685CB3-8DE6-43F6-B6B6-9EE349AFDB7E}" name="Top [m]" dataDxfId="189"/>
    <tableColumn id="3" xr3:uid="{DF0BDC05-BDC5-4912-B19E-FE92634C630E}" name="Bottom [m]" dataDxfId="188"/>
    <tableColumn id="4" xr3:uid="{FE62A509-C225-4EE7-9E1A-92FB7B34D915}" name="D, top [m]" dataDxfId="187"/>
    <tableColumn id="5" xr3:uid="{40198B9A-CE5F-48D3-B6CF-9F426B6E0187}" name="D, bottom [m]" dataDxfId="186"/>
    <tableColumn id="6" xr3:uid="{9098A7F1-A089-4645-9946-FA698633501A}" name="t [mm]" dataDxfId="185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785A247-6678-47FD-8A48-16CD1A0703D0}" name="TOWER_MASSES" displayName="TOWER_MASSES" ref="CC24:CE29" totalsRowShown="0" headerRowDxfId="184" dataDxfId="54">
  <autoFilter ref="CC24:CE29" xr:uid="{E785A247-6678-47FD-8A48-16CD1A0703D0}"/>
  <tableColumns count="3">
    <tableColumn id="1" xr3:uid="{D015FF14-679F-4C4B-AD11-FD169A799F7D}" name="Elevation [m]" dataDxfId="57"/>
    <tableColumn id="2" xr3:uid="{F6B0D10D-7C44-41C3-9301-C37A6304C787}" name="Mass [kg]" dataDxfId="56"/>
    <tableColumn id="3" xr3:uid="{F049C52E-CCD6-4E67-9C8C-52FA82F691D9}" name="commment" dataDxfId="55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3F664A08-9F40-4B2F-8151-7F221D68F245}" name="TOWER_MASSES_TRUE" displayName="TOWER_MASSES_TRUE" ref="CN24:CP29" totalsRowShown="0" headerRowDxfId="183" dataDxfId="182">
  <autoFilter ref="CN24:CP29" xr:uid="{3F664A08-9F40-4B2F-8151-7F221D68F245}"/>
  <tableColumns count="3">
    <tableColumn id="1" xr3:uid="{D4114F81-D70E-4B19-A7AB-C51B4DC07220}" name="Elevation [m]" dataDxfId="181"/>
    <tableColumn id="2" xr3:uid="{55470CA8-68EE-4770-B151-4A1CCF576822}" name="Mass [kg]" dataDxfId="180"/>
    <tableColumn id="3" xr3:uid="{78453B6F-A529-4D07-BA22-75B01F2D871E}" name="commment" dataDxfId="179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B7021AE7-643F-46A4-ABC8-79DC752F7EA5}" name="RNA_META" displayName="RNA_META" ref="CZ18:DF19" totalsRowShown="0" headerRowDxfId="178" dataDxfId="177">
  <autoFilter ref="CZ18:DF19" xr:uid="{B7021AE7-643F-46A4-ABC8-79DC752F7EA5}"/>
  <tableColumns count="7">
    <tableColumn id="1" xr3:uid="{BA51DF58-2991-4657-BF6B-A5547BC7132D}" name="Identifier" dataDxfId="176"/>
    <tableColumn id="2" xr3:uid="{70B49C88-424E-4FD9-9150-1A11E97420FB}" name="Project ID" dataDxfId="175"/>
    <tableColumn id="3" xr3:uid="{FD3274A3-4C71-4A46-9CE0-69B260EF92C4}" name="Phase" dataDxfId="174"/>
    <tableColumn id="4" xr3:uid="{CDBB73D3-4B92-44A8-9566-7426EA587F93}" name="Structure ID" dataDxfId="173"/>
    <tableColumn id="5" xr3:uid="{6589FD2A-0040-4882-BFAF-8BA1F9758A8E}" name="waterdepth" dataDxfId="172"/>
    <tableColumn id="6" xr3:uid="{6F7D7318-CCD8-40D0-9B54-F9EC99F1FD8F}" name="height reference" dataDxfId="171"/>
    <tableColumn id="7" xr3:uid="{A369882E-7CE9-4E07-BB2C-5B9B0B2E4DB0}" name="comments" dataDxfId="170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8538A1AE-019A-40A3-864B-52CDD8DE035B}" name="RNA_META_NEW" displayName="RNA_META_NEW" ref="CZ21:DF22" totalsRowShown="0" headerRowDxfId="169" dataDxfId="168">
  <autoFilter ref="CZ21:DF22" xr:uid="{8538A1AE-019A-40A3-864B-52CDD8DE035B}"/>
  <tableColumns count="7">
    <tableColumn id="1" xr3:uid="{DA94BFC9-0ABD-4C09-A6C8-30951470FCB6}" name="Identifier" dataDxfId="167"/>
    <tableColumn id="2" xr3:uid="{9CC9EFC0-3759-410E-960F-6D5050CBD840}" name="Project ID" dataDxfId="166"/>
    <tableColumn id="3" xr3:uid="{751071F0-9EDF-4AAE-8469-BE050CDE41C7}" name="Phase" dataDxfId="165"/>
    <tableColumn id="4" xr3:uid="{B8DF6AB1-1B60-4120-8175-1FE1FE71A340}" name="Structure ID" dataDxfId="164"/>
    <tableColumn id="5" xr3:uid="{6BC4C6EE-8000-4FCF-8A94-14CC9576D39D}" name="waterdepth" dataDxfId="163"/>
    <tableColumn id="6" xr3:uid="{54185087-4FEE-428B-81D3-730C80C0C039}" name="height reference" dataDxfId="162"/>
    <tableColumn id="7" xr3:uid="{2A0D3BB0-2C91-4B02-A986-9CF83D7112F7}" name="comments" dataDxfId="161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EE1C0E0-398B-48E1-9521-CCB187180413}" name="RNA_DATA" displayName="RNA_DATA" ref="CZ24:DD25" totalsRowShown="0" headerRowDxfId="160" dataDxfId="159">
  <autoFilter ref="CZ24:DD25" xr:uid="{FEE1C0E0-398B-48E1-9521-CCB187180413}"/>
  <sortState xmlns:xlrd2="http://schemas.microsoft.com/office/spreadsheetml/2017/richdata2" ref="CZ25:DJ49">
    <sortCondition ref="CZ24:CZ49"/>
  </sortState>
  <tableColumns count="5">
    <tableColumn id="1" xr3:uid="{03A8E757-56E6-48B0-929F-24FBFFC0EAA8}" name="Identifier" dataDxfId="158"/>
    <tableColumn id="2" xr3:uid="{BF4DEE24-7E2F-4B20-9B44-27C601C754F1}" name="Mass [t]" dataDxfId="157"/>
    <tableColumn id="3" xr3:uid="{4CBE937C-DD0F-4596-BD90-BE03828E4CA7}" name="Inertia [kg·m²]" dataDxfId="156"/>
    <tableColumn id="4" xr3:uid="{DE89D440-DA99-4425-B50C-30544DB961F5}" name="Offset TT_COG [m]" dataDxfId="155"/>
    <tableColumn id="5" xr3:uid="{E2FB4084-506E-4EC7-9BC8-8255DFE52EE0}" name="comment" dataDxfId="154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C9C027F8-D177-47C6-8082-9D64DAD25F17}" name="RNA_META_TRUE" displayName="RNA_META_TRUE" ref="DK18:DQ19" totalsRowShown="0" headerRowDxfId="153" dataDxfId="152">
  <autoFilter ref="DK18:DQ19" xr:uid="{C9C027F8-D177-47C6-8082-9D64DAD25F17}"/>
  <tableColumns count="7">
    <tableColumn id="1" xr3:uid="{ABE67783-25F8-4F62-B653-2B8171186315}" name="Identifier" dataDxfId="151"/>
    <tableColumn id="2" xr3:uid="{148670DA-BFD1-4A85-A51C-10C3249B9E7E}" name="Project ID" dataDxfId="150"/>
    <tableColumn id="3" xr3:uid="{A41A11A7-7989-4671-8E6B-5BF6B7B40A84}" name="Phase" dataDxfId="149"/>
    <tableColumn id="4" xr3:uid="{09E19147-45BB-4914-92E2-B3EB586B27FE}" name="Structure ID" dataDxfId="148"/>
    <tableColumn id="5" xr3:uid="{E8D43F28-B600-4668-A8C7-5186748E6998}" name="waterdepth" dataDxfId="147"/>
    <tableColumn id="6" xr3:uid="{43D2188C-6159-40EB-963D-7C4E503A20F7}" name="height reference" dataDxfId="146"/>
    <tableColumn id="7" xr3:uid="{E2AA6927-834E-46EA-9E5F-2C6D63ACBA00}" name="comments" dataDxfId="145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5143F148-929A-4BC4-A24C-AC9143E84790}" name="RNA_META_FULL" displayName="RNA_META_FULL" ref="DS18:DY19" totalsRowShown="0" headerRowDxfId="144" dataDxfId="143">
  <autoFilter ref="DS18:DY19" xr:uid="{5143F148-929A-4BC4-A24C-AC9143E84790}"/>
  <sortState xmlns:xlrd2="http://schemas.microsoft.com/office/spreadsheetml/2017/richdata2" ref="DS19:DW20">
    <sortCondition descending="1" ref="DU18:DU20"/>
  </sortState>
  <tableColumns count="7">
    <tableColumn id="1" xr3:uid="{D029201F-D941-4D86-A3F8-2737864A9F64}" name="Identifier" dataDxfId="142"/>
    <tableColumn id="2" xr3:uid="{A88D0FA3-BA16-4681-BFCD-83D4EF9A0753}" name="Project ID" dataDxfId="141"/>
    <tableColumn id="3" xr3:uid="{E5F05A61-1A64-4290-B169-0EBAB583562B}" name="Phase" dataDxfId="140"/>
    <tableColumn id="4" xr3:uid="{C186514B-FDEF-4EC3-911D-410ED9639722}" name="Structure ID" dataDxfId="139"/>
    <tableColumn id="5" xr3:uid="{C1C1BFD5-88E9-401D-9F98-1689C6D2F603}" name="waterdepth" dataDxfId="138"/>
    <tableColumn id="6" xr3:uid="{E828BF34-83C2-4889-B2AA-EF3AA7ADA155}" name="height reference" dataDxfId="137"/>
    <tableColumn id="7" xr3:uid="{26762C86-FF3D-4E18-9A66-829AA0E28E25}" name="comments" dataDxfId="136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D754D819-0A2A-44EA-BBE0-138ECEAE0FD4}" name="RNA_DATA_TRUE" displayName="RNA_DATA_TRUE" ref="DK24:DP92" totalsRowShown="0" headerRowDxfId="135" dataDxfId="134">
  <autoFilter ref="DK24:DP92" xr:uid="{D754D819-0A2A-44EA-BBE0-138ECEAE0FD4}"/>
  <sortState xmlns:xlrd2="http://schemas.microsoft.com/office/spreadsheetml/2017/richdata2" ref="DK25:DU49">
    <sortCondition ref="DK24:DK49"/>
  </sortState>
  <tableColumns count="6">
    <tableColumn id="1" xr3:uid="{BBC71296-2589-42DC-9DD3-1F432FFEBA48}" name="Section" dataDxfId="133"/>
    <tableColumn id="2" xr3:uid="{F9035DA0-9486-498F-91B8-6F189BA50A7B}" name="Top [m]" dataDxfId="132"/>
    <tableColumn id="3" xr3:uid="{748FE9C6-772E-4FDA-AA26-6EFEA3C01239}" name="Bottom [m]" dataDxfId="131"/>
    <tableColumn id="4" xr3:uid="{A64E80E4-3F89-415D-BA09-A93FA326D345}" name="D, top [m]" dataDxfId="130"/>
    <tableColumn id="5" xr3:uid="{C14915BA-564F-4F6A-9D9D-E70A97676983}" name="D, bottom [m]" dataDxfId="129"/>
    <tableColumn id="6" xr3:uid="{58E27CA0-AED8-4A28-99B6-2A9A2E4C0BDF}" name="t [mm]" dataDxfId="128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6964430C-2D65-45C4-817F-08653037EDFC}" name="WHOLE_STRUCTURE" displayName="WHOLE_STRUCTURE" ref="B12:I65" totalsRowShown="0" headerRowDxfId="127" dataDxfId="126">
  <autoFilter ref="B12:I65" xr:uid="{6964430C-2D65-45C4-817F-08653037EDFC}"/>
  <tableColumns count="8">
    <tableColumn id="1" xr3:uid="{1C924510-54DB-4186-8521-598E5FD7BF93}" name="Section" dataDxfId="125"/>
    <tableColumn id="2" xr3:uid="{29F8F207-72DF-4027-A39E-C3D956F79382}" name="Affiliation" dataDxfId="124"/>
    <tableColumn id="3" xr3:uid="{F1A86E12-282B-4FE8-A989-9056549BE251}" name="local Section" dataDxfId="123"/>
    <tableColumn id="4" xr3:uid="{1F0B5480-90D3-4DBF-AAEC-010EB8A46507}" name="Top [m]" dataDxfId="122"/>
    <tableColumn id="5" xr3:uid="{2F9EEEB1-AE18-4058-A215-9A6EAD23E6F0}" name="Bottom [m]" dataDxfId="121"/>
    <tableColumn id="6" xr3:uid="{CAF3E9FD-22BF-4C53-97D3-15DEA70C9DE2}" name="D, top [m]" dataDxfId="120"/>
    <tableColumn id="7" xr3:uid="{EE4449DD-273C-4967-8180-25E33E65F937}" name="D, bottom [m]" dataDxfId="119"/>
    <tableColumn id="8" xr3:uid="{0EE8182A-58FD-432D-A87C-9A474A081C7F}" name="t [mm]" dataDxfId="118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99775F4D-8879-4247-BCBB-9E55004F5FE5}" name="ALL_ADDED_MASSES" displayName="ALL_ADDED_MASSES" ref="O12:R27" totalsRowShown="0" headerRowDxfId="117" dataDxfId="116">
  <autoFilter ref="O12:R27" xr:uid="{99775F4D-8879-4247-BCBB-9E55004F5FE5}"/>
  <tableColumns count="4">
    <tableColumn id="8" xr3:uid="{4222E379-EA2F-436F-A27E-F66347A2B7A2}" name="Affiliation" dataDxfId="115"/>
    <tableColumn id="1" xr3:uid="{00244646-90F3-4DDD-AB6B-0373781AFF60}" name="Elevation [m]" dataDxfId="114"/>
    <tableColumn id="2" xr3:uid="{6305BA78-EC7F-4D5E-A143-DF4E3CB9A56C}" name="Mass [kg]" dataDxfId="113"/>
    <tableColumn id="3" xr3:uid="{156C5A02-52CD-48BE-87D5-E9BF8F935E99}" name="comment" dataDxfId="112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1E86920-59C8-4A34-A4FA-D52D35DC047E}" name="SKIRT" displayName="SKIRT" ref="T16:Y18" totalsRowShown="0" headerRowDxfId="111" dataDxfId="109" headerRowBorderDxfId="110" tableBorderDxfId="108" totalsRowBorderDxfId="107">
  <autoFilter ref="T16:Y18" xr:uid="{A1E86920-59C8-4A34-A4FA-D52D35DC047E}"/>
  <tableColumns count="6">
    <tableColumn id="1" xr3:uid="{D7BA5792-F27A-42AB-84A6-1A5C5073E624}" name="Affiliation" dataDxfId="106"/>
    <tableColumn id="3" xr3:uid="{F299E913-54CD-48A0-BB41-0880A93754FE}" name="Top [m]" dataDxfId="105"/>
    <tableColumn id="4" xr3:uid="{3FE7280C-AE16-43A5-98C5-AC81567063F8}" name="Bottom [m]" dataDxfId="104"/>
    <tableColumn id="5" xr3:uid="{494E1F17-E9F7-4B30-BF2F-0D837AD6C9EB}" name="D, top [m]" dataDxfId="103"/>
    <tableColumn id="6" xr3:uid="{9D18588B-23C1-495C-A81D-3BA5AF2F1DDD}" name="D, bottom [m]" dataDxfId="102"/>
    <tableColumn id="7" xr3:uid="{C3BA2567-9ACF-4834-A3FA-9599A0D98796}" name="t [mm]" dataDxfId="101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CD52EECF-AB78-4C57-8765-66AA1058C0CF}" name="SKIRT_POINTMASS" displayName="SKIRT_POINTMASS" ref="T12:W13" totalsRowShown="0" dataDxfId="99" headerRowBorderDxfId="100" tableBorderDxfId="98">
  <autoFilter ref="T12:W13" xr:uid="{CD52EECF-AB78-4C57-8765-66AA1058C0CF}"/>
  <tableColumns count="4">
    <tableColumn id="1" xr3:uid="{035BC3C9-B7CD-47B5-94D2-F8D64A04FD6C}" name="Affiliation" dataDxfId="97"/>
    <tableColumn id="2" xr3:uid="{9093341A-644E-4005-A4B0-0B05612EE421}" name="Elevation [m]" dataDxfId="96"/>
    <tableColumn id="3" xr3:uid="{71FE16E7-7251-4F14-B28B-4C6055F6AED1}" name="Mass [kg]" dataDxfId="95"/>
    <tableColumn id="4" xr3:uid="{87F4221A-61DF-4C79-A116-8098A7C6FAAE}" name="comment" dataDxfId="94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8D334D84-754D-4685-9A4A-6A66B2E4FFB9}" name="MARINE_GROWTH" displayName="MARINE_GROWTH" ref="AG12:AI15" totalsRowShown="0" headerRowDxfId="93" dataDxfId="92">
  <autoFilter ref="AG12:AI15" xr:uid="{8D334D84-754D-4685-9A4A-6A66B2E4FFB9}"/>
  <tableColumns count="3">
    <tableColumn id="1" xr3:uid="{DB673771-BB6D-4B68-81A2-B0DFC2758DC6}" name="Bottom [m]" dataDxfId="91">
      <calculatedColumnFormula>IF(ISBLANK(AH13),"",AH12)</calculatedColumnFormula>
    </tableColumn>
    <tableColumn id="2" xr3:uid="{88DBAEFE-0CE9-43B7-BBD5-30E29A54DD0E}" name="Top [m]" dataDxfId="90"/>
    <tableColumn id="3" xr3:uid="{88F4E89D-F5DC-463C-AE91-5C5F8B82A591}" name="Marine Growth [mm]" dataDxfId="89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7B4A03F-1005-4720-8887-A14737394284}" name="HYDRO_COEFFICIENTS" displayName="HYDRO_COEFFICIENTS" ref="AK12:AN14" totalsRowShown="0" headerRowDxfId="88">
  <autoFilter ref="AK12:AN14" xr:uid="{87B4A03F-1005-4720-8887-A14737394284}"/>
  <tableColumns count="4">
    <tableColumn id="1" xr3:uid="{79B3039B-DCB3-4DB5-9657-9170C1A7D7A1}" name="Bottom [m]" dataDxfId="87"/>
    <tableColumn id="2" xr3:uid="{798BD679-C372-4555-9ABA-DF12AF1BEB7B}" name="Top [m]" dataDxfId="86"/>
    <tableColumn id="3" xr3:uid="{C28B4B73-F57A-4DF1-B531-CD436CEA398C}" name="cd" dataDxfId="85"/>
    <tableColumn id="4" xr3:uid="{B75141CC-AB54-4904-90B7-845CA3D69A1B}" name="cm" dataDxfId="84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72CE8A2A-6760-4548-BB1E-BCA204D8C1BA}" name="RNA" displayName="RNA" ref="AA12:AE13" totalsRowShown="0" headerRowDxfId="83" dataDxfId="81" headerRowBorderDxfId="82" tableBorderDxfId="80" totalsRowBorderDxfId="79">
  <autoFilter ref="AA12:AE13" xr:uid="{72CE8A2A-6760-4548-BB1E-BCA204D8C1BA}"/>
  <tableColumns count="5">
    <tableColumn id="1" xr3:uid="{46A5A21B-3002-456C-8AD9-5ECB42AC421F}" name="Identifier" dataDxfId="78"/>
    <tableColumn id="2" xr3:uid="{F5B4AC32-29FD-42F7-91EC-62CC42FCE0D7}" name="Mass [t]" dataDxfId="77"/>
    <tableColumn id="3" xr3:uid="{F6A77E93-EA0B-4A7B-91D9-D14361BC8B1A}" name="Inertia [kg·m²]" dataDxfId="76"/>
    <tableColumn id="4" xr3:uid="{324F57B3-0BB2-4A0A-864F-C4E295BA1417}" name="Offset TT_COG [m]" dataDxfId="75"/>
    <tableColumn id="5" xr3:uid="{498958C1-FF10-460A-950F-D28B6D477E67}" name="comment" dataDxfId="74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C35E7AB2-603F-4F8E-A683-CC2DB9E03260}" name="STRUCTURE_META" displayName="STRUCTURE_META" ref="B2:D6" totalsRowShown="0" dataDxfId="14">
  <autoFilter ref="B2:D6" xr:uid="{C35E7AB2-603F-4F8E-A683-CC2DB9E03260}"/>
  <tableColumns count="3">
    <tableColumn id="1" xr3:uid="{249E4AC0-B025-41CE-B64B-B1C47A8B108A}" name="Parameter" dataDxfId="15"/>
    <tableColumn id="2" xr3:uid="{96957327-E448-409A-A132-2F66C10F1B05}" name="Value" dataDxfId="1"/>
    <tableColumn id="3" xr3:uid="{9BA3C973-0D4E-4458-9364-B9F23256E516}" name="Unit" dataDxfId="0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00F4F6D-0F31-4182-BC4A-31C745F7BBA9}" name="JBOOST_PARAMETER" displayName="JBOOST_PARAMETER" ref="B8:E15" totalsRowShown="0">
  <autoFilter ref="B8:E15" xr:uid="{D00F4F6D-0F31-4182-BC4A-31C745F7BBA9}"/>
  <tableColumns count="4">
    <tableColumn id="1" xr3:uid="{3E7E42D1-2471-409C-AC2F-75B5A8095375}" name="Parameter"/>
    <tableColumn id="2" xr3:uid="{6C705FCB-5D10-4250-9912-E9DAC119643B}" name="Value" dataDxfId="73"/>
    <tableColumn id="3" xr3:uid="{871A325F-4286-41C3-A6A6-BD4642988E4A}" name="Unit"/>
    <tableColumn id="4" xr3:uid="{99EC9FE1-9CC9-4583-9D9D-230249F64D0F}" name="comm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22" row="1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B0E3ABB-1AE5-40D2-9EB7-1A578E8463DC}">
  <we:reference id="wa200008175" version="1.0.0.0" store="de-DE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selected_range = book.selection\n    selected_range.value = \&quot;Hello World!\&quot;\n    selected_range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3&quot;"/>
    <we:property name="requirements.txt" value="&quot;# Pin the version of packages that are installed from PyPI.\n# Don't pin the version if they are on this list:\n# https:\/\/pyodide.org\/en\/stable\/usage\/packages-in-pyodide.html\n#\n# New packages are installed on the fly.\n# However, the following situations require a restart:\n# - removing a package\n# - changing the version of a package\n# - adding an optional dependency of xlwings, e.g, polars\n\nxlwings==0.33.12  # required\npython-dotenv==1.1.0  # required\npyodide-http  # required\nblack  # required\npandas\nmatplotlib\nseaborn\n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26" Type="http://schemas.openxmlformats.org/officeDocument/2006/relationships/ctrlProp" Target="../ctrlProps/ctrlProp27.xml"/><Relationship Id="rId39" Type="http://schemas.openxmlformats.org/officeDocument/2006/relationships/table" Target="../tables/table10.xml"/><Relationship Id="rId21" Type="http://schemas.openxmlformats.org/officeDocument/2006/relationships/ctrlProp" Target="../ctrlProps/ctrlProp22.xml"/><Relationship Id="rId34" Type="http://schemas.openxmlformats.org/officeDocument/2006/relationships/table" Target="../tables/table5.xml"/><Relationship Id="rId42" Type="http://schemas.openxmlformats.org/officeDocument/2006/relationships/table" Target="../tables/table13.xml"/><Relationship Id="rId47" Type="http://schemas.openxmlformats.org/officeDocument/2006/relationships/table" Target="../tables/table18.xml"/><Relationship Id="rId50" Type="http://schemas.openxmlformats.org/officeDocument/2006/relationships/table" Target="../tables/table21.xml"/><Relationship Id="rId55" Type="http://schemas.openxmlformats.org/officeDocument/2006/relationships/table" Target="../tables/table26.x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.xml"/><Relationship Id="rId29" Type="http://schemas.openxmlformats.org/officeDocument/2006/relationships/ctrlProp" Target="../ctrlProps/ctrlProp30.xml"/><Relationship Id="rId11" Type="http://schemas.openxmlformats.org/officeDocument/2006/relationships/ctrlProp" Target="../ctrlProps/ctrlProp12.xml"/><Relationship Id="rId24" Type="http://schemas.openxmlformats.org/officeDocument/2006/relationships/ctrlProp" Target="../ctrlProps/ctrlProp25.xml"/><Relationship Id="rId32" Type="http://schemas.openxmlformats.org/officeDocument/2006/relationships/table" Target="../tables/table3.xml"/><Relationship Id="rId37" Type="http://schemas.openxmlformats.org/officeDocument/2006/relationships/table" Target="../tables/table8.xml"/><Relationship Id="rId40" Type="http://schemas.openxmlformats.org/officeDocument/2006/relationships/table" Target="../tables/table11.xml"/><Relationship Id="rId45" Type="http://schemas.openxmlformats.org/officeDocument/2006/relationships/table" Target="../tables/table16.xml"/><Relationship Id="rId53" Type="http://schemas.openxmlformats.org/officeDocument/2006/relationships/table" Target="../tables/table24.xml"/><Relationship Id="rId58" Type="http://schemas.openxmlformats.org/officeDocument/2006/relationships/table" Target="../tables/table29.xml"/><Relationship Id="rId5" Type="http://schemas.openxmlformats.org/officeDocument/2006/relationships/ctrlProp" Target="../ctrlProps/ctrlProp6.xml"/><Relationship Id="rId19" Type="http://schemas.openxmlformats.org/officeDocument/2006/relationships/ctrlProp" Target="../ctrlProps/ctrlProp20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Relationship Id="rId22" Type="http://schemas.openxmlformats.org/officeDocument/2006/relationships/ctrlProp" Target="../ctrlProps/ctrlProp23.xml"/><Relationship Id="rId27" Type="http://schemas.openxmlformats.org/officeDocument/2006/relationships/ctrlProp" Target="../ctrlProps/ctrlProp28.xml"/><Relationship Id="rId30" Type="http://schemas.openxmlformats.org/officeDocument/2006/relationships/table" Target="../tables/table1.xml"/><Relationship Id="rId35" Type="http://schemas.openxmlformats.org/officeDocument/2006/relationships/table" Target="../tables/table6.xml"/><Relationship Id="rId43" Type="http://schemas.openxmlformats.org/officeDocument/2006/relationships/table" Target="../tables/table14.xml"/><Relationship Id="rId48" Type="http://schemas.openxmlformats.org/officeDocument/2006/relationships/table" Target="../tables/table19.xml"/><Relationship Id="rId56" Type="http://schemas.openxmlformats.org/officeDocument/2006/relationships/table" Target="../tables/table27.xml"/><Relationship Id="rId8" Type="http://schemas.openxmlformats.org/officeDocument/2006/relationships/ctrlProp" Target="../ctrlProps/ctrlProp9.xml"/><Relationship Id="rId51" Type="http://schemas.openxmlformats.org/officeDocument/2006/relationships/table" Target="../tables/table22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5" Type="http://schemas.openxmlformats.org/officeDocument/2006/relationships/ctrlProp" Target="../ctrlProps/ctrlProp26.xml"/><Relationship Id="rId33" Type="http://schemas.openxmlformats.org/officeDocument/2006/relationships/table" Target="../tables/table4.xml"/><Relationship Id="rId38" Type="http://schemas.openxmlformats.org/officeDocument/2006/relationships/table" Target="../tables/table9.xml"/><Relationship Id="rId46" Type="http://schemas.openxmlformats.org/officeDocument/2006/relationships/table" Target="../tables/table17.xml"/><Relationship Id="rId59" Type="http://schemas.openxmlformats.org/officeDocument/2006/relationships/table" Target="../tables/table30.xml"/><Relationship Id="rId20" Type="http://schemas.openxmlformats.org/officeDocument/2006/relationships/ctrlProp" Target="../ctrlProps/ctrlProp21.xml"/><Relationship Id="rId41" Type="http://schemas.openxmlformats.org/officeDocument/2006/relationships/table" Target="../tables/table12.xml"/><Relationship Id="rId54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5" Type="http://schemas.openxmlformats.org/officeDocument/2006/relationships/ctrlProp" Target="../ctrlProps/ctrlProp16.xml"/><Relationship Id="rId23" Type="http://schemas.openxmlformats.org/officeDocument/2006/relationships/ctrlProp" Target="../ctrlProps/ctrlProp24.xml"/><Relationship Id="rId28" Type="http://schemas.openxmlformats.org/officeDocument/2006/relationships/ctrlProp" Target="../ctrlProps/ctrlProp29.xml"/><Relationship Id="rId36" Type="http://schemas.openxmlformats.org/officeDocument/2006/relationships/table" Target="../tables/table7.xml"/><Relationship Id="rId49" Type="http://schemas.openxmlformats.org/officeDocument/2006/relationships/table" Target="../tables/table20.xml"/><Relationship Id="rId57" Type="http://schemas.openxmlformats.org/officeDocument/2006/relationships/table" Target="../tables/table28.xml"/><Relationship Id="rId10" Type="http://schemas.openxmlformats.org/officeDocument/2006/relationships/ctrlProp" Target="../ctrlProps/ctrlProp11.xml"/><Relationship Id="rId31" Type="http://schemas.openxmlformats.org/officeDocument/2006/relationships/table" Target="../tables/table2.xml"/><Relationship Id="rId44" Type="http://schemas.openxmlformats.org/officeDocument/2006/relationships/table" Target="../tables/table15.xml"/><Relationship Id="rId52" Type="http://schemas.openxmlformats.org/officeDocument/2006/relationships/table" Target="../tables/table2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7.xml"/><Relationship Id="rId3" Type="http://schemas.openxmlformats.org/officeDocument/2006/relationships/table" Target="../tables/table32.xml"/><Relationship Id="rId7" Type="http://schemas.openxmlformats.org/officeDocument/2006/relationships/table" Target="../tables/table36.xml"/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5.xml"/><Relationship Id="rId5" Type="http://schemas.openxmlformats.org/officeDocument/2006/relationships/table" Target="../tables/table34.xml"/><Relationship Id="rId4" Type="http://schemas.openxmlformats.org/officeDocument/2006/relationships/table" Target="../tables/table33.xml"/><Relationship Id="rId9" Type="http://schemas.openxmlformats.org/officeDocument/2006/relationships/table" Target="../tables/table3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9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9B116-DA22-4D7E-9EC8-BCCA5323E816}">
  <sheetPr codeName="Tabelle2"/>
  <dimension ref="A1:X67"/>
  <sheetViews>
    <sheetView zoomScaleNormal="100" workbookViewId="0">
      <selection activeCell="E72" sqref="E72"/>
    </sheetView>
  </sheetViews>
  <sheetFormatPr baseColWidth="10" defaultRowHeight="14.4" x14ac:dyDescent="0.3"/>
  <cols>
    <col min="2" max="2" width="17.88671875" customWidth="1"/>
    <col min="3" max="3" width="13.33203125" customWidth="1"/>
    <col min="4" max="4" width="13.5546875" customWidth="1"/>
    <col min="6" max="6" width="14.88671875" customWidth="1"/>
    <col min="9" max="9" width="14.109375" customWidth="1"/>
    <col min="11" max="11" width="20.33203125" customWidth="1"/>
  </cols>
  <sheetData>
    <row r="1" spans="1:24" x14ac:dyDescent="0.3">
      <c r="A1" s="45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5"/>
      <c r="P1" s="42"/>
      <c r="Q1" s="42"/>
      <c r="R1" s="43"/>
    </row>
    <row r="2" spans="1:24" ht="15.6" x14ac:dyDescent="0.3">
      <c r="A2" s="41"/>
      <c r="B2" s="44" t="s">
        <v>45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1"/>
      <c r="P2" s="46" t="s">
        <v>16</v>
      </c>
      <c r="Q2" s="40"/>
      <c r="R2" s="39"/>
    </row>
    <row r="3" spans="1:24" ht="15" thickBot="1" x14ac:dyDescent="0.35">
      <c r="A3" s="41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1"/>
      <c r="P3" s="40"/>
      <c r="Q3" s="40"/>
      <c r="R3" s="39"/>
    </row>
    <row r="4" spans="1:24" x14ac:dyDescent="0.3">
      <c r="A4" s="41"/>
      <c r="B4" s="85" t="s">
        <v>42</v>
      </c>
      <c r="C4" s="86"/>
      <c r="D4" s="87"/>
      <c r="E4" s="40"/>
      <c r="F4" s="88" t="s">
        <v>26</v>
      </c>
      <c r="G4" s="89"/>
      <c r="H4" s="89"/>
      <c r="I4" s="90"/>
      <c r="J4" s="40"/>
      <c r="K4" s="91" t="s">
        <v>43</v>
      </c>
      <c r="L4" s="92"/>
      <c r="M4" s="93"/>
      <c r="N4" s="40"/>
      <c r="O4" s="41"/>
      <c r="P4" s="40"/>
      <c r="Q4" s="40"/>
      <c r="R4" s="39"/>
    </row>
    <row r="5" spans="1:24" x14ac:dyDescent="0.3">
      <c r="A5" s="41"/>
      <c r="B5" s="27"/>
      <c r="C5" s="28"/>
      <c r="D5" s="29"/>
      <c r="E5" s="40"/>
      <c r="F5" s="30"/>
      <c r="G5" s="31"/>
      <c r="H5" s="31"/>
      <c r="I5" s="32"/>
      <c r="J5" s="40"/>
      <c r="K5" s="33"/>
      <c r="L5" s="34"/>
      <c r="M5" s="35"/>
      <c r="N5" s="40"/>
      <c r="O5" s="41"/>
      <c r="P5" s="40"/>
      <c r="Q5" s="40"/>
      <c r="R5" s="39"/>
    </row>
    <row r="6" spans="1:24" x14ac:dyDescent="0.3">
      <c r="A6" s="41"/>
      <c r="B6" s="10" t="s">
        <v>0</v>
      </c>
      <c r="C6" s="9" t="s">
        <v>36</v>
      </c>
      <c r="D6" s="11" t="s">
        <v>44</v>
      </c>
      <c r="E6" s="40"/>
      <c r="F6" s="16" t="s">
        <v>27</v>
      </c>
      <c r="G6" s="15" t="s">
        <v>28</v>
      </c>
      <c r="H6" s="15" t="s">
        <v>29</v>
      </c>
      <c r="I6" s="17" t="s">
        <v>44</v>
      </c>
      <c r="J6" s="40"/>
      <c r="K6" s="22" t="s">
        <v>27</v>
      </c>
      <c r="L6" s="21" t="s">
        <v>36</v>
      </c>
      <c r="M6" s="23" t="s">
        <v>44</v>
      </c>
      <c r="N6" s="40"/>
      <c r="O6" s="41"/>
      <c r="P6" s="40"/>
      <c r="Q6" s="40"/>
      <c r="R6" s="39"/>
    </row>
    <row r="7" spans="1:24" x14ac:dyDescent="0.3">
      <c r="A7" s="41"/>
      <c r="B7" s="10" t="s">
        <v>21</v>
      </c>
      <c r="C7" s="9"/>
      <c r="D7" s="11"/>
      <c r="E7" s="40"/>
      <c r="F7" s="16" t="s">
        <v>30</v>
      </c>
      <c r="G7" s="15"/>
      <c r="H7" s="15"/>
      <c r="I7" s="17"/>
      <c r="J7" s="40"/>
      <c r="K7" s="22" t="s">
        <v>37</v>
      </c>
      <c r="L7" s="21"/>
      <c r="M7" s="23"/>
      <c r="N7" s="40"/>
      <c r="O7" s="41"/>
      <c r="P7" s="40"/>
      <c r="Q7" s="40"/>
      <c r="R7" s="39"/>
    </row>
    <row r="8" spans="1:24" x14ac:dyDescent="0.3">
      <c r="A8" s="41"/>
      <c r="B8" s="10" t="s">
        <v>22</v>
      </c>
      <c r="C8" s="9"/>
      <c r="D8" s="11"/>
      <c r="E8" s="40"/>
      <c r="F8" s="16" t="s">
        <v>31</v>
      </c>
      <c r="G8" s="15"/>
      <c r="H8" s="15"/>
      <c r="I8" s="17"/>
      <c r="J8" s="40"/>
      <c r="K8" s="22" t="s">
        <v>38</v>
      </c>
      <c r="L8" s="21"/>
      <c r="M8" s="23"/>
      <c r="N8" s="40"/>
      <c r="O8" s="41"/>
      <c r="P8" s="40"/>
      <c r="Q8" s="40"/>
      <c r="R8" s="39"/>
    </row>
    <row r="9" spans="1:24" x14ac:dyDescent="0.3">
      <c r="A9" s="41"/>
      <c r="B9" s="10" t="s">
        <v>23</v>
      </c>
      <c r="C9" s="9"/>
      <c r="D9" s="11"/>
      <c r="E9" s="40"/>
      <c r="F9" s="16" t="s">
        <v>32</v>
      </c>
      <c r="G9" s="15"/>
      <c r="H9" s="15"/>
      <c r="I9" s="17"/>
      <c r="J9" s="40"/>
      <c r="K9" s="22" t="s">
        <v>39</v>
      </c>
      <c r="L9" s="21"/>
      <c r="M9" s="23"/>
      <c r="N9" s="40"/>
      <c r="O9" s="41"/>
      <c r="P9" s="40"/>
      <c r="Q9" s="40"/>
      <c r="R9" s="39"/>
    </row>
    <row r="10" spans="1:24" x14ac:dyDescent="0.3">
      <c r="A10" s="41"/>
      <c r="B10" s="10" t="s">
        <v>24</v>
      </c>
      <c r="C10" s="9"/>
      <c r="D10" s="11"/>
      <c r="E10" s="40"/>
      <c r="F10" s="16" t="s">
        <v>33</v>
      </c>
      <c r="G10" s="15"/>
      <c r="H10" s="15"/>
      <c r="I10" s="17"/>
      <c r="J10" s="40"/>
      <c r="K10" s="22" t="s">
        <v>40</v>
      </c>
      <c r="L10" s="21"/>
      <c r="M10" s="23"/>
      <c r="N10" s="40"/>
      <c r="O10" s="41"/>
      <c r="P10" s="40"/>
      <c r="Q10" s="40"/>
      <c r="R10" s="39"/>
    </row>
    <row r="11" spans="1:24" x14ac:dyDescent="0.3">
      <c r="A11" s="41"/>
      <c r="B11" s="10" t="s">
        <v>25</v>
      </c>
      <c r="C11" s="9"/>
      <c r="D11" s="11"/>
      <c r="E11" s="40"/>
      <c r="F11" s="16" t="s">
        <v>34</v>
      </c>
      <c r="G11" s="15"/>
      <c r="H11" s="15"/>
      <c r="I11" s="17"/>
      <c r="J11" s="40"/>
      <c r="K11" s="22" t="s">
        <v>41</v>
      </c>
      <c r="L11" s="21"/>
      <c r="M11" s="23"/>
      <c r="N11" s="40"/>
      <c r="O11" s="41"/>
      <c r="P11" s="40"/>
      <c r="Q11" s="40"/>
      <c r="R11" s="39"/>
    </row>
    <row r="12" spans="1:24" ht="15" thickBot="1" x14ac:dyDescent="0.35">
      <c r="A12" s="41"/>
      <c r="B12" s="12"/>
      <c r="C12" s="13"/>
      <c r="D12" s="14"/>
      <c r="E12" s="40"/>
      <c r="F12" s="18" t="s">
        <v>35</v>
      </c>
      <c r="G12" s="19"/>
      <c r="H12" s="19"/>
      <c r="I12" s="20"/>
      <c r="J12" s="40"/>
      <c r="K12" s="24"/>
      <c r="L12" s="25"/>
      <c r="M12" s="26"/>
      <c r="N12" s="40"/>
      <c r="O12" s="41"/>
      <c r="P12" s="40"/>
      <c r="Q12" s="40"/>
      <c r="R12" s="39"/>
    </row>
    <row r="13" spans="1:24" ht="15" thickBot="1" x14ac:dyDescent="0.35">
      <c r="A13" s="41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1"/>
      <c r="P13" s="40"/>
      <c r="Q13" s="40"/>
      <c r="R13" s="39"/>
    </row>
    <row r="14" spans="1:24" x14ac:dyDescent="0.3">
      <c r="A14" s="45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3"/>
      <c r="O14" s="41"/>
      <c r="P14" s="40"/>
      <c r="Q14" s="40"/>
      <c r="R14" s="39"/>
    </row>
    <row r="15" spans="1:24" x14ac:dyDescent="0.3">
      <c r="A15" s="41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39"/>
      <c r="O15" s="41"/>
      <c r="P15" s="40"/>
      <c r="Q15" s="40"/>
      <c r="R15" s="39"/>
      <c r="X15" t="s">
        <v>47</v>
      </c>
    </row>
    <row r="16" spans="1:24" x14ac:dyDescent="0.3">
      <c r="A16" s="41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39"/>
      <c r="O16" s="41"/>
      <c r="P16" s="40"/>
      <c r="Q16" s="40"/>
      <c r="R16" s="39"/>
    </row>
    <row r="17" spans="1:22" ht="15" thickBot="1" x14ac:dyDescent="0.35">
      <c r="A17" s="36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8"/>
      <c r="O17" s="41"/>
      <c r="P17" s="40"/>
      <c r="Q17" s="40"/>
      <c r="R17" s="39"/>
    </row>
    <row r="18" spans="1:22" x14ac:dyDescent="0.3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5"/>
      <c r="N18" s="42"/>
      <c r="O18" s="42"/>
      <c r="P18" s="42"/>
      <c r="Q18" s="42"/>
      <c r="R18" s="42"/>
      <c r="S18" s="42"/>
      <c r="T18" s="42"/>
      <c r="U18" s="42"/>
      <c r="V18" s="43"/>
    </row>
    <row r="19" spans="1:22" ht="15" customHeight="1" x14ac:dyDescent="0.3">
      <c r="A19" s="41"/>
      <c r="B19" s="44" t="s">
        <v>46</v>
      </c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1"/>
      <c r="N19" s="44" t="s">
        <v>48</v>
      </c>
      <c r="O19" s="40"/>
      <c r="P19" s="40"/>
      <c r="Q19" s="40"/>
      <c r="R19" s="40"/>
      <c r="S19" s="40"/>
      <c r="T19" s="40"/>
      <c r="U19" s="40"/>
      <c r="V19" s="39"/>
    </row>
    <row r="20" spans="1:22" x14ac:dyDescent="0.3">
      <c r="A20" s="41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1"/>
      <c r="N20" s="40"/>
      <c r="O20" s="40"/>
      <c r="P20" s="40"/>
      <c r="Q20" s="40"/>
      <c r="R20" s="40"/>
      <c r="S20" s="40"/>
      <c r="T20" s="40"/>
      <c r="U20" s="40"/>
      <c r="V20" s="39"/>
    </row>
    <row r="21" spans="1:22" x14ac:dyDescent="0.3">
      <c r="A21" s="41"/>
      <c r="B21" s="47" t="s">
        <v>1</v>
      </c>
      <c r="C21" s="1" t="s">
        <v>2</v>
      </c>
      <c r="D21" s="1" t="s">
        <v>3</v>
      </c>
      <c r="E21" s="1" t="s">
        <v>4</v>
      </c>
      <c r="F21" s="1" t="s">
        <v>5</v>
      </c>
      <c r="G21" s="1" t="s">
        <v>6</v>
      </c>
      <c r="H21" s="1" t="s">
        <v>9</v>
      </c>
      <c r="I21" s="1" t="s">
        <v>10</v>
      </c>
      <c r="J21" s="1" t="s">
        <v>11</v>
      </c>
      <c r="K21" s="1" t="s">
        <v>12</v>
      </c>
      <c r="L21" s="40"/>
      <c r="M21" s="41"/>
      <c r="N21" s="40"/>
      <c r="O21" s="40"/>
      <c r="P21" s="40"/>
      <c r="Q21" s="40"/>
      <c r="R21" s="40"/>
      <c r="S21" s="40"/>
      <c r="T21" s="40"/>
      <c r="U21" s="40"/>
      <c r="V21" s="39"/>
    </row>
    <row r="22" spans="1:22" x14ac:dyDescent="0.3">
      <c r="A22" s="41"/>
      <c r="B22" s="48"/>
      <c r="C22" s="1" t="str">
        <f>"[m"&amp;[1]Control!$F$7&amp;"]"</f>
        <v>[mLAT]</v>
      </c>
      <c r="D22" s="1" t="str">
        <f>"[m"&amp;[1]Control!$F$7&amp;"]"</f>
        <v>[mLAT]</v>
      </c>
      <c r="E22" s="1" t="s">
        <v>7</v>
      </c>
      <c r="F22" s="1" t="s">
        <v>7</v>
      </c>
      <c r="G22" s="1" t="s">
        <v>8</v>
      </c>
      <c r="H22" s="1" t="s">
        <v>7</v>
      </c>
      <c r="I22" s="1" t="s">
        <v>13</v>
      </c>
      <c r="J22" s="1" t="s">
        <v>14</v>
      </c>
      <c r="K22" s="1" t="s">
        <v>15</v>
      </c>
      <c r="L22" s="40"/>
      <c r="M22" s="41"/>
      <c r="N22" s="40"/>
      <c r="O22" s="40"/>
      <c r="P22" s="40"/>
      <c r="Q22" s="40"/>
      <c r="R22" s="40"/>
      <c r="S22" s="40"/>
      <c r="T22" s="40"/>
      <c r="U22" s="40"/>
      <c r="V22" s="39"/>
    </row>
    <row r="23" spans="1:22" x14ac:dyDescent="0.3">
      <c r="A23" s="41"/>
      <c r="B23" s="2">
        <v>1</v>
      </c>
      <c r="C23" s="3">
        <v>5.8</v>
      </c>
      <c r="D23" s="3">
        <v>2.6</v>
      </c>
      <c r="E23" s="3">
        <v>8</v>
      </c>
      <c r="F23" s="3">
        <v>8</v>
      </c>
      <c r="G23" s="4">
        <v>115</v>
      </c>
      <c r="H23" s="6">
        <f t="shared" ref="H23:H35" si="0">C23-D23</f>
        <v>3.1999999999999997</v>
      </c>
      <c r="I23" s="7">
        <f>ATAN((F23-E23)/(2*H23))/PI()*180</f>
        <v>0</v>
      </c>
      <c r="J23" s="8">
        <f>IF(I23=0,PI()/4*(E23^2-(E23-(2*G23/1000))^2)*H23*7850/1000,(H23*PI()/12)*((F23^2+F23*E23+E23^2)-((F23-2*(G23/1000))^2+(F23-(2*G23/1000))*(E23-(2*G23/1000))+(E23-(2*G23/1000))^2))*7850/1000)</f>
        <v>71.559788082887295</v>
      </c>
      <c r="K23" s="8">
        <f>MAX(E23:F23)/G23*1000</f>
        <v>69.565217391304344</v>
      </c>
      <c r="L23" s="40"/>
      <c r="M23" s="41"/>
      <c r="N23" s="40"/>
      <c r="O23" s="40"/>
      <c r="P23" s="40"/>
      <c r="Q23" s="40"/>
      <c r="R23" s="40"/>
      <c r="S23" s="40"/>
      <c r="T23" s="40"/>
      <c r="U23" s="40"/>
      <c r="V23" s="39"/>
    </row>
    <row r="24" spans="1:22" x14ac:dyDescent="0.3">
      <c r="A24" s="41"/>
      <c r="B24" s="2">
        <v>2</v>
      </c>
      <c r="C24" s="5">
        <f>D23</f>
        <v>2.6</v>
      </c>
      <c r="D24" s="3">
        <v>-0.6</v>
      </c>
      <c r="E24" s="3">
        <v>8</v>
      </c>
      <c r="F24" s="3">
        <v>8</v>
      </c>
      <c r="G24" s="4">
        <v>120</v>
      </c>
      <c r="H24" s="6">
        <f t="shared" si="0"/>
        <v>3.2</v>
      </c>
      <c r="I24" s="7">
        <f t="shared" ref="I24:I35" si="1">ATAN((F24-E24)/(2*H24))/PI()*180</f>
        <v>0</v>
      </c>
      <c r="J24" s="8">
        <f t="shared" ref="J24:J35" si="2">IF(I24=0,PI()/4*(E24^2-(E24-(2*G24/1000))^2)*H24*7850/1000,(H24*PI()/12)*((F24^2+F24*E24+E24^2)-((F24-2*(G24/1000))^2+(F24-(2*G24/1000))*(E24-(2*G24/1000))+(E24-(2*G24/1000))^2))*7850/1000)</f>
        <v>74.623733132450909</v>
      </c>
      <c r="K24" s="8">
        <f t="shared" ref="K24:K35" si="3">MAX(E24:F24)/G24*1000</f>
        <v>66.666666666666671</v>
      </c>
      <c r="L24" s="40"/>
      <c r="M24" s="41"/>
      <c r="N24" s="40"/>
      <c r="O24" s="40"/>
      <c r="P24" s="40"/>
      <c r="Q24" s="40"/>
      <c r="R24" s="40"/>
      <c r="S24" s="40"/>
      <c r="T24" s="40"/>
      <c r="U24" s="40"/>
      <c r="V24" s="39"/>
    </row>
    <row r="25" spans="1:22" x14ac:dyDescent="0.3">
      <c r="A25" s="41"/>
      <c r="B25" s="2">
        <v>3</v>
      </c>
      <c r="C25" s="5">
        <f t="shared" ref="C25:C34" si="4">D24</f>
        <v>-0.6</v>
      </c>
      <c r="D25" s="3">
        <v>-3.8</v>
      </c>
      <c r="E25" s="3">
        <v>8</v>
      </c>
      <c r="F25" s="3">
        <v>8</v>
      </c>
      <c r="G25" s="4">
        <v>130</v>
      </c>
      <c r="H25" s="6">
        <f t="shared" si="0"/>
        <v>3.1999999999999997</v>
      </c>
      <c r="I25" s="7">
        <f t="shared" si="1"/>
        <v>0</v>
      </c>
      <c r="J25" s="8">
        <f t="shared" si="2"/>
        <v>80.739785710459415</v>
      </c>
      <c r="K25" s="8">
        <f t="shared" si="3"/>
        <v>61.53846153846154</v>
      </c>
      <c r="L25" s="40"/>
      <c r="M25" s="41"/>
      <c r="N25" s="40"/>
      <c r="O25" s="40"/>
      <c r="P25" s="40"/>
      <c r="Q25" s="40"/>
      <c r="R25" s="40"/>
      <c r="S25" s="40"/>
      <c r="T25" s="40"/>
      <c r="U25" s="40"/>
      <c r="V25" s="39"/>
    </row>
    <row r="26" spans="1:22" x14ac:dyDescent="0.3">
      <c r="A26" s="41"/>
      <c r="B26" s="2">
        <v>4</v>
      </c>
      <c r="C26" s="5">
        <f t="shared" si="4"/>
        <v>-3.8</v>
      </c>
      <c r="D26" s="3">
        <v>-7.3</v>
      </c>
      <c r="E26" s="3">
        <v>8</v>
      </c>
      <c r="F26" s="3">
        <v>8.4377999999999993</v>
      </c>
      <c r="G26" s="4">
        <v>130</v>
      </c>
      <c r="H26" s="6">
        <f t="shared" si="0"/>
        <v>3.5</v>
      </c>
      <c r="I26" s="7">
        <f t="shared" si="1"/>
        <v>3.5787803472726449</v>
      </c>
      <c r="J26" s="8">
        <f t="shared" si="2"/>
        <v>90.765413922199599</v>
      </c>
      <c r="K26" s="8">
        <f t="shared" si="3"/>
        <v>64.906153846153842</v>
      </c>
      <c r="L26" s="40"/>
      <c r="M26" s="41"/>
      <c r="N26" s="40"/>
      <c r="O26" s="40"/>
      <c r="P26" s="40"/>
      <c r="Q26" s="40"/>
      <c r="R26" s="40"/>
      <c r="S26" s="40"/>
      <c r="T26" s="40"/>
      <c r="U26" s="40"/>
      <c r="V26" s="39"/>
    </row>
    <row r="27" spans="1:22" x14ac:dyDescent="0.3">
      <c r="A27" s="41"/>
      <c r="B27" s="2">
        <v>5</v>
      </c>
      <c r="C27" s="5">
        <f t="shared" si="4"/>
        <v>-7.3</v>
      </c>
      <c r="D27" s="3">
        <v>-10.8</v>
      </c>
      <c r="E27" s="3">
        <v>8.4377999999999993</v>
      </c>
      <c r="F27" s="3">
        <v>8.8756000000000004</v>
      </c>
      <c r="G27" s="4">
        <v>110</v>
      </c>
      <c r="H27" s="6">
        <f t="shared" si="0"/>
        <v>3.5000000000000009</v>
      </c>
      <c r="I27" s="7">
        <f t="shared" si="1"/>
        <v>3.5787803472726587</v>
      </c>
      <c r="J27" s="8">
        <f t="shared" si="2"/>
        <v>81.148167858304589</v>
      </c>
      <c r="K27" s="8">
        <f t="shared" si="3"/>
        <v>80.687272727272727</v>
      </c>
      <c r="L27" s="40"/>
      <c r="M27" s="41"/>
      <c r="N27" s="40"/>
      <c r="O27" s="40"/>
      <c r="P27" s="40"/>
      <c r="Q27" s="40"/>
      <c r="R27" s="40"/>
      <c r="S27" s="40"/>
      <c r="T27" s="40"/>
      <c r="U27" s="40"/>
      <c r="V27" s="39"/>
    </row>
    <row r="28" spans="1:22" x14ac:dyDescent="0.3">
      <c r="A28" s="41"/>
      <c r="B28" s="2">
        <v>6</v>
      </c>
      <c r="C28" s="5">
        <f t="shared" si="4"/>
        <v>-10.8</v>
      </c>
      <c r="D28" s="3">
        <v>-14.3</v>
      </c>
      <c r="E28" s="3">
        <v>8.8756000000000004</v>
      </c>
      <c r="F28" s="3">
        <v>9.3133999999999997</v>
      </c>
      <c r="G28" s="4">
        <v>124</v>
      </c>
      <c r="H28" s="6">
        <f t="shared" si="0"/>
        <v>3.5</v>
      </c>
      <c r="I28" s="7">
        <f t="shared" si="1"/>
        <v>3.5787803472726449</v>
      </c>
      <c r="J28" s="8">
        <f t="shared" si="2"/>
        <v>96.012086889295531</v>
      </c>
      <c r="K28" s="8">
        <f t="shared" si="3"/>
        <v>75.108064516129033</v>
      </c>
      <c r="L28" s="40"/>
      <c r="M28" s="41"/>
      <c r="N28" s="40"/>
      <c r="O28" s="40"/>
      <c r="P28" s="40"/>
      <c r="Q28" s="40"/>
      <c r="R28" s="40"/>
      <c r="S28" s="40"/>
      <c r="T28" s="40"/>
      <c r="U28" s="40"/>
      <c r="V28" s="39"/>
    </row>
    <row r="29" spans="1:22" x14ac:dyDescent="0.3">
      <c r="A29" s="41"/>
      <c r="B29" s="2">
        <v>7</v>
      </c>
      <c r="C29" s="5">
        <f t="shared" si="4"/>
        <v>-14.3</v>
      </c>
      <c r="D29" s="3">
        <v>-17.8</v>
      </c>
      <c r="E29" s="3">
        <v>9.3133999999999997</v>
      </c>
      <c r="F29" s="3">
        <v>9.7510999999999992</v>
      </c>
      <c r="G29" s="4">
        <v>109</v>
      </c>
      <c r="H29" s="6">
        <f t="shared" si="0"/>
        <v>3.5</v>
      </c>
      <c r="I29" s="7">
        <f t="shared" si="1"/>
        <v>3.5779650246316992</v>
      </c>
      <c r="J29" s="8">
        <f t="shared" si="2"/>
        <v>88.657357951036289</v>
      </c>
      <c r="K29" s="8">
        <f t="shared" si="3"/>
        <v>89.459633027522926</v>
      </c>
      <c r="L29" s="40"/>
      <c r="M29" s="41"/>
      <c r="N29" s="40"/>
      <c r="O29" s="40"/>
      <c r="P29" s="40"/>
      <c r="Q29" s="40"/>
      <c r="R29" s="40"/>
      <c r="S29" s="40"/>
      <c r="T29" s="40"/>
      <c r="U29" s="40"/>
      <c r="V29" s="39"/>
    </row>
    <row r="30" spans="1:22" x14ac:dyDescent="0.3">
      <c r="A30" s="41"/>
      <c r="B30" s="2">
        <v>8</v>
      </c>
      <c r="C30" s="5">
        <f t="shared" si="4"/>
        <v>-17.8</v>
      </c>
      <c r="D30" s="3">
        <v>-21.3</v>
      </c>
      <c r="E30" s="3">
        <v>9.7510999999999992</v>
      </c>
      <c r="F30" s="3">
        <v>10.1889</v>
      </c>
      <c r="G30" s="4">
        <v>98</v>
      </c>
      <c r="H30" s="6">
        <f t="shared" si="0"/>
        <v>3.5</v>
      </c>
      <c r="I30" s="7">
        <f t="shared" si="1"/>
        <v>3.5787803472726605</v>
      </c>
      <c r="J30" s="8">
        <f t="shared" si="2"/>
        <v>83.506214395905687</v>
      </c>
      <c r="K30" s="8">
        <f t="shared" si="3"/>
        <v>103.96836734693878</v>
      </c>
      <c r="L30" s="40"/>
      <c r="M30" s="41"/>
      <c r="N30" s="40"/>
      <c r="O30" s="40"/>
      <c r="P30" s="40"/>
      <c r="Q30" s="40"/>
      <c r="R30" s="40"/>
      <c r="S30" s="40"/>
      <c r="T30" s="40"/>
      <c r="U30" s="40"/>
      <c r="V30" s="39"/>
    </row>
    <row r="31" spans="1:22" x14ac:dyDescent="0.3">
      <c r="A31" s="41"/>
      <c r="B31" s="2">
        <v>9</v>
      </c>
      <c r="C31" s="5">
        <f t="shared" si="4"/>
        <v>-21.3</v>
      </c>
      <c r="D31" s="3">
        <v>-24.8</v>
      </c>
      <c r="E31" s="3">
        <v>10.1889</v>
      </c>
      <c r="F31" s="3">
        <v>10.6267</v>
      </c>
      <c r="G31" s="4">
        <v>98</v>
      </c>
      <c r="H31" s="6">
        <f t="shared" si="0"/>
        <v>3.5</v>
      </c>
      <c r="I31" s="7">
        <f t="shared" si="1"/>
        <v>3.5787803472726449</v>
      </c>
      <c r="J31" s="8">
        <f t="shared" si="2"/>
        <v>87.209518757992953</v>
      </c>
      <c r="K31" s="8">
        <f t="shared" si="3"/>
        <v>108.43571428571428</v>
      </c>
      <c r="L31" s="40"/>
      <c r="M31" s="41"/>
      <c r="N31" s="40"/>
      <c r="O31" s="40"/>
      <c r="P31" s="40"/>
      <c r="Q31" s="40"/>
      <c r="R31" s="40"/>
      <c r="S31" s="40"/>
      <c r="T31" s="40"/>
      <c r="U31" s="40"/>
      <c r="V31" s="39"/>
    </row>
    <row r="32" spans="1:22" x14ac:dyDescent="0.3">
      <c r="A32" s="41"/>
      <c r="B32" s="2">
        <v>10</v>
      </c>
      <c r="C32" s="5">
        <f t="shared" si="4"/>
        <v>-24.8</v>
      </c>
      <c r="D32" s="3">
        <v>-28.3</v>
      </c>
      <c r="E32" s="3">
        <v>10.6267</v>
      </c>
      <c r="F32" s="3">
        <v>11.064500000000001</v>
      </c>
      <c r="G32" s="4">
        <v>98</v>
      </c>
      <c r="H32" s="6">
        <f t="shared" si="0"/>
        <v>3.5</v>
      </c>
      <c r="I32" s="7">
        <f t="shared" si="1"/>
        <v>3.5787803472726605</v>
      </c>
      <c r="J32" s="8">
        <f t="shared" si="2"/>
        <v>90.912823120080617</v>
      </c>
      <c r="K32" s="8">
        <f t="shared" si="3"/>
        <v>112.9030612244898</v>
      </c>
      <c r="L32" s="40"/>
      <c r="M32" s="41"/>
      <c r="N32" s="40"/>
      <c r="O32" s="40"/>
      <c r="P32" s="40"/>
      <c r="Q32" s="40"/>
      <c r="R32" s="40"/>
      <c r="S32" s="40"/>
      <c r="T32" s="40"/>
      <c r="U32" s="40"/>
      <c r="V32" s="39"/>
    </row>
    <row r="33" spans="1:22" x14ac:dyDescent="0.3">
      <c r="A33" s="41"/>
      <c r="B33" s="2">
        <v>11</v>
      </c>
      <c r="C33" s="5">
        <f t="shared" si="4"/>
        <v>-28.3</v>
      </c>
      <c r="D33" s="3">
        <v>-31.8</v>
      </c>
      <c r="E33" s="3">
        <v>11.064500000000001</v>
      </c>
      <c r="F33" s="3">
        <v>11.5</v>
      </c>
      <c r="G33" s="4">
        <v>98</v>
      </c>
      <c r="H33" s="6">
        <f t="shared" si="0"/>
        <v>3.5</v>
      </c>
      <c r="I33" s="7">
        <f t="shared" si="1"/>
        <v>3.5600275600241904</v>
      </c>
      <c r="J33" s="8">
        <f t="shared" si="2"/>
        <v>94.606399752574163</v>
      </c>
      <c r="K33" s="8">
        <f t="shared" si="3"/>
        <v>117.34693877551021</v>
      </c>
      <c r="L33" s="40"/>
      <c r="M33" s="41"/>
      <c r="N33" s="40"/>
      <c r="O33" s="40"/>
      <c r="P33" s="40"/>
      <c r="Q33" s="40"/>
      <c r="R33" s="40"/>
      <c r="S33" s="40"/>
      <c r="T33" s="40"/>
      <c r="U33" s="40"/>
      <c r="V33" s="39"/>
    </row>
    <row r="34" spans="1:22" x14ac:dyDescent="0.3">
      <c r="A34" s="41"/>
      <c r="B34" s="2">
        <v>12</v>
      </c>
      <c r="C34" s="5">
        <f t="shared" si="4"/>
        <v>-31.8</v>
      </c>
      <c r="D34" s="3">
        <v>-35.299999999999997</v>
      </c>
      <c r="E34" s="3">
        <v>11.5</v>
      </c>
      <c r="F34" s="3">
        <v>11.5</v>
      </c>
      <c r="G34" s="4">
        <v>98</v>
      </c>
      <c r="H34" s="6">
        <f t="shared" si="0"/>
        <v>3.4999999999999964</v>
      </c>
      <c r="I34" s="7">
        <f t="shared" si="1"/>
        <v>0</v>
      </c>
      <c r="J34" s="8">
        <f t="shared" si="2"/>
        <v>96.448324204023137</v>
      </c>
      <c r="K34" s="8">
        <f t="shared" si="3"/>
        <v>117.34693877551021</v>
      </c>
      <c r="L34" s="40"/>
      <c r="M34" s="41"/>
      <c r="N34" s="40"/>
      <c r="O34" s="40"/>
      <c r="P34" s="40"/>
      <c r="Q34" s="40"/>
      <c r="R34" s="40"/>
      <c r="S34" s="40"/>
      <c r="T34" s="40"/>
      <c r="U34" s="40"/>
      <c r="V34" s="39"/>
    </row>
    <row r="35" spans="1:22" x14ac:dyDescent="0.3">
      <c r="A35" s="41"/>
      <c r="B35" s="2">
        <v>13</v>
      </c>
      <c r="C35" s="5">
        <f>D34</f>
        <v>-35.299999999999997</v>
      </c>
      <c r="D35" s="3">
        <v>-38.6</v>
      </c>
      <c r="E35" s="3">
        <v>11.5</v>
      </c>
      <c r="F35" s="3">
        <v>11.5</v>
      </c>
      <c r="G35" s="4">
        <v>98</v>
      </c>
      <c r="H35" s="6">
        <f t="shared" si="0"/>
        <v>3.3000000000000043</v>
      </c>
      <c r="I35" s="7">
        <f t="shared" si="1"/>
        <v>0</v>
      </c>
      <c r="J35" s="8">
        <f t="shared" si="2"/>
        <v>90.936991392364888</v>
      </c>
      <c r="K35" s="8">
        <f t="shared" si="3"/>
        <v>117.34693877551021</v>
      </c>
      <c r="L35" s="40"/>
      <c r="M35" s="41"/>
      <c r="N35" s="40"/>
      <c r="O35" s="40"/>
      <c r="P35" s="40"/>
      <c r="Q35" s="40"/>
      <c r="R35" s="40"/>
      <c r="S35" s="40"/>
      <c r="T35" s="40"/>
      <c r="U35" s="40"/>
      <c r="V35" s="39"/>
    </row>
    <row r="36" spans="1:22" x14ac:dyDescent="0.3">
      <c r="A36" s="41"/>
      <c r="B36" s="2">
        <v>14</v>
      </c>
      <c r="C36" s="5">
        <f t="shared" ref="C36:C47" si="5">D35</f>
        <v>-38.6</v>
      </c>
      <c r="D36" s="3">
        <v>-41.9</v>
      </c>
      <c r="E36" s="3">
        <v>11.5</v>
      </c>
      <c r="F36" s="3">
        <v>11.5</v>
      </c>
      <c r="G36" s="4">
        <v>98</v>
      </c>
      <c r="H36" s="6">
        <f>C36-D36</f>
        <v>3.2999999999999972</v>
      </c>
      <c r="I36" s="7">
        <f>ATAN((F36-E36)/(2*H36))/PI()*180</f>
        <v>0</v>
      </c>
      <c r="J36" s="8">
        <f>IF(I36=0,PI()/4*(E36^2-(E36-(2*G36/1000))^2)*H36*7850/1000,(H36*PI()/12)*((F36^2+F36*E36+E36^2)-((F36-2*(G36/1000))^2+(F36-(2*G36/1000))*(E36-(2*G36/1000))+(E36-(2*G36/1000))^2))*7850/1000)</f>
        <v>90.936991392364675</v>
      </c>
      <c r="K36" s="8">
        <f>MAX(E36:F36)/G36*1000</f>
        <v>117.34693877551021</v>
      </c>
      <c r="L36" s="40"/>
      <c r="M36" s="41"/>
      <c r="N36" s="40"/>
      <c r="O36" s="40"/>
      <c r="P36" s="40"/>
      <c r="Q36" s="40"/>
      <c r="R36" s="40"/>
      <c r="S36" s="40"/>
      <c r="T36" s="40"/>
      <c r="U36" s="40"/>
      <c r="V36" s="39"/>
    </row>
    <row r="37" spans="1:22" x14ac:dyDescent="0.3">
      <c r="A37" s="41"/>
      <c r="B37" s="2">
        <v>15</v>
      </c>
      <c r="C37" s="5">
        <f t="shared" si="5"/>
        <v>-41.9</v>
      </c>
      <c r="D37" s="3">
        <v>-45.2</v>
      </c>
      <c r="E37" s="3">
        <v>11.5</v>
      </c>
      <c r="F37" s="3">
        <v>11.5</v>
      </c>
      <c r="G37" s="4">
        <v>100</v>
      </c>
      <c r="H37" s="6">
        <f t="shared" ref="H37:H47" si="6">C37-D37</f>
        <v>3.3000000000000043</v>
      </c>
      <c r="I37" s="7">
        <f t="shared" ref="I37:I47" si="7">ATAN((F37-E37)/(2*H37))/PI()*180</f>
        <v>0</v>
      </c>
      <c r="J37" s="8">
        <f t="shared" ref="J37:J47" si="8">IF(I37=0,PI()/4*(E37^2-(E37-(2*G37/1000))^2)*H37*7850/1000,(H37*PI()/12)*((F37^2+F37*E37+E37^2)-((F37-2*(G37/1000))^2+(F37-(2*G37/1000))*(E37-(2*G37/1000))+(E37-(2*G37/1000))^2))*7850/1000)</f>
        <v>92.776571768017575</v>
      </c>
      <c r="K37" s="8">
        <f t="shared" ref="K37:K47" si="9">MAX(E37:F37)/G37*1000</f>
        <v>115</v>
      </c>
      <c r="L37" s="40"/>
      <c r="M37" s="41"/>
      <c r="N37" s="40"/>
      <c r="O37" s="40"/>
      <c r="P37" s="40"/>
      <c r="Q37" s="40"/>
      <c r="R37" s="40"/>
      <c r="S37" s="40"/>
      <c r="T37" s="40"/>
      <c r="U37" s="40"/>
      <c r="V37" s="39"/>
    </row>
    <row r="38" spans="1:22" x14ac:dyDescent="0.3">
      <c r="A38" s="41"/>
      <c r="B38" s="2">
        <v>16</v>
      </c>
      <c r="C38" s="5">
        <f t="shared" si="5"/>
        <v>-45.2</v>
      </c>
      <c r="D38" s="3">
        <v>-48.5</v>
      </c>
      <c r="E38" s="3">
        <v>11.5</v>
      </c>
      <c r="F38" s="3">
        <v>11.5</v>
      </c>
      <c r="G38" s="4">
        <v>98</v>
      </c>
      <c r="H38" s="6">
        <f t="shared" si="6"/>
        <v>3.2999999999999972</v>
      </c>
      <c r="I38" s="7">
        <f t="shared" si="7"/>
        <v>0</v>
      </c>
      <c r="J38" s="8">
        <f t="shared" si="8"/>
        <v>90.936991392364675</v>
      </c>
      <c r="K38" s="8">
        <f t="shared" si="9"/>
        <v>117.34693877551021</v>
      </c>
      <c r="L38" s="40"/>
      <c r="M38" s="41"/>
      <c r="N38" s="40"/>
      <c r="O38" s="40"/>
      <c r="P38" s="40"/>
      <c r="Q38" s="40"/>
      <c r="R38" s="40"/>
      <c r="S38" s="40"/>
      <c r="T38" s="40"/>
      <c r="U38" s="40"/>
      <c r="V38" s="39"/>
    </row>
    <row r="39" spans="1:22" x14ac:dyDescent="0.3">
      <c r="A39" s="41"/>
      <c r="B39" s="2">
        <v>17</v>
      </c>
      <c r="C39" s="5">
        <f t="shared" si="5"/>
        <v>-48.5</v>
      </c>
      <c r="D39" s="3">
        <v>-51.9</v>
      </c>
      <c r="E39" s="3">
        <v>11.5</v>
      </c>
      <c r="F39" s="3">
        <v>11.5</v>
      </c>
      <c r="G39" s="4">
        <v>96</v>
      </c>
      <c r="H39" s="6">
        <f t="shared" si="6"/>
        <v>3.3999999999999986</v>
      </c>
      <c r="I39" s="7">
        <f t="shared" si="7"/>
        <v>0</v>
      </c>
      <c r="J39" s="8">
        <f t="shared" si="8"/>
        <v>91.796661769809532</v>
      </c>
      <c r="K39" s="8">
        <f t="shared" si="9"/>
        <v>119.79166666666667</v>
      </c>
      <c r="L39" s="40"/>
      <c r="M39" s="41"/>
      <c r="N39" s="40"/>
      <c r="O39" s="40"/>
      <c r="P39" s="40"/>
      <c r="Q39" s="40"/>
      <c r="R39" s="40"/>
      <c r="S39" s="40"/>
      <c r="T39" s="40"/>
      <c r="U39" s="40"/>
      <c r="V39" s="39"/>
    </row>
    <row r="40" spans="1:22" x14ac:dyDescent="0.3">
      <c r="A40" s="41"/>
      <c r="B40" s="2">
        <v>18</v>
      </c>
      <c r="C40" s="5">
        <f t="shared" si="5"/>
        <v>-51.9</v>
      </c>
      <c r="D40" s="3">
        <v>-55.9</v>
      </c>
      <c r="E40" s="3">
        <v>11.5</v>
      </c>
      <c r="F40" s="3">
        <v>11.5</v>
      </c>
      <c r="G40" s="4">
        <v>93</v>
      </c>
      <c r="H40" s="6">
        <f t="shared" si="6"/>
        <v>4</v>
      </c>
      <c r="I40" s="7">
        <f t="shared" si="7"/>
        <v>0</v>
      </c>
      <c r="J40" s="8">
        <f t="shared" si="8"/>
        <v>104.64871763601626</v>
      </c>
      <c r="K40" s="8">
        <f t="shared" si="9"/>
        <v>123.65591397849462</v>
      </c>
      <c r="L40" s="40"/>
      <c r="M40" s="41"/>
      <c r="N40" s="40"/>
      <c r="O40" s="40"/>
      <c r="P40" s="40"/>
      <c r="Q40" s="40"/>
      <c r="R40" s="40"/>
      <c r="S40" s="40"/>
      <c r="T40" s="40"/>
      <c r="U40" s="40"/>
      <c r="V40" s="39"/>
    </row>
    <row r="41" spans="1:22" x14ac:dyDescent="0.3">
      <c r="A41" s="41"/>
      <c r="B41" s="2">
        <v>19</v>
      </c>
      <c r="C41" s="5">
        <f t="shared" si="5"/>
        <v>-55.9</v>
      </c>
      <c r="D41" s="3">
        <v>-59.9</v>
      </c>
      <c r="E41" s="3">
        <v>11.5</v>
      </c>
      <c r="F41" s="3">
        <v>11.5</v>
      </c>
      <c r="G41" s="4">
        <v>93</v>
      </c>
      <c r="H41" s="6">
        <f t="shared" si="6"/>
        <v>4</v>
      </c>
      <c r="I41" s="7">
        <f t="shared" si="7"/>
        <v>0</v>
      </c>
      <c r="J41" s="8">
        <f t="shared" si="8"/>
        <v>104.64871763601626</v>
      </c>
      <c r="K41" s="8">
        <f t="shared" si="9"/>
        <v>123.65591397849462</v>
      </c>
      <c r="L41" s="40"/>
      <c r="M41" s="41"/>
      <c r="N41" s="40"/>
      <c r="O41" s="40"/>
      <c r="P41" s="40"/>
      <c r="Q41" s="40"/>
      <c r="R41" s="40"/>
      <c r="S41" s="40"/>
      <c r="T41" s="40"/>
      <c r="U41" s="40"/>
      <c r="V41" s="39"/>
    </row>
    <row r="42" spans="1:22" x14ac:dyDescent="0.3">
      <c r="A42" s="41"/>
      <c r="B42" s="2">
        <v>20</v>
      </c>
      <c r="C42" s="5">
        <f t="shared" si="5"/>
        <v>-59.9</v>
      </c>
      <c r="D42" s="3">
        <v>-63.9</v>
      </c>
      <c r="E42" s="3">
        <v>11.5</v>
      </c>
      <c r="F42" s="3">
        <v>11.5</v>
      </c>
      <c r="G42" s="4">
        <v>93</v>
      </c>
      <c r="H42" s="6">
        <f t="shared" si="6"/>
        <v>4</v>
      </c>
      <c r="I42" s="7">
        <f t="shared" si="7"/>
        <v>0</v>
      </c>
      <c r="J42" s="8">
        <f t="shared" si="8"/>
        <v>104.64871763601626</v>
      </c>
      <c r="K42" s="8">
        <f t="shared" si="9"/>
        <v>123.65591397849462</v>
      </c>
      <c r="L42" s="40"/>
      <c r="M42" s="41"/>
      <c r="N42" s="40"/>
      <c r="O42" s="40"/>
      <c r="P42" s="40"/>
      <c r="Q42" s="40"/>
      <c r="R42" s="40"/>
      <c r="S42" s="40"/>
      <c r="T42" s="40"/>
      <c r="U42" s="40"/>
      <c r="V42" s="39"/>
    </row>
    <row r="43" spans="1:22" x14ac:dyDescent="0.3">
      <c r="A43" s="41"/>
      <c r="B43" s="2">
        <v>21</v>
      </c>
      <c r="C43" s="5">
        <f t="shared" si="5"/>
        <v>-63.9</v>
      </c>
      <c r="D43" s="3">
        <v>-67.900000000000006</v>
      </c>
      <c r="E43" s="3">
        <v>11.5</v>
      </c>
      <c r="F43" s="3">
        <v>11.5</v>
      </c>
      <c r="G43" s="4">
        <v>93</v>
      </c>
      <c r="H43" s="6">
        <f t="shared" si="6"/>
        <v>4.0000000000000071</v>
      </c>
      <c r="I43" s="7">
        <f t="shared" si="7"/>
        <v>0</v>
      </c>
      <c r="J43" s="8">
        <f t="shared" si="8"/>
        <v>104.64871763601644</v>
      </c>
      <c r="K43" s="8">
        <f t="shared" si="9"/>
        <v>123.65591397849462</v>
      </c>
      <c r="L43" s="40"/>
      <c r="M43" s="41"/>
      <c r="N43" s="40"/>
      <c r="O43" s="40"/>
      <c r="P43" s="40"/>
      <c r="Q43" s="40"/>
      <c r="R43" s="40"/>
      <c r="S43" s="40"/>
      <c r="T43" s="40"/>
      <c r="U43" s="40"/>
      <c r="V43" s="39"/>
    </row>
    <row r="44" spans="1:22" x14ac:dyDescent="0.3">
      <c r="A44" s="41"/>
      <c r="B44" s="2">
        <v>22</v>
      </c>
      <c r="C44" s="5">
        <f t="shared" si="5"/>
        <v>-67.900000000000006</v>
      </c>
      <c r="D44" s="3">
        <v>-71.900000000000006</v>
      </c>
      <c r="E44" s="3">
        <v>11.5</v>
      </c>
      <c r="F44" s="3">
        <v>11.5</v>
      </c>
      <c r="G44" s="4">
        <v>93</v>
      </c>
      <c r="H44" s="6">
        <f t="shared" si="6"/>
        <v>4</v>
      </c>
      <c r="I44" s="7">
        <f t="shared" si="7"/>
        <v>0</v>
      </c>
      <c r="J44" s="8">
        <f t="shared" si="8"/>
        <v>104.64871763601626</v>
      </c>
      <c r="K44" s="8">
        <f t="shared" si="9"/>
        <v>123.65591397849462</v>
      </c>
      <c r="L44" s="40"/>
      <c r="M44" s="41"/>
      <c r="N44" s="40"/>
      <c r="O44" s="40"/>
      <c r="P44" s="40"/>
      <c r="Q44" s="40"/>
      <c r="R44" s="40"/>
      <c r="S44" s="40"/>
      <c r="T44" s="40"/>
      <c r="U44" s="40"/>
      <c r="V44" s="39"/>
    </row>
    <row r="45" spans="1:22" x14ac:dyDescent="0.3">
      <c r="A45" s="41"/>
      <c r="B45" s="2">
        <v>23</v>
      </c>
      <c r="C45" s="5">
        <f t="shared" si="5"/>
        <v>-71.900000000000006</v>
      </c>
      <c r="D45" s="3">
        <v>-75.7</v>
      </c>
      <c r="E45" s="3">
        <v>11.5</v>
      </c>
      <c r="F45" s="3">
        <v>11.5</v>
      </c>
      <c r="G45" s="4">
        <v>96</v>
      </c>
      <c r="H45" s="6">
        <f t="shared" si="6"/>
        <v>3.7999999999999972</v>
      </c>
      <c r="I45" s="7">
        <f t="shared" si="7"/>
        <v>0</v>
      </c>
      <c r="J45" s="8">
        <f t="shared" si="8"/>
        <v>102.59626903684591</v>
      </c>
      <c r="K45" s="8">
        <f t="shared" si="9"/>
        <v>119.79166666666667</v>
      </c>
      <c r="L45" s="40"/>
      <c r="M45" s="41"/>
      <c r="N45" s="40"/>
      <c r="O45" s="40"/>
      <c r="P45" s="40"/>
      <c r="Q45" s="40"/>
      <c r="R45" s="40"/>
      <c r="S45" s="40"/>
      <c r="T45" s="40"/>
      <c r="U45" s="40"/>
      <c r="V45" s="39"/>
    </row>
    <row r="46" spans="1:22" x14ac:dyDescent="0.3">
      <c r="A46" s="41"/>
      <c r="B46" s="2">
        <v>24</v>
      </c>
      <c r="C46" s="5">
        <f t="shared" si="5"/>
        <v>-75.7</v>
      </c>
      <c r="D46" s="3">
        <f>D47+3</f>
        <v>-79.37</v>
      </c>
      <c r="E46" s="3">
        <v>11.5</v>
      </c>
      <c r="F46" s="3">
        <v>11.5</v>
      </c>
      <c r="G46" s="4">
        <v>100</v>
      </c>
      <c r="H46" s="6">
        <f t="shared" si="6"/>
        <v>3.6700000000000017</v>
      </c>
      <c r="I46" s="7">
        <f t="shared" si="7"/>
        <v>0</v>
      </c>
      <c r="J46" s="8">
        <f t="shared" si="8"/>
        <v>103.17879345109823</v>
      </c>
      <c r="K46" s="8">
        <f t="shared" si="9"/>
        <v>115</v>
      </c>
      <c r="L46" s="40"/>
      <c r="M46" s="41"/>
      <c r="N46" s="40"/>
      <c r="O46" s="40"/>
      <c r="P46" s="40"/>
      <c r="Q46" s="40"/>
      <c r="R46" s="40"/>
      <c r="S46" s="40"/>
      <c r="T46" s="40"/>
      <c r="U46" s="40"/>
      <c r="V46" s="39"/>
    </row>
    <row r="47" spans="1:22" x14ac:dyDescent="0.3">
      <c r="A47" s="41"/>
      <c r="B47" s="2">
        <v>25</v>
      </c>
      <c r="C47" s="5">
        <f t="shared" si="5"/>
        <v>-79.37</v>
      </c>
      <c r="D47" s="3">
        <v>-82.37</v>
      </c>
      <c r="E47" s="3">
        <v>11.5</v>
      </c>
      <c r="F47" s="3">
        <v>11.5</v>
      </c>
      <c r="G47" s="4">
        <v>105</v>
      </c>
      <c r="H47" s="6">
        <f t="shared" si="6"/>
        <v>3</v>
      </c>
      <c r="I47" s="7">
        <f t="shared" si="7"/>
        <v>0</v>
      </c>
      <c r="J47" s="8">
        <f t="shared" si="8"/>
        <v>88.520613003300838</v>
      </c>
      <c r="K47" s="8">
        <f t="shared" si="9"/>
        <v>109.52380952380952</v>
      </c>
      <c r="L47" s="40"/>
      <c r="M47" s="41"/>
      <c r="N47" s="40"/>
      <c r="O47" s="40"/>
      <c r="P47" s="40"/>
      <c r="Q47" s="40"/>
      <c r="R47" s="40"/>
      <c r="S47" s="40"/>
      <c r="T47" s="40"/>
      <c r="U47" s="40"/>
      <c r="V47" s="39"/>
    </row>
    <row r="48" spans="1:22" x14ac:dyDescent="0.3">
      <c r="A48" s="41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1"/>
      <c r="N48" s="40"/>
      <c r="O48" s="40"/>
      <c r="P48" s="40"/>
      <c r="Q48" s="40"/>
      <c r="R48" s="40"/>
      <c r="S48" s="40"/>
      <c r="T48" s="40"/>
      <c r="U48" s="40"/>
      <c r="V48" s="39"/>
    </row>
    <row r="49" spans="1:22" x14ac:dyDescent="0.3">
      <c r="A49" s="41"/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1"/>
      <c r="N49" s="40"/>
      <c r="O49" s="40"/>
      <c r="P49" s="40"/>
      <c r="Q49" s="40"/>
      <c r="R49" s="40"/>
      <c r="S49" s="40"/>
      <c r="T49" s="40"/>
      <c r="U49" s="40"/>
      <c r="V49" s="39"/>
    </row>
    <row r="50" spans="1:22" x14ac:dyDescent="0.3">
      <c r="A50" s="41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1"/>
      <c r="N50" s="40"/>
      <c r="O50" s="40"/>
      <c r="P50" s="40"/>
      <c r="Q50" s="40"/>
      <c r="R50" s="40"/>
      <c r="S50" s="40"/>
      <c r="T50" s="40"/>
      <c r="U50" s="40"/>
      <c r="V50" s="39"/>
    </row>
    <row r="51" spans="1:22" x14ac:dyDescent="0.3">
      <c r="A51" s="41"/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1"/>
      <c r="N51" s="40"/>
      <c r="O51" s="40"/>
      <c r="P51" s="40"/>
      <c r="Q51" s="40"/>
      <c r="R51" s="40"/>
      <c r="S51" s="40"/>
      <c r="T51" s="40"/>
      <c r="U51" s="40"/>
      <c r="V51" s="39"/>
    </row>
    <row r="52" spans="1:22" x14ac:dyDescent="0.3">
      <c r="A52" s="41"/>
      <c r="B52" s="40"/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1"/>
      <c r="N52" s="40"/>
      <c r="O52" s="40"/>
      <c r="P52" s="40"/>
      <c r="Q52" s="40"/>
      <c r="R52" s="40"/>
      <c r="S52" s="40"/>
      <c r="T52" s="40"/>
      <c r="U52" s="40"/>
      <c r="V52" s="39"/>
    </row>
    <row r="53" spans="1:22" x14ac:dyDescent="0.3">
      <c r="A53" s="41"/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1"/>
      <c r="N53" s="40"/>
      <c r="O53" s="40"/>
      <c r="P53" s="40"/>
      <c r="Q53" s="40"/>
      <c r="R53" s="40"/>
      <c r="S53" s="40"/>
      <c r="T53" s="40"/>
      <c r="U53" s="40"/>
      <c r="V53" s="39"/>
    </row>
    <row r="54" spans="1:22" x14ac:dyDescent="0.3">
      <c r="A54" s="41"/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1"/>
      <c r="N54" s="40"/>
      <c r="O54" s="40"/>
      <c r="P54" s="40"/>
      <c r="Q54" s="40"/>
      <c r="R54" s="40"/>
      <c r="S54" s="40"/>
      <c r="T54" s="40"/>
      <c r="U54" s="40"/>
      <c r="V54" s="39"/>
    </row>
    <row r="55" spans="1:22" x14ac:dyDescent="0.3">
      <c r="A55" s="41"/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1"/>
      <c r="N55" s="40"/>
      <c r="O55" s="40"/>
      <c r="P55" s="40"/>
      <c r="Q55" s="40"/>
      <c r="R55" s="40"/>
      <c r="S55" s="40"/>
      <c r="T55" s="40"/>
      <c r="U55" s="40"/>
      <c r="V55" s="39"/>
    </row>
    <row r="56" spans="1:22" x14ac:dyDescent="0.3">
      <c r="A56" s="41"/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1"/>
      <c r="N56" s="40"/>
      <c r="O56" s="40"/>
      <c r="P56" s="40"/>
      <c r="Q56" s="40"/>
      <c r="R56" s="40"/>
      <c r="S56" s="40"/>
      <c r="T56" s="40"/>
      <c r="U56" s="40"/>
      <c r="V56" s="39"/>
    </row>
    <row r="57" spans="1:22" x14ac:dyDescent="0.3">
      <c r="A57" s="41"/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1"/>
      <c r="N57" s="40"/>
      <c r="O57" s="40"/>
      <c r="P57" s="40"/>
      <c r="Q57" s="40"/>
      <c r="R57" s="40"/>
      <c r="S57" s="40"/>
      <c r="T57" s="40"/>
      <c r="U57" s="40"/>
      <c r="V57" s="39"/>
    </row>
    <row r="58" spans="1:22" x14ac:dyDescent="0.3">
      <c r="A58" s="41"/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1"/>
      <c r="N58" s="40"/>
      <c r="O58" s="40"/>
      <c r="P58" s="40"/>
      <c r="Q58" s="40"/>
      <c r="R58" s="40"/>
      <c r="S58" s="40"/>
      <c r="T58" s="40"/>
      <c r="U58" s="40"/>
      <c r="V58" s="39"/>
    </row>
    <row r="59" spans="1:22" x14ac:dyDescent="0.3">
      <c r="A59" s="41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1"/>
      <c r="N59" s="40"/>
      <c r="O59" s="40"/>
      <c r="P59" s="40"/>
      <c r="Q59" s="40"/>
      <c r="R59" s="40"/>
      <c r="S59" s="40"/>
      <c r="T59" s="40"/>
      <c r="U59" s="40"/>
      <c r="V59" s="39"/>
    </row>
    <row r="60" spans="1:22" x14ac:dyDescent="0.3">
      <c r="A60" s="41"/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1"/>
      <c r="N60" s="40"/>
      <c r="O60" s="40"/>
      <c r="P60" s="40"/>
      <c r="Q60" s="40"/>
      <c r="R60" s="40"/>
      <c r="S60" s="40"/>
      <c r="T60" s="40"/>
      <c r="U60" s="40"/>
      <c r="V60" s="39"/>
    </row>
    <row r="61" spans="1:22" x14ac:dyDescent="0.3">
      <c r="A61" s="41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1"/>
      <c r="N61" s="40"/>
      <c r="O61" s="40"/>
      <c r="P61" s="40"/>
      <c r="Q61" s="40"/>
      <c r="R61" s="40"/>
      <c r="S61" s="40"/>
      <c r="T61" s="40"/>
      <c r="U61" s="40"/>
      <c r="V61" s="39"/>
    </row>
    <row r="62" spans="1:22" x14ac:dyDescent="0.3">
      <c r="A62" s="41"/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1"/>
      <c r="N62" s="40"/>
      <c r="O62" s="40"/>
      <c r="P62" s="40"/>
      <c r="Q62" s="40"/>
      <c r="R62" s="40"/>
      <c r="S62" s="40"/>
      <c r="T62" s="40"/>
      <c r="U62" s="40"/>
      <c r="V62" s="39"/>
    </row>
    <row r="63" spans="1:22" x14ac:dyDescent="0.3">
      <c r="A63" s="41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1"/>
      <c r="N63" s="40"/>
      <c r="O63" s="40"/>
      <c r="P63" s="40"/>
      <c r="Q63" s="40"/>
      <c r="R63" s="40"/>
      <c r="S63" s="40"/>
      <c r="T63" s="40"/>
      <c r="U63" s="40"/>
      <c r="V63" s="39"/>
    </row>
    <row r="64" spans="1:22" x14ac:dyDescent="0.3">
      <c r="A64" s="41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1"/>
      <c r="N64" s="40"/>
      <c r="O64" s="40"/>
      <c r="P64" s="40"/>
      <c r="Q64" s="40"/>
      <c r="R64" s="40"/>
      <c r="S64" s="40"/>
      <c r="T64" s="40"/>
      <c r="U64" s="40"/>
      <c r="V64" s="39"/>
    </row>
    <row r="65" spans="1:22" x14ac:dyDescent="0.3">
      <c r="A65" s="41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1"/>
      <c r="N65" s="40"/>
      <c r="O65" s="40"/>
      <c r="P65" s="40"/>
      <c r="Q65" s="40"/>
      <c r="R65" s="40"/>
      <c r="S65" s="40"/>
      <c r="T65" s="40"/>
      <c r="U65" s="40"/>
      <c r="V65" s="39"/>
    </row>
    <row r="66" spans="1:22" x14ac:dyDescent="0.3">
      <c r="A66" s="41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1"/>
      <c r="N66" s="40"/>
      <c r="O66" s="40"/>
      <c r="P66" s="40"/>
      <c r="Q66" s="40"/>
      <c r="R66" s="40"/>
      <c r="S66" s="40"/>
      <c r="T66" s="40"/>
      <c r="U66" s="40"/>
      <c r="V66" s="39"/>
    </row>
    <row r="67" spans="1:22" ht="15" thickBot="1" x14ac:dyDescent="0.35">
      <c r="A67" s="41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36"/>
      <c r="N67" s="37"/>
      <c r="O67" s="37"/>
      <c r="P67" s="37"/>
      <c r="Q67" s="37"/>
      <c r="R67" s="37"/>
      <c r="S67" s="37"/>
      <c r="T67" s="37"/>
      <c r="U67" s="37"/>
      <c r="V67" s="38"/>
    </row>
  </sheetData>
  <mergeCells count="3">
    <mergeCell ref="B4:D4"/>
    <mergeCell ref="F4:I4"/>
    <mergeCell ref="K4:M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ot">
                <anchor moveWithCells="1" sizeWithCells="1">
                  <from>
                    <xdr:col>2</xdr:col>
                    <xdr:colOff>297180</xdr:colOff>
                    <xdr:row>13</xdr:row>
                    <xdr:rowOff>106680</xdr:rowOff>
                  </from>
                  <to>
                    <xdr:col>3</xdr:col>
                    <xdr:colOff>556260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lot">
                <anchor moveWithCells="1" sizeWithCells="1">
                  <from>
                    <xdr:col>4</xdr:col>
                    <xdr:colOff>45720</xdr:colOff>
                    <xdr:row>13</xdr:row>
                    <xdr:rowOff>121920</xdr:rowOff>
                  </from>
                  <to>
                    <xdr:col>5</xdr:col>
                    <xdr:colOff>495300</xdr:colOff>
                    <xdr:row>16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lot">
                <anchor moveWithCells="1" sizeWithCells="1">
                  <from>
                    <xdr:col>1</xdr:col>
                    <xdr:colOff>7620</xdr:colOff>
                    <xdr:row>13</xdr:row>
                    <xdr:rowOff>121920</xdr:rowOff>
                  </from>
                  <to>
                    <xdr:col>2</xdr:col>
                    <xdr:colOff>30480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lot">
                <anchor moveWithCells="1" sizeWithCells="1">
                  <from>
                    <xdr:col>5</xdr:col>
                    <xdr:colOff>822960</xdr:colOff>
                    <xdr:row>13</xdr:row>
                    <xdr:rowOff>137160</xdr:rowOff>
                  </from>
                  <to>
                    <xdr:col>7</xdr:col>
                    <xdr:colOff>373380</xdr:colOff>
                    <xdr:row>16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03C7-ED49-4829-81EA-1588CEA502C8}">
  <sheetPr codeName="Tabelle1"/>
  <dimension ref="A5:DZ168"/>
  <sheetViews>
    <sheetView zoomScale="55" zoomScaleNormal="55" workbookViewId="0">
      <selection activeCell="M31" sqref="M31"/>
    </sheetView>
  </sheetViews>
  <sheetFormatPr baseColWidth="10" defaultColWidth="11.33203125" defaultRowHeight="14.4" outlineLevelCol="1" x14ac:dyDescent="0.3"/>
  <cols>
    <col min="1" max="1" width="43.33203125" style="71" customWidth="1"/>
    <col min="2" max="2" width="37.44140625" customWidth="1"/>
    <col min="3" max="4" width="17.33203125" customWidth="1"/>
    <col min="5" max="5" width="14.5546875" customWidth="1"/>
    <col min="6" max="6" width="19.33203125" customWidth="1"/>
    <col min="7" max="10" width="11.33203125" customWidth="1"/>
    <col min="11" max="11" width="11.88671875" customWidth="1"/>
    <col min="12" max="12" width="12.33203125" customWidth="1"/>
    <col min="13" max="13" width="21.6640625" customWidth="1"/>
    <col min="14" max="14" width="16.33203125" customWidth="1"/>
    <col min="15" max="15" width="47.5546875" customWidth="1"/>
    <col min="17" max="17" width="11.33203125" hidden="1" customWidth="1" outlineLevel="1"/>
    <col min="18" max="18" width="12.6640625" hidden="1" customWidth="1" outlineLevel="1"/>
    <col min="19" max="19" width="11.33203125" hidden="1" customWidth="1" outlineLevel="1"/>
    <col min="20" max="20" width="14.5546875" hidden="1" customWidth="1" outlineLevel="1"/>
    <col min="21" max="26" width="11.33203125" hidden="1" customWidth="1" outlineLevel="1"/>
    <col min="27" max="27" width="11.33203125" collapsed="1"/>
    <col min="28" max="28" width="28.33203125" customWidth="1"/>
    <col min="31" max="31" width="22" customWidth="1"/>
    <col min="33" max="34" width="15.44140625" customWidth="1"/>
    <col min="35" max="35" width="15.44140625" style="73" customWidth="1"/>
    <col min="36" max="36" width="23.109375" style="71" customWidth="1"/>
    <col min="37" max="37" width="11.33203125" customWidth="1"/>
    <col min="49" max="49" width="25" customWidth="1"/>
    <col min="51" max="60" width="11.33203125" hidden="1" customWidth="1" outlineLevel="1"/>
    <col min="61" max="61" width="11.33203125" collapsed="1"/>
    <col min="65" max="66" width="11.33203125" customWidth="1"/>
    <col min="68" max="68" width="11.33203125" customWidth="1"/>
    <col min="69" max="69" width="11.33203125" style="73"/>
    <col min="70" max="70" width="23.109375" style="71" customWidth="1"/>
    <col min="82" max="82" width="17.33203125" customWidth="1"/>
    <col min="83" max="83" width="39.5546875" customWidth="1"/>
    <col min="85" max="94" width="11.33203125" hidden="1" customWidth="1" outlineLevel="1"/>
    <col min="95" max="95" width="11.33203125" collapsed="1"/>
    <col min="103" max="103" width="11.33203125" style="73"/>
    <col min="104" max="104" width="23.109375" style="71" customWidth="1"/>
    <col min="105" max="105" width="14.77734375" customWidth="1"/>
    <col min="106" max="106" width="21.21875" customWidth="1"/>
    <col min="107" max="107" width="22.44140625" customWidth="1"/>
    <col min="108" max="108" width="16.6640625" customWidth="1"/>
    <col min="115" max="121" width="11.33203125" hidden="1" customWidth="1" outlineLevel="1"/>
    <col min="122" max="122" width="11.33203125" collapsed="1"/>
    <col min="130" max="130" width="11.33203125" style="73"/>
  </cols>
  <sheetData>
    <row r="5" spans="2:114" x14ac:dyDescent="0.3">
      <c r="E5" s="72"/>
    </row>
    <row r="6" spans="2:114" x14ac:dyDescent="0.3">
      <c r="E6" s="72" t="b">
        <v>1</v>
      </c>
    </row>
    <row r="7" spans="2:114" x14ac:dyDescent="0.3">
      <c r="E7" s="72"/>
    </row>
    <row r="8" spans="2:114" x14ac:dyDescent="0.3">
      <c r="E8" s="72" t="b">
        <v>1</v>
      </c>
    </row>
    <row r="9" spans="2:114" ht="24" customHeight="1" x14ac:dyDescent="0.3"/>
    <row r="11" spans="2:114" ht="18" x14ac:dyDescent="0.35">
      <c r="B11" s="74" t="s">
        <v>70</v>
      </c>
      <c r="P11" t="s">
        <v>76</v>
      </c>
      <c r="AJ11" s="82" t="s">
        <v>97</v>
      </c>
      <c r="AX11" t="s">
        <v>76</v>
      </c>
      <c r="BR11" s="82" t="s">
        <v>79</v>
      </c>
      <c r="CF11" t="s">
        <v>76</v>
      </c>
      <c r="CZ11" s="82" t="s">
        <v>144</v>
      </c>
      <c r="DJ11" t="s">
        <v>76</v>
      </c>
    </row>
    <row r="13" spans="2:114" ht="23.4" customHeight="1" x14ac:dyDescent="0.3">
      <c r="C13" s="75" t="s">
        <v>99</v>
      </c>
      <c r="AK13" s="75" t="s">
        <v>71</v>
      </c>
      <c r="BS13" s="75" t="s">
        <v>98</v>
      </c>
      <c r="DA13" s="75" t="s">
        <v>98</v>
      </c>
    </row>
    <row r="14" spans="2:114" ht="21.6" customHeight="1" thickBot="1" x14ac:dyDescent="0.35"/>
    <row r="15" spans="2:114" ht="21.6" customHeight="1" thickBot="1" x14ac:dyDescent="0.35">
      <c r="D15" s="61" t="s">
        <v>122</v>
      </c>
      <c r="E15" s="62"/>
      <c r="F15" s="64"/>
      <c r="G15" s="62"/>
      <c r="H15" s="63"/>
      <c r="AN15" s="61" t="s">
        <v>122</v>
      </c>
      <c r="AO15" s="62"/>
      <c r="AP15" s="65"/>
      <c r="AQ15" s="62"/>
      <c r="AR15" s="63"/>
    </row>
    <row r="18" spans="1:129" x14ac:dyDescent="0.3">
      <c r="A18" s="76" t="s">
        <v>72</v>
      </c>
      <c r="B18" t="s">
        <v>82</v>
      </c>
      <c r="C18" t="s">
        <v>83</v>
      </c>
      <c r="D18" t="s">
        <v>80</v>
      </c>
      <c r="E18" t="s">
        <v>84</v>
      </c>
      <c r="F18" t="s">
        <v>81</v>
      </c>
      <c r="G18" t="s">
        <v>119</v>
      </c>
      <c r="H18" t="s">
        <v>85</v>
      </c>
      <c r="Q18" t="s">
        <v>82</v>
      </c>
      <c r="R18" t="s">
        <v>83</v>
      </c>
      <c r="S18" t="s">
        <v>80</v>
      </c>
      <c r="T18" t="s">
        <v>84</v>
      </c>
      <c r="U18" t="s">
        <v>81</v>
      </c>
      <c r="V18" t="s">
        <v>119</v>
      </c>
      <c r="W18" t="s">
        <v>85</v>
      </c>
      <c r="AB18" t="s">
        <v>82</v>
      </c>
      <c r="AC18" t="s">
        <v>83</v>
      </c>
      <c r="AD18" t="s">
        <v>80</v>
      </c>
      <c r="AE18" t="s">
        <v>84</v>
      </c>
      <c r="AF18" t="s">
        <v>81</v>
      </c>
      <c r="AG18" t="s">
        <v>119</v>
      </c>
      <c r="AH18" t="s">
        <v>85</v>
      </c>
      <c r="AJ18" s="71" t="s">
        <v>82</v>
      </c>
      <c r="AK18" t="s">
        <v>83</v>
      </c>
      <c r="AL18" t="s">
        <v>80</v>
      </c>
      <c r="AM18" t="s">
        <v>84</v>
      </c>
      <c r="AN18" t="s">
        <v>81</v>
      </c>
      <c r="AO18" t="s">
        <v>119</v>
      </c>
      <c r="AP18" t="s">
        <v>85</v>
      </c>
      <c r="AY18" t="s">
        <v>82</v>
      </c>
      <c r="AZ18" t="s">
        <v>83</v>
      </c>
      <c r="BA18" t="s">
        <v>80</v>
      </c>
      <c r="BB18" t="s">
        <v>84</v>
      </c>
      <c r="BC18" t="s">
        <v>81</v>
      </c>
      <c r="BD18" t="s">
        <v>119</v>
      </c>
      <c r="BE18" t="s">
        <v>85</v>
      </c>
      <c r="BJ18" t="s">
        <v>82</v>
      </c>
      <c r="BK18" t="s">
        <v>83</v>
      </c>
      <c r="BL18" t="s">
        <v>80</v>
      </c>
      <c r="BM18" t="s">
        <v>84</v>
      </c>
      <c r="BN18" t="s">
        <v>81</v>
      </c>
      <c r="BO18" t="s">
        <v>119</v>
      </c>
      <c r="BP18" t="s">
        <v>85</v>
      </c>
      <c r="BR18" s="71" t="s">
        <v>82</v>
      </c>
      <c r="BS18" t="s">
        <v>83</v>
      </c>
      <c r="BT18" t="s">
        <v>80</v>
      </c>
      <c r="BU18" t="s">
        <v>84</v>
      </c>
      <c r="BV18" t="s">
        <v>81</v>
      </c>
      <c r="BW18" t="s">
        <v>119</v>
      </c>
      <c r="BX18" t="s">
        <v>85</v>
      </c>
      <c r="CG18" t="s">
        <v>82</v>
      </c>
      <c r="CH18" t="s">
        <v>83</v>
      </c>
      <c r="CI18" t="s">
        <v>80</v>
      </c>
      <c r="CJ18" t="s">
        <v>84</v>
      </c>
      <c r="CK18" t="s">
        <v>81</v>
      </c>
      <c r="CL18" t="s">
        <v>119</v>
      </c>
      <c r="CM18" t="s">
        <v>85</v>
      </c>
      <c r="CR18" t="s">
        <v>82</v>
      </c>
      <c r="CS18" t="s">
        <v>83</v>
      </c>
      <c r="CT18" t="s">
        <v>80</v>
      </c>
      <c r="CU18" t="s">
        <v>84</v>
      </c>
      <c r="CV18" t="s">
        <v>81</v>
      </c>
      <c r="CW18" t="s">
        <v>119</v>
      </c>
      <c r="CX18" t="s">
        <v>85</v>
      </c>
      <c r="CZ18" s="71" t="s">
        <v>82</v>
      </c>
      <c r="DA18" t="s">
        <v>83</v>
      </c>
      <c r="DB18" t="s">
        <v>80</v>
      </c>
      <c r="DC18" t="s">
        <v>84</v>
      </c>
      <c r="DD18" t="s">
        <v>81</v>
      </c>
      <c r="DE18" t="s">
        <v>119</v>
      </c>
      <c r="DF18" t="s">
        <v>85</v>
      </c>
      <c r="DK18" t="s">
        <v>82</v>
      </c>
      <c r="DL18" t="s">
        <v>83</v>
      </c>
      <c r="DM18" t="s">
        <v>80</v>
      </c>
      <c r="DN18" t="s">
        <v>84</v>
      </c>
      <c r="DO18" t="s">
        <v>81</v>
      </c>
      <c r="DP18" t="s">
        <v>119</v>
      </c>
      <c r="DQ18" t="s">
        <v>85</v>
      </c>
      <c r="DS18" t="s">
        <v>82</v>
      </c>
      <c r="DT18" t="s">
        <v>83</v>
      </c>
      <c r="DU18" t="s">
        <v>80</v>
      </c>
      <c r="DV18" t="s">
        <v>84</v>
      </c>
      <c r="DW18" t="s">
        <v>81</v>
      </c>
      <c r="DX18" t="s">
        <v>119</v>
      </c>
      <c r="DY18" t="s">
        <v>85</v>
      </c>
    </row>
    <row r="19" spans="1:129" x14ac:dyDescent="0.3">
      <c r="A19" s="77" t="s">
        <v>78</v>
      </c>
      <c r="B19" s="96" t="s">
        <v>86</v>
      </c>
      <c r="C19" s="96" t="s">
        <v>87</v>
      </c>
      <c r="D19" s="96" t="s">
        <v>88</v>
      </c>
      <c r="E19" s="96" t="s">
        <v>89</v>
      </c>
      <c r="F19" s="96">
        <v>39.799999999999997</v>
      </c>
      <c r="G19" s="96" t="s">
        <v>117</v>
      </c>
      <c r="H19" s="96" t="s">
        <v>90</v>
      </c>
      <c r="Q19" t="s">
        <v>86</v>
      </c>
      <c r="R19" t="s">
        <v>87</v>
      </c>
      <c r="S19" t="s">
        <v>88</v>
      </c>
      <c r="T19" t="s">
        <v>89</v>
      </c>
      <c r="U19">
        <v>39.799999999999997</v>
      </c>
      <c r="V19" t="s">
        <v>117</v>
      </c>
      <c r="W19" t="s">
        <v>90</v>
      </c>
      <c r="AB19" t="s">
        <v>86</v>
      </c>
      <c r="AC19" t="s">
        <v>87</v>
      </c>
      <c r="AD19" t="s">
        <v>88</v>
      </c>
      <c r="AE19" t="s">
        <v>89</v>
      </c>
      <c r="AF19">
        <v>39.799999999999997</v>
      </c>
      <c r="AG19" t="s">
        <v>117</v>
      </c>
      <c r="AH19" t="s">
        <v>90</v>
      </c>
      <c r="AJ19" s="100" t="s">
        <v>86</v>
      </c>
      <c r="AK19" s="96" t="s">
        <v>87</v>
      </c>
      <c r="AL19" s="96" t="s">
        <v>88</v>
      </c>
      <c r="AM19" s="96" t="s">
        <v>89</v>
      </c>
      <c r="AN19" s="96">
        <v>39.799999999999997</v>
      </c>
      <c r="AO19" s="78"/>
      <c r="AP19" s="96" t="s">
        <v>90</v>
      </c>
      <c r="AY19" t="s">
        <v>86</v>
      </c>
      <c r="AZ19" t="s">
        <v>87</v>
      </c>
      <c r="BA19" t="s">
        <v>88</v>
      </c>
      <c r="BB19" t="s">
        <v>89</v>
      </c>
      <c r="BC19">
        <v>39.799999999999997</v>
      </c>
      <c r="BD19" t="s">
        <v>49</v>
      </c>
      <c r="BE19" t="s">
        <v>90</v>
      </c>
      <c r="BJ19" t="s">
        <v>86</v>
      </c>
      <c r="BK19" t="s">
        <v>87</v>
      </c>
      <c r="BL19" t="s">
        <v>88</v>
      </c>
      <c r="BM19" t="s">
        <v>89</v>
      </c>
      <c r="BN19">
        <v>39.799999999999997</v>
      </c>
      <c r="BO19" t="s">
        <v>49</v>
      </c>
      <c r="BP19" t="s">
        <v>90</v>
      </c>
      <c r="BR19" s="100" t="s">
        <v>86</v>
      </c>
      <c r="BS19" s="96" t="s">
        <v>87</v>
      </c>
      <c r="BT19" s="96" t="s">
        <v>88</v>
      </c>
      <c r="BU19" s="96" t="s">
        <v>89</v>
      </c>
      <c r="BV19" s="96">
        <v>39.799999999999997</v>
      </c>
      <c r="BW19" s="96" t="s">
        <v>117</v>
      </c>
      <c r="BX19" s="96" t="s">
        <v>90</v>
      </c>
      <c r="CG19" t="s">
        <v>86</v>
      </c>
      <c r="CH19" t="s">
        <v>87</v>
      </c>
      <c r="CI19" t="s">
        <v>88</v>
      </c>
      <c r="CJ19" t="s">
        <v>89</v>
      </c>
      <c r="CK19">
        <v>39.799999999999997</v>
      </c>
      <c r="CL19" t="s">
        <v>117</v>
      </c>
      <c r="CM19" t="s">
        <v>90</v>
      </c>
      <c r="CR19" t="s">
        <v>86</v>
      </c>
      <c r="CS19" t="s">
        <v>87</v>
      </c>
      <c r="CT19" t="s">
        <v>88</v>
      </c>
      <c r="CU19" t="s">
        <v>89</v>
      </c>
      <c r="CV19">
        <v>39.799999999999997</v>
      </c>
      <c r="CW19" t="s">
        <v>117</v>
      </c>
      <c r="CX19" t="s">
        <v>90</v>
      </c>
      <c r="CZ19" s="71" t="s">
        <v>91</v>
      </c>
      <c r="DA19" t="s">
        <v>92</v>
      </c>
      <c r="DB19" t="s">
        <v>88</v>
      </c>
      <c r="DC19" t="s">
        <v>93</v>
      </c>
      <c r="DD19">
        <v>39.799999999999997</v>
      </c>
      <c r="DE19" t="s">
        <v>116</v>
      </c>
      <c r="DF19" t="s">
        <v>90</v>
      </c>
      <c r="DK19" t="s">
        <v>91</v>
      </c>
      <c r="DL19" t="s">
        <v>92</v>
      </c>
      <c r="DM19" t="s">
        <v>88</v>
      </c>
      <c r="DN19" t="s">
        <v>93</v>
      </c>
      <c r="DO19">
        <v>39.799999999999997</v>
      </c>
      <c r="DP19" t="s">
        <v>116</v>
      </c>
      <c r="DS19" t="s">
        <v>91</v>
      </c>
      <c r="DT19" t="s">
        <v>92</v>
      </c>
      <c r="DU19" t="s">
        <v>88</v>
      </c>
      <c r="DV19" t="s">
        <v>93</v>
      </c>
      <c r="DW19">
        <v>39.799999999999997</v>
      </c>
      <c r="DX19" t="s">
        <v>116</v>
      </c>
    </row>
    <row r="20" spans="1:129" x14ac:dyDescent="0.3">
      <c r="A20" s="77"/>
      <c r="Q20" s="78"/>
      <c r="R20" s="78"/>
      <c r="S20" s="78"/>
      <c r="T20" s="78"/>
      <c r="U20" s="78"/>
      <c r="V20" s="78"/>
      <c r="AB20" t="s">
        <v>91</v>
      </c>
      <c r="AC20" t="s">
        <v>92</v>
      </c>
      <c r="AD20" t="s">
        <v>88</v>
      </c>
      <c r="AE20" t="s">
        <v>93</v>
      </c>
      <c r="AF20">
        <v>39.799999999999997</v>
      </c>
      <c r="AG20" t="s">
        <v>49</v>
      </c>
      <c r="AH20" t="s">
        <v>90</v>
      </c>
      <c r="AY20" s="78"/>
      <c r="AZ20" s="78"/>
      <c r="BA20" s="78"/>
      <c r="BB20" s="78"/>
      <c r="BC20" s="78"/>
      <c r="BJ20" t="s">
        <v>91</v>
      </c>
      <c r="BK20" t="s">
        <v>92</v>
      </c>
      <c r="BL20" t="s">
        <v>88</v>
      </c>
      <c r="BM20" t="s">
        <v>93</v>
      </c>
      <c r="BN20">
        <v>39.799999999999997</v>
      </c>
      <c r="BO20" t="s">
        <v>117</v>
      </c>
      <c r="BP20" t="s">
        <v>90</v>
      </c>
      <c r="CG20" s="78"/>
      <c r="CH20" s="78"/>
      <c r="CI20" s="78"/>
      <c r="CJ20" s="78"/>
      <c r="CK20" s="78"/>
      <c r="CR20" t="s">
        <v>91</v>
      </c>
      <c r="CS20" t="s">
        <v>92</v>
      </c>
      <c r="CT20" t="s">
        <v>88</v>
      </c>
      <c r="CU20" t="s">
        <v>93</v>
      </c>
      <c r="CV20">
        <v>39.799999999999997</v>
      </c>
      <c r="CW20" t="s">
        <v>49</v>
      </c>
      <c r="CX20" t="s">
        <v>90</v>
      </c>
      <c r="DK20" s="78"/>
      <c r="DL20" s="78"/>
      <c r="DM20" s="78"/>
      <c r="DN20" s="78"/>
      <c r="DO20" s="78"/>
    </row>
    <row r="21" spans="1:129" x14ac:dyDescent="0.3">
      <c r="A21" s="76" t="s">
        <v>73</v>
      </c>
      <c r="B21" t="s">
        <v>82</v>
      </c>
      <c r="C21" t="s">
        <v>83</v>
      </c>
      <c r="D21" t="s">
        <v>80</v>
      </c>
      <c r="E21" t="s">
        <v>84</v>
      </c>
      <c r="F21" t="s">
        <v>81</v>
      </c>
      <c r="G21" t="s">
        <v>119</v>
      </c>
      <c r="H21" t="s">
        <v>85</v>
      </c>
      <c r="AJ21" s="71" t="s">
        <v>82</v>
      </c>
      <c r="AK21" t="s">
        <v>83</v>
      </c>
      <c r="AL21" t="s">
        <v>80</v>
      </c>
      <c r="AM21" t="s">
        <v>84</v>
      </c>
      <c r="AN21" t="s">
        <v>81</v>
      </c>
      <c r="AO21" t="s">
        <v>119</v>
      </c>
      <c r="AP21" t="s">
        <v>85</v>
      </c>
      <c r="BR21" s="71" t="s">
        <v>82</v>
      </c>
      <c r="BS21" t="s">
        <v>83</v>
      </c>
      <c r="BT21" t="s">
        <v>80</v>
      </c>
      <c r="BU21" t="s">
        <v>84</v>
      </c>
      <c r="BV21" t="s">
        <v>81</v>
      </c>
      <c r="BW21" t="s">
        <v>119</v>
      </c>
      <c r="BX21" t="s">
        <v>85</v>
      </c>
      <c r="CZ21" s="71" t="s">
        <v>82</v>
      </c>
      <c r="DA21" t="s">
        <v>83</v>
      </c>
      <c r="DB21" t="s">
        <v>80</v>
      </c>
      <c r="DC21" t="s">
        <v>84</v>
      </c>
      <c r="DD21" t="s">
        <v>81</v>
      </c>
      <c r="DE21" t="s">
        <v>119</v>
      </c>
      <c r="DF21" t="s">
        <v>85</v>
      </c>
    </row>
    <row r="22" spans="1:129" x14ac:dyDescent="0.3">
      <c r="A22" s="77" t="s">
        <v>74</v>
      </c>
      <c r="Q22" s="79" t="s">
        <v>77</v>
      </c>
      <c r="AY22" s="79" t="s">
        <v>77</v>
      </c>
      <c r="CG22" s="79" t="s">
        <v>77</v>
      </c>
      <c r="DK22" s="79" t="s">
        <v>77</v>
      </c>
    </row>
    <row r="23" spans="1:129" x14ac:dyDescent="0.3">
      <c r="A23" s="77"/>
    </row>
    <row r="24" spans="1:129" x14ac:dyDescent="0.3">
      <c r="A24" s="77" t="s">
        <v>75</v>
      </c>
      <c r="B24" t="s">
        <v>1</v>
      </c>
      <c r="C24" t="s">
        <v>121</v>
      </c>
      <c r="D24" t="s">
        <v>120</v>
      </c>
      <c r="E24" t="s">
        <v>94</v>
      </c>
      <c r="F24" t="s">
        <v>95</v>
      </c>
      <c r="G24" t="s">
        <v>96</v>
      </c>
      <c r="H24" t="s">
        <v>9</v>
      </c>
      <c r="I24" t="s">
        <v>10</v>
      </c>
      <c r="J24" t="s">
        <v>11</v>
      </c>
      <c r="K24" t="s">
        <v>12</v>
      </c>
      <c r="M24" t="s">
        <v>123</v>
      </c>
      <c r="N24" t="s">
        <v>106</v>
      </c>
      <c r="O24" t="s">
        <v>105</v>
      </c>
      <c r="Q24" t="s">
        <v>1</v>
      </c>
      <c r="R24" t="s">
        <v>121</v>
      </c>
      <c r="S24" t="s">
        <v>120</v>
      </c>
      <c r="T24" t="s">
        <v>94</v>
      </c>
      <c r="U24" t="s">
        <v>95</v>
      </c>
      <c r="V24" t="s">
        <v>96</v>
      </c>
      <c r="X24" t="s">
        <v>123</v>
      </c>
      <c r="Y24" t="s">
        <v>106</v>
      </c>
      <c r="Z24" t="s">
        <v>105</v>
      </c>
      <c r="AJ24" s="71" t="s">
        <v>1</v>
      </c>
      <c r="AK24" t="s">
        <v>121</v>
      </c>
      <c r="AL24" t="s">
        <v>120</v>
      </c>
      <c r="AM24" t="s">
        <v>94</v>
      </c>
      <c r="AN24" t="s">
        <v>95</v>
      </c>
      <c r="AO24" t="s">
        <v>96</v>
      </c>
      <c r="AP24" t="s">
        <v>9</v>
      </c>
      <c r="AQ24" t="s">
        <v>10</v>
      </c>
      <c r="AR24" t="s">
        <v>11</v>
      </c>
      <c r="AS24" t="s">
        <v>12</v>
      </c>
      <c r="AU24" t="s">
        <v>123</v>
      </c>
      <c r="AV24" t="s">
        <v>106</v>
      </c>
      <c r="AW24" t="s">
        <v>105</v>
      </c>
      <c r="AY24" t="s">
        <v>1</v>
      </c>
      <c r="AZ24" t="s">
        <v>121</v>
      </c>
      <c r="BA24" t="s">
        <v>120</v>
      </c>
      <c r="BB24" t="s">
        <v>94</v>
      </c>
      <c r="BC24" t="s">
        <v>95</v>
      </c>
      <c r="BD24" t="s">
        <v>96</v>
      </c>
      <c r="BF24" t="s">
        <v>123</v>
      </c>
      <c r="BG24" t="s">
        <v>106</v>
      </c>
      <c r="BH24" t="s">
        <v>105</v>
      </c>
      <c r="BR24" s="71" t="s">
        <v>1</v>
      </c>
      <c r="BS24" t="s">
        <v>121</v>
      </c>
      <c r="BT24" t="s">
        <v>120</v>
      </c>
      <c r="BU24" t="s">
        <v>94</v>
      </c>
      <c r="BV24" t="s">
        <v>95</v>
      </c>
      <c r="BW24" t="s">
        <v>96</v>
      </c>
      <c r="BX24" t="s">
        <v>9</v>
      </c>
      <c r="BY24" t="s">
        <v>10</v>
      </c>
      <c r="BZ24" t="s">
        <v>11</v>
      </c>
      <c r="CA24" t="s">
        <v>12</v>
      </c>
      <c r="CC24" t="s">
        <v>123</v>
      </c>
      <c r="CD24" t="s">
        <v>106</v>
      </c>
      <c r="CE24" t="s">
        <v>105</v>
      </c>
      <c r="CG24" t="s">
        <v>1</v>
      </c>
      <c r="CH24" t="s">
        <v>121</v>
      </c>
      <c r="CI24" t="s">
        <v>120</v>
      </c>
      <c r="CJ24" t="s">
        <v>94</v>
      </c>
      <c r="CK24" t="s">
        <v>95</v>
      </c>
      <c r="CL24" t="s">
        <v>96</v>
      </c>
      <c r="CN24" t="s">
        <v>123</v>
      </c>
      <c r="CO24" t="s">
        <v>106</v>
      </c>
      <c r="CP24" t="s">
        <v>105</v>
      </c>
      <c r="CZ24" s="84" t="s">
        <v>82</v>
      </c>
      <c r="DA24" s="84" t="s">
        <v>148</v>
      </c>
      <c r="DB24" s="84" t="s">
        <v>145</v>
      </c>
      <c r="DC24" s="84" t="s">
        <v>146</v>
      </c>
      <c r="DD24" s="84" t="s">
        <v>19</v>
      </c>
      <c r="DK24" t="s">
        <v>1</v>
      </c>
      <c r="DL24" t="s">
        <v>121</v>
      </c>
      <c r="DM24" t="s">
        <v>120</v>
      </c>
      <c r="DN24" t="s">
        <v>94</v>
      </c>
      <c r="DO24" t="s">
        <v>95</v>
      </c>
      <c r="DP24" t="s">
        <v>96</v>
      </c>
    </row>
    <row r="25" spans="1:129" x14ac:dyDescent="0.3">
      <c r="B25" s="96">
        <v>1</v>
      </c>
      <c r="C25" s="97">
        <v>5.8</v>
      </c>
      <c r="D25" s="97">
        <v>2.6</v>
      </c>
      <c r="E25" s="96">
        <v>8</v>
      </c>
      <c r="F25" s="96">
        <v>8</v>
      </c>
      <c r="G25" s="96">
        <v>115</v>
      </c>
      <c r="H25" s="80">
        <f>IFERROR(MP_DATA[[#This Row],[Bottom '[m']]]-MP_DATA[[#This Row],[D, top '[m']]], "")</f>
        <v>-5.4</v>
      </c>
      <c r="I25" s="80">
        <f>IFERROR(-(MP_DATA[[#This Row],[D, bottom '[m']]]-MP_DATA[[#This Row],[D, top '[m']]])/(MP_DATA[[#This Row],[Bottom '[m']]]-MP_DATA[[#This Row],[Top '[m']]]),"")</f>
        <v>0</v>
      </c>
      <c r="J25" s="80">
        <f t="shared" ref="J25:J56" si="0">IF(7850/1000*(1/3)*PI()*ABS(C25-D25)*((E25/2)^2+(E25/2)*(F25/2)+(F25/2)^2-(E25/2-G25/1000)^2-(E25/2-G25/1000)*(F25/2-G25/1000)-(F25/2-G25/1000)^2)=0,"",7850/1000*(1/3)*PI()*ABS(C25-D25)*((E25/2)^2+(E25/2)*(F25/2)+(F25/2)^2-(E25/2-G25/1000)^2-(E25/2-G25/1000)*(F25/2-G25/1000)-(F25/2-G25/1000)^2))</f>
        <v>71.55978808288738</v>
      </c>
      <c r="K25" s="80">
        <f>IFERROR((MP_DATA[[#This Row],[D, bottom '[m']]]+MP_DATA[[#This Row],[D, top '[m']]])/(2*MP_DATA[[#This Row],[t '[mm']]]/1000),"")</f>
        <v>69.565217391304344</v>
      </c>
      <c r="M25" s="96">
        <v>5.6</v>
      </c>
      <c r="N25" s="96">
        <v>70000</v>
      </c>
      <c r="O25" s="96" t="s">
        <v>107</v>
      </c>
      <c r="Q25" s="78">
        <v>1</v>
      </c>
      <c r="R25" s="81">
        <v>5.8</v>
      </c>
      <c r="S25" s="81">
        <v>2.6</v>
      </c>
      <c r="T25">
        <v>8</v>
      </c>
      <c r="U25" s="78">
        <v>8</v>
      </c>
      <c r="V25">
        <v>115</v>
      </c>
      <c r="X25">
        <v>5.6</v>
      </c>
      <c r="Y25">
        <v>70000</v>
      </c>
      <c r="Z25" t="s">
        <v>107</v>
      </c>
      <c r="AJ25" s="100">
        <v>1</v>
      </c>
      <c r="AK25" s="78">
        <v>17.47</v>
      </c>
      <c r="AL25" s="78">
        <v>13.5</v>
      </c>
      <c r="AM25" s="96">
        <v>8</v>
      </c>
      <c r="AN25" s="96">
        <v>8</v>
      </c>
      <c r="AO25" s="96">
        <v>102</v>
      </c>
      <c r="AP25" s="80">
        <f>IFERROR(TP_DATA[[#This Row],[Bottom '[m']]]-TP_DATA[[#This Row],[D, top '[m']]], "")</f>
        <v>5.5</v>
      </c>
      <c r="AQ25" s="80">
        <f>IFERROR(-(TP_DATA[[#This Row],[D, bottom '[m']]]-TP_DATA[[#This Row],[D, top '[m']]])/(TP_DATA[[#This Row],[Bottom '[m']]]-TP_DATA[[#This Row],[Top '[m']]]),"")</f>
        <v>0</v>
      </c>
      <c r="AR25" s="80">
        <f t="shared" ref="AR25:AR88" si="1">IF(7850/1000*(1/3)*PI()*ABS(AK25-AL25)*((AM25/2)^2+(AM25/2)*(AN25/2)+(AN25/2)^2-(AM25/2-AO25/1000)^2-(AM25/2-AO25/1000)*(AN25/2-AO25/1000)-(AN25/2-AO25/1000)^2)=0,"",7850/1000*(1/3)*PI()*ABS(AK25-AL25)*((AM25/2)^2+(AM25/2)*(AN25/2)+(AN25/2)^2-(AM25/2-AO25/1000)^2-(AM25/2-AO25/1000)*(AN25/2-AO25/1000)-(AN25/2-AO25/1000)^2))</f>
        <v>78.87281429739798</v>
      </c>
      <c r="AS25" s="80">
        <f>IFERROR((TP_DATA[[#This Row],[D, bottom '[m']]]+TP_DATA[[#This Row],[D, top '[m']]])/(2*TP_DATA[[#This Row],[t '[mm']]]/1000),"")</f>
        <v>78.431372549019613</v>
      </c>
      <c r="AU25" s="78">
        <v>17.47</v>
      </c>
      <c r="AV25" s="96">
        <v>30000</v>
      </c>
      <c r="AW25" s="96" t="s">
        <v>112</v>
      </c>
      <c r="AY25" s="78">
        <v>1</v>
      </c>
      <c r="AZ25" s="78">
        <v>21.47</v>
      </c>
      <c r="BA25" s="78">
        <v>17.5</v>
      </c>
      <c r="BB25">
        <v>8</v>
      </c>
      <c r="BC25" s="78">
        <v>8</v>
      </c>
      <c r="BD25">
        <v>102</v>
      </c>
      <c r="BF25">
        <v>21.47</v>
      </c>
      <c r="BG25">
        <v>30000</v>
      </c>
      <c r="BH25" t="s">
        <v>112</v>
      </c>
      <c r="BR25" s="100">
        <v>1</v>
      </c>
      <c r="BS25" s="96">
        <v>5.8</v>
      </c>
      <c r="BT25" s="96">
        <v>2.6</v>
      </c>
      <c r="BU25" s="96">
        <v>8</v>
      </c>
      <c r="BV25" s="96">
        <v>8</v>
      </c>
      <c r="BW25" s="96">
        <v>115</v>
      </c>
      <c r="BX25" s="80">
        <f>IFERROR(TOWER_DATA[[#This Row],[Bottom '[m']]]-TOWER_DATA[[#This Row],[D, top '[m']]], "")</f>
        <v>-5.4</v>
      </c>
      <c r="BY25" s="80">
        <f>IFERROR(-(TOWER_DATA[[#This Row],[D, bottom '[m']]]-TOWER_DATA[[#This Row],[D, top '[m']]])/(TOWER_DATA[[#This Row],[Bottom '[m']]]-TOWER_DATA[[#This Row],[Top '[m']]]),"")</f>
        <v>0</v>
      </c>
      <c r="BZ25" s="80">
        <f t="shared" ref="BZ25:BZ88" si="2">IF(7850/1000*(1/3)*PI()*ABS(BS25-BT25)*((BU25/2)^2+(BU25/2)*(BV25/2)+(BV25/2)^2-(BU25/2-BW25/1000)^2-(BU25/2-BW25/1000)*(BV25/2-BW25/1000)-(BV25/2-BW25/1000)^2)=0,"",7850/1000*(1/3)*PI()*ABS(BS25-BT25)*((BU25/2)^2+(BU25/2)*(BV25/2)+(BV25/2)^2-(BU25/2-BW25/1000)^2-(BU25/2-BW25/1000)*(BV25/2-BW25/1000)-(BV25/2-BW25/1000)^2))</f>
        <v>71.55978808288738</v>
      </c>
      <c r="CA25" s="80">
        <f>IFERROR((TOWER_DATA[[#This Row],[D, bottom '[m']]]+TOWER_DATA[[#This Row],[D, top '[m']]])/(2*TOWER_DATA[[#This Row],[t '[mm']]]/1000),"")</f>
        <v>69.565217391304344</v>
      </c>
      <c r="CC25" s="101">
        <v>5.6</v>
      </c>
      <c r="CD25" s="101">
        <v>70000</v>
      </c>
      <c r="CE25" s="101" t="s">
        <v>107</v>
      </c>
      <c r="CG25" s="78">
        <v>1</v>
      </c>
      <c r="CH25" s="78">
        <v>5.8</v>
      </c>
      <c r="CI25" s="78">
        <v>2.6</v>
      </c>
      <c r="CJ25">
        <v>8</v>
      </c>
      <c r="CK25" s="78">
        <v>8</v>
      </c>
      <c r="CL25">
        <v>115</v>
      </c>
      <c r="CN25">
        <v>5.6</v>
      </c>
      <c r="CO25">
        <v>70000</v>
      </c>
      <c r="CP25" t="s">
        <v>107</v>
      </c>
      <c r="CZ25" s="58" t="s">
        <v>147</v>
      </c>
      <c r="DA25" s="58">
        <v>777.53</v>
      </c>
      <c r="DB25" s="58">
        <v>197394400</v>
      </c>
      <c r="DC25" s="60">
        <v>3.4</v>
      </c>
      <c r="DD25" s="60"/>
      <c r="DF25" s="80"/>
      <c r="DG25" s="80"/>
      <c r="DH25" s="80"/>
      <c r="DI25" s="80"/>
      <c r="DK25" s="78">
        <v>1</v>
      </c>
      <c r="DL25" s="78">
        <v>139.70000000000002</v>
      </c>
      <c r="DM25" s="78">
        <v>139.62</v>
      </c>
      <c r="DN25">
        <v>5.7039999999999997</v>
      </c>
      <c r="DO25" s="78">
        <v>5.7039999999999997</v>
      </c>
      <c r="DP25">
        <v>30</v>
      </c>
    </row>
    <row r="26" spans="1:129" x14ac:dyDescent="0.3">
      <c r="B26" s="96">
        <v>2</v>
      </c>
      <c r="C26" s="97">
        <v>2.6</v>
      </c>
      <c r="D26" s="97">
        <v>-0.6</v>
      </c>
      <c r="E26" s="96">
        <v>8</v>
      </c>
      <c r="F26" s="96">
        <v>8</v>
      </c>
      <c r="G26" s="96">
        <v>115</v>
      </c>
      <c r="H26" s="80">
        <f>IFERROR(MP_DATA[[#This Row],[Bottom '[m']]]-MP_DATA[[#This Row],[D, top '[m']]], "")</f>
        <v>-8.6</v>
      </c>
      <c r="I26" s="80">
        <f>IFERROR(-(MP_DATA[[#This Row],[D, bottom '[m']]]-MP_DATA[[#This Row],[D, top '[m']]])/(MP_DATA[[#This Row],[Bottom '[m']]]-MP_DATA[[#This Row],[Top '[m']]]),"")</f>
        <v>0</v>
      </c>
      <c r="J26" s="80">
        <f t="shared" si="0"/>
        <v>71.55978808288738</v>
      </c>
      <c r="K26" s="80">
        <f>IFERROR((MP_DATA[[#This Row],[D, bottom '[m']]]+MP_DATA[[#This Row],[D, top '[m']]])/(2*MP_DATA[[#This Row],[t '[mm']]]/1000),"")</f>
        <v>69.565217391304344</v>
      </c>
      <c r="M26" s="96">
        <v>4.2</v>
      </c>
      <c r="N26" s="96">
        <v>9000</v>
      </c>
      <c r="O26" s="96" t="s">
        <v>108</v>
      </c>
      <c r="Q26" s="78">
        <v>2</v>
      </c>
      <c r="R26" s="81">
        <v>2.6</v>
      </c>
      <c r="S26" s="81">
        <v>-0.6</v>
      </c>
      <c r="T26">
        <v>8</v>
      </c>
      <c r="U26" s="78">
        <v>8</v>
      </c>
      <c r="V26">
        <v>115</v>
      </c>
      <c r="X26">
        <v>4.2</v>
      </c>
      <c r="Y26">
        <v>9000</v>
      </c>
      <c r="Z26" t="s">
        <v>108</v>
      </c>
      <c r="AJ26" s="100">
        <v>2</v>
      </c>
      <c r="AK26" s="78">
        <v>13.5</v>
      </c>
      <c r="AL26" s="78">
        <v>9.5</v>
      </c>
      <c r="AM26" s="96">
        <v>8</v>
      </c>
      <c r="AN26" s="96">
        <v>8</v>
      </c>
      <c r="AO26" s="96">
        <v>102</v>
      </c>
      <c r="AP26" s="80">
        <f>IFERROR(TP_DATA[[#This Row],[Bottom '[m']]]-TP_DATA[[#This Row],[D, top '[m']]], "")</f>
        <v>1.5</v>
      </c>
      <c r="AQ26" s="80">
        <f>IFERROR(-(TP_DATA[[#This Row],[D, bottom '[m']]]-TP_DATA[[#This Row],[D, top '[m']]])/(TP_DATA[[#This Row],[Bottom '[m']]]-TP_DATA[[#This Row],[Top '[m']]]),"")</f>
        <v>0</v>
      </c>
      <c r="AR26" s="80">
        <f t="shared" si="1"/>
        <v>79.468830526345599</v>
      </c>
      <c r="AS26" s="80">
        <f>IFERROR((TP_DATA[[#This Row],[D, bottom '[m']]]+TP_DATA[[#This Row],[D, top '[m']]])/(2*TP_DATA[[#This Row],[t '[mm']]]/1000),"")</f>
        <v>78.431372549019613</v>
      </c>
      <c r="AU26" s="78">
        <v>16.7</v>
      </c>
      <c r="AV26" s="96">
        <v>20000</v>
      </c>
      <c r="AW26" s="96" t="s">
        <v>113</v>
      </c>
      <c r="AY26" s="78">
        <v>2</v>
      </c>
      <c r="AZ26" s="78">
        <v>17.5</v>
      </c>
      <c r="BA26" s="78">
        <v>13.5</v>
      </c>
      <c r="BB26">
        <v>8</v>
      </c>
      <c r="BC26" s="78">
        <v>8</v>
      </c>
      <c r="BD26">
        <v>102</v>
      </c>
      <c r="BF26">
        <v>20.7</v>
      </c>
      <c r="BG26">
        <v>20000</v>
      </c>
      <c r="BH26" t="s">
        <v>113</v>
      </c>
      <c r="BR26" s="100">
        <v>2</v>
      </c>
      <c r="BS26" s="96">
        <v>2.6</v>
      </c>
      <c r="BT26" s="96">
        <v>-0.6</v>
      </c>
      <c r="BU26" s="96">
        <v>8</v>
      </c>
      <c r="BV26" s="96">
        <v>8</v>
      </c>
      <c r="BW26" s="96">
        <v>115</v>
      </c>
      <c r="BX26" s="80">
        <f>IFERROR(TOWER_DATA[[#This Row],[Bottom '[m']]]-TOWER_DATA[[#This Row],[D, top '[m']]], "")</f>
        <v>-8.6</v>
      </c>
      <c r="BY26" s="80">
        <f>IFERROR(-(TOWER_DATA[[#This Row],[D, bottom '[m']]]-TOWER_DATA[[#This Row],[D, top '[m']]])/(TOWER_DATA[[#This Row],[Bottom '[m']]]-TOWER_DATA[[#This Row],[Top '[m']]]),"")</f>
        <v>0</v>
      </c>
      <c r="BZ26" s="80">
        <f t="shared" si="2"/>
        <v>71.55978808288738</v>
      </c>
      <c r="CA26" s="80">
        <f>IFERROR((TOWER_DATA[[#This Row],[D, bottom '[m']]]+TOWER_DATA[[#This Row],[D, top '[m']]])/(2*TOWER_DATA[[#This Row],[t '[mm']]]/1000),"")</f>
        <v>69.565217391304344</v>
      </c>
      <c r="CC26" s="101">
        <v>4.2</v>
      </c>
      <c r="CD26" s="101">
        <v>9000</v>
      </c>
      <c r="CE26" s="101" t="s">
        <v>108</v>
      </c>
      <c r="CG26" s="78">
        <v>2</v>
      </c>
      <c r="CH26" s="78">
        <v>2.6</v>
      </c>
      <c r="CI26" s="78">
        <v>-0.6</v>
      </c>
      <c r="CJ26">
        <v>8</v>
      </c>
      <c r="CK26" s="78">
        <v>8</v>
      </c>
      <c r="CL26">
        <v>115</v>
      </c>
      <c r="CN26">
        <v>4.2</v>
      </c>
      <c r="CO26">
        <v>9000</v>
      </c>
      <c r="CP26" t="s">
        <v>108</v>
      </c>
      <c r="DF26" s="80"/>
      <c r="DG26" s="80"/>
      <c r="DH26" s="80"/>
      <c r="DI26" s="80"/>
      <c r="DK26" s="78">
        <v>2</v>
      </c>
      <c r="DL26" s="78">
        <v>139.62</v>
      </c>
      <c r="DM26" s="78">
        <v>139.57</v>
      </c>
      <c r="DN26">
        <v>5.7039999999999997</v>
      </c>
      <c r="DO26" s="78">
        <v>5.7</v>
      </c>
      <c r="DP26">
        <v>26</v>
      </c>
    </row>
    <row r="27" spans="1:129" x14ac:dyDescent="0.3">
      <c r="B27" s="96">
        <v>3</v>
      </c>
      <c r="C27" s="97">
        <v>-0.6</v>
      </c>
      <c r="D27" s="97">
        <v>-3.8</v>
      </c>
      <c r="E27" s="96">
        <v>8</v>
      </c>
      <c r="F27" s="96">
        <v>8</v>
      </c>
      <c r="G27" s="96">
        <v>125</v>
      </c>
      <c r="H27" s="80">
        <f>IFERROR(MP_DATA[[#This Row],[Bottom '[m']]]-MP_DATA[[#This Row],[D, top '[m']]], "")</f>
        <v>-11.8</v>
      </c>
      <c r="I27" s="80">
        <f>IFERROR(-(MP_DATA[[#This Row],[D, bottom '[m']]]-MP_DATA[[#This Row],[D, top '[m']]])/(MP_DATA[[#This Row],[Bottom '[m']]]-MP_DATA[[#This Row],[Top '[m']]]),"")</f>
        <v>0</v>
      </c>
      <c r="J27" s="80">
        <f t="shared" si="0"/>
        <v>77.683732341641587</v>
      </c>
      <c r="K27" s="80">
        <f>IFERROR((MP_DATA[[#This Row],[D, bottom '[m']]]+MP_DATA[[#This Row],[D, top '[m']]])/(2*MP_DATA[[#This Row],[t '[mm']]]/1000),"")</f>
        <v>64</v>
      </c>
      <c r="M27" s="96">
        <v>0.3</v>
      </c>
      <c r="N27" s="96">
        <v>100000</v>
      </c>
      <c r="O27" s="96" t="s">
        <v>109</v>
      </c>
      <c r="Q27" s="78">
        <v>3</v>
      </c>
      <c r="R27" s="81">
        <v>-0.6</v>
      </c>
      <c r="S27" s="81">
        <v>-3.8</v>
      </c>
      <c r="T27">
        <v>8</v>
      </c>
      <c r="U27" s="78">
        <v>8</v>
      </c>
      <c r="V27">
        <v>125</v>
      </c>
      <c r="X27">
        <v>0.3</v>
      </c>
      <c r="Y27">
        <v>100000</v>
      </c>
      <c r="Z27" t="s">
        <v>109</v>
      </c>
      <c r="AJ27" s="100">
        <v>3</v>
      </c>
      <c r="AK27" s="78">
        <v>9.5</v>
      </c>
      <c r="AL27" s="78">
        <v>5.5</v>
      </c>
      <c r="AM27" s="96">
        <v>8</v>
      </c>
      <c r="AN27" s="96">
        <v>8</v>
      </c>
      <c r="AO27" s="96">
        <v>124</v>
      </c>
      <c r="AP27" s="80">
        <f>IFERROR(TP_DATA[[#This Row],[Bottom '[m']]]-TP_DATA[[#This Row],[D, top '[m']]], "")</f>
        <v>-2.5</v>
      </c>
      <c r="AQ27" s="80">
        <f>IFERROR(-(TP_DATA[[#This Row],[D, bottom '[m']]]-TP_DATA[[#This Row],[D, top '[m']]])/(TP_DATA[[#This Row],[Bottom '[m']]]-TP_DATA[[#This Row],[Top '[m']]]),"")</f>
        <v>0</v>
      </c>
      <c r="AR27" s="80">
        <f t="shared" si="1"/>
        <v>96.340060208791698</v>
      </c>
      <c r="AS27" s="80">
        <f>IFERROR((TP_DATA[[#This Row],[D, bottom '[m']]]+TP_DATA[[#This Row],[D, top '[m']]])/(2*TP_DATA[[#This Row],[t '[mm']]]/1000),"")</f>
        <v>64.516129032258064</v>
      </c>
      <c r="AU27" s="78">
        <v>16.100000000000001</v>
      </c>
      <c r="AV27" s="96">
        <v>5000</v>
      </c>
      <c r="AW27" s="96" t="s">
        <v>104</v>
      </c>
      <c r="AY27" s="78">
        <v>3</v>
      </c>
      <c r="AZ27" s="78">
        <v>13.5</v>
      </c>
      <c r="BA27" s="78">
        <v>9.5</v>
      </c>
      <c r="BB27">
        <v>8</v>
      </c>
      <c r="BC27" s="78">
        <v>8</v>
      </c>
      <c r="BD27">
        <v>124</v>
      </c>
      <c r="BF27">
        <v>20.100000000000001</v>
      </c>
      <c r="BG27">
        <v>5000</v>
      </c>
      <c r="BH27" t="s">
        <v>104</v>
      </c>
      <c r="BR27" s="100">
        <v>3</v>
      </c>
      <c r="BS27" s="96">
        <v>-0.6</v>
      </c>
      <c r="BT27" s="96">
        <v>-3.8</v>
      </c>
      <c r="BU27" s="96">
        <v>8</v>
      </c>
      <c r="BV27" s="96">
        <v>8</v>
      </c>
      <c r="BW27" s="96">
        <v>125</v>
      </c>
      <c r="BX27" s="80">
        <f>IFERROR(TOWER_DATA[[#This Row],[Bottom '[m']]]-TOWER_DATA[[#This Row],[D, top '[m']]], "")</f>
        <v>-11.8</v>
      </c>
      <c r="BY27" s="80">
        <f>IFERROR(-(TOWER_DATA[[#This Row],[D, bottom '[m']]]-TOWER_DATA[[#This Row],[D, top '[m']]])/(TOWER_DATA[[#This Row],[Bottom '[m']]]-TOWER_DATA[[#This Row],[Top '[m']]]),"")</f>
        <v>0</v>
      </c>
      <c r="BZ27" s="80">
        <f t="shared" si="2"/>
        <v>77.683732341641587</v>
      </c>
      <c r="CA27" s="80">
        <f>IFERROR((TOWER_DATA[[#This Row],[D, bottom '[m']]]+TOWER_DATA[[#This Row],[D, top '[m']]])/(2*TOWER_DATA[[#This Row],[t '[mm']]]/1000),"")</f>
        <v>64</v>
      </c>
      <c r="CC27" s="101">
        <v>0.3</v>
      </c>
      <c r="CD27" s="101">
        <v>100000</v>
      </c>
      <c r="CE27" s="101" t="s">
        <v>109</v>
      </c>
      <c r="CG27" s="78">
        <v>3</v>
      </c>
      <c r="CH27" s="78">
        <v>-0.6</v>
      </c>
      <c r="CI27" s="78">
        <v>-3.8</v>
      </c>
      <c r="CJ27">
        <v>8</v>
      </c>
      <c r="CK27" s="78">
        <v>8</v>
      </c>
      <c r="CL27">
        <v>125</v>
      </c>
      <c r="CN27">
        <v>0.3</v>
      </c>
      <c r="CO27">
        <v>100000</v>
      </c>
      <c r="CP27" t="s">
        <v>109</v>
      </c>
      <c r="DF27" s="80"/>
      <c r="DG27" s="80"/>
      <c r="DH27" s="80"/>
      <c r="DI27" s="80"/>
      <c r="DK27" s="78">
        <v>3</v>
      </c>
      <c r="DL27" s="78">
        <v>139.57</v>
      </c>
      <c r="DM27" s="78">
        <v>138.72</v>
      </c>
      <c r="DN27">
        <v>5.7</v>
      </c>
      <c r="DO27" s="78">
        <v>5.7023000000000001</v>
      </c>
      <c r="DP27">
        <v>22.3</v>
      </c>
    </row>
    <row r="28" spans="1:129" x14ac:dyDescent="0.3">
      <c r="B28" s="96">
        <v>4</v>
      </c>
      <c r="C28" s="97">
        <v>-3.8</v>
      </c>
      <c r="D28" s="97">
        <v>-7.3</v>
      </c>
      <c r="E28" s="96">
        <v>8</v>
      </c>
      <c r="F28" s="96">
        <v>8.44</v>
      </c>
      <c r="G28" s="96">
        <v>125</v>
      </c>
      <c r="H28" s="80">
        <f>IFERROR(MP_DATA[[#This Row],[Bottom '[m']]]-MP_DATA[[#This Row],[D, top '[m']]], "")</f>
        <v>-15.3</v>
      </c>
      <c r="I28" s="80">
        <f>IFERROR(-(MP_DATA[[#This Row],[D, bottom '[m']]]-MP_DATA[[#This Row],[D, top '[m']]])/(MP_DATA[[#This Row],[Bottom '[m']]]-MP_DATA[[#This Row],[Top '[m']]]),"")</f>
        <v>0.12571428571428558</v>
      </c>
      <c r="J28" s="80">
        <f t="shared" si="0"/>
        <v>87.340251847998317</v>
      </c>
      <c r="K28" s="80">
        <f>IFERROR((MP_DATA[[#This Row],[D, bottom '[m']]]+MP_DATA[[#This Row],[D, top '[m']]])/(2*MP_DATA[[#This Row],[t '[mm']]]/1000),"")</f>
        <v>65.759999999999991</v>
      </c>
      <c r="M28" s="96">
        <v>-5</v>
      </c>
      <c r="N28" s="96">
        <v>1</v>
      </c>
      <c r="O28" s="96" t="s">
        <v>110</v>
      </c>
      <c r="Q28" s="78">
        <v>4</v>
      </c>
      <c r="R28" s="81">
        <v>-3.8</v>
      </c>
      <c r="S28" s="81">
        <v>-7.3</v>
      </c>
      <c r="T28">
        <v>8</v>
      </c>
      <c r="U28" s="78">
        <v>8.44</v>
      </c>
      <c r="V28">
        <v>125</v>
      </c>
      <c r="X28">
        <v>-5</v>
      </c>
      <c r="Y28">
        <v>1</v>
      </c>
      <c r="Z28" t="s">
        <v>110</v>
      </c>
      <c r="AJ28" s="100">
        <v>4</v>
      </c>
      <c r="AK28" s="78">
        <v>5.5</v>
      </c>
      <c r="AL28" s="78">
        <v>1.7999999999999998</v>
      </c>
      <c r="AM28" s="96">
        <v>8</v>
      </c>
      <c r="AN28" s="96">
        <v>8</v>
      </c>
      <c r="AO28" s="96">
        <v>110</v>
      </c>
      <c r="AP28" s="80">
        <f>IFERROR(TP_DATA[[#This Row],[Bottom '[m']]]-TP_DATA[[#This Row],[D, top '[m']]], "")</f>
        <v>-6.2</v>
      </c>
      <c r="AQ28" s="80">
        <f>IFERROR(-(TP_DATA[[#This Row],[D, bottom '[m']]]-TP_DATA[[#This Row],[D, top '[m']]])/(TP_DATA[[#This Row],[Bottom '[m']]]-TP_DATA[[#This Row],[Top '[m']]]),"")</f>
        <v>0</v>
      </c>
      <c r="AR28" s="80">
        <f t="shared" si="1"/>
        <v>79.193756129349012</v>
      </c>
      <c r="AS28" s="80">
        <f>IFERROR((TP_DATA[[#This Row],[D, bottom '[m']]]+TP_DATA[[#This Row],[D, top '[m']]])/(2*TP_DATA[[#This Row],[t '[mm']]]/1000),"")</f>
        <v>72.727272727272734</v>
      </c>
      <c r="AU28" s="78">
        <v>10</v>
      </c>
      <c r="AV28" s="96">
        <v>5000</v>
      </c>
      <c r="AW28" s="96" t="s">
        <v>114</v>
      </c>
      <c r="AY28" s="78">
        <v>4</v>
      </c>
      <c r="AZ28" s="78">
        <v>9.5</v>
      </c>
      <c r="BA28" s="78">
        <v>5.8</v>
      </c>
      <c r="BB28">
        <v>8</v>
      </c>
      <c r="BC28" s="78">
        <v>8</v>
      </c>
      <c r="BD28">
        <v>110</v>
      </c>
      <c r="BF28">
        <v>14</v>
      </c>
      <c r="BG28">
        <v>5000</v>
      </c>
      <c r="BH28" t="s">
        <v>114</v>
      </c>
      <c r="BR28" s="100">
        <v>4</v>
      </c>
      <c r="BS28" s="96">
        <v>-3.8</v>
      </c>
      <c r="BT28" s="96">
        <v>-7.3</v>
      </c>
      <c r="BU28" s="96">
        <v>8</v>
      </c>
      <c r="BV28" s="96">
        <v>8.44</v>
      </c>
      <c r="BW28" s="96">
        <v>125</v>
      </c>
      <c r="BX28" s="80">
        <f>IFERROR(TOWER_DATA[[#This Row],[Bottom '[m']]]-TOWER_DATA[[#This Row],[D, top '[m']]], "")</f>
        <v>-15.3</v>
      </c>
      <c r="BY28" s="80">
        <f>IFERROR(-(TOWER_DATA[[#This Row],[D, bottom '[m']]]-TOWER_DATA[[#This Row],[D, top '[m']]])/(TOWER_DATA[[#This Row],[Bottom '[m']]]-TOWER_DATA[[#This Row],[Top '[m']]]),"")</f>
        <v>0.12571428571428558</v>
      </c>
      <c r="BZ28" s="80">
        <f t="shared" si="2"/>
        <v>87.340251847998317</v>
      </c>
      <c r="CA28" s="80">
        <f>IFERROR((TOWER_DATA[[#This Row],[D, bottom '[m']]]+TOWER_DATA[[#This Row],[D, top '[m']]])/(2*TOWER_DATA[[#This Row],[t '[mm']]]/1000),"")</f>
        <v>65.759999999999991</v>
      </c>
      <c r="CC28" s="101">
        <v>-5</v>
      </c>
      <c r="CD28" s="101">
        <v>1</v>
      </c>
      <c r="CE28" s="101" t="s">
        <v>110</v>
      </c>
      <c r="CG28" s="78">
        <v>4</v>
      </c>
      <c r="CH28" s="78">
        <v>-3.8</v>
      </c>
      <c r="CI28" s="78">
        <v>-7.3</v>
      </c>
      <c r="CJ28">
        <v>8</v>
      </c>
      <c r="CK28" s="78">
        <v>8.44</v>
      </c>
      <c r="CL28">
        <v>125</v>
      </c>
      <c r="CN28">
        <v>-5</v>
      </c>
      <c r="CO28">
        <v>1</v>
      </c>
      <c r="CP28" t="s">
        <v>110</v>
      </c>
      <c r="DF28" s="80"/>
      <c r="DG28" s="80"/>
      <c r="DH28" s="80"/>
      <c r="DI28" s="80"/>
      <c r="DK28" s="78">
        <v>4</v>
      </c>
      <c r="DL28" s="78">
        <v>138.72</v>
      </c>
      <c r="DM28" s="78">
        <v>138.602</v>
      </c>
      <c r="DN28">
        <v>5.7023000000000001</v>
      </c>
      <c r="DO28" s="78">
        <v>5.7051999999999996</v>
      </c>
      <c r="DP28">
        <v>22.3</v>
      </c>
    </row>
    <row r="29" spans="1:129" x14ac:dyDescent="0.3">
      <c r="B29" s="96">
        <v>5</v>
      </c>
      <c r="C29" s="97">
        <v>-7.3</v>
      </c>
      <c r="D29" s="97">
        <v>-10.8</v>
      </c>
      <c r="E29" s="96">
        <v>8.44</v>
      </c>
      <c r="F29" s="96">
        <v>8.8800000000000008</v>
      </c>
      <c r="G29" s="96">
        <v>106</v>
      </c>
      <c r="H29" s="80">
        <f>IFERROR(MP_DATA[[#This Row],[Bottom '[m']]]-MP_DATA[[#This Row],[D, top '[m']]], "")</f>
        <v>-19.240000000000002</v>
      </c>
      <c r="I29" s="80">
        <f>IFERROR(-(MP_DATA[[#This Row],[D, bottom '[m']]]-MP_DATA[[#This Row],[D, top '[m']]])/(MP_DATA[[#This Row],[Bottom '[m']]]-MP_DATA[[#This Row],[Top '[m']]]),"")</f>
        <v>0.12571428571428606</v>
      </c>
      <c r="J29" s="80">
        <f t="shared" si="0"/>
        <v>78.26411613749147</v>
      </c>
      <c r="K29" s="80">
        <f>IFERROR((MP_DATA[[#This Row],[D, bottom '[m']]]+MP_DATA[[#This Row],[D, top '[m']]])/(2*MP_DATA[[#This Row],[t '[mm']]]/1000),"")</f>
        <v>81.698113207547181</v>
      </c>
      <c r="L29" s="80" t="str">
        <f>IFERROR((MP_DATA[[#This Row],[D, bottom '[m']]]+#REF!)/(2*#REF!/1000),"")</f>
        <v/>
      </c>
      <c r="M29" s="96">
        <v>-43.3</v>
      </c>
      <c r="N29" s="96">
        <v>1</v>
      </c>
      <c r="O29" s="96" t="s">
        <v>111</v>
      </c>
      <c r="Q29" s="78">
        <v>5</v>
      </c>
      <c r="R29" s="81">
        <v>-7.3</v>
      </c>
      <c r="S29" s="81">
        <v>-10.8</v>
      </c>
      <c r="T29" s="78">
        <v>8.44</v>
      </c>
      <c r="U29" s="78">
        <v>8.8800000000000008</v>
      </c>
      <c r="V29" s="78">
        <v>106</v>
      </c>
      <c r="X29">
        <v>-43.3</v>
      </c>
      <c r="Y29">
        <v>1</v>
      </c>
      <c r="Z29" t="s">
        <v>111</v>
      </c>
      <c r="AP29" s="80" t="str">
        <f>IFERROR(TP_DATA[[#This Row],[Bottom '[m']]]-TP_DATA[[#This Row],[D, top '[m']]], "")</f>
        <v/>
      </c>
      <c r="AQ29" s="80" t="str">
        <f>IFERROR(-(TP_DATA[[#This Row],[D, bottom '[m']]]-TP_DATA[[#This Row],[D, top '[m']]])/(TP_DATA[[#This Row],[Bottom '[m']]]-TP_DATA[[#This Row],[Top '[m']]]),"")</f>
        <v/>
      </c>
      <c r="AR29" s="80" t="str">
        <f t="shared" si="1"/>
        <v/>
      </c>
      <c r="AS29" s="80" t="str">
        <f>IFERROR((TP_DATA[[#This Row],[D, bottom '[m']]]+TP_DATA[[#This Row],[D, top '[m']]])/(2*TP_DATA[[#This Row],[t '[mm']]]/1000),"")</f>
        <v/>
      </c>
      <c r="AT29" s="80" t="str">
        <f>IFERROR((TP_DATA[[#This Row],[D, bottom '[m']]]+#REF!)/(2*#REF!/1000),"")</f>
        <v/>
      </c>
      <c r="AU29" s="78">
        <v>2.0999999999999996</v>
      </c>
      <c r="AV29" s="96">
        <v>200</v>
      </c>
      <c r="AW29" s="96" t="s">
        <v>115</v>
      </c>
      <c r="AY29" s="78"/>
      <c r="AZ29" s="78"/>
      <c r="BA29" s="78"/>
      <c r="BB29" s="78"/>
      <c r="BC29" s="78"/>
      <c r="BD29" s="78"/>
      <c r="BF29">
        <v>6.1</v>
      </c>
      <c r="BG29">
        <v>200</v>
      </c>
      <c r="BH29" t="s">
        <v>115</v>
      </c>
      <c r="BR29" s="100">
        <v>5</v>
      </c>
      <c r="BS29" s="96">
        <v>-7.3</v>
      </c>
      <c r="BT29" s="96">
        <v>-10.8</v>
      </c>
      <c r="BU29" s="96">
        <v>8.44</v>
      </c>
      <c r="BV29" s="96">
        <v>8.8800000000000008</v>
      </c>
      <c r="BW29" s="96">
        <v>106</v>
      </c>
      <c r="BX29" s="80">
        <f>IFERROR(TOWER_DATA[[#This Row],[Bottom '[m']]]-TOWER_DATA[[#This Row],[D, top '[m']]], "")</f>
        <v>-19.240000000000002</v>
      </c>
      <c r="BY29" s="80">
        <f>IFERROR(-(TOWER_DATA[[#This Row],[D, bottom '[m']]]-TOWER_DATA[[#This Row],[D, top '[m']]])/(TOWER_DATA[[#This Row],[Bottom '[m']]]-TOWER_DATA[[#This Row],[Top '[m']]]),"")</f>
        <v>0.12571428571428606</v>
      </c>
      <c r="BZ29" s="80">
        <f t="shared" si="2"/>
        <v>78.26411613749147</v>
      </c>
      <c r="CA29" s="80">
        <f>IFERROR((TOWER_DATA[[#This Row],[D, bottom '[m']]]+TOWER_DATA[[#This Row],[D, top '[m']]])/(2*TOWER_DATA[[#This Row],[t '[mm']]]/1000),"")</f>
        <v>81.698113207547181</v>
      </c>
      <c r="CB29" s="80" t="str">
        <f>IFERROR((TOWER_DATA[[#This Row],[D, bottom '[m']]]+#REF!)/(2*#REF!/1000),"")</f>
        <v/>
      </c>
      <c r="CC29" s="101">
        <v>-43.3</v>
      </c>
      <c r="CD29" s="101">
        <v>1</v>
      </c>
      <c r="CE29" s="101" t="s">
        <v>111</v>
      </c>
      <c r="CG29" s="78">
        <v>5</v>
      </c>
      <c r="CH29" s="78">
        <v>-7.3</v>
      </c>
      <c r="CI29" s="78">
        <v>-10.8</v>
      </c>
      <c r="CJ29" s="78">
        <v>8.44</v>
      </c>
      <c r="CK29" s="78">
        <v>8.8800000000000008</v>
      </c>
      <c r="CL29" s="78">
        <v>106</v>
      </c>
      <c r="CN29">
        <v>-43.3</v>
      </c>
      <c r="CO29">
        <v>1</v>
      </c>
      <c r="CP29" t="s">
        <v>111</v>
      </c>
      <c r="DF29" s="80"/>
      <c r="DG29" s="80"/>
      <c r="DH29" s="80"/>
      <c r="DI29" s="80"/>
      <c r="DK29" s="78">
        <v>5</v>
      </c>
      <c r="DL29" s="78">
        <v>138.602</v>
      </c>
      <c r="DM29" s="78">
        <v>136.524</v>
      </c>
      <c r="DN29" s="78">
        <v>5.7051999999999996</v>
      </c>
      <c r="DO29" s="78">
        <v>5.7557999999999998</v>
      </c>
      <c r="DP29" s="78">
        <v>21.8</v>
      </c>
    </row>
    <row r="30" spans="1:129" x14ac:dyDescent="0.3">
      <c r="B30" s="96">
        <v>6</v>
      </c>
      <c r="C30" s="97">
        <v>-10.8</v>
      </c>
      <c r="D30" s="97">
        <v>-14.3</v>
      </c>
      <c r="E30" s="96">
        <v>8.8800000000000008</v>
      </c>
      <c r="F30" s="96">
        <v>9.31</v>
      </c>
      <c r="G30" s="96">
        <v>116</v>
      </c>
      <c r="H30" s="80">
        <f>IFERROR(MP_DATA[[#This Row],[Bottom '[m']]]-MP_DATA[[#This Row],[D, top '[m']]], "")</f>
        <v>-23.18</v>
      </c>
      <c r="I30" s="80">
        <f>IFERROR(-(MP_DATA[[#This Row],[D, bottom '[m']]]-MP_DATA[[#This Row],[D, top '[m']]])/(MP_DATA[[#This Row],[Bottom '[m']]]-MP_DATA[[#This Row],[Top '[m']]]),"")</f>
        <v>0.12285714285714278</v>
      </c>
      <c r="J30" s="80">
        <f t="shared" si="0"/>
        <v>89.902865547432455</v>
      </c>
      <c r="K30" s="80">
        <f>IFERROR((MP_DATA[[#This Row],[D, bottom '[m']]]+MP_DATA[[#This Row],[D, top '[m']]])/(2*MP_DATA[[#This Row],[t '[mm']]]/1000),"")</f>
        <v>78.40517241379311</v>
      </c>
      <c r="L30" s="80" t="str">
        <f>IFERROR((MP_DATA[[#This Row],[D, bottom '[m']]]+#REF!)/(2*#REF!/1000),"")</f>
        <v/>
      </c>
      <c r="Q30" s="78">
        <v>6</v>
      </c>
      <c r="R30" s="81">
        <v>-10.8</v>
      </c>
      <c r="S30" s="81">
        <v>-14.3</v>
      </c>
      <c r="T30" s="78">
        <v>8.8800000000000008</v>
      </c>
      <c r="U30" s="78">
        <v>9.31</v>
      </c>
      <c r="V30" s="78">
        <v>116</v>
      </c>
      <c r="AP30" s="80" t="str">
        <f>IFERROR(TP_DATA[[#This Row],[Bottom '[m']]]-TP_DATA[[#This Row],[D, top '[m']]], "")</f>
        <v/>
      </c>
      <c r="AQ30" s="80" t="str">
        <f>IFERROR(-(TP_DATA[[#This Row],[D, bottom '[m']]]-TP_DATA[[#This Row],[D, top '[m']]])/(TP_DATA[[#This Row],[Bottom '[m']]]-TP_DATA[[#This Row],[Top '[m']]]),"")</f>
        <v/>
      </c>
      <c r="AR30" s="80" t="str">
        <f t="shared" si="1"/>
        <v/>
      </c>
      <c r="AS30" s="80" t="str">
        <f>IFERROR((TP_DATA[[#This Row],[D, bottom '[m']]]+TP_DATA[[#This Row],[D, top '[m']]])/(2*TP_DATA[[#This Row],[t '[mm']]]/1000),"")</f>
        <v/>
      </c>
      <c r="AT30" s="80" t="str">
        <f>IFERROR((TP_DATA[[#This Row],[D, bottom '[m']]]+#REF!)/(2*#REF!/1000),"")</f>
        <v/>
      </c>
      <c r="AY30" s="78"/>
      <c r="AZ30" s="78"/>
      <c r="BA30" s="78"/>
      <c r="BB30" s="78"/>
      <c r="BC30" s="78"/>
      <c r="BD30" s="78"/>
      <c r="BR30" s="100">
        <v>6</v>
      </c>
      <c r="BS30" s="96">
        <v>-10.8</v>
      </c>
      <c r="BT30" s="96">
        <v>-14.3</v>
      </c>
      <c r="BU30" s="96">
        <v>8.8800000000000008</v>
      </c>
      <c r="BV30" s="96">
        <v>9.31</v>
      </c>
      <c r="BW30" s="96">
        <v>116</v>
      </c>
      <c r="BX30" s="80">
        <f>IFERROR(TOWER_DATA[[#This Row],[Bottom '[m']]]-TOWER_DATA[[#This Row],[D, top '[m']]], "")</f>
        <v>-23.18</v>
      </c>
      <c r="BY30" s="80">
        <f>IFERROR(-(TOWER_DATA[[#This Row],[D, bottom '[m']]]-TOWER_DATA[[#This Row],[D, top '[m']]])/(TOWER_DATA[[#This Row],[Bottom '[m']]]-TOWER_DATA[[#This Row],[Top '[m']]]),"")</f>
        <v>0.12285714285714278</v>
      </c>
      <c r="BZ30" s="80">
        <f t="shared" si="2"/>
        <v>89.902865547432455</v>
      </c>
      <c r="CA30" s="80">
        <f>IFERROR((TOWER_DATA[[#This Row],[D, bottom '[m']]]+TOWER_DATA[[#This Row],[D, top '[m']]])/(2*TOWER_DATA[[#This Row],[t '[mm']]]/1000),"")</f>
        <v>78.40517241379311</v>
      </c>
      <c r="CB30" s="80" t="str">
        <f>IFERROR((TOWER_DATA[[#This Row],[D, bottom '[m']]]+#REF!)/(2*#REF!/1000),"")</f>
        <v/>
      </c>
      <c r="CC30" s="83"/>
      <c r="CD30" s="83"/>
      <c r="CE30" s="83"/>
      <c r="CG30" s="78">
        <v>6</v>
      </c>
      <c r="CH30" s="78">
        <v>-10.8</v>
      </c>
      <c r="CI30" s="78">
        <v>-14.3</v>
      </c>
      <c r="CJ30" s="78">
        <v>8.8800000000000008</v>
      </c>
      <c r="CK30" s="78">
        <v>9.31</v>
      </c>
      <c r="CL30" s="78">
        <v>116</v>
      </c>
      <c r="DF30" s="80"/>
      <c r="DG30" s="80"/>
      <c r="DH30" s="80"/>
      <c r="DI30" s="80"/>
      <c r="DK30" s="78">
        <v>6</v>
      </c>
      <c r="DL30" s="78">
        <v>136.524</v>
      </c>
      <c r="DM30" s="78">
        <v>135.708</v>
      </c>
      <c r="DN30" s="78">
        <v>5.7557999999999998</v>
      </c>
      <c r="DO30" s="78">
        <v>5.7717999999999998</v>
      </c>
      <c r="DP30" s="78">
        <v>21.8</v>
      </c>
    </row>
    <row r="31" spans="1:129" x14ac:dyDescent="0.3">
      <c r="B31" s="96">
        <v>7</v>
      </c>
      <c r="C31" s="97">
        <v>-14.3</v>
      </c>
      <c r="D31" s="97">
        <v>-17.8</v>
      </c>
      <c r="E31" s="96">
        <v>9.31</v>
      </c>
      <c r="F31" s="96">
        <v>9.75</v>
      </c>
      <c r="G31" s="96">
        <v>103</v>
      </c>
      <c r="H31" s="80">
        <f>IFERROR(MP_DATA[[#This Row],[Bottom '[m']]]-MP_DATA[[#This Row],[D, top '[m']]], "")</f>
        <v>-27.11</v>
      </c>
      <c r="I31" s="80">
        <f>IFERROR(-(MP_DATA[[#This Row],[D, bottom '[m']]]-MP_DATA[[#This Row],[D, top '[m']]])/(MP_DATA[[#This Row],[Bottom '[m']]]-MP_DATA[[#This Row],[Top '[m']]]),"")</f>
        <v>0.12571428571428558</v>
      </c>
      <c r="J31" s="80">
        <f t="shared" si="0"/>
        <v>83.810475680910201</v>
      </c>
      <c r="K31" s="80">
        <f>IFERROR((MP_DATA[[#This Row],[D, bottom '[m']]]+MP_DATA[[#This Row],[D, top '[m']]])/(2*MP_DATA[[#This Row],[t '[mm']]]/1000),"")</f>
        <v>92.524271844660205</v>
      </c>
      <c r="L31" s="80" t="str">
        <f>IFERROR((MP_DATA[[#This Row],[D, bottom '[m']]]+#REF!)/(2*#REF!/1000),"")</f>
        <v/>
      </c>
      <c r="Q31" s="78">
        <v>7</v>
      </c>
      <c r="R31" s="81">
        <v>-14.3</v>
      </c>
      <c r="S31" s="81">
        <v>-17.8</v>
      </c>
      <c r="T31" s="78">
        <v>9.31</v>
      </c>
      <c r="U31" s="78">
        <v>9.75</v>
      </c>
      <c r="V31" s="78">
        <v>103</v>
      </c>
      <c r="AP31" s="80" t="str">
        <f>IFERROR(TP_DATA[[#This Row],[Bottom '[m']]]-TP_DATA[[#This Row],[D, top '[m']]], "")</f>
        <v/>
      </c>
      <c r="AQ31" s="80" t="str">
        <f>IFERROR(-(TP_DATA[[#This Row],[D, bottom '[m']]]-TP_DATA[[#This Row],[D, top '[m']]])/(TP_DATA[[#This Row],[Bottom '[m']]]-TP_DATA[[#This Row],[Top '[m']]]),"")</f>
        <v/>
      </c>
      <c r="AR31" s="80" t="str">
        <f t="shared" si="1"/>
        <v/>
      </c>
      <c r="AS31" s="80" t="str">
        <f>IFERROR((TP_DATA[[#This Row],[D, bottom '[m']]]+TP_DATA[[#This Row],[D, top '[m']]])/(2*TP_DATA[[#This Row],[t '[mm']]]/1000),"")</f>
        <v/>
      </c>
      <c r="AT31" s="80" t="str">
        <f>IFERROR((TP_DATA[[#This Row],[D, bottom '[m']]]+#REF!)/(2*#REF!/1000),"")</f>
        <v/>
      </c>
      <c r="AY31" s="78"/>
      <c r="AZ31" s="78"/>
      <c r="BA31" s="78"/>
      <c r="BB31" s="78"/>
      <c r="BC31" s="78"/>
      <c r="BD31" s="78"/>
      <c r="BR31" s="100">
        <v>7</v>
      </c>
      <c r="BS31" s="96">
        <v>-14.3</v>
      </c>
      <c r="BT31" s="96">
        <v>-17.8</v>
      </c>
      <c r="BU31" s="96">
        <v>9.31</v>
      </c>
      <c r="BV31" s="96">
        <v>9.75</v>
      </c>
      <c r="BW31" s="96">
        <v>103</v>
      </c>
      <c r="BX31" s="80">
        <f>IFERROR(TOWER_DATA[[#This Row],[Bottom '[m']]]-TOWER_DATA[[#This Row],[D, top '[m']]], "")</f>
        <v>-27.11</v>
      </c>
      <c r="BY31" s="80">
        <f>IFERROR(-(TOWER_DATA[[#This Row],[D, bottom '[m']]]-TOWER_DATA[[#This Row],[D, top '[m']]])/(TOWER_DATA[[#This Row],[Bottom '[m']]]-TOWER_DATA[[#This Row],[Top '[m']]]),"")</f>
        <v>0.12571428571428558</v>
      </c>
      <c r="BZ31" s="80">
        <f t="shared" si="2"/>
        <v>83.810475680910201</v>
      </c>
      <c r="CA31" s="80">
        <f>IFERROR((TOWER_DATA[[#This Row],[D, bottom '[m']]]+TOWER_DATA[[#This Row],[D, top '[m']]])/(2*TOWER_DATA[[#This Row],[t '[mm']]]/1000),"")</f>
        <v>92.524271844660205</v>
      </c>
      <c r="CB31" s="80" t="str">
        <f>IFERROR((TOWER_DATA[[#This Row],[D, bottom '[m']]]+#REF!)/(2*#REF!/1000),"")</f>
        <v/>
      </c>
      <c r="CC31" s="83"/>
      <c r="CD31" s="83"/>
      <c r="CE31" s="83"/>
      <c r="CG31" s="78">
        <v>7</v>
      </c>
      <c r="CH31" s="78">
        <v>-14.3</v>
      </c>
      <c r="CI31" s="78">
        <v>-17.8</v>
      </c>
      <c r="CJ31" s="78">
        <v>9.31</v>
      </c>
      <c r="CK31" s="78">
        <v>9.75</v>
      </c>
      <c r="CL31" s="78">
        <v>103</v>
      </c>
      <c r="DF31" s="80"/>
      <c r="DG31" s="80"/>
      <c r="DH31" s="80"/>
      <c r="DI31" s="80"/>
      <c r="DK31" s="78">
        <v>7</v>
      </c>
      <c r="DL31" s="78">
        <v>135.708</v>
      </c>
      <c r="DM31" s="78">
        <v>133.73699999999999</v>
      </c>
      <c r="DN31" s="78">
        <v>5.7717999999999998</v>
      </c>
      <c r="DO31" s="78">
        <v>5.8105000000000002</v>
      </c>
      <c r="DP31" s="78">
        <v>21.5</v>
      </c>
    </row>
    <row r="32" spans="1:129" x14ac:dyDescent="0.3">
      <c r="B32" s="96">
        <v>8</v>
      </c>
      <c r="C32" s="97">
        <v>-17.8</v>
      </c>
      <c r="D32" s="97">
        <v>-21.3</v>
      </c>
      <c r="E32" s="96">
        <v>9.75</v>
      </c>
      <c r="F32" s="96">
        <v>10.19</v>
      </c>
      <c r="G32" s="96">
        <v>98</v>
      </c>
      <c r="H32" s="80">
        <f>IFERROR(MP_DATA[[#This Row],[Bottom '[m']]]-MP_DATA[[#This Row],[D, top '[m']]], "")</f>
        <v>-31.05</v>
      </c>
      <c r="I32" s="80">
        <f>IFERROR(-(MP_DATA[[#This Row],[D, bottom '[m']]]-MP_DATA[[#This Row],[D, top '[m']]])/(MP_DATA[[#This Row],[Bottom '[m']]]-MP_DATA[[#This Row],[Top '[m']]]),"")</f>
        <v>0.12571428571428558</v>
      </c>
      <c r="J32" s="80">
        <f t="shared" si="0"/>
        <v>83.506214395905459</v>
      </c>
      <c r="K32" s="80">
        <f>IFERROR((MP_DATA[[#This Row],[D, bottom '[m']]]+MP_DATA[[#This Row],[D, top '[m']]])/(2*MP_DATA[[#This Row],[t '[mm']]]/1000),"")</f>
        <v>101.73469387755101</v>
      </c>
      <c r="L32" s="80" t="str">
        <f>IFERROR((MP_DATA[[#This Row],[D, bottom '[m']]]+#REF!)/(2*#REF!/1000),"")</f>
        <v/>
      </c>
      <c r="Q32" s="78">
        <v>8</v>
      </c>
      <c r="R32" s="81">
        <v>-17.8</v>
      </c>
      <c r="S32" s="81">
        <v>-21.3</v>
      </c>
      <c r="T32" s="78">
        <v>9.75</v>
      </c>
      <c r="U32" s="78">
        <v>10.19</v>
      </c>
      <c r="V32" s="78">
        <v>98</v>
      </c>
      <c r="X32" s="78"/>
      <c r="Y32" s="78"/>
      <c r="Z32" s="78"/>
      <c r="AP32" s="80" t="str">
        <f>IFERROR(TP_DATA[[#This Row],[Bottom '[m']]]-TP_DATA[[#This Row],[D, top '[m']]], "")</f>
        <v/>
      </c>
      <c r="AQ32" s="80" t="str">
        <f>IFERROR(-(TP_DATA[[#This Row],[D, bottom '[m']]]-TP_DATA[[#This Row],[D, top '[m']]])/(TP_DATA[[#This Row],[Bottom '[m']]]-TP_DATA[[#This Row],[Top '[m']]]),"")</f>
        <v/>
      </c>
      <c r="AR32" s="80" t="str">
        <f t="shared" si="1"/>
        <v/>
      </c>
      <c r="AS32" s="80" t="str">
        <f>IFERROR((TP_DATA[[#This Row],[D, bottom '[m']]]+TP_DATA[[#This Row],[D, top '[m']]])/(2*TP_DATA[[#This Row],[t '[mm']]]/1000),"")</f>
        <v/>
      </c>
      <c r="AT32" s="80" t="str">
        <f>IFERROR((TP_DATA[[#This Row],[D, bottom '[m']]]+#REF!)/(2*#REF!/1000),"")</f>
        <v/>
      </c>
      <c r="AY32" s="78"/>
      <c r="AZ32" s="78"/>
      <c r="BA32" s="78"/>
      <c r="BB32" s="78"/>
      <c r="BC32" s="78"/>
      <c r="BD32" s="78"/>
      <c r="BF32" s="78"/>
      <c r="BG32" s="78"/>
      <c r="BH32" s="78"/>
      <c r="BR32" s="100">
        <v>8</v>
      </c>
      <c r="BS32" s="96">
        <v>-17.8</v>
      </c>
      <c r="BT32" s="96">
        <v>-21.3</v>
      </c>
      <c r="BU32" s="96">
        <v>9.75</v>
      </c>
      <c r="BV32" s="96">
        <v>10.19</v>
      </c>
      <c r="BW32" s="96">
        <v>98</v>
      </c>
      <c r="BX32" s="80">
        <f>IFERROR(TOWER_DATA[[#This Row],[Bottom '[m']]]-TOWER_DATA[[#This Row],[D, top '[m']]], "")</f>
        <v>-31.05</v>
      </c>
      <c r="BY32" s="80">
        <f>IFERROR(-(TOWER_DATA[[#This Row],[D, bottom '[m']]]-TOWER_DATA[[#This Row],[D, top '[m']]])/(TOWER_DATA[[#This Row],[Bottom '[m']]]-TOWER_DATA[[#This Row],[Top '[m']]]),"")</f>
        <v>0.12571428571428558</v>
      </c>
      <c r="BZ32" s="80">
        <f t="shared" si="2"/>
        <v>83.506214395905459</v>
      </c>
      <c r="CA32" s="80">
        <f>IFERROR((TOWER_DATA[[#This Row],[D, bottom '[m']]]+TOWER_DATA[[#This Row],[D, top '[m']]])/(2*TOWER_DATA[[#This Row],[t '[mm']]]/1000),"")</f>
        <v>101.73469387755101</v>
      </c>
      <c r="CB32" s="80" t="str">
        <f>IFERROR((TOWER_DATA[[#This Row],[D, bottom '[m']]]+#REF!)/(2*#REF!/1000),"")</f>
        <v/>
      </c>
      <c r="CC32" s="83"/>
      <c r="CD32" s="83"/>
      <c r="CE32" s="83"/>
      <c r="CG32" s="78">
        <v>8</v>
      </c>
      <c r="CH32" s="78">
        <v>-17.8</v>
      </c>
      <c r="CI32" s="78">
        <v>-21.3</v>
      </c>
      <c r="CJ32" s="78">
        <v>9.75</v>
      </c>
      <c r="CK32" s="78">
        <v>10.19</v>
      </c>
      <c r="CL32" s="78">
        <v>98</v>
      </c>
      <c r="CN32" s="78"/>
      <c r="CO32" s="78"/>
      <c r="CP32" s="78"/>
      <c r="DF32" s="80"/>
      <c r="DG32" s="80"/>
      <c r="DH32" s="80"/>
      <c r="DI32" s="80"/>
      <c r="DK32" s="78">
        <v>8</v>
      </c>
      <c r="DL32" s="78">
        <v>133.73699999999999</v>
      </c>
      <c r="DM32" s="78">
        <v>133.71100000000001</v>
      </c>
      <c r="DN32" s="78">
        <v>5.8105000000000002</v>
      </c>
      <c r="DO32" s="78">
        <v>5.8109999999999999</v>
      </c>
      <c r="DP32" s="78">
        <v>21.5</v>
      </c>
    </row>
    <row r="33" spans="2:120" x14ac:dyDescent="0.3">
      <c r="B33" s="96">
        <v>9</v>
      </c>
      <c r="C33" s="97">
        <v>-21.3</v>
      </c>
      <c r="D33" s="97">
        <v>-24.8</v>
      </c>
      <c r="E33" s="96">
        <v>10.19</v>
      </c>
      <c r="F33" s="96">
        <v>10.63</v>
      </c>
      <c r="G33" s="96">
        <v>98</v>
      </c>
      <c r="H33" s="80">
        <f>IFERROR(MP_DATA[[#This Row],[Bottom '[m']]]-MP_DATA[[#This Row],[D, top '[m']]], "")</f>
        <v>-34.99</v>
      </c>
      <c r="I33" s="80">
        <f>IFERROR(-(MP_DATA[[#This Row],[D, bottom '[m']]]-MP_DATA[[#This Row],[D, top '[m']]])/(MP_DATA[[#This Row],[Bottom '[m']]]-MP_DATA[[#This Row],[Top '[m']]]),"")</f>
        <v>0.12571428571428608</v>
      </c>
      <c r="J33" s="80">
        <f t="shared" si="0"/>
        <v>87.228128327651717</v>
      </c>
      <c r="K33" s="80">
        <f>IFERROR((MP_DATA[[#This Row],[D, bottom '[m']]]+MP_DATA[[#This Row],[D, top '[m']]])/(2*MP_DATA[[#This Row],[t '[mm']]]/1000),"")</f>
        <v>106.22448979591836</v>
      </c>
      <c r="L33" s="80" t="str">
        <f>IFERROR((MP_DATA[[#This Row],[D, bottom '[m']]]+#REF!)/(2*#REF!/1000),"")</f>
        <v/>
      </c>
      <c r="Q33" s="78">
        <v>9</v>
      </c>
      <c r="R33" s="81">
        <v>-21.3</v>
      </c>
      <c r="S33" s="81">
        <v>-24.8</v>
      </c>
      <c r="T33" s="78">
        <v>10.19</v>
      </c>
      <c r="U33" s="78">
        <v>10.63</v>
      </c>
      <c r="V33" s="78">
        <v>98</v>
      </c>
      <c r="X33" s="78"/>
      <c r="Y33" s="78"/>
      <c r="Z33" s="78"/>
      <c r="AP33" s="80" t="str">
        <f>IFERROR(TP_DATA[[#This Row],[Bottom '[m']]]-TP_DATA[[#This Row],[D, top '[m']]], "")</f>
        <v/>
      </c>
      <c r="AQ33" s="80" t="str">
        <f>IFERROR(-(TP_DATA[[#This Row],[D, bottom '[m']]]-TP_DATA[[#This Row],[D, top '[m']]])/(TP_DATA[[#This Row],[Bottom '[m']]]-TP_DATA[[#This Row],[Top '[m']]]),"")</f>
        <v/>
      </c>
      <c r="AR33" s="80" t="str">
        <f t="shared" si="1"/>
        <v/>
      </c>
      <c r="AS33" s="80" t="str">
        <f>IFERROR((TP_DATA[[#This Row],[D, bottom '[m']]]+TP_DATA[[#This Row],[D, top '[m']]])/(2*TP_DATA[[#This Row],[t '[mm']]]/1000),"")</f>
        <v/>
      </c>
      <c r="AT33" s="80" t="str">
        <f>IFERROR((TP_DATA[[#This Row],[D, bottom '[m']]]+#REF!)/(2*#REF!/1000),"")</f>
        <v/>
      </c>
      <c r="AY33" s="78"/>
      <c r="AZ33" s="78"/>
      <c r="BA33" s="78"/>
      <c r="BB33" s="78"/>
      <c r="BC33" s="78"/>
      <c r="BD33" s="78"/>
      <c r="BF33" s="78"/>
      <c r="BG33" s="78"/>
      <c r="BH33" s="78"/>
      <c r="BR33" s="100">
        <v>9</v>
      </c>
      <c r="BS33" s="96">
        <v>-21.3</v>
      </c>
      <c r="BT33" s="96">
        <v>-24.8</v>
      </c>
      <c r="BU33" s="96">
        <v>10.19</v>
      </c>
      <c r="BV33" s="96">
        <v>10.63</v>
      </c>
      <c r="BW33" s="96">
        <v>98</v>
      </c>
      <c r="BX33" s="80">
        <f>IFERROR(TOWER_DATA[[#This Row],[Bottom '[m']]]-TOWER_DATA[[#This Row],[D, top '[m']]], "")</f>
        <v>-34.99</v>
      </c>
      <c r="BY33" s="80">
        <f>IFERROR(-(TOWER_DATA[[#This Row],[D, bottom '[m']]]-TOWER_DATA[[#This Row],[D, top '[m']]])/(TOWER_DATA[[#This Row],[Bottom '[m']]]-TOWER_DATA[[#This Row],[Top '[m']]]),"")</f>
        <v>0.12571428571428608</v>
      </c>
      <c r="BZ33" s="80">
        <f t="shared" si="2"/>
        <v>87.228128327651717</v>
      </c>
      <c r="CA33" s="80">
        <f>IFERROR((TOWER_DATA[[#This Row],[D, bottom '[m']]]+TOWER_DATA[[#This Row],[D, top '[m']]])/(2*TOWER_DATA[[#This Row],[t '[mm']]]/1000),"")</f>
        <v>106.22448979591836</v>
      </c>
      <c r="CB33" s="80" t="str">
        <f>IFERROR((TOWER_DATA[[#This Row],[D, bottom '[m']]]+#REF!)/(2*#REF!/1000),"")</f>
        <v/>
      </c>
      <c r="CC33" s="83"/>
      <c r="CD33" s="83"/>
      <c r="CE33" s="83"/>
      <c r="CG33" s="78">
        <v>9</v>
      </c>
      <c r="CH33" s="78">
        <v>-21.3</v>
      </c>
      <c r="CI33" s="78">
        <v>-24.8</v>
      </c>
      <c r="CJ33" s="78">
        <v>10.19</v>
      </c>
      <c r="CK33" s="78">
        <v>10.63</v>
      </c>
      <c r="CL33" s="78">
        <v>98</v>
      </c>
      <c r="CN33" s="78"/>
      <c r="CO33" s="78"/>
      <c r="CP33" s="78"/>
      <c r="DF33" s="80"/>
      <c r="DG33" s="80"/>
      <c r="DH33" s="80"/>
      <c r="DI33" s="80"/>
      <c r="DK33" s="78">
        <v>9</v>
      </c>
      <c r="DL33" s="78">
        <v>133.71100000000001</v>
      </c>
      <c r="DM33" s="78">
        <v>130.953</v>
      </c>
      <c r="DN33" s="78">
        <v>5.8109999999999999</v>
      </c>
      <c r="DO33" s="78">
        <v>5.8646000000000003</v>
      </c>
      <c r="DP33" s="78">
        <v>21.6</v>
      </c>
    </row>
    <row r="34" spans="2:120" x14ac:dyDescent="0.3">
      <c r="B34" s="96">
        <v>10</v>
      </c>
      <c r="C34" s="97">
        <v>-24.8</v>
      </c>
      <c r="D34" s="97">
        <v>-28.3</v>
      </c>
      <c r="E34" s="96">
        <v>10.63</v>
      </c>
      <c r="F34" s="96">
        <v>11.06</v>
      </c>
      <c r="G34" s="96">
        <v>98</v>
      </c>
      <c r="H34" s="80">
        <f>IFERROR(MP_DATA[[#This Row],[Bottom '[m']]]-MP_DATA[[#This Row],[D, top '[m']]], "")</f>
        <v>-38.93</v>
      </c>
      <c r="I34" s="80">
        <f>IFERROR(-(MP_DATA[[#This Row],[D, bottom '[m']]]-MP_DATA[[#This Row],[D, top '[m']]])/(MP_DATA[[#This Row],[Bottom '[m']]]-MP_DATA[[#This Row],[Top '[m']]]),"")</f>
        <v>0.12285714285714278</v>
      </c>
      <c r="J34" s="80">
        <f t="shared" si="0"/>
        <v>90.907747782900842</v>
      </c>
      <c r="K34" s="80">
        <f>IFERROR((MP_DATA[[#This Row],[D, bottom '[m']]]+MP_DATA[[#This Row],[D, top '[m']]])/(2*MP_DATA[[#This Row],[t '[mm']]]/1000),"")</f>
        <v>110.66326530612245</v>
      </c>
      <c r="L34" s="80" t="str">
        <f>IFERROR((MP_DATA[[#This Row],[D, bottom '[m']]]+#REF!)/(2*#REF!/1000),"")</f>
        <v/>
      </c>
      <c r="Q34" s="78">
        <v>10</v>
      </c>
      <c r="R34" s="81">
        <v>-24.8</v>
      </c>
      <c r="S34" s="81">
        <v>-28.3</v>
      </c>
      <c r="T34" s="78">
        <v>10.63</v>
      </c>
      <c r="U34" s="78">
        <v>11.06</v>
      </c>
      <c r="V34" s="78">
        <v>98</v>
      </c>
      <c r="X34" s="78"/>
      <c r="Y34" s="78"/>
      <c r="Z34" s="78"/>
      <c r="AP34" s="80" t="str">
        <f>IFERROR(TP_DATA[[#This Row],[Bottom '[m']]]-TP_DATA[[#This Row],[D, top '[m']]], "")</f>
        <v/>
      </c>
      <c r="AQ34" s="80" t="str">
        <f>IFERROR(-(TP_DATA[[#This Row],[D, bottom '[m']]]-TP_DATA[[#This Row],[D, top '[m']]])/(TP_DATA[[#This Row],[Bottom '[m']]]-TP_DATA[[#This Row],[Top '[m']]]),"")</f>
        <v/>
      </c>
      <c r="AR34" s="80" t="str">
        <f t="shared" si="1"/>
        <v/>
      </c>
      <c r="AS34" s="80" t="str">
        <f>IFERROR((TP_DATA[[#This Row],[D, bottom '[m']]]+TP_DATA[[#This Row],[D, top '[m']]])/(2*TP_DATA[[#This Row],[t '[mm']]]/1000),"")</f>
        <v/>
      </c>
      <c r="AT34" s="80" t="str">
        <f>IFERROR((TP_DATA[[#This Row],[D, bottom '[m']]]+#REF!)/(2*#REF!/1000),"")</f>
        <v/>
      </c>
      <c r="AY34" s="78"/>
      <c r="AZ34" s="78"/>
      <c r="BA34" s="78"/>
      <c r="BB34" s="78"/>
      <c r="BC34" s="78"/>
      <c r="BD34" s="78"/>
      <c r="BF34" s="78"/>
      <c r="BG34" s="78"/>
      <c r="BH34" s="78"/>
      <c r="BR34" s="100">
        <v>10</v>
      </c>
      <c r="BS34" s="96">
        <v>-24.8</v>
      </c>
      <c r="BT34" s="96">
        <v>-28.3</v>
      </c>
      <c r="BU34" s="96">
        <v>10.63</v>
      </c>
      <c r="BV34" s="96">
        <v>11.06</v>
      </c>
      <c r="BW34" s="96">
        <v>98</v>
      </c>
      <c r="BX34" s="80">
        <f>IFERROR(TOWER_DATA[[#This Row],[Bottom '[m']]]-TOWER_DATA[[#This Row],[D, top '[m']]], "")</f>
        <v>-38.93</v>
      </c>
      <c r="BY34" s="80">
        <f>IFERROR(-(TOWER_DATA[[#This Row],[D, bottom '[m']]]-TOWER_DATA[[#This Row],[D, top '[m']]])/(TOWER_DATA[[#This Row],[Bottom '[m']]]-TOWER_DATA[[#This Row],[Top '[m']]]),"")</f>
        <v>0.12285714285714278</v>
      </c>
      <c r="BZ34" s="80">
        <f t="shared" si="2"/>
        <v>90.907747782900842</v>
      </c>
      <c r="CA34" s="80">
        <f>IFERROR((TOWER_DATA[[#This Row],[D, bottom '[m']]]+TOWER_DATA[[#This Row],[D, top '[m']]])/(2*TOWER_DATA[[#This Row],[t '[mm']]]/1000),"")</f>
        <v>110.66326530612245</v>
      </c>
      <c r="CB34" s="80" t="str">
        <f>IFERROR((TOWER_DATA[[#This Row],[D, bottom '[m']]]+#REF!)/(2*#REF!/1000),"")</f>
        <v/>
      </c>
      <c r="CC34" s="83"/>
      <c r="CD34" s="83"/>
      <c r="CE34" s="83"/>
      <c r="CG34" s="78">
        <v>10</v>
      </c>
      <c r="CH34" s="78">
        <v>-24.8</v>
      </c>
      <c r="CI34" s="78">
        <v>-28.3</v>
      </c>
      <c r="CJ34" s="78">
        <v>10.63</v>
      </c>
      <c r="CK34" s="78">
        <v>11.06</v>
      </c>
      <c r="CL34" s="78">
        <v>98</v>
      </c>
      <c r="CN34" s="78"/>
      <c r="CO34" s="78"/>
      <c r="CP34" s="78"/>
      <c r="DF34" s="80"/>
      <c r="DG34" s="80"/>
      <c r="DH34" s="80"/>
      <c r="DI34" s="80"/>
      <c r="DK34" s="78">
        <v>10</v>
      </c>
      <c r="DL34" s="78">
        <v>130.953</v>
      </c>
      <c r="DM34" s="78">
        <v>128.16899999999998</v>
      </c>
      <c r="DN34" s="78">
        <v>5.8646000000000003</v>
      </c>
      <c r="DO34" s="78">
        <v>5.9176000000000002</v>
      </c>
      <c r="DP34" s="78">
        <v>19.599999999999998</v>
      </c>
    </row>
    <row r="35" spans="2:120" x14ac:dyDescent="0.3">
      <c r="B35" s="96">
        <v>11</v>
      </c>
      <c r="C35" s="97">
        <v>-28.3</v>
      </c>
      <c r="D35" s="97">
        <v>-31.8</v>
      </c>
      <c r="E35" s="96">
        <v>11.06</v>
      </c>
      <c r="F35" s="96">
        <v>11.5</v>
      </c>
      <c r="G35" s="96">
        <v>98</v>
      </c>
      <c r="H35" s="80">
        <f>IFERROR(MP_DATA[[#This Row],[Bottom '[m']]]-MP_DATA[[#This Row],[D, top '[m']]], "")</f>
        <v>-42.86</v>
      </c>
      <c r="I35" s="80">
        <f>IFERROR(-(MP_DATA[[#This Row],[D, bottom '[m']]]-MP_DATA[[#This Row],[D, top '[m']]])/(MP_DATA[[#This Row],[Bottom '[m']]]-MP_DATA[[#This Row],[Top '[m']]]),"")</f>
        <v>0.12571428571428558</v>
      </c>
      <c r="J35" s="80">
        <f t="shared" si="0"/>
        <v>94.587367238149838</v>
      </c>
      <c r="K35" s="80">
        <f>IFERROR((MP_DATA[[#This Row],[D, bottom '[m']]]+MP_DATA[[#This Row],[D, top '[m']]])/(2*MP_DATA[[#This Row],[t '[mm']]]/1000),"")</f>
        <v>115.10204081632654</v>
      </c>
      <c r="L35" s="80" t="str">
        <f>IFERROR((MP_DATA[[#This Row],[D, bottom '[m']]]+#REF!)/(2*#REF!/1000),"")</f>
        <v/>
      </c>
      <c r="Q35" s="78">
        <v>11</v>
      </c>
      <c r="R35" s="81">
        <v>-28.3</v>
      </c>
      <c r="S35" s="81">
        <v>-31.8</v>
      </c>
      <c r="T35" s="78">
        <v>11.06</v>
      </c>
      <c r="U35" s="78">
        <v>11.5</v>
      </c>
      <c r="V35" s="78">
        <v>98</v>
      </c>
      <c r="AP35" s="80" t="str">
        <f>IFERROR(TP_DATA[[#This Row],[Bottom '[m']]]-TP_DATA[[#This Row],[D, top '[m']]], "")</f>
        <v/>
      </c>
      <c r="AQ35" s="80" t="str">
        <f>IFERROR(-(TP_DATA[[#This Row],[D, bottom '[m']]]-TP_DATA[[#This Row],[D, top '[m']]])/(TP_DATA[[#This Row],[Bottom '[m']]]-TP_DATA[[#This Row],[Top '[m']]]),"")</f>
        <v/>
      </c>
      <c r="AR35" s="80" t="str">
        <f t="shared" si="1"/>
        <v/>
      </c>
      <c r="AS35" s="80" t="str">
        <f>IFERROR((TP_DATA[[#This Row],[D, bottom '[m']]]+TP_DATA[[#This Row],[D, top '[m']]])/(2*TP_DATA[[#This Row],[t '[mm']]]/1000),"")</f>
        <v/>
      </c>
      <c r="AT35" s="80" t="str">
        <f>IFERROR((TP_DATA[[#This Row],[D, bottom '[m']]]+#REF!)/(2*#REF!/1000),"")</f>
        <v/>
      </c>
      <c r="AY35" s="78"/>
      <c r="AZ35" s="78"/>
      <c r="BA35" s="78"/>
      <c r="BB35" s="78"/>
      <c r="BC35" s="78"/>
      <c r="BD35" s="78"/>
      <c r="BR35" s="100">
        <v>11</v>
      </c>
      <c r="BS35" s="96">
        <v>-28.3</v>
      </c>
      <c r="BT35" s="96">
        <v>-31.8</v>
      </c>
      <c r="BU35" s="96">
        <v>11.06</v>
      </c>
      <c r="BV35" s="96">
        <v>11.5</v>
      </c>
      <c r="BW35" s="96">
        <v>98</v>
      </c>
      <c r="BX35" s="80">
        <f>IFERROR(TOWER_DATA[[#This Row],[Bottom '[m']]]-TOWER_DATA[[#This Row],[D, top '[m']]], "")</f>
        <v>-42.86</v>
      </c>
      <c r="BY35" s="80">
        <f>IFERROR(-(TOWER_DATA[[#This Row],[D, bottom '[m']]]-TOWER_DATA[[#This Row],[D, top '[m']]])/(TOWER_DATA[[#This Row],[Bottom '[m']]]-TOWER_DATA[[#This Row],[Top '[m']]]),"")</f>
        <v>0.12571428571428558</v>
      </c>
      <c r="BZ35" s="80">
        <f t="shared" si="2"/>
        <v>94.587367238149838</v>
      </c>
      <c r="CA35" s="80">
        <f>IFERROR((TOWER_DATA[[#This Row],[D, bottom '[m']]]+TOWER_DATA[[#This Row],[D, top '[m']]])/(2*TOWER_DATA[[#This Row],[t '[mm']]]/1000),"")</f>
        <v>115.10204081632654</v>
      </c>
      <c r="CB35" s="80" t="str">
        <f>IFERROR((TOWER_DATA[[#This Row],[D, bottom '[m']]]+#REF!)/(2*#REF!/1000),"")</f>
        <v/>
      </c>
      <c r="CC35" s="83"/>
      <c r="CD35" s="83"/>
      <c r="CE35" s="83"/>
      <c r="CG35" s="78">
        <v>11</v>
      </c>
      <c r="CH35" s="78">
        <v>-28.3</v>
      </c>
      <c r="CI35" s="78">
        <v>-31.8</v>
      </c>
      <c r="CJ35" s="78">
        <v>11.06</v>
      </c>
      <c r="CK35" s="78">
        <v>11.5</v>
      </c>
      <c r="CL35" s="78">
        <v>98</v>
      </c>
      <c r="DF35" s="80"/>
      <c r="DG35" s="80"/>
      <c r="DH35" s="80"/>
      <c r="DI35" s="80"/>
      <c r="DK35" s="78">
        <v>11</v>
      </c>
      <c r="DL35" s="78">
        <v>128.16899999999998</v>
      </c>
      <c r="DM35" s="78">
        <v>125.386</v>
      </c>
      <c r="DN35" s="78">
        <v>5.9176000000000002</v>
      </c>
      <c r="DO35" s="78">
        <v>5.9721000000000002</v>
      </c>
      <c r="DP35" s="78">
        <v>20.100000000000001</v>
      </c>
    </row>
    <row r="36" spans="2:120" x14ac:dyDescent="0.3">
      <c r="B36" s="96">
        <v>12</v>
      </c>
      <c r="C36" s="97">
        <v>-31.8</v>
      </c>
      <c r="D36" s="97">
        <v>-35.299999999999997</v>
      </c>
      <c r="E36" s="96">
        <v>11.5</v>
      </c>
      <c r="F36" s="96">
        <v>11.5</v>
      </c>
      <c r="G36" s="96">
        <v>98</v>
      </c>
      <c r="H36" s="80">
        <f>IFERROR(MP_DATA[[#This Row],[Bottom '[m']]]-MP_DATA[[#This Row],[D, top '[m']]], "")</f>
        <v>-46.8</v>
      </c>
      <c r="I36" s="80">
        <f>IFERROR(-(MP_DATA[[#This Row],[D, bottom '[m']]]-MP_DATA[[#This Row],[D, top '[m']]])/(MP_DATA[[#This Row],[Bottom '[m']]]-MP_DATA[[#This Row],[Top '[m']]]),"")</f>
        <v>0</v>
      </c>
      <c r="J36" s="80">
        <f t="shared" si="0"/>
        <v>96.448324204023137</v>
      </c>
      <c r="K36" s="80">
        <f>IFERROR((MP_DATA[[#This Row],[D, bottom '[m']]]+MP_DATA[[#This Row],[D, top '[m']]])/(2*MP_DATA[[#This Row],[t '[mm']]]/1000),"")</f>
        <v>117.3469387755102</v>
      </c>
      <c r="L36" s="80" t="str">
        <f>IFERROR((MP_DATA[[#This Row],[D, bottom '[m']]]+#REF!)/(2*#REF!/1000),"")</f>
        <v/>
      </c>
      <c r="Q36" s="78">
        <v>12</v>
      </c>
      <c r="R36" s="81">
        <v>-31.8</v>
      </c>
      <c r="S36" s="81">
        <v>-35.299999999999997</v>
      </c>
      <c r="T36" s="78">
        <v>11.5</v>
      </c>
      <c r="U36" s="78">
        <v>11.5</v>
      </c>
      <c r="V36" s="78">
        <v>98</v>
      </c>
      <c r="AP36" s="80" t="str">
        <f>IFERROR(TP_DATA[[#This Row],[Bottom '[m']]]-TP_DATA[[#This Row],[D, top '[m']]], "")</f>
        <v/>
      </c>
      <c r="AQ36" s="80" t="str">
        <f>IFERROR(-(TP_DATA[[#This Row],[D, bottom '[m']]]-TP_DATA[[#This Row],[D, top '[m']]])/(TP_DATA[[#This Row],[Bottom '[m']]]-TP_DATA[[#This Row],[Top '[m']]]),"")</f>
        <v/>
      </c>
      <c r="AR36" s="80" t="str">
        <f t="shared" si="1"/>
        <v/>
      </c>
      <c r="AS36" s="80" t="str">
        <f>IFERROR((TP_DATA[[#This Row],[D, bottom '[m']]]+TP_DATA[[#This Row],[D, top '[m']]])/(2*TP_DATA[[#This Row],[t '[mm']]]/1000),"")</f>
        <v/>
      </c>
      <c r="AT36" s="80" t="str">
        <f>IFERROR((TP_DATA[[#This Row],[D, bottom '[m']]]+#REF!)/(2*#REF!/1000),"")</f>
        <v/>
      </c>
      <c r="AY36" s="78"/>
      <c r="AZ36" s="78"/>
      <c r="BA36" s="78"/>
      <c r="BB36" s="78"/>
      <c r="BC36" s="78"/>
      <c r="BD36" s="78"/>
      <c r="BR36" s="100">
        <v>12</v>
      </c>
      <c r="BS36" s="96">
        <v>-31.8</v>
      </c>
      <c r="BT36" s="96">
        <v>-35.299999999999997</v>
      </c>
      <c r="BU36" s="96">
        <v>11.5</v>
      </c>
      <c r="BV36" s="96">
        <v>11.5</v>
      </c>
      <c r="BW36" s="96">
        <v>98</v>
      </c>
      <c r="BX36" s="80">
        <f>IFERROR(TOWER_DATA[[#This Row],[Bottom '[m']]]-TOWER_DATA[[#This Row],[D, top '[m']]], "")</f>
        <v>-46.8</v>
      </c>
      <c r="BY36" s="80">
        <f>IFERROR(-(TOWER_DATA[[#This Row],[D, bottom '[m']]]-TOWER_DATA[[#This Row],[D, top '[m']]])/(TOWER_DATA[[#This Row],[Bottom '[m']]]-TOWER_DATA[[#This Row],[Top '[m']]]),"")</f>
        <v>0</v>
      </c>
      <c r="BZ36" s="80">
        <f t="shared" si="2"/>
        <v>96.448324204023137</v>
      </c>
      <c r="CA36" s="80">
        <f>IFERROR((TOWER_DATA[[#This Row],[D, bottom '[m']]]+TOWER_DATA[[#This Row],[D, top '[m']]])/(2*TOWER_DATA[[#This Row],[t '[mm']]]/1000),"")</f>
        <v>117.3469387755102</v>
      </c>
      <c r="CB36" s="80" t="str">
        <f>IFERROR((TOWER_DATA[[#This Row],[D, bottom '[m']]]+#REF!)/(2*#REF!/1000),"")</f>
        <v/>
      </c>
      <c r="CC36" s="83"/>
      <c r="CD36" s="83"/>
      <c r="CE36" s="83"/>
      <c r="CG36" s="78">
        <v>12</v>
      </c>
      <c r="CH36" s="78">
        <v>-31.8</v>
      </c>
      <c r="CI36" s="78">
        <v>-35.299999999999997</v>
      </c>
      <c r="CJ36" s="78">
        <v>11.5</v>
      </c>
      <c r="CK36" s="78">
        <v>11.5</v>
      </c>
      <c r="CL36" s="78">
        <v>98</v>
      </c>
      <c r="DF36" s="80"/>
      <c r="DG36" s="80"/>
      <c r="DH36" s="80"/>
      <c r="DI36" s="80"/>
      <c r="DK36" s="78">
        <v>12</v>
      </c>
      <c r="DL36" s="78">
        <v>125.386</v>
      </c>
      <c r="DM36" s="78">
        <v>122.60599999999999</v>
      </c>
      <c r="DN36" s="78">
        <v>5.9721000000000002</v>
      </c>
      <c r="DO36" s="78">
        <v>6.0275999999999996</v>
      </c>
      <c r="DP36" s="78">
        <v>20.6</v>
      </c>
    </row>
    <row r="37" spans="2:120" x14ac:dyDescent="0.3">
      <c r="B37" s="96">
        <v>13</v>
      </c>
      <c r="C37" s="97">
        <v>-35.299999999999997</v>
      </c>
      <c r="D37" s="97">
        <v>-38.6</v>
      </c>
      <c r="E37" s="96">
        <v>11.5</v>
      </c>
      <c r="F37" s="96">
        <v>11.5</v>
      </c>
      <c r="G37" s="96">
        <v>100</v>
      </c>
      <c r="H37" s="80">
        <f>IFERROR(MP_DATA[[#This Row],[Bottom '[m']]]-MP_DATA[[#This Row],[D, top '[m']]], "")</f>
        <v>-50.1</v>
      </c>
      <c r="I37" s="80">
        <f>IFERROR(-(MP_DATA[[#This Row],[D, bottom '[m']]]-MP_DATA[[#This Row],[D, top '[m']]])/(MP_DATA[[#This Row],[Bottom '[m']]]-MP_DATA[[#This Row],[Top '[m']]]),"")</f>
        <v>0</v>
      </c>
      <c r="J37" s="80">
        <f t="shared" si="0"/>
        <v>92.776571768017746</v>
      </c>
      <c r="K37" s="80">
        <f>IFERROR((MP_DATA[[#This Row],[D, bottom '[m']]]+MP_DATA[[#This Row],[D, top '[m']]])/(2*MP_DATA[[#This Row],[t '[mm']]]/1000),"")</f>
        <v>115</v>
      </c>
      <c r="L37" s="80" t="str">
        <f>IFERROR((MP_DATA[[#This Row],[D, bottom '[m']]]+#REF!)/(2*#REF!/1000),"")</f>
        <v/>
      </c>
      <c r="Q37" s="78">
        <v>13</v>
      </c>
      <c r="R37" s="81">
        <v>-35.299999999999997</v>
      </c>
      <c r="S37" s="81">
        <v>-38.6</v>
      </c>
      <c r="T37" s="78">
        <v>11.5</v>
      </c>
      <c r="U37" s="78">
        <v>11.5</v>
      </c>
      <c r="V37" s="78">
        <v>100</v>
      </c>
      <c r="AP37" s="80" t="str">
        <f>IFERROR(TP_DATA[[#This Row],[Bottom '[m']]]-TP_DATA[[#This Row],[D, top '[m']]], "")</f>
        <v/>
      </c>
      <c r="AQ37" s="80" t="str">
        <f>IFERROR(-(TP_DATA[[#This Row],[D, bottom '[m']]]-TP_DATA[[#This Row],[D, top '[m']]])/(TP_DATA[[#This Row],[Bottom '[m']]]-TP_DATA[[#This Row],[Top '[m']]]),"")</f>
        <v/>
      </c>
      <c r="AR37" s="80" t="str">
        <f t="shared" si="1"/>
        <v/>
      </c>
      <c r="AS37" s="80" t="str">
        <f>IFERROR((TP_DATA[[#This Row],[D, bottom '[m']]]+TP_DATA[[#This Row],[D, top '[m']]])/(2*TP_DATA[[#This Row],[t '[mm']]]/1000),"")</f>
        <v/>
      </c>
      <c r="AT37" s="80" t="str">
        <f>IFERROR((TP_DATA[[#This Row],[D, bottom '[m']]]+#REF!)/(2*#REF!/1000),"")</f>
        <v/>
      </c>
      <c r="AY37" s="78"/>
      <c r="AZ37" s="78"/>
      <c r="BA37" s="78"/>
      <c r="BB37" s="78"/>
      <c r="BC37" s="78"/>
      <c r="BD37" s="78"/>
      <c r="BR37" s="100">
        <v>13</v>
      </c>
      <c r="BS37" s="96">
        <v>-35.299999999999997</v>
      </c>
      <c r="BT37" s="96">
        <v>-38.6</v>
      </c>
      <c r="BU37" s="96">
        <v>11.5</v>
      </c>
      <c r="BV37" s="96">
        <v>11.5</v>
      </c>
      <c r="BW37" s="96">
        <v>100</v>
      </c>
      <c r="BX37" s="80">
        <f>IFERROR(TOWER_DATA[[#This Row],[Bottom '[m']]]-TOWER_DATA[[#This Row],[D, top '[m']]], "")</f>
        <v>-50.1</v>
      </c>
      <c r="BY37" s="80">
        <f>IFERROR(-(TOWER_DATA[[#This Row],[D, bottom '[m']]]-TOWER_DATA[[#This Row],[D, top '[m']]])/(TOWER_DATA[[#This Row],[Bottom '[m']]]-TOWER_DATA[[#This Row],[Top '[m']]]),"")</f>
        <v>0</v>
      </c>
      <c r="BZ37" s="80">
        <f t="shared" si="2"/>
        <v>92.776571768017746</v>
      </c>
      <c r="CA37" s="80">
        <f>IFERROR((TOWER_DATA[[#This Row],[D, bottom '[m']]]+TOWER_DATA[[#This Row],[D, top '[m']]])/(2*TOWER_DATA[[#This Row],[t '[mm']]]/1000),"")</f>
        <v>115</v>
      </c>
      <c r="CB37" s="80" t="str">
        <f>IFERROR((TOWER_DATA[[#This Row],[D, bottom '[m']]]+#REF!)/(2*#REF!/1000),"")</f>
        <v/>
      </c>
      <c r="CC37" s="83"/>
      <c r="CD37" s="83"/>
      <c r="CE37" s="83"/>
      <c r="CG37" s="78">
        <v>13</v>
      </c>
      <c r="CH37" s="78">
        <v>-35.299999999999997</v>
      </c>
      <c r="CI37" s="78">
        <v>-38.6</v>
      </c>
      <c r="CJ37" s="78">
        <v>11.5</v>
      </c>
      <c r="CK37" s="78">
        <v>11.5</v>
      </c>
      <c r="CL37" s="78">
        <v>100</v>
      </c>
      <c r="DF37" s="80"/>
      <c r="DG37" s="80"/>
      <c r="DH37" s="80"/>
      <c r="DI37" s="80"/>
      <c r="DK37" s="78">
        <v>13</v>
      </c>
      <c r="DL37" s="78">
        <v>122.60599999999999</v>
      </c>
      <c r="DM37" s="78">
        <v>119.82599999999999</v>
      </c>
      <c r="DN37" s="78">
        <v>6.0275999999999996</v>
      </c>
      <c r="DO37" s="78">
        <v>6.0824999999999996</v>
      </c>
      <c r="DP37" s="78">
        <v>21.5</v>
      </c>
    </row>
    <row r="38" spans="2:120" x14ac:dyDescent="0.3">
      <c r="B38" s="96">
        <v>14</v>
      </c>
      <c r="C38" s="97">
        <v>-38.6</v>
      </c>
      <c r="D38" s="97">
        <v>-41.9</v>
      </c>
      <c r="E38" s="96">
        <v>11.5</v>
      </c>
      <c r="F38" s="96">
        <v>11.5</v>
      </c>
      <c r="G38" s="96">
        <v>98</v>
      </c>
      <c r="H38" s="80">
        <f>IFERROR(MP_DATA[[#This Row],[Bottom '[m']]]-MP_DATA[[#This Row],[D, top '[m']]], "")</f>
        <v>-53.4</v>
      </c>
      <c r="I38" s="80">
        <f>IFERROR(-(MP_DATA[[#This Row],[D, bottom '[m']]]-MP_DATA[[#This Row],[D, top '[m']]])/(MP_DATA[[#This Row],[Bottom '[m']]]-MP_DATA[[#This Row],[Top '[m']]]),"")</f>
        <v>0</v>
      </c>
      <c r="J38" s="80">
        <f t="shared" si="0"/>
        <v>90.936991392364675</v>
      </c>
      <c r="K38" s="80">
        <f>IFERROR((MP_DATA[[#This Row],[D, bottom '[m']]]+MP_DATA[[#This Row],[D, top '[m']]])/(2*MP_DATA[[#This Row],[t '[mm']]]/1000),"")</f>
        <v>117.3469387755102</v>
      </c>
      <c r="L38" s="80" t="str">
        <f>IFERROR((MP_DATA[[#This Row],[D, bottom '[m']]]+#REF!)/(2*#REF!/1000),"")</f>
        <v/>
      </c>
      <c r="Q38" s="78">
        <v>14</v>
      </c>
      <c r="R38" s="81">
        <v>-38.6</v>
      </c>
      <c r="S38" s="81">
        <v>-41.9</v>
      </c>
      <c r="T38" s="78">
        <v>11.5</v>
      </c>
      <c r="U38" s="78">
        <v>11.5</v>
      </c>
      <c r="V38" s="78">
        <v>98</v>
      </c>
      <c r="AP38" s="80" t="str">
        <f>IFERROR(TP_DATA[[#This Row],[Bottom '[m']]]-TP_DATA[[#This Row],[D, top '[m']]], "")</f>
        <v/>
      </c>
      <c r="AQ38" s="80" t="str">
        <f>IFERROR(-(TP_DATA[[#This Row],[D, bottom '[m']]]-TP_DATA[[#This Row],[D, top '[m']]])/(TP_DATA[[#This Row],[Bottom '[m']]]-TP_DATA[[#This Row],[Top '[m']]]),"")</f>
        <v/>
      </c>
      <c r="AR38" s="80" t="str">
        <f t="shared" si="1"/>
        <v/>
      </c>
      <c r="AS38" s="80" t="str">
        <f>IFERROR((TP_DATA[[#This Row],[D, bottom '[m']]]+TP_DATA[[#This Row],[D, top '[m']]])/(2*TP_DATA[[#This Row],[t '[mm']]]/1000),"")</f>
        <v/>
      </c>
      <c r="AT38" s="80" t="str">
        <f>IFERROR((TP_DATA[[#This Row],[D, bottom '[m']]]+#REF!)/(2*#REF!/1000),"")</f>
        <v/>
      </c>
      <c r="AY38" s="78"/>
      <c r="AZ38" s="78"/>
      <c r="BA38" s="78"/>
      <c r="BB38" s="78"/>
      <c r="BC38" s="78"/>
      <c r="BD38" s="78"/>
      <c r="BR38" s="100">
        <v>14</v>
      </c>
      <c r="BS38" s="96">
        <v>-38.6</v>
      </c>
      <c r="BT38" s="96">
        <v>-41.9</v>
      </c>
      <c r="BU38" s="96">
        <v>11.5</v>
      </c>
      <c r="BV38" s="96">
        <v>11.5</v>
      </c>
      <c r="BW38" s="96">
        <v>98</v>
      </c>
      <c r="BX38" s="80">
        <f>IFERROR(TOWER_DATA[[#This Row],[Bottom '[m']]]-TOWER_DATA[[#This Row],[D, top '[m']]], "")</f>
        <v>-53.4</v>
      </c>
      <c r="BY38" s="80">
        <f>IFERROR(-(TOWER_DATA[[#This Row],[D, bottom '[m']]]-TOWER_DATA[[#This Row],[D, top '[m']]])/(TOWER_DATA[[#This Row],[Bottom '[m']]]-TOWER_DATA[[#This Row],[Top '[m']]]),"")</f>
        <v>0</v>
      </c>
      <c r="BZ38" s="80">
        <f t="shared" si="2"/>
        <v>90.936991392364675</v>
      </c>
      <c r="CA38" s="80">
        <f>IFERROR((TOWER_DATA[[#This Row],[D, bottom '[m']]]+TOWER_DATA[[#This Row],[D, top '[m']]])/(2*TOWER_DATA[[#This Row],[t '[mm']]]/1000),"")</f>
        <v>117.3469387755102</v>
      </c>
      <c r="CB38" s="80" t="str">
        <f>IFERROR((TOWER_DATA[[#This Row],[D, bottom '[m']]]+#REF!)/(2*#REF!/1000),"")</f>
        <v/>
      </c>
      <c r="CC38" s="83"/>
      <c r="CD38" s="83"/>
      <c r="CE38" s="83"/>
      <c r="CG38" s="78">
        <v>14</v>
      </c>
      <c r="CH38" s="78">
        <v>-38.6</v>
      </c>
      <c r="CI38" s="78">
        <v>-41.9</v>
      </c>
      <c r="CJ38" s="78">
        <v>11.5</v>
      </c>
      <c r="CK38" s="78">
        <v>11.5</v>
      </c>
      <c r="CL38" s="78">
        <v>98</v>
      </c>
      <c r="DF38" s="80"/>
      <c r="DG38" s="80"/>
      <c r="DH38" s="80"/>
      <c r="DI38" s="80"/>
      <c r="DK38" s="78">
        <v>14</v>
      </c>
      <c r="DL38" s="78">
        <v>119.82599999999999</v>
      </c>
      <c r="DM38" s="78">
        <v>117.047</v>
      </c>
      <c r="DN38" s="78">
        <v>6.0824999999999996</v>
      </c>
      <c r="DO38" s="78">
        <v>6.1383999999999999</v>
      </c>
      <c r="DP38" s="78">
        <v>22.4</v>
      </c>
    </row>
    <row r="39" spans="2:120" x14ac:dyDescent="0.3">
      <c r="B39" s="96">
        <v>15</v>
      </c>
      <c r="C39" s="97">
        <v>-41.9</v>
      </c>
      <c r="D39" s="97">
        <v>-45.2</v>
      </c>
      <c r="E39" s="96">
        <v>11.5</v>
      </c>
      <c r="F39" s="96">
        <v>11.5</v>
      </c>
      <c r="G39" s="96">
        <v>95</v>
      </c>
      <c r="H39" s="80">
        <f>IFERROR(MP_DATA[[#This Row],[Bottom '[m']]]-MP_DATA[[#This Row],[D, top '[m']]], "")</f>
        <v>-56.7</v>
      </c>
      <c r="I39" s="80">
        <f>IFERROR(-(MP_DATA[[#This Row],[D, bottom '[m']]]-MP_DATA[[#This Row],[D, top '[m']]])/(MP_DATA[[#This Row],[Bottom '[m']]]-MP_DATA[[#This Row],[Top '[m']]]),"")</f>
        <v>0</v>
      </c>
      <c r="J39" s="80">
        <f t="shared" si="0"/>
        <v>88.17640008451977</v>
      </c>
      <c r="K39" s="80">
        <f>IFERROR((MP_DATA[[#This Row],[D, bottom '[m']]]+MP_DATA[[#This Row],[D, top '[m']]])/(2*MP_DATA[[#This Row],[t '[mm']]]/1000),"")</f>
        <v>121.05263157894737</v>
      </c>
      <c r="L39" s="80" t="str">
        <f>IFERROR((MP_DATA[[#This Row],[D, bottom '[m']]]+#REF!)/(2*#REF!/1000),"")</f>
        <v/>
      </c>
      <c r="Q39" s="78">
        <v>15</v>
      </c>
      <c r="R39" s="81">
        <v>-41.9</v>
      </c>
      <c r="S39" s="81">
        <v>-45.2</v>
      </c>
      <c r="T39" s="78">
        <v>11.5</v>
      </c>
      <c r="U39" s="78">
        <v>11.5</v>
      </c>
      <c r="V39" s="78">
        <v>95</v>
      </c>
      <c r="AP39" s="80" t="str">
        <f>IFERROR(TP_DATA[[#This Row],[Bottom '[m']]]-TP_DATA[[#This Row],[D, top '[m']]], "")</f>
        <v/>
      </c>
      <c r="AQ39" s="80" t="str">
        <f>IFERROR(-(TP_DATA[[#This Row],[D, bottom '[m']]]-TP_DATA[[#This Row],[D, top '[m']]])/(TP_DATA[[#This Row],[Bottom '[m']]]-TP_DATA[[#This Row],[Top '[m']]]),"")</f>
        <v/>
      </c>
      <c r="AR39" s="80" t="str">
        <f t="shared" si="1"/>
        <v/>
      </c>
      <c r="AS39" s="80" t="str">
        <f>IFERROR((TP_DATA[[#This Row],[D, bottom '[m']]]+TP_DATA[[#This Row],[D, top '[m']]])/(2*TP_DATA[[#This Row],[t '[mm']]]/1000),"")</f>
        <v/>
      </c>
      <c r="AT39" s="80" t="str">
        <f>IFERROR((TP_DATA[[#This Row],[D, bottom '[m']]]+#REF!)/(2*#REF!/1000),"")</f>
        <v/>
      </c>
      <c r="AY39" s="78"/>
      <c r="AZ39" s="78"/>
      <c r="BA39" s="78"/>
      <c r="BB39" s="78"/>
      <c r="BC39" s="78"/>
      <c r="BD39" s="78"/>
      <c r="BR39" s="100">
        <v>15</v>
      </c>
      <c r="BS39" s="96">
        <v>-41.9</v>
      </c>
      <c r="BT39" s="96">
        <v>-45.2</v>
      </c>
      <c r="BU39" s="96">
        <v>11.5</v>
      </c>
      <c r="BV39" s="96">
        <v>11.5</v>
      </c>
      <c r="BW39" s="96">
        <v>95</v>
      </c>
      <c r="BX39" s="80">
        <f>IFERROR(TOWER_DATA[[#This Row],[Bottom '[m']]]-TOWER_DATA[[#This Row],[D, top '[m']]], "")</f>
        <v>-56.7</v>
      </c>
      <c r="BY39" s="80">
        <f>IFERROR(-(TOWER_DATA[[#This Row],[D, bottom '[m']]]-TOWER_DATA[[#This Row],[D, top '[m']]])/(TOWER_DATA[[#This Row],[Bottom '[m']]]-TOWER_DATA[[#This Row],[Top '[m']]]),"")</f>
        <v>0</v>
      </c>
      <c r="BZ39" s="80">
        <f t="shared" si="2"/>
        <v>88.17640008451977</v>
      </c>
      <c r="CA39" s="80">
        <f>IFERROR((TOWER_DATA[[#This Row],[D, bottom '[m']]]+TOWER_DATA[[#This Row],[D, top '[m']]])/(2*TOWER_DATA[[#This Row],[t '[mm']]]/1000),"")</f>
        <v>121.05263157894737</v>
      </c>
      <c r="CB39" s="80" t="str">
        <f>IFERROR((TOWER_DATA[[#This Row],[D, bottom '[m']]]+#REF!)/(2*#REF!/1000),"")</f>
        <v/>
      </c>
      <c r="CC39" s="83"/>
      <c r="CD39" s="83"/>
      <c r="CE39" s="83"/>
      <c r="CG39" s="78">
        <v>15</v>
      </c>
      <c r="CH39" s="78">
        <v>-41.9</v>
      </c>
      <c r="CI39" s="78">
        <v>-45.2</v>
      </c>
      <c r="CJ39" s="78">
        <v>11.5</v>
      </c>
      <c r="CK39" s="78">
        <v>11.5</v>
      </c>
      <c r="CL39" s="78">
        <v>95</v>
      </c>
      <c r="DF39" s="80"/>
      <c r="DG39" s="80"/>
      <c r="DH39" s="80"/>
      <c r="DI39" s="80"/>
      <c r="DK39" s="78">
        <v>15</v>
      </c>
      <c r="DL39" s="78">
        <v>117.047</v>
      </c>
      <c r="DM39" s="78">
        <v>114.271</v>
      </c>
      <c r="DN39" s="78">
        <v>6.1383999999999999</v>
      </c>
      <c r="DO39" s="78">
        <v>6.1931000000000003</v>
      </c>
      <c r="DP39" s="78">
        <v>23.099999999999998</v>
      </c>
    </row>
    <row r="40" spans="2:120" x14ac:dyDescent="0.3">
      <c r="B40" s="96">
        <v>16</v>
      </c>
      <c r="C40" s="97">
        <v>-45.2</v>
      </c>
      <c r="D40" s="97">
        <v>-48.5</v>
      </c>
      <c r="E40" s="96">
        <v>11.5</v>
      </c>
      <c r="F40" s="96">
        <v>11.5</v>
      </c>
      <c r="G40" s="96">
        <v>95</v>
      </c>
      <c r="H40" s="80">
        <f>IFERROR(MP_DATA[[#This Row],[Bottom '[m']]]-MP_DATA[[#This Row],[D, top '[m']]], "")</f>
        <v>-60</v>
      </c>
      <c r="I40" s="80">
        <f>IFERROR(-(MP_DATA[[#This Row],[D, bottom '[m']]]-MP_DATA[[#This Row],[D, top '[m']]])/(MP_DATA[[#This Row],[Bottom '[m']]]-MP_DATA[[#This Row],[Top '[m']]]),"")</f>
        <v>0</v>
      </c>
      <c r="J40" s="80">
        <f t="shared" si="0"/>
        <v>88.176400084519571</v>
      </c>
      <c r="K40" s="80">
        <f>IFERROR((MP_DATA[[#This Row],[D, bottom '[m']]]+MP_DATA[[#This Row],[D, top '[m']]])/(2*MP_DATA[[#This Row],[t '[mm']]]/1000),"")</f>
        <v>121.05263157894737</v>
      </c>
      <c r="L40" s="80" t="str">
        <f>IFERROR((MP_DATA[[#This Row],[D, bottom '[m']]]+#REF!)/(2*#REF!/1000),"")</f>
        <v/>
      </c>
      <c r="Q40" s="78">
        <v>16</v>
      </c>
      <c r="R40" s="81">
        <v>-45.2</v>
      </c>
      <c r="S40" s="81">
        <v>-48.5</v>
      </c>
      <c r="T40" s="78">
        <v>11.5</v>
      </c>
      <c r="U40" s="78">
        <v>11.5</v>
      </c>
      <c r="V40" s="78">
        <v>95</v>
      </c>
      <c r="AP40" s="80" t="str">
        <f>IFERROR(TP_DATA[[#This Row],[Bottom '[m']]]-TP_DATA[[#This Row],[D, top '[m']]], "")</f>
        <v/>
      </c>
      <c r="AQ40" s="80" t="str">
        <f>IFERROR(-(TP_DATA[[#This Row],[D, bottom '[m']]]-TP_DATA[[#This Row],[D, top '[m']]])/(TP_DATA[[#This Row],[Bottom '[m']]]-TP_DATA[[#This Row],[Top '[m']]]),"")</f>
        <v/>
      </c>
      <c r="AR40" s="80" t="str">
        <f t="shared" si="1"/>
        <v/>
      </c>
      <c r="AS40" s="80" t="str">
        <f>IFERROR((TP_DATA[[#This Row],[D, bottom '[m']]]+TP_DATA[[#This Row],[D, top '[m']]])/(2*TP_DATA[[#This Row],[t '[mm']]]/1000),"")</f>
        <v/>
      </c>
      <c r="AT40" s="80" t="str">
        <f>IFERROR((TP_DATA[[#This Row],[D, bottom '[m']]]+#REF!)/(2*#REF!/1000),"")</f>
        <v/>
      </c>
      <c r="AY40" s="78"/>
      <c r="AZ40" s="78"/>
      <c r="BA40" s="78"/>
      <c r="BB40" s="78"/>
      <c r="BC40" s="78"/>
      <c r="BD40" s="78"/>
      <c r="BR40" s="100">
        <v>16</v>
      </c>
      <c r="BS40" s="96">
        <v>-45.2</v>
      </c>
      <c r="BT40" s="96">
        <v>-48.5</v>
      </c>
      <c r="BU40" s="96">
        <v>11.5</v>
      </c>
      <c r="BV40" s="96">
        <v>11.5</v>
      </c>
      <c r="BW40" s="96">
        <v>95</v>
      </c>
      <c r="BX40" s="80">
        <f>IFERROR(TOWER_DATA[[#This Row],[Bottom '[m']]]-TOWER_DATA[[#This Row],[D, top '[m']]], "")</f>
        <v>-60</v>
      </c>
      <c r="BY40" s="80">
        <f>IFERROR(-(TOWER_DATA[[#This Row],[D, bottom '[m']]]-TOWER_DATA[[#This Row],[D, top '[m']]])/(TOWER_DATA[[#This Row],[Bottom '[m']]]-TOWER_DATA[[#This Row],[Top '[m']]]),"")</f>
        <v>0</v>
      </c>
      <c r="BZ40" s="80">
        <f t="shared" si="2"/>
        <v>88.176400084519571</v>
      </c>
      <c r="CA40" s="80">
        <f>IFERROR((TOWER_DATA[[#This Row],[D, bottom '[m']]]+TOWER_DATA[[#This Row],[D, top '[m']]])/(2*TOWER_DATA[[#This Row],[t '[mm']]]/1000),"")</f>
        <v>121.05263157894737</v>
      </c>
      <c r="CB40" s="80" t="str">
        <f>IFERROR((TOWER_DATA[[#This Row],[D, bottom '[m']]]+#REF!)/(2*#REF!/1000),"")</f>
        <v/>
      </c>
      <c r="CC40" s="83"/>
      <c r="CD40" s="83"/>
      <c r="CE40" s="83"/>
      <c r="CG40" s="78">
        <v>16</v>
      </c>
      <c r="CH40" s="78">
        <v>-45.2</v>
      </c>
      <c r="CI40" s="78">
        <v>-48.5</v>
      </c>
      <c r="CJ40" s="78">
        <v>11.5</v>
      </c>
      <c r="CK40" s="78">
        <v>11.5</v>
      </c>
      <c r="CL40" s="78">
        <v>95</v>
      </c>
      <c r="DF40" s="80"/>
      <c r="DG40" s="80"/>
      <c r="DH40" s="80"/>
      <c r="DI40" s="80"/>
      <c r="DK40" s="78">
        <v>16</v>
      </c>
      <c r="DL40" s="78">
        <v>114.271</v>
      </c>
      <c r="DM40" s="78">
        <v>114.241</v>
      </c>
      <c r="DN40" s="78">
        <v>6.1931000000000003</v>
      </c>
      <c r="DO40" s="78">
        <v>6.1931000000000003</v>
      </c>
      <c r="DP40" s="78">
        <v>23.099999999999998</v>
      </c>
    </row>
    <row r="41" spans="2:120" x14ac:dyDescent="0.3">
      <c r="B41" s="96">
        <v>17</v>
      </c>
      <c r="C41" s="97">
        <v>-48.5</v>
      </c>
      <c r="D41" s="97">
        <v>-51.7</v>
      </c>
      <c r="E41" s="96">
        <v>11.5</v>
      </c>
      <c r="F41" s="96">
        <v>11.5</v>
      </c>
      <c r="G41" s="96">
        <v>95</v>
      </c>
      <c r="H41" s="80">
        <f>IFERROR(MP_DATA[[#This Row],[Bottom '[m']]]-MP_DATA[[#This Row],[D, top '[m']]], "")</f>
        <v>-63.2</v>
      </c>
      <c r="I41" s="80">
        <f>IFERROR(-(MP_DATA[[#This Row],[D, bottom '[m']]]-MP_DATA[[#This Row],[D, top '[m']]])/(MP_DATA[[#This Row],[Bottom '[m']]]-MP_DATA[[#This Row],[Top '[m']]]),"")</f>
        <v>0</v>
      </c>
      <c r="J41" s="80">
        <f t="shared" si="0"/>
        <v>85.504387960746399</v>
      </c>
      <c r="K41" s="80">
        <f>IFERROR((MP_DATA[[#This Row],[D, bottom '[m']]]+MP_DATA[[#This Row],[D, top '[m']]])/(2*MP_DATA[[#This Row],[t '[mm']]]/1000),"")</f>
        <v>121.05263157894737</v>
      </c>
      <c r="L41" s="80" t="str">
        <f>IFERROR((MP_DATA[[#This Row],[D, bottom '[m']]]+#REF!)/(2*#REF!/1000),"")</f>
        <v/>
      </c>
      <c r="Q41" s="78">
        <v>17</v>
      </c>
      <c r="R41" s="81">
        <v>-48.5</v>
      </c>
      <c r="S41" s="81">
        <v>-51.7</v>
      </c>
      <c r="T41" s="78">
        <v>11.5</v>
      </c>
      <c r="U41" s="78">
        <v>11.5</v>
      </c>
      <c r="V41" s="78">
        <v>95</v>
      </c>
      <c r="AP41" s="80" t="str">
        <f>IFERROR(TP_DATA[[#This Row],[Bottom '[m']]]-TP_DATA[[#This Row],[D, top '[m']]], "")</f>
        <v/>
      </c>
      <c r="AQ41" s="80" t="str">
        <f>IFERROR(-(TP_DATA[[#This Row],[D, bottom '[m']]]-TP_DATA[[#This Row],[D, top '[m']]])/(TP_DATA[[#This Row],[Bottom '[m']]]-TP_DATA[[#This Row],[Top '[m']]]),"")</f>
        <v/>
      </c>
      <c r="AR41" s="80" t="str">
        <f t="shared" si="1"/>
        <v/>
      </c>
      <c r="AS41" s="80" t="str">
        <f>IFERROR((TP_DATA[[#This Row],[D, bottom '[m']]]+TP_DATA[[#This Row],[D, top '[m']]])/(2*TP_DATA[[#This Row],[t '[mm']]]/1000),"")</f>
        <v/>
      </c>
      <c r="AT41" s="80" t="str">
        <f>IFERROR((TP_DATA[[#This Row],[D, bottom '[m']]]+#REF!)/(2*#REF!/1000),"")</f>
        <v/>
      </c>
      <c r="AY41" s="78"/>
      <c r="AZ41" s="78"/>
      <c r="BA41" s="78"/>
      <c r="BB41" s="78"/>
      <c r="BC41" s="78"/>
      <c r="BD41" s="78"/>
      <c r="BR41" s="100">
        <v>17</v>
      </c>
      <c r="BS41" s="96">
        <v>-48.5</v>
      </c>
      <c r="BT41" s="96">
        <v>-51.7</v>
      </c>
      <c r="BU41" s="96">
        <v>11.5</v>
      </c>
      <c r="BV41" s="96">
        <v>11.5</v>
      </c>
      <c r="BW41" s="96">
        <v>95</v>
      </c>
      <c r="BX41" s="80">
        <f>IFERROR(TOWER_DATA[[#This Row],[Bottom '[m']]]-TOWER_DATA[[#This Row],[D, top '[m']]], "")</f>
        <v>-63.2</v>
      </c>
      <c r="BY41" s="80">
        <f>IFERROR(-(TOWER_DATA[[#This Row],[D, bottom '[m']]]-TOWER_DATA[[#This Row],[D, top '[m']]])/(TOWER_DATA[[#This Row],[Bottom '[m']]]-TOWER_DATA[[#This Row],[Top '[m']]]),"")</f>
        <v>0</v>
      </c>
      <c r="BZ41" s="80">
        <f t="shared" si="2"/>
        <v>85.504387960746399</v>
      </c>
      <c r="CA41" s="80">
        <f>IFERROR((TOWER_DATA[[#This Row],[D, bottom '[m']]]+TOWER_DATA[[#This Row],[D, top '[m']]])/(2*TOWER_DATA[[#This Row],[t '[mm']]]/1000),"")</f>
        <v>121.05263157894737</v>
      </c>
      <c r="CB41" s="80" t="str">
        <f>IFERROR((TOWER_DATA[[#This Row],[D, bottom '[m']]]+#REF!)/(2*#REF!/1000),"")</f>
        <v/>
      </c>
      <c r="CC41" s="83"/>
      <c r="CD41" s="83"/>
      <c r="CE41" s="83"/>
      <c r="CG41" s="78">
        <v>17</v>
      </c>
      <c r="CH41" s="78">
        <v>-48.5</v>
      </c>
      <c r="CI41" s="78">
        <v>-51.7</v>
      </c>
      <c r="CJ41" s="78">
        <v>11.5</v>
      </c>
      <c r="CK41" s="78">
        <v>11.5</v>
      </c>
      <c r="CL41" s="78">
        <v>95</v>
      </c>
      <c r="DF41" s="80"/>
      <c r="DG41" s="80"/>
      <c r="DH41" s="80"/>
      <c r="DI41" s="80"/>
      <c r="DK41" s="78">
        <v>17</v>
      </c>
      <c r="DL41" s="78">
        <v>114.241</v>
      </c>
      <c r="DM41" s="78">
        <v>114.121</v>
      </c>
      <c r="DN41" s="78">
        <v>6.1931000000000003</v>
      </c>
      <c r="DO41" s="78">
        <v>6.1931000000000003</v>
      </c>
      <c r="DP41" s="78">
        <v>23.099999999999998</v>
      </c>
    </row>
    <row r="42" spans="2:120" x14ac:dyDescent="0.3">
      <c r="B42" s="96">
        <v>18</v>
      </c>
      <c r="C42" s="97">
        <v>-51.7</v>
      </c>
      <c r="D42" s="97">
        <v>-55.3</v>
      </c>
      <c r="E42" s="96">
        <v>11.5</v>
      </c>
      <c r="F42" s="96">
        <v>11.5</v>
      </c>
      <c r="G42" s="96">
        <v>93</v>
      </c>
      <c r="H42" s="80">
        <f>IFERROR(MP_DATA[[#This Row],[Bottom '[m']]]-MP_DATA[[#This Row],[D, top '[m']]], "")</f>
        <v>-66.8</v>
      </c>
      <c r="I42" s="80">
        <f>IFERROR(-(MP_DATA[[#This Row],[D, bottom '[m']]]-MP_DATA[[#This Row],[D, top '[m']]])/(MP_DATA[[#This Row],[Bottom '[m']]]-MP_DATA[[#This Row],[Top '[m']]]),"")</f>
        <v>0</v>
      </c>
      <c r="J42" s="80">
        <f t="shared" si="0"/>
        <v>94.183845872414466</v>
      </c>
      <c r="K42" s="80">
        <f>IFERROR((MP_DATA[[#This Row],[D, bottom '[m']]]+MP_DATA[[#This Row],[D, top '[m']]])/(2*MP_DATA[[#This Row],[t '[mm']]]/1000),"")</f>
        <v>123.65591397849462</v>
      </c>
      <c r="L42" s="80" t="str">
        <f>IFERROR((MP_DATA[[#This Row],[D, bottom '[m']]]+#REF!)/(2*#REF!/1000),"")</f>
        <v/>
      </c>
      <c r="Q42" s="78">
        <v>18</v>
      </c>
      <c r="R42" s="81">
        <v>-51.7</v>
      </c>
      <c r="S42" s="81">
        <v>-55.3</v>
      </c>
      <c r="T42" s="78">
        <v>11.5</v>
      </c>
      <c r="U42" s="78">
        <v>11.5</v>
      </c>
      <c r="V42" s="78">
        <v>93</v>
      </c>
      <c r="AP42" s="80" t="str">
        <f>IFERROR(TP_DATA[[#This Row],[Bottom '[m']]]-TP_DATA[[#This Row],[D, top '[m']]], "")</f>
        <v/>
      </c>
      <c r="AQ42" s="80" t="str">
        <f>IFERROR(-(TP_DATA[[#This Row],[D, bottom '[m']]]-TP_DATA[[#This Row],[D, top '[m']]])/(TP_DATA[[#This Row],[Bottom '[m']]]-TP_DATA[[#This Row],[Top '[m']]]),"")</f>
        <v/>
      </c>
      <c r="AR42" s="80" t="str">
        <f t="shared" si="1"/>
        <v/>
      </c>
      <c r="AS42" s="80" t="str">
        <f>IFERROR((TP_DATA[[#This Row],[D, bottom '[m']]]+TP_DATA[[#This Row],[D, top '[m']]])/(2*TP_DATA[[#This Row],[t '[mm']]]/1000),"")</f>
        <v/>
      </c>
      <c r="AT42" s="80" t="str">
        <f>IFERROR((TP_DATA[[#This Row],[D, bottom '[m']]]+#REF!)/(2*#REF!/1000),"")</f>
        <v/>
      </c>
      <c r="AY42" s="78"/>
      <c r="AZ42" s="78"/>
      <c r="BA42" s="78"/>
      <c r="BB42" s="78"/>
      <c r="BC42" s="78"/>
      <c r="BD42" s="78"/>
      <c r="BR42" s="100">
        <v>18</v>
      </c>
      <c r="BS42" s="96">
        <v>-51.7</v>
      </c>
      <c r="BT42" s="96">
        <v>-55.3</v>
      </c>
      <c r="BU42" s="96">
        <v>11.5</v>
      </c>
      <c r="BV42" s="96">
        <v>11.5</v>
      </c>
      <c r="BW42" s="96">
        <v>93</v>
      </c>
      <c r="BX42" s="80">
        <f>IFERROR(TOWER_DATA[[#This Row],[Bottom '[m']]]-TOWER_DATA[[#This Row],[D, top '[m']]], "")</f>
        <v>-66.8</v>
      </c>
      <c r="BY42" s="80">
        <f>IFERROR(-(TOWER_DATA[[#This Row],[D, bottom '[m']]]-TOWER_DATA[[#This Row],[D, top '[m']]])/(TOWER_DATA[[#This Row],[Bottom '[m']]]-TOWER_DATA[[#This Row],[Top '[m']]]),"")</f>
        <v>0</v>
      </c>
      <c r="BZ42" s="80">
        <f t="shared" si="2"/>
        <v>94.183845872414466</v>
      </c>
      <c r="CA42" s="80">
        <f>IFERROR((TOWER_DATA[[#This Row],[D, bottom '[m']]]+TOWER_DATA[[#This Row],[D, top '[m']]])/(2*TOWER_DATA[[#This Row],[t '[mm']]]/1000),"")</f>
        <v>123.65591397849462</v>
      </c>
      <c r="CB42" s="80" t="str">
        <f>IFERROR((TOWER_DATA[[#This Row],[D, bottom '[m']]]+#REF!)/(2*#REF!/1000),"")</f>
        <v/>
      </c>
      <c r="CC42" s="83"/>
      <c r="CD42" s="83"/>
      <c r="CE42" s="83"/>
      <c r="CG42" s="78">
        <v>18</v>
      </c>
      <c r="CH42" s="78">
        <v>-51.7</v>
      </c>
      <c r="CI42" s="78">
        <v>-55.3</v>
      </c>
      <c r="CJ42" s="78">
        <v>11.5</v>
      </c>
      <c r="CK42" s="78">
        <v>11.5</v>
      </c>
      <c r="CL42" s="78">
        <v>93</v>
      </c>
      <c r="DF42" s="80"/>
      <c r="DG42" s="80"/>
      <c r="DH42" s="80"/>
      <c r="DI42" s="80"/>
      <c r="DK42" s="78">
        <v>18</v>
      </c>
      <c r="DL42" s="78">
        <v>114.121</v>
      </c>
      <c r="DM42" s="78">
        <v>114.001</v>
      </c>
      <c r="DN42" s="78">
        <v>6.1931000000000003</v>
      </c>
      <c r="DO42" s="78">
        <v>6.1931000000000003</v>
      </c>
      <c r="DP42" s="78">
        <v>23.099999999999998</v>
      </c>
    </row>
    <row r="43" spans="2:120" x14ac:dyDescent="0.3">
      <c r="B43" s="96">
        <v>19</v>
      </c>
      <c r="C43" s="97">
        <v>-55.3</v>
      </c>
      <c r="D43" s="97">
        <v>-59.3</v>
      </c>
      <c r="E43" s="96">
        <v>11.5</v>
      </c>
      <c r="F43" s="96">
        <v>11.5</v>
      </c>
      <c r="G43" s="96">
        <v>93</v>
      </c>
      <c r="H43" s="80">
        <f>IFERROR(MP_DATA[[#This Row],[Bottom '[m']]]-MP_DATA[[#This Row],[D, top '[m']]], "")</f>
        <v>-70.8</v>
      </c>
      <c r="I43" s="80">
        <f>IFERROR(-(MP_DATA[[#This Row],[D, bottom '[m']]]-MP_DATA[[#This Row],[D, top '[m']]])/(MP_DATA[[#This Row],[Bottom '[m']]]-MP_DATA[[#This Row],[Top '[m']]]),"")</f>
        <v>0</v>
      </c>
      <c r="J43" s="80">
        <f t="shared" si="0"/>
        <v>104.64871763601624</v>
      </c>
      <c r="K43" s="80">
        <f>IFERROR((MP_DATA[[#This Row],[D, bottom '[m']]]+MP_DATA[[#This Row],[D, top '[m']]])/(2*MP_DATA[[#This Row],[t '[mm']]]/1000),"")</f>
        <v>123.65591397849462</v>
      </c>
      <c r="L43" s="80" t="str">
        <f>IFERROR((MP_DATA[[#This Row],[D, bottom '[m']]]+#REF!)/(2*#REF!/1000),"")</f>
        <v/>
      </c>
      <c r="Q43" s="78">
        <v>19</v>
      </c>
      <c r="R43" s="81">
        <v>-55.3</v>
      </c>
      <c r="S43" s="81">
        <v>-59.3</v>
      </c>
      <c r="T43" s="78">
        <v>11.5</v>
      </c>
      <c r="U43" s="78">
        <v>11.5</v>
      </c>
      <c r="V43" s="78">
        <v>93</v>
      </c>
      <c r="AP43" s="80" t="str">
        <f>IFERROR(TP_DATA[[#This Row],[Bottom '[m']]]-TP_DATA[[#This Row],[D, top '[m']]], "")</f>
        <v/>
      </c>
      <c r="AQ43" s="80" t="str">
        <f>IFERROR(-(TP_DATA[[#This Row],[D, bottom '[m']]]-TP_DATA[[#This Row],[D, top '[m']]])/(TP_DATA[[#This Row],[Bottom '[m']]]-TP_DATA[[#This Row],[Top '[m']]]),"")</f>
        <v/>
      </c>
      <c r="AR43" s="80" t="str">
        <f t="shared" si="1"/>
        <v/>
      </c>
      <c r="AS43" s="80" t="str">
        <f>IFERROR((TP_DATA[[#This Row],[D, bottom '[m']]]+TP_DATA[[#This Row],[D, top '[m']]])/(2*TP_DATA[[#This Row],[t '[mm']]]/1000),"")</f>
        <v/>
      </c>
      <c r="AT43" s="80" t="str">
        <f>IFERROR((TP_DATA[[#This Row],[D, bottom '[m']]]+#REF!)/(2*#REF!/1000),"")</f>
        <v/>
      </c>
      <c r="AY43" s="78"/>
      <c r="AZ43" s="78"/>
      <c r="BA43" s="78"/>
      <c r="BB43" s="78"/>
      <c r="BC43" s="78"/>
      <c r="BD43" s="78"/>
      <c r="BR43" s="100">
        <v>19</v>
      </c>
      <c r="BS43" s="96">
        <v>-55.3</v>
      </c>
      <c r="BT43" s="96">
        <v>-59.3</v>
      </c>
      <c r="BU43" s="96">
        <v>11.5</v>
      </c>
      <c r="BV43" s="96">
        <v>11.5</v>
      </c>
      <c r="BW43" s="96">
        <v>93</v>
      </c>
      <c r="BX43" s="80">
        <f>IFERROR(TOWER_DATA[[#This Row],[Bottom '[m']]]-TOWER_DATA[[#This Row],[D, top '[m']]], "")</f>
        <v>-70.8</v>
      </c>
      <c r="BY43" s="80">
        <f>IFERROR(-(TOWER_DATA[[#This Row],[D, bottom '[m']]]-TOWER_DATA[[#This Row],[D, top '[m']]])/(TOWER_DATA[[#This Row],[Bottom '[m']]]-TOWER_DATA[[#This Row],[Top '[m']]]),"")</f>
        <v>0</v>
      </c>
      <c r="BZ43" s="80">
        <f t="shared" si="2"/>
        <v>104.64871763601624</v>
      </c>
      <c r="CA43" s="80">
        <f>IFERROR((TOWER_DATA[[#This Row],[D, bottom '[m']]]+TOWER_DATA[[#This Row],[D, top '[m']]])/(2*TOWER_DATA[[#This Row],[t '[mm']]]/1000),"")</f>
        <v>123.65591397849462</v>
      </c>
      <c r="CB43" s="80" t="str">
        <f>IFERROR((TOWER_DATA[[#This Row],[D, bottom '[m']]]+#REF!)/(2*#REF!/1000),"")</f>
        <v/>
      </c>
      <c r="CC43" s="83"/>
      <c r="CD43" s="83"/>
      <c r="CE43" s="83"/>
      <c r="CG43" s="78">
        <v>19</v>
      </c>
      <c r="CH43" s="78">
        <v>-55.3</v>
      </c>
      <c r="CI43" s="78">
        <v>-59.3</v>
      </c>
      <c r="CJ43" s="78">
        <v>11.5</v>
      </c>
      <c r="CK43" s="78">
        <v>11.5</v>
      </c>
      <c r="CL43" s="78">
        <v>93</v>
      </c>
      <c r="DF43" s="80"/>
      <c r="DG43" s="80"/>
      <c r="DH43" s="80"/>
      <c r="DI43" s="80"/>
      <c r="DK43" s="78">
        <v>19</v>
      </c>
      <c r="DL43" s="78">
        <v>114.001</v>
      </c>
      <c r="DM43" s="78">
        <v>113.971</v>
      </c>
      <c r="DN43" s="78">
        <v>6.1931000000000003</v>
      </c>
      <c r="DO43" s="78">
        <v>6.1931000000000003</v>
      </c>
      <c r="DP43" s="78">
        <v>23.099999999999998</v>
      </c>
    </row>
    <row r="44" spans="2:120" x14ac:dyDescent="0.3">
      <c r="B44" s="96">
        <v>20</v>
      </c>
      <c r="C44" s="97">
        <v>-59.3</v>
      </c>
      <c r="D44" s="97">
        <v>-63.3</v>
      </c>
      <c r="E44" s="96">
        <v>11.5</v>
      </c>
      <c r="F44" s="96">
        <v>11.5</v>
      </c>
      <c r="G44" s="96">
        <v>93</v>
      </c>
      <c r="H44" s="80">
        <f>IFERROR(MP_DATA[[#This Row],[Bottom '[m']]]-MP_DATA[[#This Row],[D, top '[m']]], "")</f>
        <v>-74.8</v>
      </c>
      <c r="I44" s="80">
        <f>IFERROR(-(MP_DATA[[#This Row],[D, bottom '[m']]]-MP_DATA[[#This Row],[D, top '[m']]])/(MP_DATA[[#This Row],[Bottom '[m']]]-MP_DATA[[#This Row],[Top '[m']]]),"")</f>
        <v>0</v>
      </c>
      <c r="J44" s="80">
        <f t="shared" si="0"/>
        <v>104.64871763601624</v>
      </c>
      <c r="K44" s="80">
        <f>IFERROR((MP_DATA[[#This Row],[D, bottom '[m']]]+MP_DATA[[#This Row],[D, top '[m']]])/(2*MP_DATA[[#This Row],[t '[mm']]]/1000),"")</f>
        <v>123.65591397849462</v>
      </c>
      <c r="L44" s="80" t="str">
        <f>IFERROR((MP_DATA[[#This Row],[D, bottom '[m']]]+#REF!)/(2*#REF!/1000),"")</f>
        <v/>
      </c>
      <c r="Q44" s="78">
        <v>20</v>
      </c>
      <c r="R44" s="81">
        <v>-59.3</v>
      </c>
      <c r="S44" s="81">
        <v>-63.3</v>
      </c>
      <c r="T44" s="78">
        <v>11.5</v>
      </c>
      <c r="U44" s="78">
        <v>11.5</v>
      </c>
      <c r="V44" s="78">
        <v>93</v>
      </c>
      <c r="AP44" s="80" t="str">
        <f>IFERROR(TP_DATA[[#This Row],[Bottom '[m']]]-TP_DATA[[#This Row],[D, top '[m']]], "")</f>
        <v/>
      </c>
      <c r="AQ44" s="80" t="str">
        <f>IFERROR(-(TP_DATA[[#This Row],[D, bottom '[m']]]-TP_DATA[[#This Row],[D, top '[m']]])/(TP_DATA[[#This Row],[Bottom '[m']]]-TP_DATA[[#This Row],[Top '[m']]]),"")</f>
        <v/>
      </c>
      <c r="AR44" s="80" t="str">
        <f t="shared" si="1"/>
        <v/>
      </c>
      <c r="AS44" s="80" t="str">
        <f>IFERROR((TP_DATA[[#This Row],[D, bottom '[m']]]+TP_DATA[[#This Row],[D, top '[m']]])/(2*TP_DATA[[#This Row],[t '[mm']]]/1000),"")</f>
        <v/>
      </c>
      <c r="AT44" s="80" t="str">
        <f>IFERROR((TP_DATA[[#This Row],[D, bottom '[m']]]+#REF!)/(2*#REF!/1000),"")</f>
        <v/>
      </c>
      <c r="AY44" s="78"/>
      <c r="AZ44" s="78"/>
      <c r="BA44" s="78"/>
      <c r="BB44" s="78"/>
      <c r="BC44" s="78"/>
      <c r="BD44" s="78"/>
      <c r="BR44" s="100">
        <v>20</v>
      </c>
      <c r="BS44" s="96">
        <v>-59.3</v>
      </c>
      <c r="BT44" s="96">
        <v>-63.3</v>
      </c>
      <c r="BU44" s="96">
        <v>11.5</v>
      </c>
      <c r="BV44" s="96">
        <v>11.5</v>
      </c>
      <c r="BW44" s="96">
        <v>93</v>
      </c>
      <c r="BX44" s="80">
        <f>IFERROR(TOWER_DATA[[#This Row],[Bottom '[m']]]-TOWER_DATA[[#This Row],[D, top '[m']]], "")</f>
        <v>-74.8</v>
      </c>
      <c r="BY44" s="80">
        <f>IFERROR(-(TOWER_DATA[[#This Row],[D, bottom '[m']]]-TOWER_DATA[[#This Row],[D, top '[m']]])/(TOWER_DATA[[#This Row],[Bottom '[m']]]-TOWER_DATA[[#This Row],[Top '[m']]]),"")</f>
        <v>0</v>
      </c>
      <c r="BZ44" s="80">
        <f t="shared" si="2"/>
        <v>104.64871763601624</v>
      </c>
      <c r="CA44" s="80">
        <f>IFERROR((TOWER_DATA[[#This Row],[D, bottom '[m']]]+TOWER_DATA[[#This Row],[D, top '[m']]])/(2*TOWER_DATA[[#This Row],[t '[mm']]]/1000),"")</f>
        <v>123.65591397849462</v>
      </c>
      <c r="CB44" s="80" t="str">
        <f>IFERROR((TOWER_DATA[[#This Row],[D, bottom '[m']]]+#REF!)/(2*#REF!/1000),"")</f>
        <v/>
      </c>
      <c r="CC44" s="83"/>
      <c r="CD44" s="83"/>
      <c r="CE44" s="83"/>
      <c r="CG44" s="78">
        <v>20</v>
      </c>
      <c r="CH44" s="78">
        <v>-59.3</v>
      </c>
      <c r="CI44" s="78">
        <v>-63.3</v>
      </c>
      <c r="CJ44" s="78">
        <v>11.5</v>
      </c>
      <c r="CK44" s="78">
        <v>11.5</v>
      </c>
      <c r="CL44" s="78">
        <v>93</v>
      </c>
      <c r="DF44" s="80"/>
      <c r="DG44" s="80"/>
      <c r="DH44" s="80"/>
      <c r="DI44" s="80"/>
      <c r="DK44" s="78">
        <v>20</v>
      </c>
      <c r="DL44" s="78">
        <v>113.971</v>
      </c>
      <c r="DM44" s="78">
        <v>112.82299999999999</v>
      </c>
      <c r="DN44" s="78">
        <v>6.1931000000000003</v>
      </c>
      <c r="DO44" s="78">
        <v>6.2171000000000003</v>
      </c>
      <c r="DP44" s="78">
        <v>23.099999999999998</v>
      </c>
    </row>
    <row r="45" spans="2:120" x14ac:dyDescent="0.3">
      <c r="B45" s="96">
        <v>21</v>
      </c>
      <c r="C45" s="97">
        <v>-63.3</v>
      </c>
      <c r="D45" s="97">
        <v>-67.3</v>
      </c>
      <c r="E45" s="96">
        <v>11.5</v>
      </c>
      <c r="F45" s="96">
        <v>11.5</v>
      </c>
      <c r="G45" s="96">
        <v>93</v>
      </c>
      <c r="H45" s="80">
        <f>IFERROR(MP_DATA[[#This Row],[Bottom '[m']]]-MP_DATA[[#This Row],[D, top '[m']]], "")</f>
        <v>-78.8</v>
      </c>
      <c r="I45" s="80">
        <f>IFERROR(-(MP_DATA[[#This Row],[D, bottom '[m']]]-MP_DATA[[#This Row],[D, top '[m']]])/(MP_DATA[[#This Row],[Bottom '[m']]]-MP_DATA[[#This Row],[Top '[m']]]),"")</f>
        <v>0</v>
      </c>
      <c r="J45" s="80">
        <f t="shared" si="0"/>
        <v>104.64871763601624</v>
      </c>
      <c r="K45" s="80">
        <f>IFERROR((MP_DATA[[#This Row],[D, bottom '[m']]]+MP_DATA[[#This Row],[D, top '[m']]])/(2*MP_DATA[[#This Row],[t '[mm']]]/1000),"")</f>
        <v>123.65591397849462</v>
      </c>
      <c r="L45" s="80" t="str">
        <f>IFERROR((MP_DATA[[#This Row],[D, bottom '[m']]]+#REF!)/(2*#REF!/1000),"")</f>
        <v/>
      </c>
      <c r="Q45" s="78">
        <v>21</v>
      </c>
      <c r="R45" s="81">
        <v>-63.3</v>
      </c>
      <c r="S45" s="81">
        <v>-67.3</v>
      </c>
      <c r="T45" s="78">
        <v>11.5</v>
      </c>
      <c r="U45" s="78">
        <v>11.5</v>
      </c>
      <c r="V45" s="78">
        <v>93</v>
      </c>
      <c r="AP45" s="80" t="str">
        <f>IFERROR(TP_DATA[[#This Row],[Bottom '[m']]]-TP_DATA[[#This Row],[D, top '[m']]], "")</f>
        <v/>
      </c>
      <c r="AQ45" s="80" t="str">
        <f>IFERROR(-(TP_DATA[[#This Row],[D, bottom '[m']]]-TP_DATA[[#This Row],[D, top '[m']]])/(TP_DATA[[#This Row],[Bottom '[m']]]-TP_DATA[[#This Row],[Top '[m']]]),"")</f>
        <v/>
      </c>
      <c r="AR45" s="80" t="str">
        <f t="shared" si="1"/>
        <v/>
      </c>
      <c r="AS45" s="80" t="str">
        <f>IFERROR((TP_DATA[[#This Row],[D, bottom '[m']]]+TP_DATA[[#This Row],[D, top '[m']]])/(2*TP_DATA[[#This Row],[t '[mm']]]/1000),"")</f>
        <v/>
      </c>
      <c r="AT45" s="80" t="str">
        <f>IFERROR((TP_DATA[[#This Row],[D, bottom '[m']]]+#REF!)/(2*#REF!/1000),"")</f>
        <v/>
      </c>
      <c r="AY45" s="78"/>
      <c r="AZ45" s="78"/>
      <c r="BA45" s="78"/>
      <c r="BB45" s="78"/>
      <c r="BC45" s="78"/>
      <c r="BD45" s="78"/>
      <c r="BR45" s="100">
        <v>21</v>
      </c>
      <c r="BS45" s="96">
        <v>-63.3</v>
      </c>
      <c r="BT45" s="96">
        <v>-67.3</v>
      </c>
      <c r="BU45" s="96">
        <v>11.5</v>
      </c>
      <c r="BV45" s="96">
        <v>11.5</v>
      </c>
      <c r="BW45" s="96">
        <v>93</v>
      </c>
      <c r="BX45" s="80">
        <f>IFERROR(TOWER_DATA[[#This Row],[Bottom '[m']]]-TOWER_DATA[[#This Row],[D, top '[m']]], "")</f>
        <v>-78.8</v>
      </c>
      <c r="BY45" s="80">
        <f>IFERROR(-(TOWER_DATA[[#This Row],[D, bottom '[m']]]-TOWER_DATA[[#This Row],[D, top '[m']]])/(TOWER_DATA[[#This Row],[Bottom '[m']]]-TOWER_DATA[[#This Row],[Top '[m']]]),"")</f>
        <v>0</v>
      </c>
      <c r="BZ45" s="80">
        <f t="shared" si="2"/>
        <v>104.64871763601624</v>
      </c>
      <c r="CA45" s="80">
        <f>IFERROR((TOWER_DATA[[#This Row],[D, bottom '[m']]]+TOWER_DATA[[#This Row],[D, top '[m']]])/(2*TOWER_DATA[[#This Row],[t '[mm']]]/1000),"")</f>
        <v>123.65591397849462</v>
      </c>
      <c r="CB45" s="80" t="str">
        <f>IFERROR((TOWER_DATA[[#This Row],[D, bottom '[m']]]+#REF!)/(2*#REF!/1000),"")</f>
        <v/>
      </c>
      <c r="CC45" s="83"/>
      <c r="CD45" s="83"/>
      <c r="CE45" s="83"/>
      <c r="CG45" s="78">
        <v>21</v>
      </c>
      <c r="CH45" s="78">
        <v>-63.3</v>
      </c>
      <c r="CI45" s="78">
        <v>-67.3</v>
      </c>
      <c r="CJ45" s="78">
        <v>11.5</v>
      </c>
      <c r="CK45" s="78">
        <v>11.5</v>
      </c>
      <c r="CL45" s="78">
        <v>93</v>
      </c>
      <c r="DF45" s="80"/>
      <c r="DG45" s="80"/>
      <c r="DH45" s="80"/>
      <c r="DI45" s="80"/>
      <c r="DK45" s="78">
        <v>21</v>
      </c>
      <c r="DL45" s="78">
        <v>112.82299999999999</v>
      </c>
      <c r="DM45" s="78">
        <v>112.614</v>
      </c>
      <c r="DN45" s="78">
        <v>6.2171000000000003</v>
      </c>
      <c r="DO45" s="78">
        <v>6.2214999999999998</v>
      </c>
      <c r="DP45" s="78">
        <v>23.5</v>
      </c>
    </row>
    <row r="46" spans="2:120" x14ac:dyDescent="0.3">
      <c r="B46" s="96">
        <v>22</v>
      </c>
      <c r="C46" s="97">
        <v>-67.3</v>
      </c>
      <c r="D46" s="97">
        <v>-71</v>
      </c>
      <c r="E46" s="96">
        <v>11.5</v>
      </c>
      <c r="F46" s="96">
        <v>11.5</v>
      </c>
      <c r="G46" s="96">
        <v>96</v>
      </c>
      <c r="H46" s="80">
        <f>IFERROR(MP_DATA[[#This Row],[Bottom '[m']]]-MP_DATA[[#This Row],[D, top '[m']]], "")</f>
        <v>-82.5</v>
      </c>
      <c r="I46" s="80">
        <f>IFERROR(-(MP_DATA[[#This Row],[D, bottom '[m']]]-MP_DATA[[#This Row],[D, top '[m']]])/(MP_DATA[[#This Row],[Bottom '[m']]]-MP_DATA[[#This Row],[Top '[m']]]),"")</f>
        <v>0</v>
      </c>
      <c r="J46" s="80">
        <f t="shared" si="0"/>
        <v>99.896367220087171</v>
      </c>
      <c r="K46" s="80">
        <f>IFERROR((MP_DATA[[#This Row],[D, bottom '[m']]]+MP_DATA[[#This Row],[D, top '[m']]])/(2*MP_DATA[[#This Row],[t '[mm']]]/1000),"")</f>
        <v>119.79166666666666</v>
      </c>
      <c r="L46" s="80" t="str">
        <f>IFERROR((MP_DATA[[#This Row],[D, bottom '[m']]]+#REF!)/(2*#REF!/1000),"")</f>
        <v/>
      </c>
      <c r="Q46" s="78">
        <v>22</v>
      </c>
      <c r="R46" s="81">
        <v>-67.3</v>
      </c>
      <c r="S46" s="81">
        <v>-71</v>
      </c>
      <c r="T46" s="78">
        <v>11.5</v>
      </c>
      <c r="U46" s="78">
        <v>11.5</v>
      </c>
      <c r="V46" s="78">
        <v>96</v>
      </c>
      <c r="AP46" s="80" t="str">
        <f>IFERROR(TP_DATA[[#This Row],[Bottom '[m']]]-TP_DATA[[#This Row],[D, top '[m']]], "")</f>
        <v/>
      </c>
      <c r="AQ46" s="80" t="str">
        <f>IFERROR(-(TP_DATA[[#This Row],[D, bottom '[m']]]-TP_DATA[[#This Row],[D, top '[m']]])/(TP_DATA[[#This Row],[Bottom '[m']]]-TP_DATA[[#This Row],[Top '[m']]]),"")</f>
        <v/>
      </c>
      <c r="AR46" s="80" t="str">
        <f t="shared" si="1"/>
        <v/>
      </c>
      <c r="AS46" s="80" t="str">
        <f>IFERROR((TP_DATA[[#This Row],[D, bottom '[m']]]+TP_DATA[[#This Row],[D, top '[m']]])/(2*TP_DATA[[#This Row],[t '[mm']]]/1000),"")</f>
        <v/>
      </c>
      <c r="AT46" s="80" t="str">
        <f>IFERROR((TP_DATA[[#This Row],[D, bottom '[m']]]+#REF!)/(2*#REF!/1000),"")</f>
        <v/>
      </c>
      <c r="AY46" s="78"/>
      <c r="AZ46" s="78"/>
      <c r="BA46" s="78"/>
      <c r="BB46" s="78"/>
      <c r="BC46" s="78"/>
      <c r="BD46" s="78"/>
      <c r="BR46" s="100">
        <v>22</v>
      </c>
      <c r="BS46" s="96">
        <v>-67.3</v>
      </c>
      <c r="BT46" s="96">
        <v>-71</v>
      </c>
      <c r="BU46" s="96">
        <v>11.5</v>
      </c>
      <c r="BV46" s="96">
        <v>11.5</v>
      </c>
      <c r="BW46" s="96">
        <v>96</v>
      </c>
      <c r="BX46" s="80">
        <f>IFERROR(TOWER_DATA[[#This Row],[Bottom '[m']]]-TOWER_DATA[[#This Row],[D, top '[m']]], "")</f>
        <v>-82.5</v>
      </c>
      <c r="BY46" s="80">
        <f>IFERROR(-(TOWER_DATA[[#This Row],[D, bottom '[m']]]-TOWER_DATA[[#This Row],[D, top '[m']]])/(TOWER_DATA[[#This Row],[Bottom '[m']]]-TOWER_DATA[[#This Row],[Top '[m']]]),"")</f>
        <v>0</v>
      </c>
      <c r="BZ46" s="80">
        <f t="shared" si="2"/>
        <v>99.896367220087171</v>
      </c>
      <c r="CA46" s="80">
        <f>IFERROR((TOWER_DATA[[#This Row],[D, bottom '[m']]]+TOWER_DATA[[#This Row],[D, top '[m']]])/(2*TOWER_DATA[[#This Row],[t '[mm']]]/1000),"")</f>
        <v>119.79166666666666</v>
      </c>
      <c r="CB46" s="80" t="str">
        <f>IFERROR((TOWER_DATA[[#This Row],[D, bottom '[m']]]+#REF!)/(2*#REF!/1000),"")</f>
        <v/>
      </c>
      <c r="CC46" s="83"/>
      <c r="CD46" s="83"/>
      <c r="CE46" s="83"/>
      <c r="CG46" s="78">
        <v>22</v>
      </c>
      <c r="CH46" s="78">
        <v>-67.3</v>
      </c>
      <c r="CI46" s="78">
        <v>-71</v>
      </c>
      <c r="CJ46" s="78">
        <v>11.5</v>
      </c>
      <c r="CK46" s="78">
        <v>11.5</v>
      </c>
      <c r="CL46" s="78">
        <v>96</v>
      </c>
      <c r="DF46" s="80"/>
      <c r="DG46" s="80"/>
      <c r="DH46" s="80"/>
      <c r="DI46" s="80"/>
      <c r="DK46" s="78">
        <v>22</v>
      </c>
      <c r="DL46" s="78">
        <v>112.614</v>
      </c>
      <c r="DM46" s="78">
        <v>111.191</v>
      </c>
      <c r="DN46" s="78">
        <v>6.2214999999999998</v>
      </c>
      <c r="DO46" s="78">
        <v>6.2492999999999999</v>
      </c>
      <c r="DP46" s="78">
        <v>24.299999999999997</v>
      </c>
    </row>
    <row r="47" spans="2:120" x14ac:dyDescent="0.3">
      <c r="B47" s="96">
        <v>23</v>
      </c>
      <c r="C47" s="97">
        <v>-71</v>
      </c>
      <c r="D47" s="97">
        <v>-74.3</v>
      </c>
      <c r="E47" s="96">
        <v>11.5</v>
      </c>
      <c r="F47" s="96">
        <v>11.5</v>
      </c>
      <c r="G47" s="96">
        <v>96</v>
      </c>
      <c r="H47" s="80">
        <f>IFERROR(MP_DATA[[#This Row],[Bottom '[m']]]-MP_DATA[[#This Row],[D, top '[m']]], "")</f>
        <v>-85.8</v>
      </c>
      <c r="I47" s="80">
        <f>IFERROR(-(MP_DATA[[#This Row],[D, bottom '[m']]]-MP_DATA[[#This Row],[D, top '[m']]])/(MP_DATA[[#This Row],[Bottom '[m']]]-MP_DATA[[#This Row],[Top '[m']]]),"")</f>
        <v>0</v>
      </c>
      <c r="J47" s="80">
        <f t="shared" si="0"/>
        <v>89.096759953050565</v>
      </c>
      <c r="K47" s="80">
        <f>IFERROR((MP_DATA[[#This Row],[D, bottom '[m']]]+MP_DATA[[#This Row],[D, top '[m']]])/(2*MP_DATA[[#This Row],[t '[mm']]]/1000),"")</f>
        <v>119.79166666666666</v>
      </c>
      <c r="L47" s="80" t="str">
        <f>IFERROR((MP_DATA[[#This Row],[D, bottom '[m']]]+#REF!)/(2*#REF!/1000),"")</f>
        <v/>
      </c>
      <c r="Q47" s="78">
        <v>23</v>
      </c>
      <c r="R47" s="81">
        <v>-71</v>
      </c>
      <c r="S47" s="81">
        <v>-74.3</v>
      </c>
      <c r="T47" s="78">
        <v>11.5</v>
      </c>
      <c r="U47" s="78">
        <v>11.5</v>
      </c>
      <c r="V47" s="78">
        <v>96</v>
      </c>
      <c r="AP47" s="80" t="str">
        <f>IFERROR(TP_DATA[[#This Row],[Bottom '[m']]]-TP_DATA[[#This Row],[D, top '[m']]], "")</f>
        <v/>
      </c>
      <c r="AQ47" s="80" t="str">
        <f>IFERROR(-(TP_DATA[[#This Row],[D, bottom '[m']]]-TP_DATA[[#This Row],[D, top '[m']]])/(TP_DATA[[#This Row],[Bottom '[m']]]-TP_DATA[[#This Row],[Top '[m']]]),"")</f>
        <v/>
      </c>
      <c r="AR47" s="80" t="str">
        <f t="shared" si="1"/>
        <v/>
      </c>
      <c r="AS47" s="80" t="str">
        <f>IFERROR((TP_DATA[[#This Row],[D, bottom '[m']]]+TP_DATA[[#This Row],[D, top '[m']]])/(2*TP_DATA[[#This Row],[t '[mm']]]/1000),"")</f>
        <v/>
      </c>
      <c r="AT47" s="80" t="str">
        <f>IFERROR((TP_DATA[[#This Row],[D, bottom '[m']]]+#REF!)/(2*#REF!/1000),"")</f>
        <v/>
      </c>
      <c r="AY47" s="78"/>
      <c r="AZ47" s="78"/>
      <c r="BA47" s="78"/>
      <c r="BB47" s="78"/>
      <c r="BC47" s="78"/>
      <c r="BD47" s="78"/>
      <c r="BR47" s="100">
        <v>23</v>
      </c>
      <c r="BS47" s="96">
        <v>-71</v>
      </c>
      <c r="BT47" s="96">
        <v>-74.3</v>
      </c>
      <c r="BU47" s="96">
        <v>11.5</v>
      </c>
      <c r="BV47" s="96">
        <v>11.5</v>
      </c>
      <c r="BW47" s="96">
        <v>96</v>
      </c>
      <c r="BX47" s="80">
        <f>IFERROR(TOWER_DATA[[#This Row],[Bottom '[m']]]-TOWER_DATA[[#This Row],[D, top '[m']]], "")</f>
        <v>-85.8</v>
      </c>
      <c r="BY47" s="80">
        <f>IFERROR(-(TOWER_DATA[[#This Row],[D, bottom '[m']]]-TOWER_DATA[[#This Row],[D, top '[m']]])/(TOWER_DATA[[#This Row],[Bottom '[m']]]-TOWER_DATA[[#This Row],[Top '[m']]]),"")</f>
        <v>0</v>
      </c>
      <c r="BZ47" s="80">
        <f t="shared" si="2"/>
        <v>89.096759953050565</v>
      </c>
      <c r="CA47" s="80">
        <f>IFERROR((TOWER_DATA[[#This Row],[D, bottom '[m']]]+TOWER_DATA[[#This Row],[D, top '[m']]])/(2*TOWER_DATA[[#This Row],[t '[mm']]]/1000),"")</f>
        <v>119.79166666666666</v>
      </c>
      <c r="CB47" s="80" t="str">
        <f>IFERROR((TOWER_DATA[[#This Row],[D, bottom '[m']]]+#REF!)/(2*#REF!/1000),"")</f>
        <v/>
      </c>
      <c r="CC47" s="83"/>
      <c r="CD47" s="83"/>
      <c r="CE47" s="83"/>
      <c r="CG47" s="78">
        <v>23</v>
      </c>
      <c r="CH47" s="78">
        <v>-71</v>
      </c>
      <c r="CI47" s="78">
        <v>-74.3</v>
      </c>
      <c r="CJ47" s="78">
        <v>11.5</v>
      </c>
      <c r="CK47" s="78">
        <v>11.5</v>
      </c>
      <c r="CL47" s="78">
        <v>96</v>
      </c>
      <c r="DF47" s="80"/>
      <c r="DG47" s="80"/>
      <c r="DH47" s="80"/>
      <c r="DI47" s="80"/>
      <c r="DK47" s="78">
        <v>23</v>
      </c>
      <c r="DL47" s="78">
        <v>111.191</v>
      </c>
      <c r="DM47" s="78">
        <v>108.41500000000001</v>
      </c>
      <c r="DN47" s="78">
        <v>6.2492999999999999</v>
      </c>
      <c r="DO47" s="78">
        <v>6.3041999999999998</v>
      </c>
      <c r="DP47" s="78">
        <v>25.2</v>
      </c>
    </row>
    <row r="48" spans="2:120" x14ac:dyDescent="0.3">
      <c r="B48" s="98">
        <v>24</v>
      </c>
      <c r="C48" s="99">
        <v>-74.3</v>
      </c>
      <c r="D48" s="99">
        <v>-77.44</v>
      </c>
      <c r="E48" s="98">
        <v>11.5</v>
      </c>
      <c r="F48" s="98">
        <v>11.5</v>
      </c>
      <c r="G48" s="98">
        <v>100</v>
      </c>
      <c r="H48" s="80">
        <f>IFERROR(MP_DATA[[#This Row],[Bottom '[m']]]-MP_DATA[[#This Row],[D, top '[m']]], "")</f>
        <v>-88.94</v>
      </c>
      <c r="I48" s="80">
        <f>IFERROR(-(MP_DATA[[#This Row],[D, bottom '[m']]]-MP_DATA[[#This Row],[D, top '[m']]])/(MP_DATA[[#This Row],[Bottom '[m']]]-MP_DATA[[#This Row],[Top '[m']]]),"")</f>
        <v>0</v>
      </c>
      <c r="J48" s="80">
        <f t="shared" si="0"/>
        <v>88.278313742901631</v>
      </c>
      <c r="K48" s="80">
        <f>IFERROR((MP_DATA[[#This Row],[D, bottom '[m']]]+MP_DATA[[#This Row],[D, top '[m']]])/(2*MP_DATA[[#This Row],[t '[mm']]]/1000),"")</f>
        <v>115</v>
      </c>
      <c r="L48" s="80" t="str">
        <f>IFERROR((MP_DATA[[#This Row],[D, bottom '[m']]]+#REF!)/(2*#REF!/1000),"")</f>
        <v/>
      </c>
      <c r="Q48" s="78">
        <v>24</v>
      </c>
      <c r="R48" s="81">
        <v>-74.3</v>
      </c>
      <c r="S48" s="81">
        <v>-77.44</v>
      </c>
      <c r="T48" s="78">
        <v>11.5</v>
      </c>
      <c r="U48" s="78">
        <v>11.5</v>
      </c>
      <c r="V48" s="78">
        <v>100</v>
      </c>
      <c r="AP48" s="80" t="str">
        <f>IFERROR(TP_DATA[[#This Row],[Bottom '[m']]]-TP_DATA[[#This Row],[D, top '[m']]], "")</f>
        <v/>
      </c>
      <c r="AQ48" s="80" t="str">
        <f>IFERROR(-(TP_DATA[[#This Row],[D, bottom '[m']]]-TP_DATA[[#This Row],[D, top '[m']]])/(TP_DATA[[#This Row],[Bottom '[m']]]-TP_DATA[[#This Row],[Top '[m']]]),"")</f>
        <v/>
      </c>
      <c r="AR48" s="80" t="str">
        <f t="shared" si="1"/>
        <v/>
      </c>
      <c r="AS48" s="80" t="str">
        <f>IFERROR((TP_DATA[[#This Row],[D, bottom '[m']]]+TP_DATA[[#This Row],[D, top '[m']]])/(2*TP_DATA[[#This Row],[t '[mm']]]/1000),"")</f>
        <v/>
      </c>
      <c r="AT48" s="80" t="str">
        <f>IFERROR((TP_DATA[[#This Row],[D, bottom '[m']]]+#REF!)/(2*#REF!/1000),"")</f>
        <v/>
      </c>
      <c r="AY48" s="78"/>
      <c r="AZ48" s="78"/>
      <c r="BA48" s="78"/>
      <c r="BB48" s="78"/>
      <c r="BC48" s="78"/>
      <c r="BD48" s="78"/>
      <c r="BR48" s="100">
        <v>24</v>
      </c>
      <c r="BS48" s="96">
        <v>-74.3</v>
      </c>
      <c r="BT48" s="96">
        <v>-77.44</v>
      </c>
      <c r="BU48" s="96">
        <v>11.5</v>
      </c>
      <c r="BV48" s="96">
        <v>11.5</v>
      </c>
      <c r="BW48" s="96">
        <v>100</v>
      </c>
      <c r="BX48" s="80">
        <f>IFERROR(TOWER_DATA[[#This Row],[Bottom '[m']]]-TOWER_DATA[[#This Row],[D, top '[m']]], "")</f>
        <v>-88.94</v>
      </c>
      <c r="BY48" s="80">
        <f>IFERROR(-(TOWER_DATA[[#This Row],[D, bottom '[m']]]-TOWER_DATA[[#This Row],[D, top '[m']]])/(TOWER_DATA[[#This Row],[Bottom '[m']]]-TOWER_DATA[[#This Row],[Top '[m']]]),"")</f>
        <v>0</v>
      </c>
      <c r="BZ48" s="80">
        <f t="shared" si="2"/>
        <v>88.278313742901631</v>
      </c>
      <c r="CA48" s="80">
        <f>IFERROR((TOWER_DATA[[#This Row],[D, bottom '[m']]]+TOWER_DATA[[#This Row],[D, top '[m']]])/(2*TOWER_DATA[[#This Row],[t '[mm']]]/1000),"")</f>
        <v>115</v>
      </c>
      <c r="CB48" s="80" t="str">
        <f>IFERROR((TOWER_DATA[[#This Row],[D, bottom '[m']]]+#REF!)/(2*#REF!/1000),"")</f>
        <v/>
      </c>
      <c r="CC48" s="83"/>
      <c r="CD48" s="83"/>
      <c r="CE48" s="83"/>
      <c r="CG48" s="78">
        <v>24</v>
      </c>
      <c r="CH48" s="78">
        <v>-74.3</v>
      </c>
      <c r="CI48" s="78">
        <v>-77.44</v>
      </c>
      <c r="CJ48" s="78">
        <v>11.5</v>
      </c>
      <c r="CK48" s="78">
        <v>11.5</v>
      </c>
      <c r="CL48" s="78">
        <v>100</v>
      </c>
      <c r="DF48" s="80"/>
      <c r="DG48" s="80"/>
      <c r="DH48" s="80"/>
      <c r="DI48" s="80"/>
      <c r="DK48" s="78">
        <v>24</v>
      </c>
      <c r="DL48" s="78">
        <v>108.41500000000001</v>
      </c>
      <c r="DM48" s="78">
        <v>105.64</v>
      </c>
      <c r="DN48" s="78">
        <v>6.3041999999999998</v>
      </c>
      <c r="DO48" s="78">
        <v>6.3586</v>
      </c>
      <c r="DP48" s="78">
        <v>25.6</v>
      </c>
    </row>
    <row r="49" spans="2:120" x14ac:dyDescent="0.3">
      <c r="B49" s="98">
        <v>25</v>
      </c>
      <c r="C49" s="99">
        <v>-77.44</v>
      </c>
      <c r="D49" s="99">
        <v>-80.44</v>
      </c>
      <c r="E49" s="98">
        <v>11.5</v>
      </c>
      <c r="F49" s="98">
        <v>11.5</v>
      </c>
      <c r="G49" s="98">
        <v>105</v>
      </c>
      <c r="H49" s="80">
        <f>IFERROR(MP_DATA[[#This Row],[Bottom '[m']]]-MP_DATA[[#This Row],[D, top '[m']]], "")</f>
        <v>-91.94</v>
      </c>
      <c r="I49" s="80">
        <f>IFERROR(-(MP_DATA[[#This Row],[D, bottom '[m']]]-MP_DATA[[#This Row],[D, top '[m']]])/(MP_DATA[[#This Row],[Bottom '[m']]]-MP_DATA[[#This Row],[Top '[m']]]),"")</f>
        <v>0</v>
      </c>
      <c r="J49" s="80">
        <f t="shared" si="0"/>
        <v>88.520613003301008</v>
      </c>
      <c r="K49" s="80">
        <f>IFERROR((MP_DATA[[#This Row],[D, bottom '[m']]]+MP_DATA[[#This Row],[D, top '[m']]])/(2*MP_DATA[[#This Row],[t '[mm']]]/1000),"")</f>
        <v>109.52380952380953</v>
      </c>
      <c r="L49" s="80" t="str">
        <f>IFERROR((MP_DATA[[#This Row],[D, bottom '[m']]]+#REF!)/(2*#REF!/1000),"")</f>
        <v/>
      </c>
      <c r="Q49" s="78">
        <v>25</v>
      </c>
      <c r="R49" s="81">
        <v>-77.44</v>
      </c>
      <c r="S49" s="81">
        <v>-80.44</v>
      </c>
      <c r="T49" s="78">
        <v>11.5</v>
      </c>
      <c r="U49" s="78">
        <v>11.5</v>
      </c>
      <c r="V49" s="78">
        <v>105</v>
      </c>
      <c r="AP49" s="80" t="str">
        <f>IFERROR(TP_DATA[[#This Row],[Bottom '[m']]]-TP_DATA[[#This Row],[D, top '[m']]], "")</f>
        <v/>
      </c>
      <c r="AQ49" s="80" t="str">
        <f>IFERROR(-(TP_DATA[[#This Row],[D, bottom '[m']]]-TP_DATA[[#This Row],[D, top '[m']]])/(TP_DATA[[#This Row],[Bottom '[m']]]-TP_DATA[[#This Row],[Top '[m']]]),"")</f>
        <v/>
      </c>
      <c r="AR49" s="80" t="str">
        <f t="shared" si="1"/>
        <v/>
      </c>
      <c r="AS49" s="80" t="str">
        <f>IFERROR((TP_DATA[[#This Row],[D, bottom '[m']]]+TP_DATA[[#This Row],[D, top '[m']]])/(2*TP_DATA[[#This Row],[t '[mm']]]/1000),"")</f>
        <v/>
      </c>
      <c r="AT49" s="80" t="str">
        <f>IFERROR((TP_DATA[[#This Row],[D, bottom '[m']]]+#REF!)/(2*#REF!/1000),"")</f>
        <v/>
      </c>
      <c r="AY49" s="78"/>
      <c r="AZ49" s="78"/>
      <c r="BA49" s="78"/>
      <c r="BB49" s="78"/>
      <c r="BC49" s="78"/>
      <c r="BD49" s="78"/>
      <c r="BR49" s="100">
        <v>25</v>
      </c>
      <c r="BS49" s="96">
        <v>-77.44</v>
      </c>
      <c r="BT49" s="96">
        <v>-80.44</v>
      </c>
      <c r="BU49" s="96">
        <v>11.5</v>
      </c>
      <c r="BV49" s="96">
        <v>11.5</v>
      </c>
      <c r="BW49" s="96">
        <v>105</v>
      </c>
      <c r="BX49" s="80">
        <f>IFERROR(TOWER_DATA[[#This Row],[Bottom '[m']]]-TOWER_DATA[[#This Row],[D, top '[m']]], "")</f>
        <v>-91.94</v>
      </c>
      <c r="BY49" s="80">
        <f>IFERROR(-(TOWER_DATA[[#This Row],[D, bottom '[m']]]-TOWER_DATA[[#This Row],[D, top '[m']]])/(TOWER_DATA[[#This Row],[Bottom '[m']]]-TOWER_DATA[[#This Row],[Top '[m']]]),"")</f>
        <v>0</v>
      </c>
      <c r="BZ49" s="80">
        <f t="shared" si="2"/>
        <v>88.520613003301008</v>
      </c>
      <c r="CA49" s="80">
        <f>IFERROR((TOWER_DATA[[#This Row],[D, bottom '[m']]]+TOWER_DATA[[#This Row],[D, top '[m']]])/(2*TOWER_DATA[[#This Row],[t '[mm']]]/1000),"")</f>
        <v>109.52380952380953</v>
      </c>
      <c r="CB49" s="80" t="str">
        <f>IFERROR((TOWER_DATA[[#This Row],[D, bottom '[m']]]+#REF!)/(2*#REF!/1000),"")</f>
        <v/>
      </c>
      <c r="CC49" s="83"/>
      <c r="CD49" s="83"/>
      <c r="CE49" s="83"/>
      <c r="CG49" s="78">
        <v>25</v>
      </c>
      <c r="CH49" s="78">
        <v>-77.44</v>
      </c>
      <c r="CI49" s="78">
        <v>-80.44</v>
      </c>
      <c r="CJ49" s="78">
        <v>11.5</v>
      </c>
      <c r="CK49" s="78">
        <v>11.5</v>
      </c>
      <c r="CL49" s="78">
        <v>105</v>
      </c>
      <c r="DF49" s="80"/>
      <c r="DG49" s="80"/>
      <c r="DH49" s="80"/>
      <c r="DI49" s="80"/>
      <c r="DK49" s="78">
        <v>25</v>
      </c>
      <c r="DL49" s="78">
        <v>105.64</v>
      </c>
      <c r="DM49" s="78">
        <v>102.866</v>
      </c>
      <c r="DN49" s="78">
        <v>6.3586</v>
      </c>
      <c r="DO49" s="78">
        <v>6.4127999999999998</v>
      </c>
      <c r="DP49" s="78">
        <v>25.8</v>
      </c>
    </row>
    <row r="50" spans="2:120" x14ac:dyDescent="0.3">
      <c r="H50" s="80" t="str">
        <f>IFERROR(MP_DATA[[#This Row],[Bottom '[m']]]-MP_DATA[[#This Row],[D, top '[m']]], "")</f>
        <v/>
      </c>
      <c r="I50" s="80" t="str">
        <f>IFERROR(-(MP_DATA[[#This Row],[D, bottom '[m']]]-MP_DATA[[#This Row],[D, top '[m']]])/(MP_DATA[[#This Row],[Bottom '[m']]]-MP_DATA[[#This Row],[Top '[m']]]),"")</f>
        <v/>
      </c>
      <c r="J50" s="80" t="str">
        <f t="shared" si="0"/>
        <v/>
      </c>
      <c r="K50" s="80" t="str">
        <f>IFERROR((MP_DATA[[#This Row],[D, bottom '[m']]]+MP_DATA[[#This Row],[D, top '[m']]])/(2*MP_DATA[[#This Row],[t '[mm']]]/1000),"")</f>
        <v/>
      </c>
      <c r="L50" s="80" t="str">
        <f>IFERROR((MP_DATA[[#This Row],[D, bottom '[m']]]+#REF!)/(2*#REF!/1000),"")</f>
        <v/>
      </c>
      <c r="AP50" s="80" t="str">
        <f>IFERROR(TP_DATA[[#This Row],[Bottom '[m']]]-TP_DATA[[#This Row],[D, top '[m']]], "")</f>
        <v/>
      </c>
      <c r="AQ50" s="80" t="str">
        <f>IFERROR(-(TP_DATA[[#This Row],[D, bottom '[m']]]-TP_DATA[[#This Row],[D, top '[m']]])/(TP_DATA[[#This Row],[Bottom '[m']]]-TP_DATA[[#This Row],[Top '[m']]]),"")</f>
        <v/>
      </c>
      <c r="AR50" s="80" t="str">
        <f t="shared" si="1"/>
        <v/>
      </c>
      <c r="AS50" s="80" t="str">
        <f>IFERROR((TP_DATA[[#This Row],[D, bottom '[m']]]+TP_DATA[[#This Row],[D, top '[m']]])/(2*TP_DATA[[#This Row],[t '[mm']]]/1000),"")</f>
        <v/>
      </c>
      <c r="AT50" s="80" t="str">
        <f>IFERROR((TP_DATA[[#This Row],[D, bottom '[m']]]+#REF!)/(2*#REF!/1000),"")</f>
        <v/>
      </c>
      <c r="BX50" s="80" t="str">
        <f>IFERROR(TOWER_DATA[[#This Row],[Bottom '[m']]]-TOWER_DATA[[#This Row],[D, top '[m']]], "")</f>
        <v/>
      </c>
      <c r="BY50" s="80" t="str">
        <f>IFERROR(-(TOWER_DATA[[#This Row],[D, bottom '[m']]]-TOWER_DATA[[#This Row],[D, top '[m']]])/(TOWER_DATA[[#This Row],[Bottom '[m']]]-TOWER_DATA[[#This Row],[Top '[m']]]),"")</f>
        <v/>
      </c>
      <c r="BZ50" s="80" t="str">
        <f t="shared" si="2"/>
        <v/>
      </c>
      <c r="CA50" s="80" t="str">
        <f>IFERROR((TOWER_DATA[[#This Row],[D, bottom '[m']]]+TOWER_DATA[[#This Row],[D, top '[m']]])/(2*TOWER_DATA[[#This Row],[t '[mm']]]/1000),"")</f>
        <v/>
      </c>
      <c r="CB50" s="80" t="str">
        <f>IFERROR((TOWER_DATA[[#This Row],[D, bottom '[m']]]+#REF!)/(2*#REF!/1000),"")</f>
        <v/>
      </c>
      <c r="CG50" s="78"/>
      <c r="CH50" s="78"/>
      <c r="CI50" s="78"/>
      <c r="CK50" s="78"/>
      <c r="DF50" s="80"/>
      <c r="DG50" s="80"/>
      <c r="DH50" s="80"/>
      <c r="DI50" s="80"/>
      <c r="DK50" s="78">
        <v>26</v>
      </c>
      <c r="DL50" s="78">
        <v>102.866</v>
      </c>
      <c r="DM50" s="78">
        <v>100.095</v>
      </c>
      <c r="DN50">
        <v>6.4127999999999998</v>
      </c>
      <c r="DO50" s="78">
        <v>6.4669999999999996</v>
      </c>
      <c r="DP50">
        <v>26</v>
      </c>
    </row>
    <row r="51" spans="2:120" x14ac:dyDescent="0.3">
      <c r="H51" s="80" t="str">
        <f>IFERROR(MP_DATA[[#This Row],[Bottom '[m']]]-MP_DATA[[#This Row],[D, top '[m']]], "")</f>
        <v/>
      </c>
      <c r="I51" s="80" t="str">
        <f>IFERROR(-(MP_DATA[[#This Row],[D, bottom '[m']]]-MP_DATA[[#This Row],[D, top '[m']]])/(MP_DATA[[#This Row],[Bottom '[m']]]-MP_DATA[[#This Row],[Top '[m']]]),"")</f>
        <v/>
      </c>
      <c r="J51" s="80" t="str">
        <f t="shared" si="0"/>
        <v/>
      </c>
      <c r="K51" s="80" t="str">
        <f>IFERROR((MP_DATA[[#This Row],[D, bottom '[m']]]+MP_DATA[[#This Row],[D, top '[m']]])/(2*MP_DATA[[#This Row],[t '[mm']]]/1000),"")</f>
        <v/>
      </c>
      <c r="L51" s="80" t="str">
        <f>IFERROR((MP_DATA[[#This Row],[D, bottom '[m']]]+#REF!)/(2*#REF!/1000),"")</f>
        <v/>
      </c>
      <c r="AP51" s="80" t="str">
        <f>IFERROR(TP_DATA[[#This Row],[Bottom '[m']]]-TP_DATA[[#This Row],[D, top '[m']]], "")</f>
        <v/>
      </c>
      <c r="AQ51" s="80" t="str">
        <f>IFERROR(-(TP_DATA[[#This Row],[D, bottom '[m']]]-TP_DATA[[#This Row],[D, top '[m']]])/(TP_DATA[[#This Row],[Bottom '[m']]]-TP_DATA[[#This Row],[Top '[m']]]),"")</f>
        <v/>
      </c>
      <c r="AR51" s="80" t="str">
        <f t="shared" si="1"/>
        <v/>
      </c>
      <c r="AS51" s="80" t="str">
        <f>IFERROR((TP_DATA[[#This Row],[D, bottom '[m']]]+TP_DATA[[#This Row],[D, top '[m']]])/(2*TP_DATA[[#This Row],[t '[mm']]]/1000),"")</f>
        <v/>
      </c>
      <c r="AT51" s="80" t="str">
        <f>IFERROR((TP_DATA[[#This Row],[D, bottom '[m']]]+#REF!)/(2*#REF!/1000),"")</f>
        <v/>
      </c>
      <c r="BX51" s="80" t="str">
        <f>IFERROR(TOWER_DATA[[#This Row],[Bottom '[m']]]-TOWER_DATA[[#This Row],[D, top '[m']]], "")</f>
        <v/>
      </c>
      <c r="BY51" s="80" t="str">
        <f>IFERROR(-(TOWER_DATA[[#This Row],[D, bottom '[m']]]-TOWER_DATA[[#This Row],[D, top '[m']]])/(TOWER_DATA[[#This Row],[Bottom '[m']]]-TOWER_DATA[[#This Row],[Top '[m']]]),"")</f>
        <v/>
      </c>
      <c r="BZ51" s="80" t="str">
        <f t="shared" si="2"/>
        <v/>
      </c>
      <c r="CA51" s="80" t="str">
        <f>IFERROR((TOWER_DATA[[#This Row],[D, bottom '[m']]]+TOWER_DATA[[#This Row],[D, top '[m']]])/(2*TOWER_DATA[[#This Row],[t '[mm']]]/1000),"")</f>
        <v/>
      </c>
      <c r="CB51" s="80" t="str">
        <f>IFERROR((TOWER_DATA[[#This Row],[D, bottom '[m']]]+#REF!)/(2*#REF!/1000),"")</f>
        <v/>
      </c>
      <c r="CG51" s="78"/>
      <c r="CH51" s="78"/>
      <c r="CI51" s="78"/>
      <c r="CK51" s="78"/>
      <c r="DF51" s="80"/>
      <c r="DG51" s="80"/>
      <c r="DH51" s="80"/>
      <c r="DI51" s="80"/>
      <c r="DK51" s="78">
        <v>27</v>
      </c>
      <c r="DL51" s="78">
        <v>100.095</v>
      </c>
      <c r="DM51" s="78">
        <v>97.323999999999998</v>
      </c>
      <c r="DN51">
        <v>6.4669999999999996</v>
      </c>
      <c r="DO51" s="78">
        <v>6.5206</v>
      </c>
      <c r="DP51">
        <v>26.599999999999998</v>
      </c>
    </row>
    <row r="52" spans="2:120" x14ac:dyDescent="0.3">
      <c r="H52" s="80" t="str">
        <f>IFERROR(MP_DATA[[#This Row],[Bottom '[m']]]-MP_DATA[[#This Row],[D, top '[m']]], "")</f>
        <v/>
      </c>
      <c r="I52" s="80" t="str">
        <f>IFERROR(-(MP_DATA[[#This Row],[D, bottom '[m']]]-MP_DATA[[#This Row],[D, top '[m']]])/(MP_DATA[[#This Row],[Bottom '[m']]]-MP_DATA[[#This Row],[Top '[m']]]),"")</f>
        <v/>
      </c>
      <c r="J52" s="80" t="str">
        <f t="shared" si="0"/>
        <v/>
      </c>
      <c r="K52" s="80" t="str">
        <f>IFERROR((MP_DATA[[#This Row],[D, bottom '[m']]]+MP_DATA[[#This Row],[D, top '[m']]])/(2*MP_DATA[[#This Row],[t '[mm']]]/1000),"")</f>
        <v/>
      </c>
      <c r="L52" s="80" t="str">
        <f>IFERROR((MP_DATA[[#This Row],[D, bottom '[m']]]+#REF!)/(2*#REF!/1000),"")</f>
        <v/>
      </c>
      <c r="AP52" s="80" t="str">
        <f>IFERROR(TP_DATA[[#This Row],[Bottom '[m']]]-TP_DATA[[#This Row],[D, top '[m']]], "")</f>
        <v/>
      </c>
      <c r="AQ52" s="80" t="str">
        <f>IFERROR(-(TP_DATA[[#This Row],[D, bottom '[m']]]-TP_DATA[[#This Row],[D, top '[m']]])/(TP_DATA[[#This Row],[Bottom '[m']]]-TP_DATA[[#This Row],[Top '[m']]]),"")</f>
        <v/>
      </c>
      <c r="AR52" s="80" t="str">
        <f t="shared" si="1"/>
        <v/>
      </c>
      <c r="AS52" s="80" t="str">
        <f>IFERROR((TP_DATA[[#This Row],[D, bottom '[m']]]+TP_DATA[[#This Row],[D, top '[m']]])/(2*TP_DATA[[#This Row],[t '[mm']]]/1000),"")</f>
        <v/>
      </c>
      <c r="AT52" s="80" t="str">
        <f>IFERROR((TP_DATA[[#This Row],[D, bottom '[m']]]+#REF!)/(2*#REF!/1000),"")</f>
        <v/>
      </c>
      <c r="BX52" s="80" t="str">
        <f>IFERROR(TOWER_DATA[[#This Row],[Bottom '[m']]]-TOWER_DATA[[#This Row],[D, top '[m']]], "")</f>
        <v/>
      </c>
      <c r="BY52" s="80" t="str">
        <f>IFERROR(-(TOWER_DATA[[#This Row],[D, bottom '[m']]]-TOWER_DATA[[#This Row],[D, top '[m']]])/(TOWER_DATA[[#This Row],[Bottom '[m']]]-TOWER_DATA[[#This Row],[Top '[m']]]),"")</f>
        <v/>
      </c>
      <c r="BZ52" s="80" t="str">
        <f t="shared" si="2"/>
        <v/>
      </c>
      <c r="CA52" s="80" t="str">
        <f>IFERROR((TOWER_DATA[[#This Row],[D, bottom '[m']]]+TOWER_DATA[[#This Row],[D, top '[m']]])/(2*TOWER_DATA[[#This Row],[t '[mm']]]/1000),"")</f>
        <v/>
      </c>
      <c r="CB52" s="80" t="str">
        <f>IFERROR((TOWER_DATA[[#This Row],[D, bottom '[m']]]+#REF!)/(2*#REF!/1000),"")</f>
        <v/>
      </c>
      <c r="CG52" s="78"/>
      <c r="CH52" s="78"/>
      <c r="CI52" s="78"/>
      <c r="CK52" s="78"/>
      <c r="DF52" s="80"/>
      <c r="DG52" s="80"/>
      <c r="DH52" s="80"/>
      <c r="DI52" s="80"/>
      <c r="DK52" s="78">
        <v>28</v>
      </c>
      <c r="DL52" s="78">
        <v>97.323999999999998</v>
      </c>
      <c r="DM52" s="78">
        <v>94.554000000000002</v>
      </c>
      <c r="DN52">
        <v>6.5206</v>
      </c>
      <c r="DO52" s="78">
        <v>6.5753000000000004</v>
      </c>
      <c r="DP52">
        <v>27.3</v>
      </c>
    </row>
    <row r="53" spans="2:120" x14ac:dyDescent="0.3">
      <c r="H53" s="80" t="str">
        <f>IFERROR(MP_DATA[[#This Row],[Bottom '[m']]]-MP_DATA[[#This Row],[D, top '[m']]], "")</f>
        <v/>
      </c>
      <c r="I53" s="80" t="str">
        <f>IFERROR(-(MP_DATA[[#This Row],[D, bottom '[m']]]-MP_DATA[[#This Row],[D, top '[m']]])/(MP_DATA[[#This Row],[Bottom '[m']]]-MP_DATA[[#This Row],[Top '[m']]]),"")</f>
        <v/>
      </c>
      <c r="J53" s="80" t="str">
        <f t="shared" si="0"/>
        <v/>
      </c>
      <c r="K53" s="80" t="str">
        <f>IFERROR((MP_DATA[[#This Row],[D, bottom '[m']]]+MP_DATA[[#This Row],[D, top '[m']]])/(2*MP_DATA[[#This Row],[t '[mm']]]/1000),"")</f>
        <v/>
      </c>
      <c r="L53" s="80" t="str">
        <f>IFERROR((MP_DATA[[#This Row],[D, bottom '[m']]]+#REF!)/(2*#REF!/1000),"")</f>
        <v/>
      </c>
      <c r="AP53" s="80" t="str">
        <f>IFERROR(TP_DATA[[#This Row],[Bottom '[m']]]-TP_DATA[[#This Row],[D, top '[m']]], "")</f>
        <v/>
      </c>
      <c r="AQ53" s="80" t="str">
        <f>IFERROR(-(TP_DATA[[#This Row],[D, bottom '[m']]]-TP_DATA[[#This Row],[D, top '[m']]])/(TP_DATA[[#This Row],[Bottom '[m']]]-TP_DATA[[#This Row],[Top '[m']]]),"")</f>
        <v/>
      </c>
      <c r="AR53" s="80" t="str">
        <f t="shared" si="1"/>
        <v/>
      </c>
      <c r="AS53" s="80" t="str">
        <f>IFERROR((TP_DATA[[#This Row],[D, bottom '[m']]]+TP_DATA[[#This Row],[D, top '[m']]])/(2*TP_DATA[[#This Row],[t '[mm']]]/1000),"")</f>
        <v/>
      </c>
      <c r="AT53" s="80" t="str">
        <f>IFERROR((TP_DATA[[#This Row],[D, bottom '[m']]]+#REF!)/(2*#REF!/1000),"")</f>
        <v/>
      </c>
      <c r="BX53" s="80" t="str">
        <f>IFERROR(TOWER_DATA[[#This Row],[Bottom '[m']]]-TOWER_DATA[[#This Row],[D, top '[m']]], "")</f>
        <v/>
      </c>
      <c r="BY53" s="80" t="str">
        <f>IFERROR(-(TOWER_DATA[[#This Row],[D, bottom '[m']]]-TOWER_DATA[[#This Row],[D, top '[m']]])/(TOWER_DATA[[#This Row],[Bottom '[m']]]-TOWER_DATA[[#This Row],[Top '[m']]]),"")</f>
        <v/>
      </c>
      <c r="BZ53" s="80" t="str">
        <f t="shared" si="2"/>
        <v/>
      </c>
      <c r="CA53" s="80" t="str">
        <f>IFERROR((TOWER_DATA[[#This Row],[D, bottom '[m']]]+TOWER_DATA[[#This Row],[D, top '[m']]])/(2*TOWER_DATA[[#This Row],[t '[mm']]]/1000),"")</f>
        <v/>
      </c>
      <c r="CB53" s="80" t="str">
        <f>IFERROR((TOWER_DATA[[#This Row],[D, bottom '[m']]]+#REF!)/(2*#REF!/1000),"")</f>
        <v/>
      </c>
      <c r="CG53" s="78"/>
      <c r="CH53" s="78"/>
      <c r="CI53" s="78"/>
      <c r="CK53" s="78"/>
      <c r="DF53" s="80"/>
      <c r="DG53" s="80"/>
      <c r="DH53" s="80"/>
      <c r="DI53" s="80"/>
      <c r="DK53" s="78">
        <v>29</v>
      </c>
      <c r="DL53" s="78">
        <v>94.554000000000002</v>
      </c>
      <c r="DM53" s="78">
        <v>91.787000000000006</v>
      </c>
      <c r="DN53">
        <v>6.5753000000000004</v>
      </c>
      <c r="DO53" s="78">
        <v>6.6299000000000001</v>
      </c>
      <c r="DP53">
        <v>27.900000000000002</v>
      </c>
    </row>
    <row r="54" spans="2:120" x14ac:dyDescent="0.3">
      <c r="H54" s="80" t="str">
        <f>IFERROR(MP_DATA[[#This Row],[Bottom '[m']]]-MP_DATA[[#This Row],[D, top '[m']]], "")</f>
        <v/>
      </c>
      <c r="I54" s="80" t="str">
        <f>IFERROR(-(MP_DATA[[#This Row],[D, bottom '[m']]]-MP_DATA[[#This Row],[D, top '[m']]])/(MP_DATA[[#This Row],[Bottom '[m']]]-MP_DATA[[#This Row],[Top '[m']]]),"")</f>
        <v/>
      </c>
      <c r="J54" s="80" t="str">
        <f t="shared" si="0"/>
        <v/>
      </c>
      <c r="K54" s="80" t="str">
        <f>IFERROR((MP_DATA[[#This Row],[D, bottom '[m']]]+MP_DATA[[#This Row],[D, top '[m']]])/(2*MP_DATA[[#This Row],[t '[mm']]]/1000),"")</f>
        <v/>
      </c>
      <c r="L54" s="80"/>
      <c r="AP54" s="80" t="str">
        <f>IFERROR(TP_DATA[[#This Row],[Bottom '[m']]]-TP_DATA[[#This Row],[D, top '[m']]], "")</f>
        <v/>
      </c>
      <c r="AQ54" s="80" t="str">
        <f>IFERROR(-(TP_DATA[[#This Row],[D, bottom '[m']]]-TP_DATA[[#This Row],[D, top '[m']]])/(TP_DATA[[#This Row],[Bottom '[m']]]-TP_DATA[[#This Row],[Top '[m']]]),"")</f>
        <v/>
      </c>
      <c r="AR54" s="80" t="str">
        <f t="shared" si="1"/>
        <v/>
      </c>
      <c r="AS54" s="80" t="str">
        <f>IFERROR((TP_DATA[[#This Row],[D, bottom '[m']]]+TP_DATA[[#This Row],[D, top '[m']]])/(2*TP_DATA[[#This Row],[t '[mm']]]/1000),"")</f>
        <v/>
      </c>
      <c r="AT54" s="80"/>
      <c r="BX54" s="80" t="str">
        <f>IFERROR(TOWER_DATA[[#This Row],[Bottom '[m']]]-TOWER_DATA[[#This Row],[D, top '[m']]], "")</f>
        <v/>
      </c>
      <c r="BY54" s="80" t="str">
        <f>IFERROR(-(TOWER_DATA[[#This Row],[D, bottom '[m']]]-TOWER_DATA[[#This Row],[D, top '[m']]])/(TOWER_DATA[[#This Row],[Bottom '[m']]]-TOWER_DATA[[#This Row],[Top '[m']]]),"")</f>
        <v/>
      </c>
      <c r="BZ54" s="80" t="str">
        <f t="shared" si="2"/>
        <v/>
      </c>
      <c r="CA54" s="80" t="str">
        <f>IFERROR((TOWER_DATA[[#This Row],[D, bottom '[m']]]+TOWER_DATA[[#This Row],[D, top '[m']]])/(2*TOWER_DATA[[#This Row],[t '[mm']]]/1000),"")</f>
        <v/>
      </c>
      <c r="CB54" s="80"/>
      <c r="CG54" s="78"/>
      <c r="CH54" s="78"/>
      <c r="CI54" s="78"/>
      <c r="CK54" s="78"/>
      <c r="DF54" s="80"/>
      <c r="DG54" s="80"/>
      <c r="DH54" s="80"/>
      <c r="DI54" s="80"/>
      <c r="DK54" s="78">
        <v>30</v>
      </c>
      <c r="DL54" s="78">
        <v>91.787000000000006</v>
      </c>
      <c r="DM54" s="78">
        <v>89.02</v>
      </c>
      <c r="DN54">
        <v>6.6299000000000001</v>
      </c>
      <c r="DO54" s="78">
        <v>6.6836000000000002</v>
      </c>
      <c r="DP54">
        <v>28.6</v>
      </c>
    </row>
    <row r="55" spans="2:120" x14ac:dyDescent="0.3">
      <c r="H55" s="80" t="str">
        <f>IFERROR(MP_DATA[[#This Row],[Bottom '[m']]]-MP_DATA[[#This Row],[D, top '[m']]], "")</f>
        <v/>
      </c>
      <c r="I55" s="80" t="str">
        <f>IFERROR(-(MP_DATA[[#This Row],[D, bottom '[m']]]-MP_DATA[[#This Row],[D, top '[m']]])/(MP_DATA[[#This Row],[Bottom '[m']]]-MP_DATA[[#This Row],[Top '[m']]]),"")</f>
        <v/>
      </c>
      <c r="J55" s="80" t="str">
        <f t="shared" si="0"/>
        <v/>
      </c>
      <c r="K55" s="80" t="str">
        <f>IFERROR((MP_DATA[[#This Row],[D, bottom '[m']]]+MP_DATA[[#This Row],[D, top '[m']]])/(2*MP_DATA[[#This Row],[t '[mm']]]/1000),"")</f>
        <v/>
      </c>
      <c r="L55" s="80"/>
      <c r="AP55" s="80" t="str">
        <f>IFERROR(TP_DATA[[#This Row],[Bottom '[m']]]-TP_DATA[[#This Row],[D, top '[m']]], "")</f>
        <v/>
      </c>
      <c r="AQ55" s="80" t="str">
        <f>IFERROR(-(TP_DATA[[#This Row],[D, bottom '[m']]]-TP_DATA[[#This Row],[D, top '[m']]])/(TP_DATA[[#This Row],[Bottom '[m']]]-TP_DATA[[#This Row],[Top '[m']]]),"")</f>
        <v/>
      </c>
      <c r="AR55" s="80" t="str">
        <f t="shared" si="1"/>
        <v/>
      </c>
      <c r="AS55" s="80" t="str">
        <f>IFERROR((TP_DATA[[#This Row],[D, bottom '[m']]]+TP_DATA[[#This Row],[D, top '[m']]])/(2*TP_DATA[[#This Row],[t '[mm']]]/1000),"")</f>
        <v/>
      </c>
      <c r="AT55" s="80"/>
      <c r="BX55" s="80" t="str">
        <f>IFERROR(TOWER_DATA[[#This Row],[Bottom '[m']]]-TOWER_DATA[[#This Row],[D, top '[m']]], "")</f>
        <v/>
      </c>
      <c r="BY55" s="80" t="str">
        <f>IFERROR(-(TOWER_DATA[[#This Row],[D, bottom '[m']]]-TOWER_DATA[[#This Row],[D, top '[m']]])/(TOWER_DATA[[#This Row],[Bottom '[m']]]-TOWER_DATA[[#This Row],[Top '[m']]]),"")</f>
        <v/>
      </c>
      <c r="BZ55" s="80" t="str">
        <f t="shared" si="2"/>
        <v/>
      </c>
      <c r="CA55" s="80" t="str">
        <f>IFERROR((TOWER_DATA[[#This Row],[D, bottom '[m']]]+TOWER_DATA[[#This Row],[D, top '[m']]])/(2*TOWER_DATA[[#This Row],[t '[mm']]]/1000),"")</f>
        <v/>
      </c>
      <c r="CB55" s="80"/>
      <c r="CG55" s="78"/>
      <c r="CH55" s="78"/>
      <c r="CI55" s="78"/>
      <c r="CK55" s="78"/>
      <c r="DF55" s="80"/>
      <c r="DG55" s="80"/>
      <c r="DH55" s="80"/>
      <c r="DI55" s="80"/>
      <c r="DK55" s="78">
        <v>31</v>
      </c>
      <c r="DL55" s="78">
        <v>89.02</v>
      </c>
      <c r="DM55" s="78">
        <v>86.254000000000005</v>
      </c>
      <c r="DN55">
        <v>6.6836000000000002</v>
      </c>
      <c r="DO55" s="78">
        <v>6.7382</v>
      </c>
      <c r="DP55">
        <v>29.2</v>
      </c>
    </row>
    <row r="56" spans="2:120" x14ac:dyDescent="0.3">
      <c r="H56" s="80" t="str">
        <f>IFERROR(MP_DATA[[#This Row],[Bottom '[m']]]-MP_DATA[[#This Row],[D, top '[m']]], "")</f>
        <v/>
      </c>
      <c r="I56" s="80" t="str">
        <f>IFERROR(-(MP_DATA[[#This Row],[D, bottom '[m']]]-MP_DATA[[#This Row],[D, top '[m']]])/(MP_DATA[[#This Row],[Bottom '[m']]]-MP_DATA[[#This Row],[Top '[m']]]),"")</f>
        <v/>
      </c>
      <c r="J56" s="80" t="str">
        <f t="shared" si="0"/>
        <v/>
      </c>
      <c r="K56" s="80" t="str">
        <f>IFERROR((MP_DATA[[#This Row],[D, bottom '[m']]]+MP_DATA[[#This Row],[D, top '[m']]])/(2*MP_DATA[[#This Row],[t '[mm']]]/1000),"")</f>
        <v/>
      </c>
      <c r="L56" s="80"/>
      <c r="AP56" s="80" t="str">
        <f>IFERROR(TP_DATA[[#This Row],[Bottom '[m']]]-TP_DATA[[#This Row],[D, top '[m']]], "")</f>
        <v/>
      </c>
      <c r="AQ56" s="80" t="str">
        <f>IFERROR(-(TP_DATA[[#This Row],[D, bottom '[m']]]-TP_DATA[[#This Row],[D, top '[m']]])/(TP_DATA[[#This Row],[Bottom '[m']]]-TP_DATA[[#This Row],[Top '[m']]]),"")</f>
        <v/>
      </c>
      <c r="AR56" s="80" t="str">
        <f t="shared" si="1"/>
        <v/>
      </c>
      <c r="AS56" s="80" t="str">
        <f>IFERROR((TP_DATA[[#This Row],[D, bottom '[m']]]+TP_DATA[[#This Row],[D, top '[m']]])/(2*TP_DATA[[#This Row],[t '[mm']]]/1000),"")</f>
        <v/>
      </c>
      <c r="AT56" s="80"/>
      <c r="BX56" s="80" t="str">
        <f>IFERROR(TOWER_DATA[[#This Row],[Bottom '[m']]]-TOWER_DATA[[#This Row],[D, top '[m']]], "")</f>
        <v/>
      </c>
      <c r="BY56" s="80" t="str">
        <f>IFERROR(-(TOWER_DATA[[#This Row],[D, bottom '[m']]]-TOWER_DATA[[#This Row],[D, top '[m']]])/(TOWER_DATA[[#This Row],[Bottom '[m']]]-TOWER_DATA[[#This Row],[Top '[m']]]),"")</f>
        <v/>
      </c>
      <c r="BZ56" s="80" t="str">
        <f t="shared" si="2"/>
        <v/>
      </c>
      <c r="CA56" s="80" t="str">
        <f>IFERROR((TOWER_DATA[[#This Row],[D, bottom '[m']]]+TOWER_DATA[[#This Row],[D, top '[m']]])/(2*TOWER_DATA[[#This Row],[t '[mm']]]/1000),"")</f>
        <v/>
      </c>
      <c r="CB56" s="80"/>
      <c r="CG56" s="78"/>
      <c r="CH56" s="78"/>
      <c r="CI56" s="78"/>
      <c r="CK56" s="78"/>
      <c r="DF56" s="80"/>
      <c r="DG56" s="80"/>
      <c r="DH56" s="80"/>
      <c r="DI56" s="80"/>
      <c r="DK56" s="78">
        <v>32</v>
      </c>
      <c r="DL56" s="78">
        <v>86.254000000000005</v>
      </c>
      <c r="DM56" s="78">
        <v>83.49</v>
      </c>
      <c r="DN56">
        <v>6.7382</v>
      </c>
      <c r="DO56" s="78">
        <v>6.7927999999999997</v>
      </c>
      <c r="DP56">
        <v>29.8</v>
      </c>
    </row>
    <row r="57" spans="2:120" x14ac:dyDescent="0.3">
      <c r="H57" s="80" t="str">
        <f>IFERROR(MP_DATA[[#This Row],[Bottom '[m']]]-MP_DATA[[#This Row],[D, top '[m']]], "")</f>
        <v/>
      </c>
      <c r="I57" s="80" t="str">
        <f>IFERROR(-(MP_DATA[[#This Row],[D, bottom '[m']]]-MP_DATA[[#This Row],[D, top '[m']]])/(MP_DATA[[#This Row],[Bottom '[m']]]-MP_DATA[[#This Row],[Top '[m']]]),"")</f>
        <v/>
      </c>
      <c r="J57" s="80" t="str">
        <f t="shared" ref="J57:J88" si="3">IF(7850/1000*(1/3)*PI()*ABS(C57-D57)*((E57/2)^2+(E57/2)*(F57/2)+(F57/2)^2-(E57/2-G57/1000)^2-(E57/2-G57/1000)*(F57/2-G57/1000)-(F57/2-G57/1000)^2)=0,"",7850/1000*(1/3)*PI()*ABS(C57-D57)*((E57/2)^2+(E57/2)*(F57/2)+(F57/2)^2-(E57/2-G57/1000)^2-(E57/2-G57/1000)*(F57/2-G57/1000)-(F57/2-G57/1000)^2))</f>
        <v/>
      </c>
      <c r="K57" s="80" t="str">
        <f>IFERROR((MP_DATA[[#This Row],[D, bottom '[m']]]+MP_DATA[[#This Row],[D, top '[m']]])/(2*MP_DATA[[#This Row],[t '[mm']]]/1000),"")</f>
        <v/>
      </c>
      <c r="L57" s="80"/>
      <c r="AP57" s="80" t="str">
        <f>IFERROR(TP_DATA[[#This Row],[Bottom '[m']]]-TP_DATA[[#This Row],[D, top '[m']]], "")</f>
        <v/>
      </c>
      <c r="AQ57" s="80" t="str">
        <f>IFERROR(-(TP_DATA[[#This Row],[D, bottom '[m']]]-TP_DATA[[#This Row],[D, top '[m']]])/(TP_DATA[[#This Row],[Bottom '[m']]]-TP_DATA[[#This Row],[Top '[m']]]),"")</f>
        <v/>
      </c>
      <c r="AR57" s="80" t="str">
        <f t="shared" si="1"/>
        <v/>
      </c>
      <c r="AS57" s="80" t="str">
        <f>IFERROR((TP_DATA[[#This Row],[D, bottom '[m']]]+TP_DATA[[#This Row],[D, top '[m']]])/(2*TP_DATA[[#This Row],[t '[mm']]]/1000),"")</f>
        <v/>
      </c>
      <c r="AT57" s="80"/>
      <c r="BX57" s="80" t="str">
        <f>IFERROR(TOWER_DATA[[#This Row],[Bottom '[m']]]-TOWER_DATA[[#This Row],[D, top '[m']]], "")</f>
        <v/>
      </c>
      <c r="BY57" s="80" t="str">
        <f>IFERROR(-(TOWER_DATA[[#This Row],[D, bottom '[m']]]-TOWER_DATA[[#This Row],[D, top '[m']]])/(TOWER_DATA[[#This Row],[Bottom '[m']]]-TOWER_DATA[[#This Row],[Top '[m']]]),"")</f>
        <v/>
      </c>
      <c r="BZ57" s="80" t="str">
        <f t="shared" si="2"/>
        <v/>
      </c>
      <c r="CA57" s="80" t="str">
        <f>IFERROR((TOWER_DATA[[#This Row],[D, bottom '[m']]]+TOWER_DATA[[#This Row],[D, top '[m']]])/(2*TOWER_DATA[[#This Row],[t '[mm']]]/1000),"")</f>
        <v/>
      </c>
      <c r="CB57" s="80"/>
      <c r="CG57" s="78"/>
      <c r="CH57" s="78"/>
      <c r="CI57" s="78"/>
      <c r="CK57" s="78"/>
      <c r="DF57" s="80"/>
      <c r="DG57" s="80"/>
      <c r="DH57" s="80"/>
      <c r="DI57" s="80"/>
      <c r="DK57" s="78">
        <v>33</v>
      </c>
      <c r="DL57" s="78">
        <v>83.49</v>
      </c>
      <c r="DM57" s="78">
        <v>80.72699999999999</v>
      </c>
      <c r="DN57">
        <v>6.7927999999999997</v>
      </c>
      <c r="DO57" s="78">
        <v>6.8464</v>
      </c>
      <c r="DP57">
        <v>30.4</v>
      </c>
    </row>
    <row r="58" spans="2:120" x14ac:dyDescent="0.3">
      <c r="H58" s="80" t="str">
        <f>IFERROR(MP_DATA[[#This Row],[Bottom '[m']]]-MP_DATA[[#This Row],[D, top '[m']]], "")</f>
        <v/>
      </c>
      <c r="I58" s="80" t="str">
        <f>IFERROR(-(MP_DATA[[#This Row],[D, bottom '[m']]]-MP_DATA[[#This Row],[D, top '[m']]])/(MP_DATA[[#This Row],[Bottom '[m']]]-MP_DATA[[#This Row],[Top '[m']]]),"")</f>
        <v/>
      </c>
      <c r="J58" s="80" t="str">
        <f t="shared" si="3"/>
        <v/>
      </c>
      <c r="K58" s="80" t="str">
        <f>IFERROR((MP_DATA[[#This Row],[D, bottom '[m']]]+MP_DATA[[#This Row],[D, top '[m']]])/(2*MP_DATA[[#This Row],[t '[mm']]]/1000),"")</f>
        <v/>
      </c>
      <c r="L58" s="80"/>
      <c r="AP58" s="80" t="str">
        <f>IFERROR(TP_DATA[[#This Row],[Bottom '[m']]]-TP_DATA[[#This Row],[D, top '[m']]], "")</f>
        <v/>
      </c>
      <c r="AQ58" s="80" t="str">
        <f>IFERROR(-(TP_DATA[[#This Row],[D, bottom '[m']]]-TP_DATA[[#This Row],[D, top '[m']]])/(TP_DATA[[#This Row],[Bottom '[m']]]-TP_DATA[[#This Row],[Top '[m']]]),"")</f>
        <v/>
      </c>
      <c r="AR58" s="80" t="str">
        <f t="shared" si="1"/>
        <v/>
      </c>
      <c r="AS58" s="80" t="str">
        <f>IFERROR((TP_DATA[[#This Row],[D, bottom '[m']]]+TP_DATA[[#This Row],[D, top '[m']]])/(2*TP_DATA[[#This Row],[t '[mm']]]/1000),"")</f>
        <v/>
      </c>
      <c r="AT58" s="80"/>
      <c r="BX58" s="80" t="str">
        <f>IFERROR(TOWER_DATA[[#This Row],[Bottom '[m']]]-TOWER_DATA[[#This Row],[D, top '[m']]], "")</f>
        <v/>
      </c>
      <c r="BY58" s="80" t="str">
        <f>IFERROR(-(TOWER_DATA[[#This Row],[D, bottom '[m']]]-TOWER_DATA[[#This Row],[D, top '[m']]])/(TOWER_DATA[[#This Row],[Bottom '[m']]]-TOWER_DATA[[#This Row],[Top '[m']]]),"")</f>
        <v/>
      </c>
      <c r="BZ58" s="80" t="str">
        <f t="shared" si="2"/>
        <v/>
      </c>
      <c r="CA58" s="80" t="str">
        <f>IFERROR((TOWER_DATA[[#This Row],[D, bottom '[m']]]+TOWER_DATA[[#This Row],[D, top '[m']]])/(2*TOWER_DATA[[#This Row],[t '[mm']]]/1000),"")</f>
        <v/>
      </c>
      <c r="CB58" s="80"/>
      <c r="CG58" s="78"/>
      <c r="CH58" s="78"/>
      <c r="CI58" s="78"/>
      <c r="CK58" s="78"/>
      <c r="DF58" s="80"/>
      <c r="DG58" s="80"/>
      <c r="DH58" s="80"/>
      <c r="DI58" s="80"/>
      <c r="DK58" s="78">
        <v>34</v>
      </c>
      <c r="DL58" s="78">
        <v>80.72699999999999</v>
      </c>
      <c r="DM58" s="78">
        <v>77.965000000000003</v>
      </c>
      <c r="DN58">
        <v>6.8464</v>
      </c>
      <c r="DO58" s="78">
        <v>6.9020000000000001</v>
      </c>
      <c r="DP58">
        <v>32</v>
      </c>
    </row>
    <row r="59" spans="2:120" x14ac:dyDescent="0.3">
      <c r="H59" s="80" t="str">
        <f>IFERROR(MP_DATA[[#This Row],[Bottom '[m']]]-MP_DATA[[#This Row],[D, top '[m']]], "")</f>
        <v/>
      </c>
      <c r="I59" s="80" t="str">
        <f>IFERROR(-(MP_DATA[[#This Row],[D, bottom '[m']]]-MP_DATA[[#This Row],[D, top '[m']]])/(MP_DATA[[#This Row],[Bottom '[m']]]-MP_DATA[[#This Row],[Top '[m']]]),"")</f>
        <v/>
      </c>
      <c r="J59" s="80" t="str">
        <f t="shared" si="3"/>
        <v/>
      </c>
      <c r="K59" s="80" t="str">
        <f>IFERROR((MP_DATA[[#This Row],[D, bottom '[m']]]+MP_DATA[[#This Row],[D, top '[m']]])/(2*MP_DATA[[#This Row],[t '[mm']]]/1000),"")</f>
        <v/>
      </c>
      <c r="L59" s="80"/>
      <c r="AP59" s="80" t="str">
        <f>IFERROR(TP_DATA[[#This Row],[Bottom '[m']]]-TP_DATA[[#This Row],[D, top '[m']]], "")</f>
        <v/>
      </c>
      <c r="AQ59" s="80" t="str">
        <f>IFERROR(-(TP_DATA[[#This Row],[D, bottom '[m']]]-TP_DATA[[#This Row],[D, top '[m']]])/(TP_DATA[[#This Row],[Bottom '[m']]]-TP_DATA[[#This Row],[Top '[m']]]),"")</f>
        <v/>
      </c>
      <c r="AR59" s="80" t="str">
        <f t="shared" si="1"/>
        <v/>
      </c>
      <c r="AS59" s="80" t="str">
        <f>IFERROR((TP_DATA[[#This Row],[D, bottom '[m']]]+TP_DATA[[#This Row],[D, top '[m']]])/(2*TP_DATA[[#This Row],[t '[mm']]]/1000),"")</f>
        <v/>
      </c>
      <c r="AT59" s="80"/>
      <c r="BX59" s="80" t="str">
        <f>IFERROR(TOWER_DATA[[#This Row],[Bottom '[m']]]-TOWER_DATA[[#This Row],[D, top '[m']]], "")</f>
        <v/>
      </c>
      <c r="BY59" s="80" t="str">
        <f>IFERROR(-(TOWER_DATA[[#This Row],[D, bottom '[m']]]-TOWER_DATA[[#This Row],[D, top '[m']]])/(TOWER_DATA[[#This Row],[Bottom '[m']]]-TOWER_DATA[[#This Row],[Top '[m']]]),"")</f>
        <v/>
      </c>
      <c r="BZ59" s="80" t="str">
        <f t="shared" si="2"/>
        <v/>
      </c>
      <c r="CA59" s="80" t="str">
        <f>IFERROR((TOWER_DATA[[#This Row],[D, bottom '[m']]]+TOWER_DATA[[#This Row],[D, top '[m']]])/(2*TOWER_DATA[[#This Row],[t '[mm']]]/1000),"")</f>
        <v/>
      </c>
      <c r="CB59" s="80"/>
      <c r="CG59" s="78"/>
      <c r="CH59" s="78"/>
      <c r="CI59" s="78"/>
      <c r="CK59" s="78"/>
      <c r="DF59" s="80"/>
      <c r="DG59" s="80"/>
      <c r="DH59" s="80"/>
      <c r="DI59" s="80"/>
      <c r="DK59" s="78">
        <v>35</v>
      </c>
      <c r="DL59" s="78">
        <v>77.965000000000003</v>
      </c>
      <c r="DM59" s="78">
        <v>77.92</v>
      </c>
      <c r="DN59">
        <v>6.9020000000000001</v>
      </c>
      <c r="DO59" s="78">
        <v>6.9020000000000001</v>
      </c>
      <c r="DP59">
        <v>32</v>
      </c>
    </row>
    <row r="60" spans="2:120" x14ac:dyDescent="0.3">
      <c r="H60" s="80" t="str">
        <f>IFERROR(MP_DATA[[#This Row],[Bottom '[m']]]-MP_DATA[[#This Row],[D, top '[m']]], "")</f>
        <v/>
      </c>
      <c r="I60" s="80" t="str">
        <f>IFERROR(-(MP_DATA[[#This Row],[D, bottom '[m']]]-MP_DATA[[#This Row],[D, top '[m']]])/(MP_DATA[[#This Row],[Bottom '[m']]]-MP_DATA[[#This Row],[Top '[m']]]),"")</f>
        <v/>
      </c>
      <c r="J60" s="80" t="str">
        <f t="shared" si="3"/>
        <v/>
      </c>
      <c r="K60" s="80" t="str">
        <f>IFERROR((MP_DATA[[#This Row],[D, bottom '[m']]]+MP_DATA[[#This Row],[D, top '[m']]])/(2*MP_DATA[[#This Row],[t '[mm']]]/1000),"")</f>
        <v/>
      </c>
      <c r="L60" s="80"/>
      <c r="AP60" s="80" t="str">
        <f>IFERROR(TP_DATA[[#This Row],[Bottom '[m']]]-TP_DATA[[#This Row],[D, top '[m']]], "")</f>
        <v/>
      </c>
      <c r="AQ60" s="80" t="str">
        <f>IFERROR(-(TP_DATA[[#This Row],[D, bottom '[m']]]-TP_DATA[[#This Row],[D, top '[m']]])/(TP_DATA[[#This Row],[Bottom '[m']]]-TP_DATA[[#This Row],[Top '[m']]]),"")</f>
        <v/>
      </c>
      <c r="AR60" s="80" t="str">
        <f t="shared" si="1"/>
        <v/>
      </c>
      <c r="AS60" s="80" t="str">
        <f>IFERROR((TP_DATA[[#This Row],[D, bottom '[m']]]+TP_DATA[[#This Row],[D, top '[m']]])/(2*TP_DATA[[#This Row],[t '[mm']]]/1000),"")</f>
        <v/>
      </c>
      <c r="AT60" s="80"/>
      <c r="BX60" s="80" t="str">
        <f>IFERROR(TOWER_DATA[[#This Row],[Bottom '[m']]]-TOWER_DATA[[#This Row],[D, top '[m']]], "")</f>
        <v/>
      </c>
      <c r="BY60" s="80" t="str">
        <f>IFERROR(-(TOWER_DATA[[#This Row],[D, bottom '[m']]]-TOWER_DATA[[#This Row],[D, top '[m']]])/(TOWER_DATA[[#This Row],[Bottom '[m']]]-TOWER_DATA[[#This Row],[Top '[m']]]),"")</f>
        <v/>
      </c>
      <c r="BZ60" s="80" t="str">
        <f t="shared" si="2"/>
        <v/>
      </c>
      <c r="CA60" s="80" t="str">
        <f>IFERROR((TOWER_DATA[[#This Row],[D, bottom '[m']]]+TOWER_DATA[[#This Row],[D, top '[m']]])/(2*TOWER_DATA[[#This Row],[t '[mm']]]/1000),"")</f>
        <v/>
      </c>
      <c r="CB60" s="80"/>
      <c r="CG60" s="78"/>
      <c r="CH60" s="78"/>
      <c r="CI60" s="78"/>
      <c r="CK60" s="78"/>
      <c r="DF60" s="80"/>
      <c r="DG60" s="80"/>
      <c r="DH60" s="80"/>
      <c r="DI60" s="80"/>
      <c r="DK60" s="78">
        <v>36</v>
      </c>
      <c r="DL60" s="78">
        <v>77.92</v>
      </c>
      <c r="DM60" s="78">
        <v>77.789999999999992</v>
      </c>
      <c r="DN60">
        <v>6.9020000000000001</v>
      </c>
      <c r="DO60" s="78">
        <v>6.9020000000000001</v>
      </c>
      <c r="DP60">
        <v>32</v>
      </c>
    </row>
    <row r="61" spans="2:120" x14ac:dyDescent="0.3">
      <c r="H61" s="80" t="str">
        <f>IFERROR(MP_DATA[[#This Row],[Bottom '[m']]]-MP_DATA[[#This Row],[D, top '[m']]], "")</f>
        <v/>
      </c>
      <c r="I61" s="80" t="str">
        <f>IFERROR(-(MP_DATA[[#This Row],[D, bottom '[m']]]-MP_DATA[[#This Row],[D, top '[m']]])/(MP_DATA[[#This Row],[Bottom '[m']]]-MP_DATA[[#This Row],[Top '[m']]]),"")</f>
        <v/>
      </c>
      <c r="J61" s="80" t="str">
        <f t="shared" si="3"/>
        <v/>
      </c>
      <c r="K61" s="80" t="str">
        <f>IFERROR((MP_DATA[[#This Row],[D, bottom '[m']]]+MP_DATA[[#This Row],[D, top '[m']]])/(2*MP_DATA[[#This Row],[t '[mm']]]/1000),"")</f>
        <v/>
      </c>
      <c r="L61" s="80"/>
      <c r="AP61" s="80" t="str">
        <f>IFERROR(TP_DATA[[#This Row],[Bottom '[m']]]-TP_DATA[[#This Row],[D, top '[m']]], "")</f>
        <v/>
      </c>
      <c r="AQ61" s="80" t="str">
        <f>IFERROR(-(TP_DATA[[#This Row],[D, bottom '[m']]]-TP_DATA[[#This Row],[D, top '[m']]])/(TP_DATA[[#This Row],[Bottom '[m']]]-TP_DATA[[#This Row],[Top '[m']]]),"")</f>
        <v/>
      </c>
      <c r="AR61" s="80" t="str">
        <f t="shared" si="1"/>
        <v/>
      </c>
      <c r="AS61" s="80" t="str">
        <f>IFERROR((TP_DATA[[#This Row],[D, bottom '[m']]]+TP_DATA[[#This Row],[D, top '[m']]])/(2*TP_DATA[[#This Row],[t '[mm']]]/1000),"")</f>
        <v/>
      </c>
      <c r="AT61" s="80"/>
      <c r="BX61" s="80" t="str">
        <f>IFERROR(TOWER_DATA[[#This Row],[Bottom '[m']]]-TOWER_DATA[[#This Row],[D, top '[m']]], "")</f>
        <v/>
      </c>
      <c r="BY61" s="80" t="str">
        <f>IFERROR(-(TOWER_DATA[[#This Row],[D, bottom '[m']]]-TOWER_DATA[[#This Row],[D, top '[m']]])/(TOWER_DATA[[#This Row],[Bottom '[m']]]-TOWER_DATA[[#This Row],[Top '[m']]]),"")</f>
        <v/>
      </c>
      <c r="BZ61" s="80" t="str">
        <f t="shared" si="2"/>
        <v/>
      </c>
      <c r="CA61" s="80" t="str">
        <f>IFERROR((TOWER_DATA[[#This Row],[D, bottom '[m']]]+TOWER_DATA[[#This Row],[D, top '[m']]])/(2*TOWER_DATA[[#This Row],[t '[mm']]]/1000),"")</f>
        <v/>
      </c>
      <c r="CB61" s="80"/>
      <c r="CG61" s="78"/>
      <c r="CH61" s="78"/>
      <c r="CI61" s="78"/>
      <c r="CK61" s="78"/>
      <c r="DF61" s="80"/>
      <c r="DG61" s="80"/>
      <c r="DH61" s="80"/>
      <c r="DI61" s="80"/>
      <c r="DK61" s="78">
        <v>37</v>
      </c>
      <c r="DL61" s="78">
        <v>77.789999999999992</v>
      </c>
      <c r="DM61" s="78">
        <v>77.661000000000001</v>
      </c>
      <c r="DN61">
        <v>6.9020000000000001</v>
      </c>
      <c r="DO61" s="78">
        <v>6.9020000000000001</v>
      </c>
      <c r="DP61">
        <v>32</v>
      </c>
    </row>
    <row r="62" spans="2:120" x14ac:dyDescent="0.3">
      <c r="H62" s="80" t="str">
        <f>IFERROR(MP_DATA[[#This Row],[Bottom '[m']]]-MP_DATA[[#This Row],[D, top '[m']]], "")</f>
        <v/>
      </c>
      <c r="I62" s="80" t="str">
        <f>IFERROR(-(MP_DATA[[#This Row],[D, bottom '[m']]]-MP_DATA[[#This Row],[D, top '[m']]])/(MP_DATA[[#This Row],[Bottom '[m']]]-MP_DATA[[#This Row],[Top '[m']]]),"")</f>
        <v/>
      </c>
      <c r="J62" s="80" t="str">
        <f t="shared" si="3"/>
        <v/>
      </c>
      <c r="K62" s="80" t="str">
        <f>IFERROR((MP_DATA[[#This Row],[D, bottom '[m']]]+MP_DATA[[#This Row],[D, top '[m']]])/(2*MP_DATA[[#This Row],[t '[mm']]]/1000),"")</f>
        <v/>
      </c>
      <c r="L62" s="80"/>
      <c r="AP62" s="80" t="str">
        <f>IFERROR(TP_DATA[[#This Row],[Bottom '[m']]]-TP_DATA[[#This Row],[D, top '[m']]], "")</f>
        <v/>
      </c>
      <c r="AQ62" s="80" t="str">
        <f>IFERROR(-(TP_DATA[[#This Row],[D, bottom '[m']]]-TP_DATA[[#This Row],[D, top '[m']]])/(TP_DATA[[#This Row],[Bottom '[m']]]-TP_DATA[[#This Row],[Top '[m']]]),"")</f>
        <v/>
      </c>
      <c r="AR62" s="80" t="str">
        <f t="shared" si="1"/>
        <v/>
      </c>
      <c r="AS62" s="80" t="str">
        <f>IFERROR((TP_DATA[[#This Row],[D, bottom '[m']]]+TP_DATA[[#This Row],[D, top '[m']]])/(2*TP_DATA[[#This Row],[t '[mm']]]/1000),"")</f>
        <v/>
      </c>
      <c r="AT62" s="80"/>
      <c r="BX62" s="80" t="str">
        <f>IFERROR(TOWER_DATA[[#This Row],[Bottom '[m']]]-TOWER_DATA[[#This Row],[D, top '[m']]], "")</f>
        <v/>
      </c>
      <c r="BY62" s="80" t="str">
        <f>IFERROR(-(TOWER_DATA[[#This Row],[D, bottom '[m']]]-TOWER_DATA[[#This Row],[D, top '[m']]])/(TOWER_DATA[[#This Row],[Bottom '[m']]]-TOWER_DATA[[#This Row],[Top '[m']]]),"")</f>
        <v/>
      </c>
      <c r="BZ62" s="80" t="str">
        <f t="shared" si="2"/>
        <v/>
      </c>
      <c r="CA62" s="80" t="str">
        <f>IFERROR((TOWER_DATA[[#This Row],[D, bottom '[m']]]+TOWER_DATA[[#This Row],[D, top '[m']]])/(2*TOWER_DATA[[#This Row],[t '[mm']]]/1000),"")</f>
        <v/>
      </c>
      <c r="CB62" s="80"/>
      <c r="CG62" s="78"/>
      <c r="CH62" s="78"/>
      <c r="CI62" s="78"/>
      <c r="CK62" s="78"/>
      <c r="DF62" s="80"/>
      <c r="DG62" s="80"/>
      <c r="DH62" s="80"/>
      <c r="DI62" s="80"/>
      <c r="DK62" s="78">
        <v>38</v>
      </c>
      <c r="DL62" s="78">
        <v>77.661000000000001</v>
      </c>
      <c r="DM62" s="78">
        <v>77.616</v>
      </c>
      <c r="DN62">
        <v>6.9020000000000001</v>
      </c>
      <c r="DO62" s="78">
        <v>6.9020000000000001</v>
      </c>
      <c r="DP62">
        <v>32</v>
      </c>
    </row>
    <row r="63" spans="2:120" x14ac:dyDescent="0.3">
      <c r="H63" s="80" t="str">
        <f>IFERROR(MP_DATA[[#This Row],[Bottom '[m']]]-MP_DATA[[#This Row],[D, top '[m']]], "")</f>
        <v/>
      </c>
      <c r="I63" s="80" t="str">
        <f>IFERROR(-(MP_DATA[[#This Row],[D, bottom '[m']]]-MP_DATA[[#This Row],[D, top '[m']]])/(MP_DATA[[#This Row],[Bottom '[m']]]-MP_DATA[[#This Row],[Top '[m']]]),"")</f>
        <v/>
      </c>
      <c r="J63" s="80" t="str">
        <f t="shared" si="3"/>
        <v/>
      </c>
      <c r="K63" s="80" t="str">
        <f>IFERROR((MP_DATA[[#This Row],[D, bottom '[m']]]+MP_DATA[[#This Row],[D, top '[m']]])/(2*MP_DATA[[#This Row],[t '[mm']]]/1000),"")</f>
        <v/>
      </c>
      <c r="L63" s="80"/>
      <c r="AP63" s="80" t="str">
        <f>IFERROR(TP_DATA[[#This Row],[Bottom '[m']]]-TP_DATA[[#This Row],[D, top '[m']]], "")</f>
        <v/>
      </c>
      <c r="AQ63" s="80" t="str">
        <f>IFERROR(-(TP_DATA[[#This Row],[D, bottom '[m']]]-TP_DATA[[#This Row],[D, top '[m']]])/(TP_DATA[[#This Row],[Bottom '[m']]]-TP_DATA[[#This Row],[Top '[m']]]),"")</f>
        <v/>
      </c>
      <c r="AR63" s="80" t="str">
        <f t="shared" si="1"/>
        <v/>
      </c>
      <c r="AS63" s="80" t="str">
        <f>IFERROR((TP_DATA[[#This Row],[D, bottom '[m']]]+TP_DATA[[#This Row],[D, top '[m']]])/(2*TP_DATA[[#This Row],[t '[mm']]]/1000),"")</f>
        <v/>
      </c>
      <c r="AT63" s="80"/>
      <c r="BX63" s="80" t="str">
        <f>IFERROR(TOWER_DATA[[#This Row],[Bottom '[m']]]-TOWER_DATA[[#This Row],[D, top '[m']]], "")</f>
        <v/>
      </c>
      <c r="BY63" s="80" t="str">
        <f>IFERROR(-(TOWER_DATA[[#This Row],[D, bottom '[m']]]-TOWER_DATA[[#This Row],[D, top '[m']]])/(TOWER_DATA[[#This Row],[Bottom '[m']]]-TOWER_DATA[[#This Row],[Top '[m']]]),"")</f>
        <v/>
      </c>
      <c r="BZ63" s="80" t="str">
        <f t="shared" si="2"/>
        <v/>
      </c>
      <c r="CA63" s="80" t="str">
        <f>IFERROR((TOWER_DATA[[#This Row],[D, bottom '[m']]]+TOWER_DATA[[#This Row],[D, top '[m']]])/(2*TOWER_DATA[[#This Row],[t '[mm']]]/1000),"")</f>
        <v/>
      </c>
      <c r="CB63" s="80"/>
      <c r="CG63" s="78"/>
      <c r="CH63" s="78"/>
      <c r="CI63" s="78"/>
      <c r="CK63" s="78"/>
      <c r="DF63" s="80"/>
      <c r="DG63" s="80"/>
      <c r="DH63" s="80"/>
      <c r="DI63" s="80"/>
      <c r="DK63" s="78">
        <v>39</v>
      </c>
      <c r="DL63" s="78">
        <v>77.616</v>
      </c>
      <c r="DM63" s="78">
        <v>76.492999999999995</v>
      </c>
      <c r="DN63">
        <v>6.9020000000000001</v>
      </c>
      <c r="DO63" s="78">
        <v>6.9241000000000001</v>
      </c>
      <c r="DP63">
        <v>32</v>
      </c>
    </row>
    <row r="64" spans="2:120" x14ac:dyDescent="0.3">
      <c r="H64" s="80" t="str">
        <f>IFERROR(MP_DATA[[#This Row],[Bottom '[m']]]-MP_DATA[[#This Row],[D, top '[m']]], "")</f>
        <v/>
      </c>
      <c r="I64" s="80" t="str">
        <f>IFERROR(-(MP_DATA[[#This Row],[D, bottom '[m']]]-MP_DATA[[#This Row],[D, top '[m']]])/(MP_DATA[[#This Row],[Bottom '[m']]]-MP_DATA[[#This Row],[Top '[m']]]),"")</f>
        <v/>
      </c>
      <c r="J64" s="80" t="str">
        <f t="shared" si="3"/>
        <v/>
      </c>
      <c r="K64" s="80" t="str">
        <f>IFERROR((MP_DATA[[#This Row],[D, bottom '[m']]]+MP_DATA[[#This Row],[D, top '[m']]])/(2*MP_DATA[[#This Row],[t '[mm']]]/1000),"")</f>
        <v/>
      </c>
      <c r="L64" s="80"/>
      <c r="AP64" s="80" t="str">
        <f>IFERROR(TP_DATA[[#This Row],[Bottom '[m']]]-TP_DATA[[#This Row],[D, top '[m']]], "")</f>
        <v/>
      </c>
      <c r="AQ64" s="80" t="str">
        <f>IFERROR(-(TP_DATA[[#This Row],[D, bottom '[m']]]-TP_DATA[[#This Row],[D, top '[m']]])/(TP_DATA[[#This Row],[Bottom '[m']]]-TP_DATA[[#This Row],[Top '[m']]]),"")</f>
        <v/>
      </c>
      <c r="AR64" s="80" t="str">
        <f t="shared" si="1"/>
        <v/>
      </c>
      <c r="AS64" s="80" t="str">
        <f>IFERROR((TP_DATA[[#This Row],[D, bottom '[m']]]+TP_DATA[[#This Row],[D, top '[m']]])/(2*TP_DATA[[#This Row],[t '[mm']]]/1000),"")</f>
        <v/>
      </c>
      <c r="AT64" s="80"/>
      <c r="BX64" s="80" t="str">
        <f>IFERROR(TOWER_DATA[[#This Row],[Bottom '[m']]]-TOWER_DATA[[#This Row],[D, top '[m']]], "")</f>
        <v/>
      </c>
      <c r="BY64" s="80" t="str">
        <f>IFERROR(-(TOWER_DATA[[#This Row],[D, bottom '[m']]]-TOWER_DATA[[#This Row],[D, top '[m']]])/(TOWER_DATA[[#This Row],[Bottom '[m']]]-TOWER_DATA[[#This Row],[Top '[m']]]),"")</f>
        <v/>
      </c>
      <c r="BZ64" s="80" t="str">
        <f t="shared" si="2"/>
        <v/>
      </c>
      <c r="CA64" s="80" t="str">
        <f>IFERROR((TOWER_DATA[[#This Row],[D, bottom '[m']]]+TOWER_DATA[[#This Row],[D, top '[m']]])/(2*TOWER_DATA[[#This Row],[t '[mm']]]/1000),"")</f>
        <v/>
      </c>
      <c r="CB64" s="80"/>
      <c r="CG64" s="78"/>
      <c r="CH64" s="78"/>
      <c r="CI64" s="78"/>
      <c r="CK64" s="78"/>
      <c r="DF64" s="80"/>
      <c r="DG64" s="80"/>
      <c r="DH64" s="80"/>
      <c r="DI64" s="80"/>
      <c r="DK64" s="78">
        <v>40</v>
      </c>
      <c r="DL64" s="78">
        <v>76.492999999999995</v>
      </c>
      <c r="DM64" s="78">
        <v>75.292999999999992</v>
      </c>
      <c r="DN64">
        <v>6.9241000000000001</v>
      </c>
      <c r="DO64" s="78">
        <v>6.9477000000000002</v>
      </c>
      <c r="DP64">
        <v>31.7</v>
      </c>
    </row>
    <row r="65" spans="8:120" x14ac:dyDescent="0.3">
      <c r="H65" s="80" t="str">
        <f>IFERROR(MP_DATA[[#This Row],[Bottom '[m']]]-MP_DATA[[#This Row],[D, top '[m']]], "")</f>
        <v/>
      </c>
      <c r="I65" s="80" t="str">
        <f>IFERROR(-(MP_DATA[[#This Row],[D, bottom '[m']]]-MP_DATA[[#This Row],[D, top '[m']]])/(MP_DATA[[#This Row],[Bottom '[m']]]-MP_DATA[[#This Row],[Top '[m']]]),"")</f>
        <v/>
      </c>
      <c r="J65" s="80" t="str">
        <f t="shared" si="3"/>
        <v/>
      </c>
      <c r="K65" s="80" t="str">
        <f>IFERROR((MP_DATA[[#This Row],[D, bottom '[m']]]+MP_DATA[[#This Row],[D, top '[m']]])/(2*MP_DATA[[#This Row],[t '[mm']]]/1000),"")</f>
        <v/>
      </c>
      <c r="L65" s="80"/>
      <c r="AP65" s="80" t="str">
        <f>IFERROR(TP_DATA[[#This Row],[Bottom '[m']]]-TP_DATA[[#This Row],[D, top '[m']]], "")</f>
        <v/>
      </c>
      <c r="AQ65" s="80" t="str">
        <f>IFERROR(-(TP_DATA[[#This Row],[D, bottom '[m']]]-TP_DATA[[#This Row],[D, top '[m']]])/(TP_DATA[[#This Row],[Bottom '[m']]]-TP_DATA[[#This Row],[Top '[m']]]),"")</f>
        <v/>
      </c>
      <c r="AR65" s="80" t="str">
        <f t="shared" si="1"/>
        <v/>
      </c>
      <c r="AS65" s="80" t="str">
        <f>IFERROR((TP_DATA[[#This Row],[D, bottom '[m']]]+TP_DATA[[#This Row],[D, top '[m']]])/(2*TP_DATA[[#This Row],[t '[mm']]]/1000),"")</f>
        <v/>
      </c>
      <c r="AT65" s="80"/>
      <c r="BX65" s="80" t="str">
        <f>IFERROR(TOWER_DATA[[#This Row],[Bottom '[m']]]-TOWER_DATA[[#This Row],[D, top '[m']]], "")</f>
        <v/>
      </c>
      <c r="BY65" s="80" t="str">
        <f>IFERROR(-(TOWER_DATA[[#This Row],[D, bottom '[m']]]-TOWER_DATA[[#This Row],[D, top '[m']]])/(TOWER_DATA[[#This Row],[Bottom '[m']]]-TOWER_DATA[[#This Row],[Top '[m']]]),"")</f>
        <v/>
      </c>
      <c r="BZ65" s="80" t="str">
        <f t="shared" si="2"/>
        <v/>
      </c>
      <c r="CA65" s="80" t="str">
        <f>IFERROR((TOWER_DATA[[#This Row],[D, bottom '[m']]]+TOWER_DATA[[#This Row],[D, top '[m']]])/(2*TOWER_DATA[[#This Row],[t '[mm']]]/1000),"")</f>
        <v/>
      </c>
      <c r="CB65" s="80"/>
      <c r="CG65" s="78"/>
      <c r="CH65" s="78"/>
      <c r="CI65" s="78"/>
      <c r="CK65" s="78"/>
      <c r="DF65" s="80"/>
      <c r="DG65" s="80"/>
      <c r="DH65" s="80"/>
      <c r="DI65" s="80"/>
      <c r="DK65" s="78">
        <v>41</v>
      </c>
      <c r="DL65" s="78">
        <v>75.292999999999992</v>
      </c>
      <c r="DM65" s="78">
        <v>72.531999999999996</v>
      </c>
      <c r="DN65">
        <v>6.9477000000000002</v>
      </c>
      <c r="DO65" s="78">
        <v>7.0012999999999996</v>
      </c>
      <c r="DP65">
        <v>32.300000000000004</v>
      </c>
    </row>
    <row r="66" spans="8:120" x14ac:dyDescent="0.3">
      <c r="H66" s="80" t="str">
        <f>IFERROR(MP_DATA[[#This Row],[Bottom '[m']]]-MP_DATA[[#This Row],[D, top '[m']]], "")</f>
        <v/>
      </c>
      <c r="I66" s="80" t="str">
        <f>IFERROR(-(MP_DATA[[#This Row],[D, bottom '[m']]]-MP_DATA[[#This Row],[D, top '[m']]])/(MP_DATA[[#This Row],[Bottom '[m']]]-MP_DATA[[#This Row],[Top '[m']]]),"")</f>
        <v/>
      </c>
      <c r="J66" s="80" t="str">
        <f t="shared" si="3"/>
        <v/>
      </c>
      <c r="K66" s="80" t="str">
        <f>IFERROR((MP_DATA[[#This Row],[D, bottom '[m']]]+MP_DATA[[#This Row],[D, top '[m']]])/(2*MP_DATA[[#This Row],[t '[mm']]]/1000),"")</f>
        <v/>
      </c>
      <c r="L66" s="80" t="str">
        <f>IFERROR((MP_DATA[[#This Row],[D, bottom '[m']]]+#REF!)/(2*#REF!/1000),"")</f>
        <v/>
      </c>
      <c r="AP66" s="80" t="str">
        <f>IFERROR(TP_DATA[[#This Row],[Bottom '[m']]]-TP_DATA[[#This Row],[D, top '[m']]], "")</f>
        <v/>
      </c>
      <c r="AQ66" s="80" t="str">
        <f>IFERROR(-(TP_DATA[[#This Row],[D, bottom '[m']]]-TP_DATA[[#This Row],[D, top '[m']]])/(TP_DATA[[#This Row],[Bottom '[m']]]-TP_DATA[[#This Row],[Top '[m']]]),"")</f>
        <v/>
      </c>
      <c r="AR66" s="80" t="str">
        <f t="shared" si="1"/>
        <v/>
      </c>
      <c r="AS66" s="80" t="str">
        <f>IFERROR((TP_DATA[[#This Row],[D, bottom '[m']]]+TP_DATA[[#This Row],[D, top '[m']]])/(2*TP_DATA[[#This Row],[t '[mm']]]/1000),"")</f>
        <v/>
      </c>
      <c r="AT66" s="80" t="str">
        <f>IFERROR((TP_DATA[[#This Row],[D, bottom '[m']]]+#REF!)/(2*#REF!/1000),"")</f>
        <v/>
      </c>
      <c r="BX66" s="80" t="str">
        <f>IFERROR(TOWER_DATA[[#This Row],[Bottom '[m']]]-TOWER_DATA[[#This Row],[D, top '[m']]], "")</f>
        <v/>
      </c>
      <c r="BY66" s="80" t="str">
        <f>IFERROR(-(TOWER_DATA[[#This Row],[D, bottom '[m']]]-TOWER_DATA[[#This Row],[D, top '[m']]])/(TOWER_DATA[[#This Row],[Bottom '[m']]]-TOWER_DATA[[#This Row],[Top '[m']]]),"")</f>
        <v/>
      </c>
      <c r="BZ66" s="80" t="str">
        <f t="shared" si="2"/>
        <v/>
      </c>
      <c r="CA66" s="80" t="str">
        <f>IFERROR((TOWER_DATA[[#This Row],[D, bottom '[m']]]+TOWER_DATA[[#This Row],[D, top '[m']]])/(2*TOWER_DATA[[#This Row],[t '[mm']]]/1000),"")</f>
        <v/>
      </c>
      <c r="CB66" s="80" t="str">
        <f>IFERROR((TOWER_DATA[[#This Row],[D, bottom '[m']]]+#REF!)/(2*#REF!/1000),"")</f>
        <v/>
      </c>
      <c r="CG66" s="78"/>
      <c r="CH66" s="78"/>
      <c r="CI66" s="78"/>
      <c r="CK66" s="78"/>
      <c r="DF66" s="80"/>
      <c r="DG66" s="80"/>
      <c r="DH66" s="80"/>
      <c r="DI66" s="80"/>
      <c r="DK66" s="78">
        <v>42</v>
      </c>
      <c r="DL66" s="78">
        <v>72.531999999999996</v>
      </c>
      <c r="DM66" s="78">
        <v>69.774000000000001</v>
      </c>
      <c r="DN66">
        <v>7.0012999999999996</v>
      </c>
      <c r="DO66" s="78">
        <v>7.0548000000000002</v>
      </c>
      <c r="DP66">
        <v>32.800000000000004</v>
      </c>
    </row>
    <row r="67" spans="8:120" x14ac:dyDescent="0.3">
      <c r="H67" s="80" t="str">
        <f>IFERROR(MP_DATA[[#This Row],[Bottom '[m']]]-MP_DATA[[#This Row],[D, top '[m']]], "")</f>
        <v/>
      </c>
      <c r="I67" s="80" t="str">
        <f>IFERROR(-(MP_DATA[[#This Row],[D, bottom '[m']]]-MP_DATA[[#This Row],[D, top '[m']]])/(MP_DATA[[#This Row],[Bottom '[m']]]-MP_DATA[[#This Row],[Top '[m']]]),"")</f>
        <v/>
      </c>
      <c r="J67" s="80" t="str">
        <f t="shared" si="3"/>
        <v/>
      </c>
      <c r="K67" s="80" t="str">
        <f>IFERROR((MP_DATA[[#This Row],[D, bottom '[m']]]+MP_DATA[[#This Row],[D, top '[m']]])/(2*MP_DATA[[#This Row],[t '[mm']]]/1000),"")</f>
        <v/>
      </c>
      <c r="L67" s="80" t="str">
        <f>IFERROR((MP_DATA[[#This Row],[D, bottom '[m']]]+#REF!)/(2*#REF!/1000),"")</f>
        <v/>
      </c>
      <c r="AP67" s="80" t="str">
        <f>IFERROR(TP_DATA[[#This Row],[Bottom '[m']]]-TP_DATA[[#This Row],[D, top '[m']]], "")</f>
        <v/>
      </c>
      <c r="AQ67" s="80" t="str">
        <f>IFERROR(-(TP_DATA[[#This Row],[D, bottom '[m']]]-TP_DATA[[#This Row],[D, top '[m']]])/(TP_DATA[[#This Row],[Bottom '[m']]]-TP_DATA[[#This Row],[Top '[m']]]),"")</f>
        <v/>
      </c>
      <c r="AR67" s="80" t="str">
        <f t="shared" si="1"/>
        <v/>
      </c>
      <c r="AS67" s="80" t="str">
        <f>IFERROR((TP_DATA[[#This Row],[D, bottom '[m']]]+TP_DATA[[#This Row],[D, top '[m']]])/(2*TP_DATA[[#This Row],[t '[mm']]]/1000),"")</f>
        <v/>
      </c>
      <c r="AT67" s="80" t="str">
        <f>IFERROR((TP_DATA[[#This Row],[D, bottom '[m']]]+#REF!)/(2*#REF!/1000),"")</f>
        <v/>
      </c>
      <c r="BX67" s="80" t="str">
        <f>IFERROR(TOWER_DATA[[#This Row],[Bottom '[m']]]-TOWER_DATA[[#This Row],[D, top '[m']]], "")</f>
        <v/>
      </c>
      <c r="BY67" s="80" t="str">
        <f>IFERROR(-(TOWER_DATA[[#This Row],[D, bottom '[m']]]-TOWER_DATA[[#This Row],[D, top '[m']]])/(TOWER_DATA[[#This Row],[Bottom '[m']]]-TOWER_DATA[[#This Row],[Top '[m']]]),"")</f>
        <v/>
      </c>
      <c r="BZ67" s="80" t="str">
        <f t="shared" si="2"/>
        <v/>
      </c>
      <c r="CA67" s="80" t="str">
        <f>IFERROR((TOWER_DATA[[#This Row],[D, bottom '[m']]]+TOWER_DATA[[#This Row],[D, top '[m']]])/(2*TOWER_DATA[[#This Row],[t '[mm']]]/1000),"")</f>
        <v/>
      </c>
      <c r="CB67" s="80" t="str">
        <f>IFERROR((TOWER_DATA[[#This Row],[D, bottom '[m']]]+#REF!)/(2*#REF!/1000),"")</f>
        <v/>
      </c>
      <c r="CG67" s="78"/>
      <c r="CH67" s="78"/>
      <c r="CI67" s="78"/>
      <c r="CK67" s="78"/>
      <c r="DF67" s="80"/>
      <c r="DG67" s="80"/>
      <c r="DH67" s="80"/>
      <c r="DI67" s="80"/>
      <c r="DK67" s="78">
        <v>43</v>
      </c>
      <c r="DL67" s="78">
        <v>69.774000000000001</v>
      </c>
      <c r="DM67" s="78">
        <v>67.015999999999991</v>
      </c>
      <c r="DN67">
        <v>7.0548000000000002</v>
      </c>
      <c r="DO67" s="78">
        <v>7.1083999999999996</v>
      </c>
      <c r="DP67">
        <v>33.4</v>
      </c>
    </row>
    <row r="68" spans="8:120" x14ac:dyDescent="0.3">
      <c r="H68" s="80" t="str">
        <f>IFERROR(MP_DATA[[#This Row],[Bottom '[m']]]-MP_DATA[[#This Row],[D, top '[m']]], "")</f>
        <v/>
      </c>
      <c r="I68" s="80" t="str">
        <f>IFERROR(-(MP_DATA[[#This Row],[D, bottom '[m']]]-MP_DATA[[#This Row],[D, top '[m']]])/(MP_DATA[[#This Row],[Bottom '[m']]]-MP_DATA[[#This Row],[Top '[m']]]),"")</f>
        <v/>
      </c>
      <c r="J68" s="80" t="str">
        <f t="shared" si="3"/>
        <v/>
      </c>
      <c r="K68" s="80" t="str">
        <f>IFERROR((MP_DATA[[#This Row],[D, bottom '[m']]]+MP_DATA[[#This Row],[D, top '[m']]])/(2*MP_DATA[[#This Row],[t '[mm']]]/1000),"")</f>
        <v/>
      </c>
      <c r="L68" s="80" t="str">
        <f>IFERROR((MP_DATA[[#This Row],[D, bottom '[m']]]+#REF!)/(2*#REF!/1000),"")</f>
        <v/>
      </c>
      <c r="AP68" s="80" t="str">
        <f>IFERROR(TP_DATA[[#This Row],[Bottom '[m']]]-TP_DATA[[#This Row],[D, top '[m']]], "")</f>
        <v/>
      </c>
      <c r="AQ68" s="80" t="str">
        <f>IFERROR(-(TP_DATA[[#This Row],[D, bottom '[m']]]-TP_DATA[[#This Row],[D, top '[m']]])/(TP_DATA[[#This Row],[Bottom '[m']]]-TP_DATA[[#This Row],[Top '[m']]]),"")</f>
        <v/>
      </c>
      <c r="AR68" s="80" t="str">
        <f t="shared" si="1"/>
        <v/>
      </c>
      <c r="AS68" s="80" t="str">
        <f>IFERROR((TP_DATA[[#This Row],[D, bottom '[m']]]+TP_DATA[[#This Row],[D, top '[m']]])/(2*TP_DATA[[#This Row],[t '[mm']]]/1000),"")</f>
        <v/>
      </c>
      <c r="AT68" s="80" t="str">
        <f>IFERROR((TP_DATA[[#This Row],[D, bottom '[m']]]+#REF!)/(2*#REF!/1000),"")</f>
        <v/>
      </c>
      <c r="BX68" s="80" t="str">
        <f>IFERROR(TOWER_DATA[[#This Row],[Bottom '[m']]]-TOWER_DATA[[#This Row],[D, top '[m']]], "")</f>
        <v/>
      </c>
      <c r="BY68" s="80" t="str">
        <f>IFERROR(-(TOWER_DATA[[#This Row],[D, bottom '[m']]]-TOWER_DATA[[#This Row],[D, top '[m']]])/(TOWER_DATA[[#This Row],[Bottom '[m']]]-TOWER_DATA[[#This Row],[Top '[m']]]),"")</f>
        <v/>
      </c>
      <c r="BZ68" s="80" t="str">
        <f t="shared" si="2"/>
        <v/>
      </c>
      <c r="CA68" s="80" t="str">
        <f>IFERROR((TOWER_DATA[[#This Row],[D, bottom '[m']]]+TOWER_DATA[[#This Row],[D, top '[m']]])/(2*TOWER_DATA[[#This Row],[t '[mm']]]/1000),"")</f>
        <v/>
      </c>
      <c r="CB68" s="80" t="str">
        <f>IFERROR((TOWER_DATA[[#This Row],[D, bottom '[m']]]+#REF!)/(2*#REF!/1000),"")</f>
        <v/>
      </c>
      <c r="CG68" s="78"/>
      <c r="CH68" s="78"/>
      <c r="CI68" s="78"/>
      <c r="CK68" s="78"/>
      <c r="DF68" s="80"/>
      <c r="DG68" s="80"/>
      <c r="DH68" s="80"/>
      <c r="DI68" s="80"/>
      <c r="DK68" s="78">
        <v>44</v>
      </c>
      <c r="DL68" s="78">
        <v>67.015999999999991</v>
      </c>
      <c r="DM68" s="78">
        <v>64.259</v>
      </c>
      <c r="DN68">
        <v>7.1083999999999996</v>
      </c>
      <c r="DO68" s="78">
        <v>7.1619000000000002</v>
      </c>
      <c r="DP68">
        <v>33.9</v>
      </c>
    </row>
    <row r="69" spans="8:120" x14ac:dyDescent="0.3">
      <c r="H69" s="80" t="str">
        <f>IFERROR(MP_DATA[[#This Row],[Bottom '[m']]]-MP_DATA[[#This Row],[D, top '[m']]], "")</f>
        <v/>
      </c>
      <c r="I69" s="80" t="str">
        <f>IFERROR(-(MP_DATA[[#This Row],[D, bottom '[m']]]-MP_DATA[[#This Row],[D, top '[m']]])/(MP_DATA[[#This Row],[Bottom '[m']]]-MP_DATA[[#This Row],[Top '[m']]]),"")</f>
        <v/>
      </c>
      <c r="J69" s="80" t="str">
        <f t="shared" si="3"/>
        <v/>
      </c>
      <c r="K69" s="80" t="str">
        <f>IFERROR((MP_DATA[[#This Row],[D, bottom '[m']]]+MP_DATA[[#This Row],[D, top '[m']]])/(2*MP_DATA[[#This Row],[t '[mm']]]/1000),"")</f>
        <v/>
      </c>
      <c r="L69" s="80" t="str">
        <f>IFERROR((MP_DATA[[#This Row],[D, bottom '[m']]]+#REF!)/(2*#REF!/1000),"")</f>
        <v/>
      </c>
      <c r="AP69" s="80" t="str">
        <f>IFERROR(TP_DATA[[#This Row],[Bottom '[m']]]-TP_DATA[[#This Row],[D, top '[m']]], "")</f>
        <v/>
      </c>
      <c r="AQ69" s="80" t="str">
        <f>IFERROR(-(TP_DATA[[#This Row],[D, bottom '[m']]]-TP_DATA[[#This Row],[D, top '[m']]])/(TP_DATA[[#This Row],[Bottom '[m']]]-TP_DATA[[#This Row],[Top '[m']]]),"")</f>
        <v/>
      </c>
      <c r="AR69" s="80" t="str">
        <f t="shared" si="1"/>
        <v/>
      </c>
      <c r="AS69" s="80" t="str">
        <f>IFERROR((TP_DATA[[#This Row],[D, bottom '[m']]]+TP_DATA[[#This Row],[D, top '[m']]])/(2*TP_DATA[[#This Row],[t '[mm']]]/1000),"")</f>
        <v/>
      </c>
      <c r="AT69" s="80" t="str">
        <f>IFERROR((TP_DATA[[#This Row],[D, bottom '[m']]]+#REF!)/(2*#REF!/1000),"")</f>
        <v/>
      </c>
      <c r="BX69" s="80" t="str">
        <f>IFERROR(TOWER_DATA[[#This Row],[Bottom '[m']]]-TOWER_DATA[[#This Row],[D, top '[m']]], "")</f>
        <v/>
      </c>
      <c r="BY69" s="80" t="str">
        <f>IFERROR(-(TOWER_DATA[[#This Row],[D, bottom '[m']]]-TOWER_DATA[[#This Row],[D, top '[m']]])/(TOWER_DATA[[#This Row],[Bottom '[m']]]-TOWER_DATA[[#This Row],[Top '[m']]]),"")</f>
        <v/>
      </c>
      <c r="BZ69" s="80" t="str">
        <f t="shared" si="2"/>
        <v/>
      </c>
      <c r="CA69" s="80" t="str">
        <f>IFERROR((TOWER_DATA[[#This Row],[D, bottom '[m']]]+TOWER_DATA[[#This Row],[D, top '[m']]])/(2*TOWER_DATA[[#This Row],[t '[mm']]]/1000),"")</f>
        <v/>
      </c>
      <c r="CB69" s="80" t="str">
        <f>IFERROR((TOWER_DATA[[#This Row],[D, bottom '[m']]]+#REF!)/(2*#REF!/1000),"")</f>
        <v/>
      </c>
      <c r="CG69" s="78"/>
      <c r="CH69" s="78"/>
      <c r="CI69" s="78"/>
      <c r="CK69" s="78"/>
      <c r="DF69" s="80"/>
      <c r="DG69" s="80"/>
      <c r="DH69" s="80"/>
      <c r="DI69" s="80"/>
      <c r="DK69" s="78">
        <v>45</v>
      </c>
      <c r="DL69" s="78">
        <v>64.259</v>
      </c>
      <c r="DM69" s="78">
        <v>61.503999999999991</v>
      </c>
      <c r="DN69">
        <v>7.1619000000000002</v>
      </c>
      <c r="DO69" s="78">
        <v>7.2164000000000001</v>
      </c>
      <c r="DP69">
        <v>34.4</v>
      </c>
    </row>
    <row r="70" spans="8:120" x14ac:dyDescent="0.3">
      <c r="H70" s="80" t="str">
        <f>IFERROR(MP_DATA[[#This Row],[Bottom '[m']]]-MP_DATA[[#This Row],[D, top '[m']]], "")</f>
        <v/>
      </c>
      <c r="I70" s="80" t="str">
        <f>IFERROR(-(MP_DATA[[#This Row],[D, bottom '[m']]]-MP_DATA[[#This Row],[D, top '[m']]])/(MP_DATA[[#This Row],[Bottom '[m']]]-MP_DATA[[#This Row],[Top '[m']]]),"")</f>
        <v/>
      </c>
      <c r="J70" s="80" t="str">
        <f t="shared" si="3"/>
        <v/>
      </c>
      <c r="K70" s="80" t="str">
        <f>IFERROR((MP_DATA[[#This Row],[D, bottom '[m']]]+MP_DATA[[#This Row],[D, top '[m']]])/(2*MP_DATA[[#This Row],[t '[mm']]]/1000),"")</f>
        <v/>
      </c>
      <c r="L70" s="80" t="str">
        <f>IFERROR((MP_DATA[[#This Row],[D, bottom '[m']]]+#REF!)/(2*#REF!/1000),"")</f>
        <v/>
      </c>
      <c r="AP70" s="80" t="str">
        <f>IFERROR(TP_DATA[[#This Row],[Bottom '[m']]]-TP_DATA[[#This Row],[D, top '[m']]], "")</f>
        <v/>
      </c>
      <c r="AQ70" s="80" t="str">
        <f>IFERROR(-(TP_DATA[[#This Row],[D, bottom '[m']]]-TP_DATA[[#This Row],[D, top '[m']]])/(TP_DATA[[#This Row],[Bottom '[m']]]-TP_DATA[[#This Row],[Top '[m']]]),"")</f>
        <v/>
      </c>
      <c r="AR70" s="80" t="str">
        <f t="shared" si="1"/>
        <v/>
      </c>
      <c r="AS70" s="80" t="str">
        <f>IFERROR((TP_DATA[[#This Row],[D, bottom '[m']]]+TP_DATA[[#This Row],[D, top '[m']]])/(2*TP_DATA[[#This Row],[t '[mm']]]/1000),"")</f>
        <v/>
      </c>
      <c r="AT70" s="80" t="str">
        <f>IFERROR((TP_DATA[[#This Row],[D, bottom '[m']]]+#REF!)/(2*#REF!/1000),"")</f>
        <v/>
      </c>
      <c r="BX70" s="80" t="str">
        <f>IFERROR(TOWER_DATA[[#This Row],[Bottom '[m']]]-TOWER_DATA[[#This Row],[D, top '[m']]], "")</f>
        <v/>
      </c>
      <c r="BY70" s="80" t="str">
        <f>IFERROR(-(TOWER_DATA[[#This Row],[D, bottom '[m']]]-TOWER_DATA[[#This Row],[D, top '[m']]])/(TOWER_DATA[[#This Row],[Bottom '[m']]]-TOWER_DATA[[#This Row],[Top '[m']]]),"")</f>
        <v/>
      </c>
      <c r="BZ70" s="80" t="str">
        <f t="shared" si="2"/>
        <v/>
      </c>
      <c r="CA70" s="80" t="str">
        <f>IFERROR((TOWER_DATA[[#This Row],[D, bottom '[m']]]+TOWER_DATA[[#This Row],[D, top '[m']]])/(2*TOWER_DATA[[#This Row],[t '[mm']]]/1000),"")</f>
        <v/>
      </c>
      <c r="CB70" s="80" t="str">
        <f>IFERROR((TOWER_DATA[[#This Row],[D, bottom '[m']]]+#REF!)/(2*#REF!/1000),"")</f>
        <v/>
      </c>
      <c r="CG70" s="78"/>
      <c r="CH70" s="78"/>
      <c r="CI70" s="78"/>
      <c r="CK70" s="78"/>
      <c r="DF70" s="80"/>
      <c r="DG70" s="80"/>
      <c r="DH70" s="80"/>
      <c r="DI70" s="80"/>
      <c r="DK70" s="78">
        <v>46</v>
      </c>
      <c r="DL70" s="78">
        <v>61.503999999999991</v>
      </c>
      <c r="DM70" s="78">
        <v>58.75</v>
      </c>
      <c r="DN70">
        <v>7.2164000000000001</v>
      </c>
      <c r="DO70" s="78">
        <v>7.2698999999999998</v>
      </c>
      <c r="DP70">
        <v>34.9</v>
      </c>
    </row>
    <row r="71" spans="8:120" x14ac:dyDescent="0.3">
      <c r="H71" s="80" t="str">
        <f>IFERROR(MP_DATA[[#This Row],[Bottom '[m']]]-MP_DATA[[#This Row],[D, top '[m']]], "")</f>
        <v/>
      </c>
      <c r="I71" s="80" t="str">
        <f>IFERROR(-(MP_DATA[[#This Row],[D, bottom '[m']]]-MP_DATA[[#This Row],[D, top '[m']]])/(MP_DATA[[#This Row],[Bottom '[m']]]-MP_DATA[[#This Row],[Top '[m']]]),"")</f>
        <v/>
      </c>
      <c r="J71" s="80" t="str">
        <f t="shared" si="3"/>
        <v/>
      </c>
      <c r="K71" s="80" t="str">
        <f>IFERROR((MP_DATA[[#This Row],[D, bottom '[m']]]+MP_DATA[[#This Row],[D, top '[m']]])/(2*MP_DATA[[#This Row],[t '[mm']]]/1000),"")</f>
        <v/>
      </c>
      <c r="L71" s="80" t="str">
        <f>IFERROR((MP_DATA[[#This Row],[D, bottom '[m']]]+#REF!)/(2*#REF!/1000),"")</f>
        <v/>
      </c>
      <c r="AP71" s="80" t="str">
        <f>IFERROR(TP_DATA[[#This Row],[Bottom '[m']]]-TP_DATA[[#This Row],[D, top '[m']]], "")</f>
        <v/>
      </c>
      <c r="AQ71" s="80" t="str">
        <f>IFERROR(-(TP_DATA[[#This Row],[D, bottom '[m']]]-TP_DATA[[#This Row],[D, top '[m']]])/(TP_DATA[[#This Row],[Bottom '[m']]]-TP_DATA[[#This Row],[Top '[m']]]),"")</f>
        <v/>
      </c>
      <c r="AR71" s="80" t="str">
        <f t="shared" si="1"/>
        <v/>
      </c>
      <c r="AS71" s="80" t="str">
        <f>IFERROR((TP_DATA[[#This Row],[D, bottom '[m']]]+TP_DATA[[#This Row],[D, top '[m']]])/(2*TP_DATA[[#This Row],[t '[mm']]]/1000),"")</f>
        <v/>
      </c>
      <c r="AT71" s="80" t="str">
        <f>IFERROR((TP_DATA[[#This Row],[D, bottom '[m']]]+#REF!)/(2*#REF!/1000),"")</f>
        <v/>
      </c>
      <c r="BX71" s="80" t="str">
        <f>IFERROR(TOWER_DATA[[#This Row],[Bottom '[m']]]-TOWER_DATA[[#This Row],[D, top '[m']]], "")</f>
        <v/>
      </c>
      <c r="BY71" s="80" t="str">
        <f>IFERROR(-(TOWER_DATA[[#This Row],[D, bottom '[m']]]-TOWER_DATA[[#This Row],[D, top '[m']]])/(TOWER_DATA[[#This Row],[Bottom '[m']]]-TOWER_DATA[[#This Row],[Top '[m']]]),"")</f>
        <v/>
      </c>
      <c r="BZ71" s="80" t="str">
        <f t="shared" si="2"/>
        <v/>
      </c>
      <c r="CA71" s="80" t="str">
        <f>IFERROR((TOWER_DATA[[#This Row],[D, bottom '[m']]]+TOWER_DATA[[#This Row],[D, top '[m']]])/(2*TOWER_DATA[[#This Row],[t '[mm']]]/1000),"")</f>
        <v/>
      </c>
      <c r="CB71" s="80" t="str">
        <f>IFERROR((TOWER_DATA[[#This Row],[D, bottom '[m']]]+#REF!)/(2*#REF!/1000),"")</f>
        <v/>
      </c>
      <c r="CG71" s="78"/>
      <c r="CH71" s="78"/>
      <c r="CI71" s="78"/>
      <c r="CK71" s="78"/>
      <c r="DF71" s="80"/>
      <c r="DG71" s="80"/>
      <c r="DH71" s="80"/>
      <c r="DI71" s="80"/>
      <c r="DK71" s="78">
        <v>47</v>
      </c>
      <c r="DL71" s="78">
        <v>58.75</v>
      </c>
      <c r="DM71" s="78">
        <v>55.997</v>
      </c>
      <c r="DN71">
        <v>7.2698999999999998</v>
      </c>
      <c r="DO71" s="78">
        <v>7.3234000000000004</v>
      </c>
      <c r="DP71">
        <v>35.4</v>
      </c>
    </row>
    <row r="72" spans="8:120" x14ac:dyDescent="0.3">
      <c r="H72" s="80" t="str">
        <f>IFERROR(MP_DATA[[#This Row],[Bottom '[m']]]-MP_DATA[[#This Row],[D, top '[m']]], "")</f>
        <v/>
      </c>
      <c r="I72" s="80" t="str">
        <f>IFERROR(-(MP_DATA[[#This Row],[D, bottom '[m']]]-MP_DATA[[#This Row],[D, top '[m']]])/(MP_DATA[[#This Row],[Bottom '[m']]]-MP_DATA[[#This Row],[Top '[m']]]),"")</f>
        <v/>
      </c>
      <c r="J72" s="80" t="str">
        <f t="shared" si="3"/>
        <v/>
      </c>
      <c r="K72" s="80" t="str">
        <f>IFERROR((MP_DATA[[#This Row],[D, bottom '[m']]]+MP_DATA[[#This Row],[D, top '[m']]])/(2*MP_DATA[[#This Row],[t '[mm']]]/1000),"")</f>
        <v/>
      </c>
      <c r="L72" s="80" t="str">
        <f>IFERROR((MP_DATA[[#This Row],[D, bottom '[m']]]+#REF!)/(2*#REF!/1000),"")</f>
        <v/>
      </c>
      <c r="AP72" s="80" t="str">
        <f>IFERROR(TP_DATA[[#This Row],[Bottom '[m']]]-TP_DATA[[#This Row],[D, top '[m']]], "")</f>
        <v/>
      </c>
      <c r="AQ72" s="80" t="str">
        <f>IFERROR(-(TP_DATA[[#This Row],[D, bottom '[m']]]-TP_DATA[[#This Row],[D, top '[m']]])/(TP_DATA[[#This Row],[Bottom '[m']]]-TP_DATA[[#This Row],[Top '[m']]]),"")</f>
        <v/>
      </c>
      <c r="AR72" s="80" t="str">
        <f t="shared" si="1"/>
        <v/>
      </c>
      <c r="AS72" s="80" t="str">
        <f>IFERROR((TP_DATA[[#This Row],[D, bottom '[m']]]+TP_DATA[[#This Row],[D, top '[m']]])/(2*TP_DATA[[#This Row],[t '[mm']]]/1000),"")</f>
        <v/>
      </c>
      <c r="AT72" s="80" t="str">
        <f>IFERROR((TP_DATA[[#This Row],[D, bottom '[m']]]+#REF!)/(2*#REF!/1000),"")</f>
        <v/>
      </c>
      <c r="BX72" s="80" t="str">
        <f>IFERROR(TOWER_DATA[[#This Row],[Bottom '[m']]]-TOWER_DATA[[#This Row],[D, top '[m']]], "")</f>
        <v/>
      </c>
      <c r="BY72" s="80" t="str">
        <f>IFERROR(-(TOWER_DATA[[#This Row],[D, bottom '[m']]]-TOWER_DATA[[#This Row],[D, top '[m']]])/(TOWER_DATA[[#This Row],[Bottom '[m']]]-TOWER_DATA[[#This Row],[Top '[m']]]),"")</f>
        <v/>
      </c>
      <c r="BZ72" s="80" t="str">
        <f t="shared" si="2"/>
        <v/>
      </c>
      <c r="CA72" s="80" t="str">
        <f>IFERROR((TOWER_DATA[[#This Row],[D, bottom '[m']]]+TOWER_DATA[[#This Row],[D, top '[m']]])/(2*TOWER_DATA[[#This Row],[t '[mm']]]/1000),"")</f>
        <v/>
      </c>
      <c r="CB72" s="80" t="str">
        <f>IFERROR((TOWER_DATA[[#This Row],[D, bottom '[m']]]+#REF!)/(2*#REF!/1000),"")</f>
        <v/>
      </c>
      <c r="CG72" s="78"/>
      <c r="CH72" s="78"/>
      <c r="CI72" s="78"/>
      <c r="CK72" s="78"/>
      <c r="DF72" s="80"/>
      <c r="DG72" s="80"/>
      <c r="DH72" s="80"/>
      <c r="DI72" s="80"/>
      <c r="DK72" s="78">
        <v>48</v>
      </c>
      <c r="DL72" s="78">
        <v>55.997</v>
      </c>
      <c r="DM72" s="78">
        <v>53.24499999999999</v>
      </c>
      <c r="DN72">
        <v>7.3234000000000004</v>
      </c>
      <c r="DO72" s="78">
        <v>7.3768000000000002</v>
      </c>
      <c r="DP72">
        <v>35.799999999999997</v>
      </c>
    </row>
    <row r="73" spans="8:120" x14ac:dyDescent="0.3">
      <c r="H73" s="80" t="str">
        <f>IFERROR(MP_DATA[[#This Row],[Bottom '[m']]]-MP_DATA[[#This Row],[D, top '[m']]], "")</f>
        <v/>
      </c>
      <c r="I73" s="80" t="str">
        <f>IFERROR(-(MP_DATA[[#This Row],[D, bottom '[m']]]-MP_DATA[[#This Row],[D, top '[m']]])/(MP_DATA[[#This Row],[Bottom '[m']]]-MP_DATA[[#This Row],[Top '[m']]]),"")</f>
        <v/>
      </c>
      <c r="J73" s="80" t="str">
        <f t="shared" si="3"/>
        <v/>
      </c>
      <c r="K73" s="80" t="str">
        <f>IFERROR((MP_DATA[[#This Row],[D, bottom '[m']]]+MP_DATA[[#This Row],[D, top '[m']]])/(2*MP_DATA[[#This Row],[t '[mm']]]/1000),"")</f>
        <v/>
      </c>
      <c r="L73" s="80" t="str">
        <f>IFERROR((MP_DATA[[#This Row],[D, bottom '[m']]]+#REF!)/(2*#REF!/1000),"")</f>
        <v/>
      </c>
      <c r="AP73" s="80" t="str">
        <f>IFERROR(TP_DATA[[#This Row],[Bottom '[m']]]-TP_DATA[[#This Row],[D, top '[m']]], "")</f>
        <v/>
      </c>
      <c r="AQ73" s="80" t="str">
        <f>IFERROR(-(TP_DATA[[#This Row],[D, bottom '[m']]]-TP_DATA[[#This Row],[D, top '[m']]])/(TP_DATA[[#This Row],[Bottom '[m']]]-TP_DATA[[#This Row],[Top '[m']]]),"")</f>
        <v/>
      </c>
      <c r="AR73" s="80" t="str">
        <f t="shared" si="1"/>
        <v/>
      </c>
      <c r="AS73" s="80" t="str">
        <f>IFERROR((TP_DATA[[#This Row],[D, bottom '[m']]]+TP_DATA[[#This Row],[D, top '[m']]])/(2*TP_DATA[[#This Row],[t '[mm']]]/1000),"")</f>
        <v/>
      </c>
      <c r="AT73" s="80" t="str">
        <f>IFERROR((TP_DATA[[#This Row],[D, bottom '[m']]]+#REF!)/(2*#REF!/1000),"")</f>
        <v/>
      </c>
      <c r="BX73" s="80" t="str">
        <f>IFERROR(TOWER_DATA[[#This Row],[Bottom '[m']]]-TOWER_DATA[[#This Row],[D, top '[m']]], "")</f>
        <v/>
      </c>
      <c r="BY73" s="80" t="str">
        <f>IFERROR(-(TOWER_DATA[[#This Row],[D, bottom '[m']]]-TOWER_DATA[[#This Row],[D, top '[m']]])/(TOWER_DATA[[#This Row],[Bottom '[m']]]-TOWER_DATA[[#This Row],[Top '[m']]]),"")</f>
        <v/>
      </c>
      <c r="BZ73" s="80" t="str">
        <f t="shared" si="2"/>
        <v/>
      </c>
      <c r="CA73" s="80" t="str">
        <f>IFERROR((TOWER_DATA[[#This Row],[D, bottom '[m']]]+TOWER_DATA[[#This Row],[D, top '[m']]])/(2*TOWER_DATA[[#This Row],[t '[mm']]]/1000),"")</f>
        <v/>
      </c>
      <c r="CB73" s="80" t="str">
        <f>IFERROR((TOWER_DATA[[#This Row],[D, bottom '[m']]]+#REF!)/(2*#REF!/1000),"")</f>
        <v/>
      </c>
      <c r="CG73" s="78"/>
      <c r="CH73" s="78"/>
      <c r="CI73" s="78"/>
      <c r="CK73" s="78"/>
      <c r="DF73" s="80"/>
      <c r="DG73" s="80"/>
      <c r="DH73" s="80"/>
      <c r="DI73" s="80"/>
      <c r="DK73" s="78">
        <v>49</v>
      </c>
      <c r="DL73" s="78">
        <v>53.24499999999999</v>
      </c>
      <c r="DM73" s="78">
        <v>50.494999999999997</v>
      </c>
      <c r="DN73">
        <v>7.3768000000000002</v>
      </c>
      <c r="DO73" s="78">
        <v>7.4303999999999997</v>
      </c>
      <c r="DP73">
        <v>36.4</v>
      </c>
    </row>
    <row r="74" spans="8:120" x14ac:dyDescent="0.3">
      <c r="H74" s="80" t="str">
        <f>IFERROR(MP_DATA[[#This Row],[Bottom '[m']]]-MP_DATA[[#This Row],[D, top '[m']]], "")</f>
        <v/>
      </c>
      <c r="I74" s="80" t="str">
        <f>IFERROR(-(MP_DATA[[#This Row],[D, bottom '[m']]]-MP_DATA[[#This Row],[D, top '[m']]])/(MP_DATA[[#This Row],[Bottom '[m']]]-MP_DATA[[#This Row],[Top '[m']]]),"")</f>
        <v/>
      </c>
      <c r="J74" s="80" t="str">
        <f t="shared" si="3"/>
        <v/>
      </c>
      <c r="K74" s="80" t="str">
        <f>IFERROR((MP_DATA[[#This Row],[D, bottom '[m']]]+MP_DATA[[#This Row],[D, top '[m']]])/(2*MP_DATA[[#This Row],[t '[mm']]]/1000),"")</f>
        <v/>
      </c>
      <c r="L74" s="80" t="str">
        <f>IFERROR((MP_DATA[[#This Row],[D, bottom '[m']]]+#REF!)/(2*#REF!/1000),"")</f>
        <v/>
      </c>
      <c r="AP74" s="80" t="str">
        <f>IFERROR(TP_DATA[[#This Row],[Bottom '[m']]]-TP_DATA[[#This Row],[D, top '[m']]], "")</f>
        <v/>
      </c>
      <c r="AQ74" s="80" t="str">
        <f>IFERROR(-(TP_DATA[[#This Row],[D, bottom '[m']]]-TP_DATA[[#This Row],[D, top '[m']]])/(TP_DATA[[#This Row],[Bottom '[m']]]-TP_DATA[[#This Row],[Top '[m']]]),"")</f>
        <v/>
      </c>
      <c r="AR74" s="80" t="str">
        <f t="shared" si="1"/>
        <v/>
      </c>
      <c r="AS74" s="80" t="str">
        <f>IFERROR((TP_DATA[[#This Row],[D, bottom '[m']]]+TP_DATA[[#This Row],[D, top '[m']]])/(2*TP_DATA[[#This Row],[t '[mm']]]/1000),"")</f>
        <v/>
      </c>
      <c r="AT74" s="80" t="str">
        <f>IFERROR((TP_DATA[[#This Row],[D, bottom '[m']]]+#REF!)/(2*#REF!/1000),"")</f>
        <v/>
      </c>
      <c r="BX74" s="80" t="str">
        <f>IFERROR(TOWER_DATA[[#This Row],[Bottom '[m']]]-TOWER_DATA[[#This Row],[D, top '[m']]], "")</f>
        <v/>
      </c>
      <c r="BY74" s="80" t="str">
        <f>IFERROR(-(TOWER_DATA[[#This Row],[D, bottom '[m']]]-TOWER_DATA[[#This Row],[D, top '[m']]])/(TOWER_DATA[[#This Row],[Bottom '[m']]]-TOWER_DATA[[#This Row],[Top '[m']]]),"")</f>
        <v/>
      </c>
      <c r="BZ74" s="80" t="str">
        <f t="shared" si="2"/>
        <v/>
      </c>
      <c r="CA74" s="80" t="str">
        <f>IFERROR((TOWER_DATA[[#This Row],[D, bottom '[m']]]+TOWER_DATA[[#This Row],[D, top '[m']]])/(2*TOWER_DATA[[#This Row],[t '[mm']]]/1000),"")</f>
        <v/>
      </c>
      <c r="CB74" s="80" t="str">
        <f>IFERROR((TOWER_DATA[[#This Row],[D, bottom '[m']]]+#REF!)/(2*#REF!/1000),"")</f>
        <v/>
      </c>
      <c r="CG74" s="78"/>
      <c r="CH74" s="78"/>
      <c r="CI74" s="78"/>
      <c r="CK74" s="78"/>
      <c r="DF74" s="80"/>
      <c r="DG74" s="80"/>
      <c r="DH74" s="80"/>
      <c r="DI74" s="80"/>
      <c r="DK74" s="78">
        <v>50</v>
      </c>
      <c r="DL74" s="78">
        <v>50.494999999999997</v>
      </c>
      <c r="DM74" s="78">
        <v>47.745999999999995</v>
      </c>
      <c r="DN74">
        <v>7.4303999999999997</v>
      </c>
      <c r="DO74" s="78">
        <v>7.4749999999999996</v>
      </c>
      <c r="DP74">
        <v>39.5</v>
      </c>
    </row>
    <row r="75" spans="8:120" x14ac:dyDescent="0.3">
      <c r="H75" s="80" t="str">
        <f>IFERROR(MP_DATA[[#This Row],[Bottom '[m']]]-MP_DATA[[#This Row],[D, top '[m']]], "")</f>
        <v/>
      </c>
      <c r="I75" s="80" t="str">
        <f>IFERROR(-(MP_DATA[[#This Row],[D, bottom '[m']]]-MP_DATA[[#This Row],[D, top '[m']]])/(MP_DATA[[#This Row],[Bottom '[m']]]-MP_DATA[[#This Row],[Top '[m']]]),"")</f>
        <v/>
      </c>
      <c r="J75" s="80" t="str">
        <f t="shared" si="3"/>
        <v/>
      </c>
      <c r="K75" s="80" t="str">
        <f>IFERROR((MP_DATA[[#This Row],[D, bottom '[m']]]+MP_DATA[[#This Row],[D, top '[m']]])/(2*MP_DATA[[#This Row],[t '[mm']]]/1000),"")</f>
        <v/>
      </c>
      <c r="L75" s="80" t="str">
        <f>IFERROR((MP_DATA[[#This Row],[D, bottom '[m']]]+#REF!)/(2*#REF!/1000),"")</f>
        <v/>
      </c>
      <c r="AP75" s="80" t="str">
        <f>IFERROR(TP_DATA[[#This Row],[Bottom '[m']]]-TP_DATA[[#This Row],[D, top '[m']]], "")</f>
        <v/>
      </c>
      <c r="AQ75" s="80" t="str">
        <f>IFERROR(-(TP_DATA[[#This Row],[D, bottom '[m']]]-TP_DATA[[#This Row],[D, top '[m']]])/(TP_DATA[[#This Row],[Bottom '[m']]]-TP_DATA[[#This Row],[Top '[m']]]),"")</f>
        <v/>
      </c>
      <c r="AR75" s="80" t="str">
        <f t="shared" si="1"/>
        <v/>
      </c>
      <c r="AS75" s="80" t="str">
        <f>IFERROR((TP_DATA[[#This Row],[D, bottom '[m']]]+TP_DATA[[#This Row],[D, top '[m']]])/(2*TP_DATA[[#This Row],[t '[mm']]]/1000),"")</f>
        <v/>
      </c>
      <c r="AT75" s="80" t="str">
        <f>IFERROR((TP_DATA[[#This Row],[D, bottom '[m']]]+#REF!)/(2*#REF!/1000),"")</f>
        <v/>
      </c>
      <c r="BX75" s="80" t="str">
        <f>IFERROR(TOWER_DATA[[#This Row],[Bottom '[m']]]-TOWER_DATA[[#This Row],[D, top '[m']]], "")</f>
        <v/>
      </c>
      <c r="BY75" s="80" t="str">
        <f>IFERROR(-(TOWER_DATA[[#This Row],[D, bottom '[m']]]-TOWER_DATA[[#This Row],[D, top '[m']]])/(TOWER_DATA[[#This Row],[Bottom '[m']]]-TOWER_DATA[[#This Row],[Top '[m']]]),"")</f>
        <v/>
      </c>
      <c r="BZ75" s="80" t="str">
        <f t="shared" si="2"/>
        <v/>
      </c>
      <c r="CA75" s="80" t="str">
        <f>IFERROR((TOWER_DATA[[#This Row],[D, bottom '[m']]]+TOWER_DATA[[#This Row],[D, top '[m']]])/(2*TOWER_DATA[[#This Row],[t '[mm']]]/1000),"")</f>
        <v/>
      </c>
      <c r="CB75" s="80" t="str">
        <f>IFERROR((TOWER_DATA[[#This Row],[D, bottom '[m']]]+#REF!)/(2*#REF!/1000),"")</f>
        <v/>
      </c>
      <c r="CG75" s="78"/>
      <c r="CH75" s="78"/>
      <c r="CI75" s="78"/>
      <c r="CK75" s="78"/>
      <c r="DF75" s="80"/>
      <c r="DG75" s="80"/>
      <c r="DH75" s="80"/>
      <c r="DI75" s="80"/>
      <c r="DK75" s="78">
        <v>51</v>
      </c>
      <c r="DL75" s="78">
        <v>47.745999999999995</v>
      </c>
      <c r="DM75" s="78">
        <v>44.997999999999998</v>
      </c>
      <c r="DN75">
        <v>7.4749999999999996</v>
      </c>
      <c r="DO75" s="78">
        <v>7.4749999999999996</v>
      </c>
      <c r="DP75">
        <v>39.5</v>
      </c>
    </row>
    <row r="76" spans="8:120" x14ac:dyDescent="0.3">
      <c r="H76" s="80" t="str">
        <f>IFERROR(MP_DATA[[#This Row],[Bottom '[m']]]-MP_DATA[[#This Row],[D, top '[m']]], "")</f>
        <v/>
      </c>
      <c r="I76" s="80" t="str">
        <f>IFERROR(-(MP_DATA[[#This Row],[D, bottom '[m']]]-MP_DATA[[#This Row],[D, top '[m']]])/(MP_DATA[[#This Row],[Bottom '[m']]]-MP_DATA[[#This Row],[Top '[m']]]),"")</f>
        <v/>
      </c>
      <c r="J76" s="80" t="str">
        <f t="shared" si="3"/>
        <v/>
      </c>
      <c r="K76" s="80" t="str">
        <f>IFERROR((MP_DATA[[#This Row],[D, bottom '[m']]]+MP_DATA[[#This Row],[D, top '[m']]])/(2*MP_DATA[[#This Row],[t '[mm']]]/1000),"")</f>
        <v/>
      </c>
      <c r="L76" s="80" t="str">
        <f>IFERROR((MP_DATA[[#This Row],[D, bottom '[m']]]+#REF!)/(2*#REF!/1000),"")</f>
        <v/>
      </c>
      <c r="AP76" s="80" t="str">
        <f>IFERROR(TP_DATA[[#This Row],[Bottom '[m']]]-TP_DATA[[#This Row],[D, top '[m']]], "")</f>
        <v/>
      </c>
      <c r="AQ76" s="80" t="str">
        <f>IFERROR(-(TP_DATA[[#This Row],[D, bottom '[m']]]-TP_DATA[[#This Row],[D, top '[m']]])/(TP_DATA[[#This Row],[Bottom '[m']]]-TP_DATA[[#This Row],[Top '[m']]]),"")</f>
        <v/>
      </c>
      <c r="AR76" s="80" t="str">
        <f t="shared" si="1"/>
        <v/>
      </c>
      <c r="AS76" s="80" t="str">
        <f>IFERROR((TP_DATA[[#This Row],[D, bottom '[m']]]+TP_DATA[[#This Row],[D, top '[m']]])/(2*TP_DATA[[#This Row],[t '[mm']]]/1000),"")</f>
        <v/>
      </c>
      <c r="AT76" s="80" t="str">
        <f>IFERROR((TP_DATA[[#This Row],[D, bottom '[m']]]+#REF!)/(2*#REF!/1000),"")</f>
        <v/>
      </c>
      <c r="BX76" s="80" t="str">
        <f>IFERROR(TOWER_DATA[[#This Row],[Bottom '[m']]]-TOWER_DATA[[#This Row],[D, top '[m']]], "")</f>
        <v/>
      </c>
      <c r="BY76" s="80" t="str">
        <f>IFERROR(-(TOWER_DATA[[#This Row],[D, bottom '[m']]]-TOWER_DATA[[#This Row],[D, top '[m']]])/(TOWER_DATA[[#This Row],[Bottom '[m']]]-TOWER_DATA[[#This Row],[Top '[m']]]),"")</f>
        <v/>
      </c>
      <c r="BZ76" s="80" t="str">
        <f t="shared" si="2"/>
        <v/>
      </c>
      <c r="CA76" s="80" t="str">
        <f>IFERROR((TOWER_DATA[[#This Row],[D, bottom '[m']]]+TOWER_DATA[[#This Row],[D, top '[m']]])/(2*TOWER_DATA[[#This Row],[t '[mm']]]/1000),"")</f>
        <v/>
      </c>
      <c r="CB76" s="80" t="str">
        <f>IFERROR((TOWER_DATA[[#This Row],[D, bottom '[m']]]+#REF!)/(2*#REF!/1000),"")</f>
        <v/>
      </c>
      <c r="CG76" s="78"/>
      <c r="CH76" s="78"/>
      <c r="CI76" s="78"/>
      <c r="CK76" s="78"/>
      <c r="DF76" s="80"/>
      <c r="DG76" s="80"/>
      <c r="DH76" s="80"/>
      <c r="DI76" s="80"/>
      <c r="DK76" s="78">
        <v>52</v>
      </c>
      <c r="DL76" s="78">
        <v>44.997999999999998</v>
      </c>
      <c r="DM76" s="78">
        <v>44.952999999999996</v>
      </c>
      <c r="DN76">
        <v>7.4749999999999996</v>
      </c>
      <c r="DO76" s="78">
        <v>7.4749999999999996</v>
      </c>
      <c r="DP76">
        <v>39.5</v>
      </c>
    </row>
    <row r="77" spans="8:120" x14ac:dyDescent="0.3">
      <c r="H77" s="80" t="str">
        <f>IFERROR(MP_DATA[[#This Row],[Bottom '[m']]]-MP_DATA[[#This Row],[D, top '[m']]], "")</f>
        <v/>
      </c>
      <c r="I77" s="80" t="str">
        <f>IFERROR(-(MP_DATA[[#This Row],[D, bottom '[m']]]-MP_DATA[[#This Row],[D, top '[m']]])/(MP_DATA[[#This Row],[Bottom '[m']]]-MP_DATA[[#This Row],[Top '[m']]]),"")</f>
        <v/>
      </c>
      <c r="J77" s="80" t="str">
        <f t="shared" si="3"/>
        <v/>
      </c>
      <c r="K77" s="80" t="str">
        <f>IFERROR((MP_DATA[[#This Row],[D, bottom '[m']]]+MP_DATA[[#This Row],[D, top '[m']]])/(2*MP_DATA[[#This Row],[t '[mm']]]/1000),"")</f>
        <v/>
      </c>
      <c r="L77" s="80" t="str">
        <f>IFERROR((MP_DATA[[#This Row],[D, bottom '[m']]]+#REF!)/(2*#REF!/1000),"")</f>
        <v/>
      </c>
      <c r="AP77" s="80" t="str">
        <f>IFERROR(TP_DATA[[#This Row],[Bottom '[m']]]-TP_DATA[[#This Row],[D, top '[m']]], "")</f>
        <v/>
      </c>
      <c r="AQ77" s="80" t="str">
        <f>IFERROR(-(TP_DATA[[#This Row],[D, bottom '[m']]]-TP_DATA[[#This Row],[D, top '[m']]])/(TP_DATA[[#This Row],[Bottom '[m']]]-TP_DATA[[#This Row],[Top '[m']]]),"")</f>
        <v/>
      </c>
      <c r="AR77" s="80" t="str">
        <f t="shared" si="1"/>
        <v/>
      </c>
      <c r="AS77" s="80" t="str">
        <f>IFERROR((TP_DATA[[#This Row],[D, bottom '[m']]]+TP_DATA[[#This Row],[D, top '[m']]])/(2*TP_DATA[[#This Row],[t '[mm']]]/1000),"")</f>
        <v/>
      </c>
      <c r="AT77" s="80" t="str">
        <f>IFERROR((TP_DATA[[#This Row],[D, bottom '[m']]]+#REF!)/(2*#REF!/1000),"")</f>
        <v/>
      </c>
      <c r="BX77" s="80" t="str">
        <f>IFERROR(TOWER_DATA[[#This Row],[Bottom '[m']]]-TOWER_DATA[[#This Row],[D, top '[m']]], "")</f>
        <v/>
      </c>
      <c r="BY77" s="80" t="str">
        <f>IFERROR(-(TOWER_DATA[[#This Row],[D, bottom '[m']]]-TOWER_DATA[[#This Row],[D, top '[m']]])/(TOWER_DATA[[#This Row],[Bottom '[m']]]-TOWER_DATA[[#This Row],[Top '[m']]]),"")</f>
        <v/>
      </c>
      <c r="BZ77" s="80" t="str">
        <f t="shared" si="2"/>
        <v/>
      </c>
      <c r="CA77" s="80" t="str">
        <f>IFERROR((TOWER_DATA[[#This Row],[D, bottom '[m']]]+TOWER_DATA[[#This Row],[D, top '[m']]])/(2*TOWER_DATA[[#This Row],[t '[mm']]]/1000),"")</f>
        <v/>
      </c>
      <c r="CB77" s="80" t="str">
        <f>IFERROR((TOWER_DATA[[#This Row],[D, bottom '[m']]]+#REF!)/(2*#REF!/1000),"")</f>
        <v/>
      </c>
      <c r="CG77" s="78"/>
      <c r="CH77" s="78"/>
      <c r="CI77" s="78"/>
      <c r="CK77" s="78"/>
      <c r="DF77" s="80"/>
      <c r="DG77" s="80"/>
      <c r="DH77" s="80"/>
      <c r="DI77" s="80"/>
      <c r="DK77" s="78">
        <v>53</v>
      </c>
      <c r="DL77" s="78">
        <v>44.952999999999996</v>
      </c>
      <c r="DM77" s="78">
        <v>44.812999999999995</v>
      </c>
      <c r="DN77">
        <v>7.4749999999999996</v>
      </c>
      <c r="DO77" s="78">
        <v>7.4749999999999996</v>
      </c>
      <c r="DP77">
        <v>39.5</v>
      </c>
    </row>
    <row r="78" spans="8:120" x14ac:dyDescent="0.3">
      <c r="H78" s="80" t="str">
        <f>IFERROR(MP_DATA[[#This Row],[Bottom '[m']]]-MP_DATA[[#This Row],[D, top '[m']]], "")</f>
        <v/>
      </c>
      <c r="I78" s="80" t="str">
        <f>IFERROR(-(MP_DATA[[#This Row],[D, bottom '[m']]]-MP_DATA[[#This Row],[D, top '[m']]])/(MP_DATA[[#This Row],[Bottom '[m']]]-MP_DATA[[#This Row],[Top '[m']]]),"")</f>
        <v/>
      </c>
      <c r="J78" s="80" t="str">
        <f t="shared" si="3"/>
        <v/>
      </c>
      <c r="K78" s="80" t="str">
        <f>IFERROR((MP_DATA[[#This Row],[D, bottom '[m']]]+MP_DATA[[#This Row],[D, top '[m']]])/(2*MP_DATA[[#This Row],[t '[mm']]]/1000),"")</f>
        <v/>
      </c>
      <c r="L78" s="80" t="str">
        <f>IFERROR((MP_DATA[[#This Row],[D, bottom '[m']]]+#REF!)/(2*#REF!/1000),"")</f>
        <v/>
      </c>
      <c r="AP78" s="80" t="str">
        <f>IFERROR(TP_DATA[[#This Row],[Bottom '[m']]]-TP_DATA[[#This Row],[D, top '[m']]], "")</f>
        <v/>
      </c>
      <c r="AQ78" s="80" t="str">
        <f>IFERROR(-(TP_DATA[[#This Row],[D, bottom '[m']]]-TP_DATA[[#This Row],[D, top '[m']]])/(TP_DATA[[#This Row],[Bottom '[m']]]-TP_DATA[[#This Row],[Top '[m']]]),"")</f>
        <v/>
      </c>
      <c r="AR78" s="80" t="str">
        <f t="shared" si="1"/>
        <v/>
      </c>
      <c r="AS78" s="80" t="str">
        <f>IFERROR((TP_DATA[[#This Row],[D, bottom '[m']]]+TP_DATA[[#This Row],[D, top '[m']]])/(2*TP_DATA[[#This Row],[t '[mm']]]/1000),"")</f>
        <v/>
      </c>
      <c r="AT78" s="80" t="str">
        <f>IFERROR((TP_DATA[[#This Row],[D, bottom '[m']]]+#REF!)/(2*#REF!/1000),"")</f>
        <v/>
      </c>
      <c r="BX78" s="80" t="str">
        <f>IFERROR(TOWER_DATA[[#This Row],[Bottom '[m']]]-TOWER_DATA[[#This Row],[D, top '[m']]], "")</f>
        <v/>
      </c>
      <c r="BY78" s="80" t="str">
        <f>IFERROR(-(TOWER_DATA[[#This Row],[D, bottom '[m']]]-TOWER_DATA[[#This Row],[D, top '[m']]])/(TOWER_DATA[[#This Row],[Bottom '[m']]]-TOWER_DATA[[#This Row],[Top '[m']]]),"")</f>
        <v/>
      </c>
      <c r="BZ78" s="80" t="str">
        <f t="shared" si="2"/>
        <v/>
      </c>
      <c r="CA78" s="80" t="str">
        <f>IFERROR((TOWER_DATA[[#This Row],[D, bottom '[m']]]+TOWER_DATA[[#This Row],[D, top '[m']]])/(2*TOWER_DATA[[#This Row],[t '[mm']]]/1000),"")</f>
        <v/>
      </c>
      <c r="CB78" s="80" t="str">
        <f>IFERROR((TOWER_DATA[[#This Row],[D, bottom '[m']]]+#REF!)/(2*#REF!/1000),"")</f>
        <v/>
      </c>
      <c r="CG78" s="78"/>
      <c r="CH78" s="78"/>
      <c r="CI78" s="78"/>
      <c r="CK78" s="78"/>
      <c r="DF78" s="80"/>
      <c r="DG78" s="80"/>
      <c r="DH78" s="80"/>
      <c r="DI78" s="80"/>
      <c r="DK78" s="78">
        <v>54</v>
      </c>
      <c r="DL78" s="78">
        <v>44.812999999999995</v>
      </c>
      <c r="DM78" s="78">
        <v>44.673999999999992</v>
      </c>
      <c r="DN78">
        <v>7.4749999999999996</v>
      </c>
      <c r="DO78" s="78">
        <v>7.4749999999999996</v>
      </c>
      <c r="DP78">
        <v>39.5</v>
      </c>
    </row>
    <row r="79" spans="8:120" x14ac:dyDescent="0.3">
      <c r="H79" s="80" t="str">
        <f>IFERROR(MP_DATA[[#This Row],[Bottom '[m']]]-MP_DATA[[#This Row],[D, top '[m']]], "")</f>
        <v/>
      </c>
      <c r="I79" s="80" t="str">
        <f>IFERROR(-(MP_DATA[[#This Row],[D, bottom '[m']]]-MP_DATA[[#This Row],[D, top '[m']]])/(MP_DATA[[#This Row],[Bottom '[m']]]-MP_DATA[[#This Row],[Top '[m']]]),"")</f>
        <v/>
      </c>
      <c r="J79" s="80" t="str">
        <f t="shared" si="3"/>
        <v/>
      </c>
      <c r="K79" s="80" t="str">
        <f>IFERROR((MP_DATA[[#This Row],[D, bottom '[m']]]+MP_DATA[[#This Row],[D, top '[m']]])/(2*MP_DATA[[#This Row],[t '[mm']]]/1000),"")</f>
        <v/>
      </c>
      <c r="L79" s="80" t="str">
        <f>IFERROR((MP_DATA[[#This Row],[D, bottom '[m']]]+#REF!)/(2*#REF!/1000),"")</f>
        <v/>
      </c>
      <c r="AP79" s="80" t="str">
        <f>IFERROR(TP_DATA[[#This Row],[Bottom '[m']]]-TP_DATA[[#This Row],[D, top '[m']]], "")</f>
        <v/>
      </c>
      <c r="AQ79" s="80" t="str">
        <f>IFERROR(-(TP_DATA[[#This Row],[D, bottom '[m']]]-TP_DATA[[#This Row],[D, top '[m']]])/(TP_DATA[[#This Row],[Bottom '[m']]]-TP_DATA[[#This Row],[Top '[m']]]),"")</f>
        <v/>
      </c>
      <c r="AR79" s="80" t="str">
        <f t="shared" si="1"/>
        <v/>
      </c>
      <c r="AS79" s="80" t="str">
        <f>IFERROR((TP_DATA[[#This Row],[D, bottom '[m']]]+TP_DATA[[#This Row],[D, top '[m']]])/(2*TP_DATA[[#This Row],[t '[mm']]]/1000),"")</f>
        <v/>
      </c>
      <c r="AT79" s="80" t="str">
        <f>IFERROR((TP_DATA[[#This Row],[D, bottom '[m']]]+#REF!)/(2*#REF!/1000),"")</f>
        <v/>
      </c>
      <c r="BX79" s="80" t="str">
        <f>IFERROR(TOWER_DATA[[#This Row],[Bottom '[m']]]-TOWER_DATA[[#This Row],[D, top '[m']]], "")</f>
        <v/>
      </c>
      <c r="BY79" s="80" t="str">
        <f>IFERROR(-(TOWER_DATA[[#This Row],[D, bottom '[m']]]-TOWER_DATA[[#This Row],[D, top '[m']]])/(TOWER_DATA[[#This Row],[Bottom '[m']]]-TOWER_DATA[[#This Row],[Top '[m']]]),"")</f>
        <v/>
      </c>
      <c r="BZ79" s="80" t="str">
        <f t="shared" si="2"/>
        <v/>
      </c>
      <c r="CA79" s="80" t="str">
        <f>IFERROR((TOWER_DATA[[#This Row],[D, bottom '[m']]]+TOWER_DATA[[#This Row],[D, top '[m']]])/(2*TOWER_DATA[[#This Row],[t '[mm']]]/1000),"")</f>
        <v/>
      </c>
      <c r="CB79" s="80" t="str">
        <f>IFERROR((TOWER_DATA[[#This Row],[D, bottom '[m']]]+#REF!)/(2*#REF!/1000),"")</f>
        <v/>
      </c>
      <c r="CG79" s="78"/>
      <c r="CH79" s="78"/>
      <c r="CI79" s="78"/>
      <c r="CK79" s="78"/>
      <c r="DF79" s="80"/>
      <c r="DG79" s="80"/>
      <c r="DH79" s="80"/>
      <c r="DI79" s="80"/>
      <c r="DK79" s="78">
        <v>55</v>
      </c>
      <c r="DL79" s="78">
        <v>44.673999999999992</v>
      </c>
      <c r="DM79" s="78">
        <v>44.628999999999998</v>
      </c>
      <c r="DN79">
        <v>7.4749999999999996</v>
      </c>
      <c r="DO79" s="78">
        <v>7.4749999999999996</v>
      </c>
      <c r="DP79">
        <v>38</v>
      </c>
    </row>
    <row r="80" spans="8:120" x14ac:dyDescent="0.3">
      <c r="H80" s="80" t="str">
        <f>IFERROR(MP_DATA[[#This Row],[Bottom '[m']]]-MP_DATA[[#This Row],[D, top '[m']]], "")</f>
        <v/>
      </c>
      <c r="I80" s="80" t="str">
        <f>IFERROR(-(MP_DATA[[#This Row],[D, bottom '[m']]]-MP_DATA[[#This Row],[D, top '[m']]])/(MP_DATA[[#This Row],[Bottom '[m']]]-MP_DATA[[#This Row],[Top '[m']]]),"")</f>
        <v/>
      </c>
      <c r="J80" s="80" t="str">
        <f t="shared" si="3"/>
        <v/>
      </c>
      <c r="K80" s="80" t="str">
        <f>IFERROR((MP_DATA[[#This Row],[D, bottom '[m']]]+MP_DATA[[#This Row],[D, top '[m']]])/(2*MP_DATA[[#This Row],[t '[mm']]]/1000),"")</f>
        <v/>
      </c>
      <c r="L80" s="80" t="str">
        <f>IFERROR((MP_DATA[[#This Row],[D, bottom '[m']]]+#REF!)/(2*#REF!/1000),"")</f>
        <v/>
      </c>
      <c r="AP80" s="80" t="str">
        <f>IFERROR(TP_DATA[[#This Row],[Bottom '[m']]]-TP_DATA[[#This Row],[D, top '[m']]], "")</f>
        <v/>
      </c>
      <c r="AQ80" s="80" t="str">
        <f>IFERROR(-(TP_DATA[[#This Row],[D, bottom '[m']]]-TP_DATA[[#This Row],[D, top '[m']]])/(TP_DATA[[#This Row],[Bottom '[m']]]-TP_DATA[[#This Row],[Top '[m']]]),"")</f>
        <v/>
      </c>
      <c r="AR80" s="80" t="str">
        <f t="shared" si="1"/>
        <v/>
      </c>
      <c r="AS80" s="80" t="str">
        <f>IFERROR((TP_DATA[[#This Row],[D, bottom '[m']]]+TP_DATA[[#This Row],[D, top '[m']]])/(2*TP_DATA[[#This Row],[t '[mm']]]/1000),"")</f>
        <v/>
      </c>
      <c r="AT80" s="80" t="str">
        <f>IFERROR((TP_DATA[[#This Row],[D, bottom '[m']]]+#REF!)/(2*#REF!/1000),"")</f>
        <v/>
      </c>
      <c r="BX80" s="80" t="str">
        <f>IFERROR(TOWER_DATA[[#This Row],[Bottom '[m']]]-TOWER_DATA[[#This Row],[D, top '[m']]], "")</f>
        <v/>
      </c>
      <c r="BY80" s="80" t="str">
        <f>IFERROR(-(TOWER_DATA[[#This Row],[D, bottom '[m']]]-TOWER_DATA[[#This Row],[D, top '[m']]])/(TOWER_DATA[[#This Row],[Bottom '[m']]]-TOWER_DATA[[#This Row],[Top '[m']]]),"")</f>
        <v/>
      </c>
      <c r="BZ80" s="80" t="str">
        <f t="shared" si="2"/>
        <v/>
      </c>
      <c r="CA80" s="80" t="str">
        <f>IFERROR((TOWER_DATA[[#This Row],[D, bottom '[m']]]+TOWER_DATA[[#This Row],[D, top '[m']]])/(2*TOWER_DATA[[#This Row],[t '[mm']]]/1000),"")</f>
        <v/>
      </c>
      <c r="CB80" s="80" t="str">
        <f>IFERROR((TOWER_DATA[[#This Row],[D, bottom '[m']]]+#REF!)/(2*#REF!/1000),"")</f>
        <v/>
      </c>
      <c r="CG80" s="78"/>
      <c r="CH80" s="78"/>
      <c r="CI80" s="78"/>
      <c r="CK80" s="78"/>
      <c r="DF80" s="80"/>
      <c r="DG80" s="80"/>
      <c r="DH80" s="80"/>
      <c r="DI80" s="80"/>
      <c r="DK80" s="78">
        <v>56</v>
      </c>
      <c r="DL80" s="78">
        <v>44.628999999999998</v>
      </c>
      <c r="DM80" s="78">
        <v>43.515999999999991</v>
      </c>
      <c r="DN80">
        <v>7.4749999999999996</v>
      </c>
      <c r="DO80" s="78">
        <v>7.4749999999999996</v>
      </c>
      <c r="DP80">
        <v>38</v>
      </c>
    </row>
    <row r="81" spans="8:120" x14ac:dyDescent="0.3">
      <c r="H81" s="80" t="str">
        <f>IFERROR(MP_DATA[[#This Row],[Bottom '[m']]]-MP_DATA[[#This Row],[D, top '[m']]], "")</f>
        <v/>
      </c>
      <c r="I81" s="80" t="str">
        <f>IFERROR(-(MP_DATA[[#This Row],[D, bottom '[m']]]-MP_DATA[[#This Row],[D, top '[m']]])/(MP_DATA[[#This Row],[Bottom '[m']]]-MP_DATA[[#This Row],[Top '[m']]]),"")</f>
        <v/>
      </c>
      <c r="J81" s="80" t="str">
        <f t="shared" si="3"/>
        <v/>
      </c>
      <c r="K81" s="80" t="str">
        <f>IFERROR((MP_DATA[[#This Row],[D, bottom '[m']]]+MP_DATA[[#This Row],[D, top '[m']]])/(2*MP_DATA[[#This Row],[t '[mm']]]/1000),"")</f>
        <v/>
      </c>
      <c r="L81" s="80" t="str">
        <f>IFERROR((MP_DATA[[#This Row],[D, bottom '[m']]]+#REF!)/(2*#REF!/1000),"")</f>
        <v/>
      </c>
      <c r="AP81" s="80" t="str">
        <f>IFERROR(TP_DATA[[#This Row],[Bottom '[m']]]-TP_DATA[[#This Row],[D, top '[m']]], "")</f>
        <v/>
      </c>
      <c r="AQ81" s="80" t="str">
        <f>IFERROR(-(TP_DATA[[#This Row],[D, bottom '[m']]]-TP_DATA[[#This Row],[D, top '[m']]])/(TP_DATA[[#This Row],[Bottom '[m']]]-TP_DATA[[#This Row],[Top '[m']]]),"")</f>
        <v/>
      </c>
      <c r="AR81" s="80" t="str">
        <f t="shared" si="1"/>
        <v/>
      </c>
      <c r="AS81" s="80" t="str">
        <f>IFERROR((TP_DATA[[#This Row],[D, bottom '[m']]]+TP_DATA[[#This Row],[D, top '[m']]])/(2*TP_DATA[[#This Row],[t '[mm']]]/1000),"")</f>
        <v/>
      </c>
      <c r="AT81" s="80" t="str">
        <f>IFERROR((TP_DATA[[#This Row],[D, bottom '[m']]]+#REF!)/(2*#REF!/1000),"")</f>
        <v/>
      </c>
      <c r="BX81" s="80" t="str">
        <f>IFERROR(TOWER_DATA[[#This Row],[Bottom '[m']]]-TOWER_DATA[[#This Row],[D, top '[m']]], "")</f>
        <v/>
      </c>
      <c r="BY81" s="80" t="str">
        <f>IFERROR(-(TOWER_DATA[[#This Row],[D, bottom '[m']]]-TOWER_DATA[[#This Row],[D, top '[m']]])/(TOWER_DATA[[#This Row],[Bottom '[m']]]-TOWER_DATA[[#This Row],[Top '[m']]]),"")</f>
        <v/>
      </c>
      <c r="BZ81" s="80" t="str">
        <f t="shared" si="2"/>
        <v/>
      </c>
      <c r="CA81" s="80" t="str">
        <f>IFERROR((TOWER_DATA[[#This Row],[D, bottom '[m']]]+TOWER_DATA[[#This Row],[D, top '[m']]])/(2*TOWER_DATA[[#This Row],[t '[mm']]]/1000),"")</f>
        <v/>
      </c>
      <c r="CB81" s="80" t="str">
        <f>IFERROR((TOWER_DATA[[#This Row],[D, bottom '[m']]]+#REF!)/(2*#REF!/1000),"")</f>
        <v/>
      </c>
      <c r="CG81" s="78"/>
      <c r="CH81" s="78"/>
      <c r="CI81" s="78"/>
      <c r="CK81" s="78"/>
      <c r="DF81" s="80"/>
      <c r="DG81" s="80"/>
      <c r="DH81" s="80"/>
      <c r="DI81" s="80"/>
      <c r="DK81" s="78">
        <v>57</v>
      </c>
      <c r="DL81" s="78">
        <v>43.515999999999991</v>
      </c>
      <c r="DM81" s="78">
        <v>41.718999999999994</v>
      </c>
      <c r="DN81">
        <v>7.4749999999999996</v>
      </c>
      <c r="DO81" s="78">
        <v>7.4749999999999996</v>
      </c>
      <c r="DP81">
        <v>38.800000000000004</v>
      </c>
    </row>
    <row r="82" spans="8:120" x14ac:dyDescent="0.3">
      <c r="H82" s="80" t="str">
        <f>IFERROR(MP_DATA[[#This Row],[Bottom '[m']]]-MP_DATA[[#This Row],[D, top '[m']]], "")</f>
        <v/>
      </c>
      <c r="I82" s="80" t="str">
        <f>IFERROR(-(MP_DATA[[#This Row],[D, bottom '[m']]]-MP_DATA[[#This Row],[D, top '[m']]])/(MP_DATA[[#This Row],[Bottom '[m']]]-MP_DATA[[#This Row],[Top '[m']]]),"")</f>
        <v/>
      </c>
      <c r="J82" s="80" t="str">
        <f t="shared" si="3"/>
        <v/>
      </c>
      <c r="K82" s="80" t="str">
        <f>IFERROR((MP_DATA[[#This Row],[D, bottom '[m']]]+MP_DATA[[#This Row],[D, top '[m']]])/(2*MP_DATA[[#This Row],[t '[mm']]]/1000),"")</f>
        <v/>
      </c>
      <c r="L82" s="80" t="str">
        <f>IFERROR((MP_DATA[[#This Row],[D, bottom '[m']]]+#REF!)/(2*#REF!/1000),"")</f>
        <v/>
      </c>
      <c r="AP82" s="80" t="str">
        <f>IFERROR(TP_DATA[[#This Row],[Bottom '[m']]]-TP_DATA[[#This Row],[D, top '[m']]], "")</f>
        <v/>
      </c>
      <c r="AQ82" s="80" t="str">
        <f>IFERROR(-(TP_DATA[[#This Row],[D, bottom '[m']]]-TP_DATA[[#This Row],[D, top '[m']]])/(TP_DATA[[#This Row],[Bottom '[m']]]-TP_DATA[[#This Row],[Top '[m']]]),"")</f>
        <v/>
      </c>
      <c r="AR82" s="80" t="str">
        <f t="shared" si="1"/>
        <v/>
      </c>
      <c r="AS82" s="80" t="str">
        <f>IFERROR((TP_DATA[[#This Row],[D, bottom '[m']]]+TP_DATA[[#This Row],[D, top '[m']]])/(2*TP_DATA[[#This Row],[t '[mm']]]/1000),"")</f>
        <v/>
      </c>
      <c r="AT82" s="80" t="str">
        <f>IFERROR((TP_DATA[[#This Row],[D, bottom '[m']]]+#REF!)/(2*#REF!/1000),"")</f>
        <v/>
      </c>
      <c r="BX82" s="80" t="str">
        <f>IFERROR(TOWER_DATA[[#This Row],[Bottom '[m']]]-TOWER_DATA[[#This Row],[D, top '[m']]], "")</f>
        <v/>
      </c>
      <c r="BY82" s="80" t="str">
        <f>IFERROR(-(TOWER_DATA[[#This Row],[D, bottom '[m']]]-TOWER_DATA[[#This Row],[D, top '[m']]])/(TOWER_DATA[[#This Row],[Bottom '[m']]]-TOWER_DATA[[#This Row],[Top '[m']]]),"")</f>
        <v/>
      </c>
      <c r="BZ82" s="80" t="str">
        <f t="shared" si="2"/>
        <v/>
      </c>
      <c r="CA82" s="80" t="str">
        <f>IFERROR((TOWER_DATA[[#This Row],[D, bottom '[m']]]+TOWER_DATA[[#This Row],[D, top '[m']]])/(2*TOWER_DATA[[#This Row],[t '[mm']]]/1000),"")</f>
        <v/>
      </c>
      <c r="CB82" s="80" t="str">
        <f>IFERROR((TOWER_DATA[[#This Row],[D, bottom '[m']]]+#REF!)/(2*#REF!/1000),"")</f>
        <v/>
      </c>
      <c r="CG82" s="78"/>
      <c r="CH82" s="78"/>
      <c r="CI82" s="78"/>
      <c r="CK82" s="78"/>
      <c r="DF82" s="80"/>
      <c r="DG82" s="80"/>
      <c r="DH82" s="80"/>
      <c r="DI82" s="80"/>
      <c r="DK82" s="78">
        <v>58</v>
      </c>
      <c r="DL82" s="78">
        <v>41.718999999999994</v>
      </c>
      <c r="DM82" s="78">
        <v>38.795000000000002</v>
      </c>
      <c r="DN82">
        <v>7.4749999999999996</v>
      </c>
      <c r="DO82" s="78">
        <v>7.4749999999999996</v>
      </c>
      <c r="DP82">
        <v>40.4</v>
      </c>
    </row>
    <row r="83" spans="8:120" x14ac:dyDescent="0.3">
      <c r="H83" s="80" t="str">
        <f>IFERROR(MP_DATA[[#This Row],[Bottom '[m']]]-MP_DATA[[#This Row],[D, top '[m']]], "")</f>
        <v/>
      </c>
      <c r="I83" s="80" t="str">
        <f>IFERROR(-(MP_DATA[[#This Row],[D, bottom '[m']]]-MP_DATA[[#This Row],[D, top '[m']]])/(MP_DATA[[#This Row],[Bottom '[m']]]-MP_DATA[[#This Row],[Top '[m']]]),"")</f>
        <v/>
      </c>
      <c r="J83" s="80" t="str">
        <f t="shared" si="3"/>
        <v/>
      </c>
      <c r="K83" s="80" t="str">
        <f>IFERROR((MP_DATA[[#This Row],[D, bottom '[m']]]+MP_DATA[[#This Row],[D, top '[m']]])/(2*MP_DATA[[#This Row],[t '[mm']]]/1000),"")</f>
        <v/>
      </c>
      <c r="L83" s="80" t="str">
        <f>IFERROR((MP_DATA[[#This Row],[D, bottom '[m']]]+#REF!)/(2*#REF!/1000),"")</f>
        <v/>
      </c>
      <c r="AP83" s="80" t="str">
        <f>IFERROR(TP_DATA[[#This Row],[Bottom '[m']]]-TP_DATA[[#This Row],[D, top '[m']]], "")</f>
        <v/>
      </c>
      <c r="AQ83" s="80" t="str">
        <f>IFERROR(-(TP_DATA[[#This Row],[D, bottom '[m']]]-TP_DATA[[#This Row],[D, top '[m']]])/(TP_DATA[[#This Row],[Bottom '[m']]]-TP_DATA[[#This Row],[Top '[m']]]),"")</f>
        <v/>
      </c>
      <c r="AR83" s="80" t="str">
        <f t="shared" si="1"/>
        <v/>
      </c>
      <c r="AS83" s="80" t="str">
        <f>IFERROR((TP_DATA[[#This Row],[D, bottom '[m']]]+TP_DATA[[#This Row],[D, top '[m']]])/(2*TP_DATA[[#This Row],[t '[mm']]]/1000),"")</f>
        <v/>
      </c>
      <c r="AT83" s="80" t="str">
        <f>IFERROR((TP_DATA[[#This Row],[D, bottom '[m']]]+#REF!)/(2*#REF!/1000),"")</f>
        <v/>
      </c>
      <c r="BX83" s="80" t="str">
        <f>IFERROR(TOWER_DATA[[#This Row],[Bottom '[m']]]-TOWER_DATA[[#This Row],[D, top '[m']]], "")</f>
        <v/>
      </c>
      <c r="BY83" s="80" t="str">
        <f>IFERROR(-(TOWER_DATA[[#This Row],[D, bottom '[m']]]-TOWER_DATA[[#This Row],[D, top '[m']]])/(TOWER_DATA[[#This Row],[Bottom '[m']]]-TOWER_DATA[[#This Row],[Top '[m']]]),"")</f>
        <v/>
      </c>
      <c r="BZ83" s="80" t="str">
        <f t="shared" si="2"/>
        <v/>
      </c>
      <c r="CA83" s="80" t="str">
        <f>IFERROR((TOWER_DATA[[#This Row],[D, bottom '[m']]]+TOWER_DATA[[#This Row],[D, top '[m']]])/(2*TOWER_DATA[[#This Row],[t '[mm']]]/1000),"")</f>
        <v/>
      </c>
      <c r="CB83" s="80" t="str">
        <f>IFERROR((TOWER_DATA[[#This Row],[D, bottom '[m']]]+#REF!)/(2*#REF!/1000),"")</f>
        <v/>
      </c>
      <c r="CG83" s="78"/>
      <c r="CH83" s="78"/>
      <c r="CI83" s="78"/>
      <c r="CK83" s="78"/>
      <c r="DF83" s="80"/>
      <c r="DG83" s="80"/>
      <c r="DH83" s="80"/>
      <c r="DI83" s="80"/>
      <c r="DK83" s="78">
        <v>59</v>
      </c>
      <c r="DL83" s="78">
        <v>38.795000000000002</v>
      </c>
      <c r="DM83" s="78">
        <v>35.870999999999995</v>
      </c>
      <c r="DN83">
        <v>7.4749999999999996</v>
      </c>
      <c r="DO83" s="78">
        <v>7.4749999999999996</v>
      </c>
      <c r="DP83">
        <v>41.2</v>
      </c>
    </row>
    <row r="84" spans="8:120" x14ac:dyDescent="0.3">
      <c r="H84" s="80" t="str">
        <f>IFERROR(MP_DATA[[#This Row],[Bottom '[m']]]-MP_DATA[[#This Row],[D, top '[m']]], "")</f>
        <v/>
      </c>
      <c r="I84" s="80" t="str">
        <f>IFERROR(-(MP_DATA[[#This Row],[D, bottom '[m']]]-MP_DATA[[#This Row],[D, top '[m']]])/(MP_DATA[[#This Row],[Bottom '[m']]]-MP_DATA[[#This Row],[Top '[m']]]),"")</f>
        <v/>
      </c>
      <c r="J84" s="80" t="str">
        <f t="shared" si="3"/>
        <v/>
      </c>
      <c r="K84" s="80" t="str">
        <f>IFERROR((MP_DATA[[#This Row],[D, bottom '[m']]]+MP_DATA[[#This Row],[D, top '[m']]])/(2*MP_DATA[[#This Row],[t '[mm']]]/1000),"")</f>
        <v/>
      </c>
      <c r="L84" s="80" t="str">
        <f>IFERROR((MP_DATA[[#This Row],[D, bottom '[m']]]+#REF!)/(2*#REF!/1000),"")</f>
        <v/>
      </c>
      <c r="AP84" s="80" t="str">
        <f>IFERROR(TP_DATA[[#This Row],[Bottom '[m']]]-TP_DATA[[#This Row],[D, top '[m']]], "")</f>
        <v/>
      </c>
      <c r="AQ84" s="80" t="str">
        <f>IFERROR(-(TP_DATA[[#This Row],[D, bottom '[m']]]-TP_DATA[[#This Row],[D, top '[m']]])/(TP_DATA[[#This Row],[Bottom '[m']]]-TP_DATA[[#This Row],[Top '[m']]]),"")</f>
        <v/>
      </c>
      <c r="AR84" s="80" t="str">
        <f t="shared" si="1"/>
        <v/>
      </c>
      <c r="AS84" s="80" t="str">
        <f>IFERROR((TP_DATA[[#This Row],[D, bottom '[m']]]+TP_DATA[[#This Row],[D, top '[m']]])/(2*TP_DATA[[#This Row],[t '[mm']]]/1000),"")</f>
        <v/>
      </c>
      <c r="AT84" s="80" t="str">
        <f>IFERROR((TP_DATA[[#This Row],[D, bottom '[m']]]+#REF!)/(2*#REF!/1000),"")</f>
        <v/>
      </c>
      <c r="BX84" s="80" t="str">
        <f>IFERROR(TOWER_DATA[[#This Row],[Bottom '[m']]]-TOWER_DATA[[#This Row],[D, top '[m']]], "")</f>
        <v/>
      </c>
      <c r="BY84" s="80" t="str">
        <f>IFERROR(-(TOWER_DATA[[#This Row],[D, bottom '[m']]]-TOWER_DATA[[#This Row],[D, top '[m']]])/(TOWER_DATA[[#This Row],[Bottom '[m']]]-TOWER_DATA[[#This Row],[Top '[m']]]),"")</f>
        <v/>
      </c>
      <c r="BZ84" s="80" t="str">
        <f t="shared" si="2"/>
        <v/>
      </c>
      <c r="CA84" s="80" t="str">
        <f>IFERROR((TOWER_DATA[[#This Row],[D, bottom '[m']]]+TOWER_DATA[[#This Row],[D, top '[m']]])/(2*TOWER_DATA[[#This Row],[t '[mm']]]/1000),"")</f>
        <v/>
      </c>
      <c r="CB84" s="80" t="str">
        <f>IFERROR((TOWER_DATA[[#This Row],[D, bottom '[m']]]+#REF!)/(2*#REF!/1000),"")</f>
        <v/>
      </c>
      <c r="CG84" s="78"/>
      <c r="CH84" s="78"/>
      <c r="CI84" s="78"/>
      <c r="CK84" s="78"/>
      <c r="DF84" s="80"/>
      <c r="DG84" s="80"/>
      <c r="DH84" s="80"/>
      <c r="DI84" s="80"/>
      <c r="DK84" s="78">
        <v>60</v>
      </c>
      <c r="DL84" s="78">
        <v>35.870999999999995</v>
      </c>
      <c r="DM84" s="78">
        <v>32.945999999999998</v>
      </c>
      <c r="DN84">
        <v>7.4767000000000001</v>
      </c>
      <c r="DO84" s="78">
        <v>7.4749999999999996</v>
      </c>
      <c r="DP84">
        <v>42.1</v>
      </c>
    </row>
    <row r="85" spans="8:120" x14ac:dyDescent="0.3">
      <c r="H85" s="80" t="str">
        <f>IFERROR(MP_DATA[[#This Row],[Bottom '[m']]]-MP_DATA[[#This Row],[D, top '[m']]], "")</f>
        <v/>
      </c>
      <c r="I85" s="80" t="str">
        <f>IFERROR(-(MP_DATA[[#This Row],[D, bottom '[m']]]-MP_DATA[[#This Row],[D, top '[m']]])/(MP_DATA[[#This Row],[Bottom '[m']]]-MP_DATA[[#This Row],[Top '[m']]]),"")</f>
        <v/>
      </c>
      <c r="J85" s="80" t="str">
        <f t="shared" si="3"/>
        <v/>
      </c>
      <c r="K85" s="80" t="str">
        <f>IFERROR((MP_DATA[[#This Row],[D, bottom '[m']]]+MP_DATA[[#This Row],[D, top '[m']]])/(2*MP_DATA[[#This Row],[t '[mm']]]/1000),"")</f>
        <v/>
      </c>
      <c r="L85" s="80" t="str">
        <f>IFERROR((MP_DATA[[#This Row],[D, bottom '[m']]]+#REF!)/(2*#REF!/1000),"")</f>
        <v/>
      </c>
      <c r="AP85" s="80" t="str">
        <f>IFERROR(TP_DATA[[#This Row],[Bottom '[m']]]-TP_DATA[[#This Row],[D, top '[m']]], "")</f>
        <v/>
      </c>
      <c r="AQ85" s="80" t="str">
        <f>IFERROR(-(TP_DATA[[#This Row],[D, bottom '[m']]]-TP_DATA[[#This Row],[D, top '[m']]])/(TP_DATA[[#This Row],[Bottom '[m']]]-TP_DATA[[#This Row],[Top '[m']]]),"")</f>
        <v/>
      </c>
      <c r="AR85" s="80" t="str">
        <f t="shared" si="1"/>
        <v/>
      </c>
      <c r="AS85" s="80" t="str">
        <f>IFERROR((TP_DATA[[#This Row],[D, bottom '[m']]]+TP_DATA[[#This Row],[D, top '[m']]])/(2*TP_DATA[[#This Row],[t '[mm']]]/1000),"")</f>
        <v/>
      </c>
      <c r="AT85" s="80" t="str">
        <f>IFERROR((TP_DATA[[#This Row],[D, bottom '[m']]]+#REF!)/(2*#REF!/1000),"")</f>
        <v/>
      </c>
      <c r="BX85" s="80" t="str">
        <f>IFERROR(TOWER_DATA[[#This Row],[Bottom '[m']]]-TOWER_DATA[[#This Row],[D, top '[m']]], "")</f>
        <v/>
      </c>
      <c r="BY85" s="80" t="str">
        <f>IFERROR(-(TOWER_DATA[[#This Row],[D, bottom '[m']]]-TOWER_DATA[[#This Row],[D, top '[m']]])/(TOWER_DATA[[#This Row],[Bottom '[m']]]-TOWER_DATA[[#This Row],[Top '[m']]]),"")</f>
        <v/>
      </c>
      <c r="BZ85" s="80" t="str">
        <f t="shared" si="2"/>
        <v/>
      </c>
      <c r="CA85" s="80" t="str">
        <f>IFERROR((TOWER_DATA[[#This Row],[D, bottom '[m']]]+TOWER_DATA[[#This Row],[D, top '[m']]])/(2*TOWER_DATA[[#This Row],[t '[mm']]]/1000),"")</f>
        <v/>
      </c>
      <c r="CB85" s="80" t="str">
        <f>IFERROR((TOWER_DATA[[#This Row],[D, bottom '[m']]]+#REF!)/(2*#REF!/1000),"")</f>
        <v/>
      </c>
      <c r="CG85" s="78"/>
      <c r="CH85" s="78"/>
      <c r="CI85" s="78"/>
      <c r="CK85" s="78"/>
      <c r="DF85" s="80"/>
      <c r="DG85" s="80"/>
      <c r="DH85" s="80"/>
      <c r="DI85" s="80"/>
      <c r="DK85" s="78">
        <v>61</v>
      </c>
      <c r="DL85" s="78">
        <v>32.945999999999998</v>
      </c>
      <c r="DM85" s="78">
        <v>30.022000000000002</v>
      </c>
      <c r="DN85">
        <v>7.4775999999999998</v>
      </c>
      <c r="DO85" s="78">
        <v>7.4749999999999996</v>
      </c>
      <c r="DP85">
        <v>43</v>
      </c>
    </row>
    <row r="86" spans="8:120" x14ac:dyDescent="0.3">
      <c r="H86" s="80" t="str">
        <f>IFERROR(MP_DATA[[#This Row],[Bottom '[m']]]-MP_DATA[[#This Row],[D, top '[m']]], "")</f>
        <v/>
      </c>
      <c r="I86" s="80" t="str">
        <f>IFERROR(-(MP_DATA[[#This Row],[D, bottom '[m']]]-MP_DATA[[#This Row],[D, top '[m']]])/(MP_DATA[[#This Row],[Bottom '[m']]]-MP_DATA[[#This Row],[Top '[m']]]),"")</f>
        <v/>
      </c>
      <c r="J86" s="80" t="str">
        <f t="shared" si="3"/>
        <v/>
      </c>
      <c r="K86" s="80" t="str">
        <f>IFERROR((MP_DATA[[#This Row],[D, bottom '[m']]]+MP_DATA[[#This Row],[D, top '[m']]])/(2*MP_DATA[[#This Row],[t '[mm']]]/1000),"")</f>
        <v/>
      </c>
      <c r="L86" s="80" t="str">
        <f>IFERROR((MP_DATA[[#This Row],[D, bottom '[m']]]+#REF!)/(2*#REF!/1000),"")</f>
        <v/>
      </c>
      <c r="AP86" s="80" t="str">
        <f>IFERROR(TP_DATA[[#This Row],[Bottom '[m']]]-TP_DATA[[#This Row],[D, top '[m']]], "")</f>
        <v/>
      </c>
      <c r="AQ86" s="80" t="str">
        <f>IFERROR(-(TP_DATA[[#This Row],[D, bottom '[m']]]-TP_DATA[[#This Row],[D, top '[m']]])/(TP_DATA[[#This Row],[Bottom '[m']]]-TP_DATA[[#This Row],[Top '[m']]]),"")</f>
        <v/>
      </c>
      <c r="AR86" s="80" t="str">
        <f t="shared" si="1"/>
        <v/>
      </c>
      <c r="AS86" s="80" t="str">
        <f>IFERROR((TP_DATA[[#This Row],[D, bottom '[m']]]+TP_DATA[[#This Row],[D, top '[m']]])/(2*TP_DATA[[#This Row],[t '[mm']]]/1000),"")</f>
        <v/>
      </c>
      <c r="AT86" s="80" t="str">
        <f>IFERROR((TP_DATA[[#This Row],[D, bottom '[m']]]+#REF!)/(2*#REF!/1000),"")</f>
        <v/>
      </c>
      <c r="BX86" s="80" t="str">
        <f>IFERROR(TOWER_DATA[[#This Row],[Bottom '[m']]]-TOWER_DATA[[#This Row],[D, top '[m']]], "")</f>
        <v/>
      </c>
      <c r="BY86" s="80" t="str">
        <f>IFERROR(-(TOWER_DATA[[#This Row],[D, bottom '[m']]]-TOWER_DATA[[#This Row],[D, top '[m']]])/(TOWER_DATA[[#This Row],[Bottom '[m']]]-TOWER_DATA[[#This Row],[Top '[m']]]),"")</f>
        <v/>
      </c>
      <c r="BZ86" s="80" t="str">
        <f t="shared" si="2"/>
        <v/>
      </c>
      <c r="CA86" s="80" t="str">
        <f>IFERROR((TOWER_DATA[[#This Row],[D, bottom '[m']]]+TOWER_DATA[[#This Row],[D, top '[m']]])/(2*TOWER_DATA[[#This Row],[t '[mm']]]/1000),"")</f>
        <v/>
      </c>
      <c r="CB86" s="80" t="str">
        <f>IFERROR((TOWER_DATA[[#This Row],[D, bottom '[m']]]+#REF!)/(2*#REF!/1000),"")</f>
        <v/>
      </c>
      <c r="CG86" s="78"/>
      <c r="CH86" s="78"/>
      <c r="CI86" s="78"/>
      <c r="CK86" s="78"/>
      <c r="DF86" s="80"/>
      <c r="DG86" s="80"/>
      <c r="DH86" s="80"/>
      <c r="DI86" s="80"/>
      <c r="DK86" s="78">
        <v>62</v>
      </c>
      <c r="DL86" s="78">
        <v>30.022000000000002</v>
      </c>
      <c r="DM86" s="78">
        <v>27.097000000000001</v>
      </c>
      <c r="DN86">
        <v>7.4785000000000004</v>
      </c>
      <c r="DO86" s="78">
        <v>7.5</v>
      </c>
      <c r="DP86">
        <v>64.5</v>
      </c>
    </row>
    <row r="87" spans="8:120" x14ac:dyDescent="0.3">
      <c r="H87" s="80" t="str">
        <f>IFERROR(MP_DATA[[#This Row],[Bottom '[m']]]-MP_DATA[[#This Row],[D, top '[m']]], "")</f>
        <v/>
      </c>
      <c r="I87" s="80" t="str">
        <f>IFERROR(-(MP_DATA[[#This Row],[D, bottom '[m']]]-MP_DATA[[#This Row],[D, top '[m']]])/(MP_DATA[[#This Row],[Bottom '[m']]]-MP_DATA[[#This Row],[Top '[m']]]),"")</f>
        <v/>
      </c>
      <c r="J87" s="80" t="str">
        <f t="shared" si="3"/>
        <v/>
      </c>
      <c r="K87" s="80" t="str">
        <f>IFERROR((MP_DATA[[#This Row],[D, bottom '[m']]]+MP_DATA[[#This Row],[D, top '[m']]])/(2*MP_DATA[[#This Row],[t '[mm']]]/1000),"")</f>
        <v/>
      </c>
      <c r="L87" s="80" t="str">
        <f>IFERROR((MP_DATA[[#This Row],[D, bottom '[m']]]+#REF!)/(2*#REF!/1000),"")</f>
        <v/>
      </c>
      <c r="AP87" s="80" t="str">
        <f>IFERROR(TP_DATA[[#This Row],[Bottom '[m']]]-TP_DATA[[#This Row],[D, top '[m']]], "")</f>
        <v/>
      </c>
      <c r="AQ87" s="80" t="str">
        <f>IFERROR(-(TP_DATA[[#This Row],[D, bottom '[m']]]-TP_DATA[[#This Row],[D, top '[m']]])/(TP_DATA[[#This Row],[Bottom '[m']]]-TP_DATA[[#This Row],[Top '[m']]]),"")</f>
        <v/>
      </c>
      <c r="AR87" s="80" t="str">
        <f t="shared" si="1"/>
        <v/>
      </c>
      <c r="AS87" s="80" t="str">
        <f>IFERROR((TP_DATA[[#This Row],[D, bottom '[m']]]+TP_DATA[[#This Row],[D, top '[m']]])/(2*TP_DATA[[#This Row],[t '[mm']]]/1000),"")</f>
        <v/>
      </c>
      <c r="AT87" s="80" t="str">
        <f>IFERROR((TP_DATA[[#This Row],[D, bottom '[m']]]+#REF!)/(2*#REF!/1000),"")</f>
        <v/>
      </c>
      <c r="BX87" s="80" t="str">
        <f>IFERROR(TOWER_DATA[[#This Row],[Bottom '[m']]]-TOWER_DATA[[#This Row],[D, top '[m']]], "")</f>
        <v/>
      </c>
      <c r="BY87" s="80" t="str">
        <f>IFERROR(-(TOWER_DATA[[#This Row],[D, bottom '[m']]]-TOWER_DATA[[#This Row],[D, top '[m']]])/(TOWER_DATA[[#This Row],[Bottom '[m']]]-TOWER_DATA[[#This Row],[Top '[m']]]),"")</f>
        <v/>
      </c>
      <c r="BZ87" s="80" t="str">
        <f t="shared" si="2"/>
        <v/>
      </c>
      <c r="CA87" s="80" t="str">
        <f>IFERROR((TOWER_DATA[[#This Row],[D, bottom '[m']]]+TOWER_DATA[[#This Row],[D, top '[m']]])/(2*TOWER_DATA[[#This Row],[t '[mm']]]/1000),"")</f>
        <v/>
      </c>
      <c r="CB87" s="80" t="str">
        <f>IFERROR((TOWER_DATA[[#This Row],[D, bottom '[m']]]+#REF!)/(2*#REF!/1000),"")</f>
        <v/>
      </c>
      <c r="CG87" s="78"/>
      <c r="CH87" s="78"/>
      <c r="CI87" s="78"/>
      <c r="CK87" s="78"/>
      <c r="DF87" s="80"/>
      <c r="DG87" s="80"/>
      <c r="DH87" s="80"/>
      <c r="DI87" s="80"/>
      <c r="DK87" s="78">
        <v>63</v>
      </c>
      <c r="DL87" s="78">
        <v>27.097000000000001</v>
      </c>
      <c r="DM87" s="78">
        <v>25.021000000000001</v>
      </c>
      <c r="DN87">
        <v>7.5</v>
      </c>
      <c r="DO87" s="78">
        <v>7.5</v>
      </c>
      <c r="DP87">
        <v>64.5</v>
      </c>
    </row>
    <row r="88" spans="8:120" x14ac:dyDescent="0.3">
      <c r="H88" s="80" t="str">
        <f>IFERROR(MP_DATA[[#This Row],[Bottom '[m']]]-MP_DATA[[#This Row],[D, top '[m']]], "")</f>
        <v/>
      </c>
      <c r="I88" s="80" t="str">
        <f>IFERROR(-(MP_DATA[[#This Row],[D, bottom '[m']]]-MP_DATA[[#This Row],[D, top '[m']]])/(MP_DATA[[#This Row],[Bottom '[m']]]-MP_DATA[[#This Row],[Top '[m']]]),"")</f>
        <v/>
      </c>
      <c r="J88" s="80" t="str">
        <f t="shared" si="3"/>
        <v/>
      </c>
      <c r="K88" s="80" t="str">
        <f>IFERROR((MP_DATA[[#This Row],[D, bottom '[m']]]+MP_DATA[[#This Row],[D, top '[m']]])/(2*MP_DATA[[#This Row],[t '[mm']]]/1000),"")</f>
        <v/>
      </c>
      <c r="L88" s="80" t="str">
        <f>IFERROR((MP_DATA[[#This Row],[D, bottom '[m']]]+#REF!)/(2*#REF!/1000),"")</f>
        <v/>
      </c>
      <c r="AP88" s="80" t="str">
        <f>IFERROR(TP_DATA[[#This Row],[Bottom '[m']]]-TP_DATA[[#This Row],[D, top '[m']]], "")</f>
        <v/>
      </c>
      <c r="AQ88" s="80" t="str">
        <f>IFERROR(-(TP_DATA[[#This Row],[D, bottom '[m']]]-TP_DATA[[#This Row],[D, top '[m']]])/(TP_DATA[[#This Row],[Bottom '[m']]]-TP_DATA[[#This Row],[Top '[m']]]),"")</f>
        <v/>
      </c>
      <c r="AR88" s="80" t="str">
        <f t="shared" si="1"/>
        <v/>
      </c>
      <c r="AS88" s="80" t="str">
        <f>IFERROR((TP_DATA[[#This Row],[D, bottom '[m']]]+TP_DATA[[#This Row],[D, top '[m']]])/(2*TP_DATA[[#This Row],[t '[mm']]]/1000),"")</f>
        <v/>
      </c>
      <c r="AT88" s="80" t="str">
        <f>IFERROR((TP_DATA[[#This Row],[D, bottom '[m']]]+#REF!)/(2*#REF!/1000),"")</f>
        <v/>
      </c>
      <c r="BX88" s="80" t="str">
        <f>IFERROR(TOWER_DATA[[#This Row],[Bottom '[m']]]-TOWER_DATA[[#This Row],[D, top '[m']]], "")</f>
        <v/>
      </c>
      <c r="BY88" s="80" t="str">
        <f>IFERROR(-(TOWER_DATA[[#This Row],[D, bottom '[m']]]-TOWER_DATA[[#This Row],[D, top '[m']]])/(TOWER_DATA[[#This Row],[Bottom '[m']]]-TOWER_DATA[[#This Row],[Top '[m']]]),"")</f>
        <v/>
      </c>
      <c r="BZ88" s="80" t="str">
        <f t="shared" si="2"/>
        <v/>
      </c>
      <c r="CA88" s="80" t="str">
        <f>IFERROR((TOWER_DATA[[#This Row],[D, bottom '[m']]]+TOWER_DATA[[#This Row],[D, top '[m']]])/(2*TOWER_DATA[[#This Row],[t '[mm']]]/1000),"")</f>
        <v/>
      </c>
      <c r="CB88" s="80" t="str">
        <f>IFERROR((TOWER_DATA[[#This Row],[D, bottom '[m']]]+#REF!)/(2*#REF!/1000),"")</f>
        <v/>
      </c>
      <c r="CG88" s="78"/>
      <c r="CH88" s="78"/>
      <c r="CI88" s="78"/>
      <c r="CK88" s="78"/>
      <c r="DF88" s="80"/>
      <c r="DG88" s="80"/>
      <c r="DH88" s="80"/>
      <c r="DI88" s="80"/>
      <c r="DK88" s="78">
        <v>64</v>
      </c>
      <c r="DL88" s="78">
        <v>25.021000000000001</v>
      </c>
      <c r="DM88" s="78">
        <v>22.495999999999999</v>
      </c>
      <c r="DN88">
        <v>7.5</v>
      </c>
      <c r="DO88" s="78">
        <v>7.5</v>
      </c>
      <c r="DP88">
        <v>64.5</v>
      </c>
    </row>
    <row r="89" spans="8:120" x14ac:dyDescent="0.3">
      <c r="H89" s="80" t="str">
        <f>IFERROR(MP_DATA[[#This Row],[Bottom '[m']]]-MP_DATA[[#This Row],[D, top '[m']]], "")</f>
        <v/>
      </c>
      <c r="I89" s="80" t="str">
        <f>IFERROR(-(MP_DATA[[#This Row],[D, bottom '[m']]]-MP_DATA[[#This Row],[D, top '[m']]])/(MP_DATA[[#This Row],[Bottom '[m']]]-MP_DATA[[#This Row],[Top '[m']]]),"")</f>
        <v/>
      </c>
      <c r="J89" s="80" t="str">
        <f t="shared" ref="J89:J120" si="4">IF(7850/1000*(1/3)*PI()*ABS(C89-D89)*((E89/2)^2+(E89/2)*(F89/2)+(F89/2)^2-(E89/2-G89/1000)^2-(E89/2-G89/1000)*(F89/2-G89/1000)-(F89/2-G89/1000)^2)=0,"",7850/1000*(1/3)*PI()*ABS(C89-D89)*((E89/2)^2+(E89/2)*(F89/2)+(F89/2)^2-(E89/2-G89/1000)^2-(E89/2-G89/1000)*(F89/2-G89/1000)-(F89/2-G89/1000)^2))</f>
        <v/>
      </c>
      <c r="K89" s="80" t="str">
        <f>IFERROR((MP_DATA[[#This Row],[D, bottom '[m']]]+MP_DATA[[#This Row],[D, top '[m']]])/(2*MP_DATA[[#This Row],[t '[mm']]]/1000),"")</f>
        <v/>
      </c>
      <c r="L89" s="80" t="str">
        <f>IFERROR((MP_DATA[[#This Row],[D, bottom '[m']]]+#REF!)/(2*#REF!/1000),"")</f>
        <v/>
      </c>
      <c r="AP89" s="80" t="str">
        <f>IFERROR(TP_DATA[[#This Row],[Bottom '[m']]]-TP_DATA[[#This Row],[D, top '[m']]], "")</f>
        <v/>
      </c>
      <c r="AQ89" s="80" t="str">
        <f>IFERROR(-(TP_DATA[[#This Row],[D, bottom '[m']]]-TP_DATA[[#This Row],[D, top '[m']]])/(TP_DATA[[#This Row],[Bottom '[m']]]-TP_DATA[[#This Row],[Top '[m']]]),"")</f>
        <v/>
      </c>
      <c r="AR89" s="80" t="str">
        <f t="shared" ref="AR89:AR152" si="5">IF(7850/1000*(1/3)*PI()*ABS(AK89-AL89)*((AM89/2)^2+(AM89/2)*(AN89/2)+(AN89/2)^2-(AM89/2-AO89/1000)^2-(AM89/2-AO89/1000)*(AN89/2-AO89/1000)-(AN89/2-AO89/1000)^2)=0,"",7850/1000*(1/3)*PI()*ABS(AK89-AL89)*((AM89/2)^2+(AM89/2)*(AN89/2)+(AN89/2)^2-(AM89/2-AO89/1000)^2-(AM89/2-AO89/1000)*(AN89/2-AO89/1000)-(AN89/2-AO89/1000)^2))</f>
        <v/>
      </c>
      <c r="AS89" s="80" t="str">
        <f>IFERROR((TP_DATA[[#This Row],[D, bottom '[m']]]+TP_DATA[[#This Row],[D, top '[m']]])/(2*TP_DATA[[#This Row],[t '[mm']]]/1000),"")</f>
        <v/>
      </c>
      <c r="AT89" s="80" t="str">
        <f>IFERROR((TP_DATA[[#This Row],[D, bottom '[m']]]+#REF!)/(2*#REF!/1000),"")</f>
        <v/>
      </c>
      <c r="BX89" s="80" t="str">
        <f>IFERROR(TOWER_DATA[[#This Row],[Bottom '[m']]]-TOWER_DATA[[#This Row],[D, top '[m']]], "")</f>
        <v/>
      </c>
      <c r="BY89" s="80" t="str">
        <f>IFERROR(-(TOWER_DATA[[#This Row],[D, bottom '[m']]]-TOWER_DATA[[#This Row],[D, top '[m']]])/(TOWER_DATA[[#This Row],[Bottom '[m']]]-TOWER_DATA[[#This Row],[Top '[m']]]),"")</f>
        <v/>
      </c>
      <c r="BZ89" s="80" t="str">
        <f t="shared" ref="BZ89:BZ152" si="6">IF(7850/1000*(1/3)*PI()*ABS(BS89-BT89)*((BU89/2)^2+(BU89/2)*(BV89/2)+(BV89/2)^2-(BU89/2-BW89/1000)^2-(BU89/2-BW89/1000)*(BV89/2-BW89/1000)-(BV89/2-BW89/1000)^2)=0,"",7850/1000*(1/3)*PI()*ABS(BS89-BT89)*((BU89/2)^2+(BU89/2)*(BV89/2)+(BV89/2)^2-(BU89/2-BW89/1000)^2-(BU89/2-BW89/1000)*(BV89/2-BW89/1000)-(BV89/2-BW89/1000)^2))</f>
        <v/>
      </c>
      <c r="CA89" s="80" t="str">
        <f>IFERROR((TOWER_DATA[[#This Row],[D, bottom '[m']]]+TOWER_DATA[[#This Row],[D, top '[m']]])/(2*TOWER_DATA[[#This Row],[t '[mm']]]/1000),"")</f>
        <v/>
      </c>
      <c r="CB89" s="80" t="str">
        <f>IFERROR((TOWER_DATA[[#This Row],[D, bottom '[m']]]+#REF!)/(2*#REF!/1000),"")</f>
        <v/>
      </c>
      <c r="CG89" s="78"/>
      <c r="CH89" s="78"/>
      <c r="CI89" s="78"/>
      <c r="CK89" s="78"/>
      <c r="DF89" s="80"/>
      <c r="DG89" s="80"/>
      <c r="DH89" s="80"/>
      <c r="DI89" s="80"/>
      <c r="DK89" s="78">
        <v>65</v>
      </c>
      <c r="DL89" s="78">
        <v>22.495999999999999</v>
      </c>
      <c r="DM89" s="78">
        <v>22.097000000000001</v>
      </c>
      <c r="DN89">
        <v>7.5</v>
      </c>
      <c r="DO89" s="78">
        <v>7.5</v>
      </c>
      <c r="DP89">
        <v>64.5</v>
      </c>
    </row>
    <row r="90" spans="8:120" x14ac:dyDescent="0.3">
      <c r="H90" s="80" t="str">
        <f>IFERROR(MP_DATA[[#This Row],[Bottom '[m']]]-MP_DATA[[#This Row],[D, top '[m']]], "")</f>
        <v/>
      </c>
      <c r="I90" s="80" t="str">
        <f>IFERROR(-(MP_DATA[[#This Row],[D, bottom '[m']]]-MP_DATA[[#This Row],[D, top '[m']]])/(MP_DATA[[#This Row],[Bottom '[m']]]-MP_DATA[[#This Row],[Top '[m']]]),"")</f>
        <v/>
      </c>
      <c r="J90" s="80" t="str">
        <f t="shared" si="4"/>
        <v/>
      </c>
      <c r="K90" s="80" t="str">
        <f>IFERROR((MP_DATA[[#This Row],[D, bottom '[m']]]+MP_DATA[[#This Row],[D, top '[m']]])/(2*MP_DATA[[#This Row],[t '[mm']]]/1000),"")</f>
        <v/>
      </c>
      <c r="L90" s="80" t="str">
        <f>IFERROR((MP_DATA[[#This Row],[D, bottom '[m']]]+#REF!)/(2*#REF!/1000),"")</f>
        <v/>
      </c>
      <c r="AP90" s="80" t="str">
        <f>IFERROR(TP_DATA[[#This Row],[Bottom '[m']]]-TP_DATA[[#This Row],[D, top '[m']]], "")</f>
        <v/>
      </c>
      <c r="AQ90" s="80" t="str">
        <f>IFERROR(-(TP_DATA[[#This Row],[D, bottom '[m']]]-TP_DATA[[#This Row],[D, top '[m']]])/(TP_DATA[[#This Row],[Bottom '[m']]]-TP_DATA[[#This Row],[Top '[m']]]),"")</f>
        <v/>
      </c>
      <c r="AR90" s="80" t="str">
        <f t="shared" si="5"/>
        <v/>
      </c>
      <c r="AS90" s="80" t="str">
        <f>IFERROR((TP_DATA[[#This Row],[D, bottom '[m']]]+TP_DATA[[#This Row],[D, top '[m']]])/(2*TP_DATA[[#This Row],[t '[mm']]]/1000),"")</f>
        <v/>
      </c>
      <c r="AT90" s="80" t="str">
        <f>IFERROR((TP_DATA[[#This Row],[D, bottom '[m']]]+#REF!)/(2*#REF!/1000),"")</f>
        <v/>
      </c>
      <c r="BX90" s="80" t="str">
        <f>IFERROR(TOWER_DATA[[#This Row],[Bottom '[m']]]-TOWER_DATA[[#This Row],[D, top '[m']]], "")</f>
        <v/>
      </c>
      <c r="BY90" s="80" t="str">
        <f>IFERROR(-(TOWER_DATA[[#This Row],[D, bottom '[m']]]-TOWER_DATA[[#This Row],[D, top '[m']]])/(TOWER_DATA[[#This Row],[Bottom '[m']]]-TOWER_DATA[[#This Row],[Top '[m']]]),"")</f>
        <v/>
      </c>
      <c r="BZ90" s="80" t="str">
        <f t="shared" si="6"/>
        <v/>
      </c>
      <c r="CA90" s="80" t="str">
        <f>IFERROR((TOWER_DATA[[#This Row],[D, bottom '[m']]]+TOWER_DATA[[#This Row],[D, top '[m']]])/(2*TOWER_DATA[[#This Row],[t '[mm']]]/1000),"")</f>
        <v/>
      </c>
      <c r="CB90" s="80" t="str">
        <f>IFERROR((TOWER_DATA[[#This Row],[D, bottom '[m']]]+#REF!)/(2*#REF!/1000),"")</f>
        <v/>
      </c>
      <c r="CG90" s="78"/>
      <c r="CH90" s="78"/>
      <c r="CI90" s="78"/>
      <c r="CK90" s="78"/>
      <c r="DF90" s="80"/>
      <c r="DG90" s="80"/>
      <c r="DH90" s="80"/>
      <c r="DI90" s="80"/>
      <c r="DK90" s="78">
        <v>66</v>
      </c>
      <c r="DL90" s="78">
        <v>22.097000000000001</v>
      </c>
      <c r="DM90" s="78">
        <v>20.71</v>
      </c>
      <c r="DN90">
        <v>7.5</v>
      </c>
      <c r="DO90" s="78">
        <v>7.5</v>
      </c>
      <c r="DP90">
        <v>64.5</v>
      </c>
    </row>
    <row r="91" spans="8:120" x14ac:dyDescent="0.3">
      <c r="H91" s="80" t="str">
        <f>IFERROR(MP_DATA[[#This Row],[Bottom '[m']]]-MP_DATA[[#This Row],[D, top '[m']]], "")</f>
        <v/>
      </c>
      <c r="I91" s="80" t="str">
        <f>IFERROR(-(MP_DATA[[#This Row],[D, bottom '[m']]]-MP_DATA[[#This Row],[D, top '[m']]])/(MP_DATA[[#This Row],[Bottom '[m']]]-MP_DATA[[#This Row],[Top '[m']]]),"")</f>
        <v/>
      </c>
      <c r="J91" s="80" t="str">
        <f t="shared" si="4"/>
        <v/>
      </c>
      <c r="K91" s="80" t="str">
        <f>IFERROR((MP_DATA[[#This Row],[D, bottom '[m']]]+MP_DATA[[#This Row],[D, top '[m']]])/(2*MP_DATA[[#This Row],[t '[mm']]]/1000),"")</f>
        <v/>
      </c>
      <c r="L91" s="80" t="str">
        <f>IFERROR((MP_DATA[[#This Row],[D, bottom '[m']]]+#REF!)/(2*#REF!/1000),"")</f>
        <v/>
      </c>
      <c r="AP91" s="80" t="str">
        <f>IFERROR(TP_DATA[[#This Row],[Bottom '[m']]]-TP_DATA[[#This Row],[D, top '[m']]], "")</f>
        <v/>
      </c>
      <c r="AQ91" s="80" t="str">
        <f>IFERROR(-(TP_DATA[[#This Row],[D, bottom '[m']]]-TP_DATA[[#This Row],[D, top '[m']]])/(TP_DATA[[#This Row],[Bottom '[m']]]-TP_DATA[[#This Row],[Top '[m']]]),"")</f>
        <v/>
      </c>
      <c r="AR91" s="80" t="str">
        <f t="shared" si="5"/>
        <v/>
      </c>
      <c r="AS91" s="80" t="str">
        <f>IFERROR((TP_DATA[[#This Row],[D, bottom '[m']]]+TP_DATA[[#This Row],[D, top '[m']]])/(2*TP_DATA[[#This Row],[t '[mm']]]/1000),"")</f>
        <v/>
      </c>
      <c r="AT91" s="80" t="str">
        <f>IFERROR((TP_DATA[[#This Row],[D, bottom '[m']]]+#REF!)/(2*#REF!/1000),"")</f>
        <v/>
      </c>
      <c r="BX91" s="80" t="str">
        <f>IFERROR(TOWER_DATA[[#This Row],[Bottom '[m']]]-TOWER_DATA[[#This Row],[D, top '[m']]], "")</f>
        <v/>
      </c>
      <c r="BY91" s="80" t="str">
        <f>IFERROR(-(TOWER_DATA[[#This Row],[D, bottom '[m']]]-TOWER_DATA[[#This Row],[D, top '[m']]])/(TOWER_DATA[[#This Row],[Bottom '[m']]]-TOWER_DATA[[#This Row],[Top '[m']]]),"")</f>
        <v/>
      </c>
      <c r="BZ91" s="80" t="str">
        <f t="shared" si="6"/>
        <v/>
      </c>
      <c r="CA91" s="80" t="str">
        <f>IFERROR((TOWER_DATA[[#This Row],[D, bottom '[m']]]+TOWER_DATA[[#This Row],[D, top '[m']]])/(2*TOWER_DATA[[#This Row],[t '[mm']]]/1000),"")</f>
        <v/>
      </c>
      <c r="CB91" s="80" t="str">
        <f>IFERROR((TOWER_DATA[[#This Row],[D, bottom '[m']]]+#REF!)/(2*#REF!/1000),"")</f>
        <v/>
      </c>
      <c r="CG91" s="78"/>
      <c r="CH91" s="78"/>
      <c r="CI91" s="78"/>
      <c r="CK91" s="78"/>
      <c r="DF91" s="80"/>
      <c r="DG91" s="80"/>
      <c r="DH91" s="80"/>
      <c r="DI91" s="80"/>
      <c r="DK91" s="78">
        <v>67</v>
      </c>
      <c r="DL91" s="78">
        <v>20.71</v>
      </c>
      <c r="DM91" s="78">
        <v>20.655000000000001</v>
      </c>
      <c r="DN91">
        <v>7.5</v>
      </c>
      <c r="DO91" s="78">
        <v>7.5</v>
      </c>
      <c r="DP91">
        <v>64.5</v>
      </c>
    </row>
    <row r="92" spans="8:120" x14ac:dyDescent="0.3">
      <c r="H92" s="80" t="str">
        <f>IFERROR(MP_DATA[[#This Row],[Bottom '[m']]]-MP_DATA[[#This Row],[D, top '[m']]], "")</f>
        <v/>
      </c>
      <c r="I92" s="80" t="str">
        <f>IFERROR(-(MP_DATA[[#This Row],[D, bottom '[m']]]-MP_DATA[[#This Row],[D, top '[m']]])/(MP_DATA[[#This Row],[Bottom '[m']]]-MP_DATA[[#This Row],[Top '[m']]]),"")</f>
        <v/>
      </c>
      <c r="J92" s="80" t="str">
        <f t="shared" si="4"/>
        <v/>
      </c>
      <c r="K92" s="80" t="str">
        <f>IFERROR((MP_DATA[[#This Row],[D, bottom '[m']]]+MP_DATA[[#This Row],[D, top '[m']]])/(2*MP_DATA[[#This Row],[t '[mm']]]/1000),"")</f>
        <v/>
      </c>
      <c r="L92" s="80" t="str">
        <f>IFERROR((MP_DATA[[#This Row],[D, bottom '[m']]]+#REF!)/(2*#REF!/1000),"")</f>
        <v/>
      </c>
      <c r="AP92" s="80" t="str">
        <f>IFERROR(TP_DATA[[#This Row],[Bottom '[m']]]-TP_DATA[[#This Row],[D, top '[m']]], "")</f>
        <v/>
      </c>
      <c r="AQ92" s="80" t="str">
        <f>IFERROR(-(TP_DATA[[#This Row],[D, bottom '[m']]]-TP_DATA[[#This Row],[D, top '[m']]])/(TP_DATA[[#This Row],[Bottom '[m']]]-TP_DATA[[#This Row],[Top '[m']]]),"")</f>
        <v/>
      </c>
      <c r="AR92" s="80" t="str">
        <f t="shared" si="5"/>
        <v/>
      </c>
      <c r="AS92" s="80" t="str">
        <f>IFERROR((TP_DATA[[#This Row],[D, bottom '[m']]]+TP_DATA[[#This Row],[D, top '[m']]])/(2*TP_DATA[[#This Row],[t '[mm']]]/1000),"")</f>
        <v/>
      </c>
      <c r="AT92" s="80" t="str">
        <f>IFERROR((TP_DATA[[#This Row],[D, bottom '[m']]]+#REF!)/(2*#REF!/1000),"")</f>
        <v/>
      </c>
      <c r="BX92" s="80" t="str">
        <f>IFERROR(TOWER_DATA[[#This Row],[Bottom '[m']]]-TOWER_DATA[[#This Row],[D, top '[m']]], "")</f>
        <v/>
      </c>
      <c r="BY92" s="80" t="str">
        <f>IFERROR(-(TOWER_DATA[[#This Row],[D, bottom '[m']]]-TOWER_DATA[[#This Row],[D, top '[m']]])/(TOWER_DATA[[#This Row],[Bottom '[m']]]-TOWER_DATA[[#This Row],[Top '[m']]]),"")</f>
        <v/>
      </c>
      <c r="BZ92" s="80" t="str">
        <f t="shared" si="6"/>
        <v/>
      </c>
      <c r="CA92" s="80" t="str">
        <f>IFERROR((TOWER_DATA[[#This Row],[D, bottom '[m']]]+TOWER_DATA[[#This Row],[D, top '[m']]])/(2*TOWER_DATA[[#This Row],[t '[mm']]]/1000),"")</f>
        <v/>
      </c>
      <c r="CB92" s="80" t="str">
        <f>IFERROR((TOWER_DATA[[#This Row],[D, bottom '[m']]]+#REF!)/(2*#REF!/1000),"")</f>
        <v/>
      </c>
      <c r="CG92" s="78"/>
      <c r="CH92" s="78"/>
      <c r="CI92" s="78"/>
      <c r="CK92" s="78"/>
      <c r="DF92" s="80"/>
      <c r="DG92" s="80"/>
      <c r="DH92" s="80"/>
      <c r="DI92" s="80"/>
      <c r="DK92" s="78">
        <v>68</v>
      </c>
      <c r="DL92" s="78">
        <v>20.655000000000001</v>
      </c>
      <c r="DM92" s="78">
        <v>20.5</v>
      </c>
      <c r="DN92">
        <v>7.5</v>
      </c>
      <c r="DO92" s="78">
        <v>7.5</v>
      </c>
      <c r="DP92">
        <v>64.5</v>
      </c>
    </row>
    <row r="93" spans="8:120" x14ac:dyDescent="0.3">
      <c r="H93" s="80" t="str">
        <f>IFERROR(MP_DATA[[#This Row],[Bottom '[m']]]-MP_DATA[[#This Row],[D, top '[m']]], "")</f>
        <v/>
      </c>
      <c r="I93" s="80" t="str">
        <f>IFERROR(-(MP_DATA[[#This Row],[D, bottom '[m']]]-MP_DATA[[#This Row],[D, top '[m']]])/(MP_DATA[[#This Row],[Bottom '[m']]]-MP_DATA[[#This Row],[Top '[m']]]),"")</f>
        <v/>
      </c>
      <c r="J93" s="80" t="str">
        <f t="shared" si="4"/>
        <v/>
      </c>
      <c r="K93" s="80" t="str">
        <f>IFERROR((MP_DATA[[#This Row],[D, bottom '[m']]]+MP_DATA[[#This Row],[D, top '[m']]])/(2*MP_DATA[[#This Row],[t '[mm']]]/1000),"")</f>
        <v/>
      </c>
      <c r="L93" s="80" t="str">
        <f>IFERROR((MP_DATA[[#This Row],[D, bottom '[m']]]+#REF!)/(2*#REF!/1000),"")</f>
        <v/>
      </c>
      <c r="AP93" s="80" t="str">
        <f>IFERROR(TP_DATA[[#This Row],[Bottom '[m']]]-TP_DATA[[#This Row],[D, top '[m']]], "")</f>
        <v/>
      </c>
      <c r="AQ93" s="80" t="str">
        <f>IFERROR(-(TP_DATA[[#This Row],[D, bottom '[m']]]-TP_DATA[[#This Row],[D, top '[m']]])/(TP_DATA[[#This Row],[Bottom '[m']]]-TP_DATA[[#This Row],[Top '[m']]]),"")</f>
        <v/>
      </c>
      <c r="AR93" s="80" t="str">
        <f t="shared" si="5"/>
        <v/>
      </c>
      <c r="AS93" s="80" t="str">
        <f>IFERROR((TP_DATA[[#This Row],[D, bottom '[m']]]+TP_DATA[[#This Row],[D, top '[m']]])/(2*TP_DATA[[#This Row],[t '[mm']]]/1000),"")</f>
        <v/>
      </c>
      <c r="AT93" s="80" t="str">
        <f>IFERROR((TP_DATA[[#This Row],[D, bottom '[m']]]+#REF!)/(2*#REF!/1000),"")</f>
        <v/>
      </c>
      <c r="BX93" s="80" t="str">
        <f>IFERROR(TOWER_DATA[[#This Row],[Bottom '[m']]]-TOWER_DATA[[#This Row],[D, top '[m']]], "")</f>
        <v/>
      </c>
      <c r="BY93" s="80" t="str">
        <f>IFERROR(-(TOWER_DATA[[#This Row],[D, bottom '[m']]]-TOWER_DATA[[#This Row],[D, top '[m']]])/(TOWER_DATA[[#This Row],[Bottom '[m']]]-TOWER_DATA[[#This Row],[Top '[m']]]),"")</f>
        <v/>
      </c>
      <c r="BZ93" s="80" t="str">
        <f t="shared" si="6"/>
        <v/>
      </c>
      <c r="CA93" s="80" t="str">
        <f>IFERROR((TOWER_DATA[[#This Row],[D, bottom '[m']]]+TOWER_DATA[[#This Row],[D, top '[m']]])/(2*TOWER_DATA[[#This Row],[t '[mm']]]/1000),"")</f>
        <v/>
      </c>
      <c r="CB93" s="80" t="str">
        <f>IFERROR((TOWER_DATA[[#This Row],[D, bottom '[m']]]+#REF!)/(2*#REF!/1000),"")</f>
        <v/>
      </c>
      <c r="DF93" s="80" t="str">
        <f>IFERROR(RNA_DATA[[#This Row],[Inertia '[kg·m²']]]-RNA_DATA[[#This Row],[Offset TT_COG '[m']]], "")</f>
        <v/>
      </c>
      <c r="DG93" s="80" t="str">
        <f>IFERROR(-(RNA_DATA[[#This Row],[comment]]-RNA_DATA[[#This Row],[Offset TT_COG '[m']]])/(RNA_DATA[[#This Row],[Inertia '[kg·m²']]]-RNA_DATA[[#This Row],[Mass '[t']]]),"")</f>
        <v/>
      </c>
      <c r="DH93" s="80" t="str">
        <f t="shared" ref="DH93:DH152" si="7">IF(7850/1000*(1/3)*PI()*ABS(DA93-DB93)*((DC93/2)^2+(DC93/2)*(DD93/2)+(DD93/2)^2-(DC93/2-DE93/1000)^2-(DC93/2-DE93/1000)*(DD93/2-DE93/1000)-(DD93/2-DE93/1000)^2)=0,"",7850/1000*(1/3)*PI()*ABS(DA93-DB93)*((DC93/2)^2+(DC93/2)*(DD93/2)+(DD93/2)^2-(DC93/2-DE93/1000)^2-(DC93/2-DE93/1000)*(DD93/2-DE93/1000)-(DD93/2-DE93/1000)^2))</f>
        <v/>
      </c>
      <c r="DI93" s="80" t="str">
        <f>IFERROR((RNA_DATA[[#This Row],[comment]]+RNA_DATA[[#This Row],[Offset TT_COG '[m']]])/(2*#REF!/1000),"")</f>
        <v/>
      </c>
    </row>
    <row r="94" spans="8:120" x14ac:dyDescent="0.3">
      <c r="H94" s="80" t="str">
        <f>IFERROR(MP_DATA[[#This Row],[Bottom '[m']]]-MP_DATA[[#This Row],[D, top '[m']]], "")</f>
        <v/>
      </c>
      <c r="I94" s="80" t="str">
        <f>IFERROR(-(MP_DATA[[#This Row],[D, bottom '[m']]]-MP_DATA[[#This Row],[D, top '[m']]])/(MP_DATA[[#This Row],[Bottom '[m']]]-MP_DATA[[#This Row],[Top '[m']]]),"")</f>
        <v/>
      </c>
      <c r="J94" s="80" t="str">
        <f t="shared" si="4"/>
        <v/>
      </c>
      <c r="K94" s="80" t="str">
        <f>IFERROR((MP_DATA[[#This Row],[D, bottom '[m']]]+MP_DATA[[#This Row],[D, top '[m']]])/(2*MP_DATA[[#This Row],[t '[mm']]]/1000),"")</f>
        <v/>
      </c>
      <c r="L94" s="80" t="str">
        <f>IFERROR((MP_DATA[[#This Row],[D, bottom '[m']]]+#REF!)/(2*#REF!/1000),"")</f>
        <v/>
      </c>
      <c r="AP94" s="80" t="str">
        <f>IFERROR(TP_DATA[[#This Row],[Bottom '[m']]]-TP_DATA[[#This Row],[D, top '[m']]], "")</f>
        <v/>
      </c>
      <c r="AQ94" s="80" t="str">
        <f>IFERROR(-(TP_DATA[[#This Row],[D, bottom '[m']]]-TP_DATA[[#This Row],[D, top '[m']]])/(TP_DATA[[#This Row],[Bottom '[m']]]-TP_DATA[[#This Row],[Top '[m']]]),"")</f>
        <v/>
      </c>
      <c r="AR94" s="80" t="str">
        <f t="shared" si="5"/>
        <v/>
      </c>
      <c r="AS94" s="80" t="str">
        <f>IFERROR((TP_DATA[[#This Row],[D, bottom '[m']]]+TP_DATA[[#This Row],[D, top '[m']]])/(2*TP_DATA[[#This Row],[t '[mm']]]/1000),"")</f>
        <v/>
      </c>
      <c r="AT94" s="80" t="str">
        <f>IFERROR((TP_DATA[[#This Row],[D, bottom '[m']]]+#REF!)/(2*#REF!/1000),"")</f>
        <v/>
      </c>
      <c r="BX94" s="80" t="str">
        <f>IFERROR(TOWER_DATA[[#This Row],[Bottom '[m']]]-TOWER_DATA[[#This Row],[D, top '[m']]], "")</f>
        <v/>
      </c>
      <c r="BY94" s="80" t="str">
        <f>IFERROR(-(TOWER_DATA[[#This Row],[D, bottom '[m']]]-TOWER_DATA[[#This Row],[D, top '[m']]])/(TOWER_DATA[[#This Row],[Bottom '[m']]]-TOWER_DATA[[#This Row],[Top '[m']]]),"")</f>
        <v/>
      </c>
      <c r="BZ94" s="80" t="str">
        <f t="shared" si="6"/>
        <v/>
      </c>
      <c r="CA94" s="80" t="str">
        <f>IFERROR((TOWER_DATA[[#This Row],[D, bottom '[m']]]+TOWER_DATA[[#This Row],[D, top '[m']]])/(2*TOWER_DATA[[#This Row],[t '[mm']]]/1000),"")</f>
        <v/>
      </c>
      <c r="CB94" s="80" t="str">
        <f>IFERROR((TOWER_DATA[[#This Row],[D, bottom '[m']]]+#REF!)/(2*#REF!/1000),"")</f>
        <v/>
      </c>
      <c r="DF94" s="80" t="str">
        <f>IFERROR(RNA_DATA[[#This Row],[Inertia '[kg·m²']]]-RNA_DATA[[#This Row],[Offset TT_COG '[m']]], "")</f>
        <v/>
      </c>
      <c r="DG94" s="80" t="str">
        <f>IFERROR(-(RNA_DATA[[#This Row],[comment]]-RNA_DATA[[#This Row],[Offset TT_COG '[m']]])/(RNA_DATA[[#This Row],[Inertia '[kg·m²']]]-RNA_DATA[[#This Row],[Mass '[t']]]),"")</f>
        <v/>
      </c>
      <c r="DH94" s="80" t="str">
        <f t="shared" si="7"/>
        <v/>
      </c>
      <c r="DI94" s="80" t="str">
        <f>IFERROR((RNA_DATA[[#This Row],[comment]]+RNA_DATA[[#This Row],[Offset TT_COG '[m']]])/(2*#REF!/1000),"")</f>
        <v/>
      </c>
    </row>
    <row r="95" spans="8:120" x14ac:dyDescent="0.3">
      <c r="H95" s="80" t="str">
        <f>IFERROR(MP_DATA[[#This Row],[Bottom '[m']]]-MP_DATA[[#This Row],[D, top '[m']]], "")</f>
        <v/>
      </c>
      <c r="I95" s="80" t="str">
        <f>IFERROR(-(MP_DATA[[#This Row],[D, bottom '[m']]]-MP_DATA[[#This Row],[D, top '[m']]])/(MP_DATA[[#This Row],[Bottom '[m']]]-MP_DATA[[#This Row],[Top '[m']]]),"")</f>
        <v/>
      </c>
      <c r="J95" s="80" t="str">
        <f t="shared" si="4"/>
        <v/>
      </c>
      <c r="K95" s="80" t="str">
        <f>IFERROR((MP_DATA[[#This Row],[D, bottom '[m']]]+MP_DATA[[#This Row],[D, top '[m']]])/(2*MP_DATA[[#This Row],[t '[mm']]]/1000),"")</f>
        <v/>
      </c>
      <c r="L95" s="80" t="str">
        <f>IFERROR((MP_DATA[[#This Row],[D, bottom '[m']]]+#REF!)/(2*#REF!/1000),"")</f>
        <v/>
      </c>
      <c r="AP95" s="80" t="str">
        <f>IFERROR(TP_DATA[[#This Row],[Bottom '[m']]]-TP_DATA[[#This Row],[D, top '[m']]], "")</f>
        <v/>
      </c>
      <c r="AQ95" s="80" t="str">
        <f>IFERROR(-(TP_DATA[[#This Row],[D, bottom '[m']]]-TP_DATA[[#This Row],[D, top '[m']]])/(TP_DATA[[#This Row],[Bottom '[m']]]-TP_DATA[[#This Row],[Top '[m']]]),"")</f>
        <v/>
      </c>
      <c r="AR95" s="80" t="str">
        <f t="shared" si="5"/>
        <v/>
      </c>
      <c r="AS95" s="80" t="str">
        <f>IFERROR((TP_DATA[[#This Row],[D, bottom '[m']]]+TP_DATA[[#This Row],[D, top '[m']]])/(2*TP_DATA[[#This Row],[t '[mm']]]/1000),"")</f>
        <v/>
      </c>
      <c r="AT95" s="80" t="str">
        <f>IFERROR((TP_DATA[[#This Row],[D, bottom '[m']]]+#REF!)/(2*#REF!/1000),"")</f>
        <v/>
      </c>
      <c r="BX95" s="80" t="str">
        <f>IFERROR(TOWER_DATA[[#This Row],[Bottom '[m']]]-TOWER_DATA[[#This Row],[D, top '[m']]], "")</f>
        <v/>
      </c>
      <c r="BY95" s="80" t="str">
        <f>IFERROR(-(TOWER_DATA[[#This Row],[D, bottom '[m']]]-TOWER_DATA[[#This Row],[D, top '[m']]])/(TOWER_DATA[[#This Row],[Bottom '[m']]]-TOWER_DATA[[#This Row],[Top '[m']]]),"")</f>
        <v/>
      </c>
      <c r="BZ95" s="80" t="str">
        <f t="shared" si="6"/>
        <v/>
      </c>
      <c r="CA95" s="80" t="str">
        <f>IFERROR((TOWER_DATA[[#This Row],[D, bottom '[m']]]+TOWER_DATA[[#This Row],[D, top '[m']]])/(2*TOWER_DATA[[#This Row],[t '[mm']]]/1000),"")</f>
        <v/>
      </c>
      <c r="CB95" s="80" t="str">
        <f>IFERROR((TOWER_DATA[[#This Row],[D, bottom '[m']]]+#REF!)/(2*#REF!/1000),"")</f>
        <v/>
      </c>
      <c r="DF95" s="80" t="str">
        <f>IFERROR(RNA_DATA[[#This Row],[Inertia '[kg·m²']]]-RNA_DATA[[#This Row],[Offset TT_COG '[m']]], "")</f>
        <v/>
      </c>
      <c r="DG95" s="80" t="str">
        <f>IFERROR(-(RNA_DATA[[#This Row],[comment]]-RNA_DATA[[#This Row],[Offset TT_COG '[m']]])/(RNA_DATA[[#This Row],[Inertia '[kg·m²']]]-RNA_DATA[[#This Row],[Mass '[t']]]),"")</f>
        <v/>
      </c>
      <c r="DH95" s="80" t="str">
        <f t="shared" si="7"/>
        <v/>
      </c>
      <c r="DI95" s="80" t="str">
        <f>IFERROR((RNA_DATA[[#This Row],[comment]]+RNA_DATA[[#This Row],[Offset TT_COG '[m']]])/(2*#REF!/1000),"")</f>
        <v/>
      </c>
    </row>
    <row r="96" spans="8:120" x14ac:dyDescent="0.3">
      <c r="H96" s="80" t="str">
        <f>IFERROR(MP_DATA[[#This Row],[Bottom '[m']]]-MP_DATA[[#This Row],[D, top '[m']]], "")</f>
        <v/>
      </c>
      <c r="I96" s="80" t="str">
        <f>IFERROR(-(MP_DATA[[#This Row],[D, bottom '[m']]]-MP_DATA[[#This Row],[D, top '[m']]])/(MP_DATA[[#This Row],[Bottom '[m']]]-MP_DATA[[#This Row],[Top '[m']]]),"")</f>
        <v/>
      </c>
      <c r="J96" s="80" t="str">
        <f t="shared" si="4"/>
        <v/>
      </c>
      <c r="K96" s="80" t="str">
        <f>IFERROR((MP_DATA[[#This Row],[D, bottom '[m']]]+MP_DATA[[#This Row],[D, top '[m']]])/(2*MP_DATA[[#This Row],[t '[mm']]]/1000),"")</f>
        <v/>
      </c>
      <c r="L96" s="80" t="str">
        <f>IFERROR((MP_DATA[[#This Row],[D, bottom '[m']]]+#REF!)/(2*#REF!/1000),"")</f>
        <v/>
      </c>
      <c r="AP96" s="80" t="str">
        <f>IFERROR(TP_DATA[[#This Row],[Bottom '[m']]]-TP_DATA[[#This Row],[D, top '[m']]], "")</f>
        <v/>
      </c>
      <c r="AQ96" s="80" t="str">
        <f>IFERROR(-(TP_DATA[[#This Row],[D, bottom '[m']]]-TP_DATA[[#This Row],[D, top '[m']]])/(TP_DATA[[#This Row],[Bottom '[m']]]-TP_DATA[[#This Row],[Top '[m']]]),"")</f>
        <v/>
      </c>
      <c r="AR96" s="80" t="str">
        <f t="shared" si="5"/>
        <v/>
      </c>
      <c r="AS96" s="80" t="str">
        <f>IFERROR((TP_DATA[[#This Row],[D, bottom '[m']]]+TP_DATA[[#This Row],[D, top '[m']]])/(2*TP_DATA[[#This Row],[t '[mm']]]/1000),"")</f>
        <v/>
      </c>
      <c r="AT96" s="80" t="str">
        <f>IFERROR((TP_DATA[[#This Row],[D, bottom '[m']]]+#REF!)/(2*#REF!/1000),"")</f>
        <v/>
      </c>
      <c r="BX96" s="80" t="str">
        <f>IFERROR(TOWER_DATA[[#This Row],[Bottom '[m']]]-TOWER_DATA[[#This Row],[D, top '[m']]], "")</f>
        <v/>
      </c>
      <c r="BY96" s="80" t="str">
        <f>IFERROR(-(TOWER_DATA[[#This Row],[D, bottom '[m']]]-TOWER_DATA[[#This Row],[D, top '[m']]])/(TOWER_DATA[[#This Row],[Bottom '[m']]]-TOWER_DATA[[#This Row],[Top '[m']]]),"")</f>
        <v/>
      </c>
      <c r="BZ96" s="80" t="str">
        <f t="shared" si="6"/>
        <v/>
      </c>
      <c r="CA96" s="80" t="str">
        <f>IFERROR((TOWER_DATA[[#This Row],[D, bottom '[m']]]+TOWER_DATA[[#This Row],[D, top '[m']]])/(2*TOWER_DATA[[#This Row],[t '[mm']]]/1000),"")</f>
        <v/>
      </c>
      <c r="CB96" s="80" t="str">
        <f>IFERROR((TOWER_DATA[[#This Row],[D, bottom '[m']]]+#REF!)/(2*#REF!/1000),"")</f>
        <v/>
      </c>
      <c r="DF96" s="80" t="str">
        <f>IFERROR(RNA_DATA[[#This Row],[Inertia '[kg·m²']]]-RNA_DATA[[#This Row],[Offset TT_COG '[m']]], "")</f>
        <v/>
      </c>
      <c r="DG96" s="80" t="str">
        <f>IFERROR(-(RNA_DATA[[#This Row],[comment]]-RNA_DATA[[#This Row],[Offset TT_COG '[m']]])/(RNA_DATA[[#This Row],[Inertia '[kg·m²']]]-RNA_DATA[[#This Row],[Mass '[t']]]),"")</f>
        <v/>
      </c>
      <c r="DH96" s="80" t="str">
        <f t="shared" si="7"/>
        <v/>
      </c>
      <c r="DI96" s="80" t="str">
        <f>IFERROR((RNA_DATA[[#This Row],[comment]]+RNA_DATA[[#This Row],[Offset TT_COG '[m']]])/(2*#REF!/1000),"")</f>
        <v/>
      </c>
    </row>
    <row r="97" spans="8:113" x14ac:dyDescent="0.3">
      <c r="H97" s="80" t="str">
        <f>IFERROR(MP_DATA[[#This Row],[Bottom '[m']]]-MP_DATA[[#This Row],[D, top '[m']]], "")</f>
        <v/>
      </c>
      <c r="I97" s="80" t="str">
        <f>IFERROR(-(MP_DATA[[#This Row],[D, bottom '[m']]]-MP_DATA[[#This Row],[D, top '[m']]])/(MP_DATA[[#This Row],[Bottom '[m']]]-MP_DATA[[#This Row],[Top '[m']]]),"")</f>
        <v/>
      </c>
      <c r="J97" s="80" t="str">
        <f t="shared" si="4"/>
        <v/>
      </c>
      <c r="K97" s="80" t="str">
        <f>IFERROR((MP_DATA[[#This Row],[D, bottom '[m']]]+MP_DATA[[#This Row],[D, top '[m']]])/(2*MP_DATA[[#This Row],[t '[mm']]]/1000),"")</f>
        <v/>
      </c>
      <c r="L97" s="80" t="str">
        <f>IFERROR((MP_DATA[[#This Row],[D, bottom '[m']]]+#REF!)/(2*#REF!/1000),"")</f>
        <v/>
      </c>
      <c r="AP97" s="80" t="str">
        <f>IFERROR(TP_DATA[[#This Row],[Bottom '[m']]]-TP_DATA[[#This Row],[D, top '[m']]], "")</f>
        <v/>
      </c>
      <c r="AQ97" s="80" t="str">
        <f>IFERROR(-(TP_DATA[[#This Row],[D, bottom '[m']]]-TP_DATA[[#This Row],[D, top '[m']]])/(TP_DATA[[#This Row],[Bottom '[m']]]-TP_DATA[[#This Row],[Top '[m']]]),"")</f>
        <v/>
      </c>
      <c r="AR97" s="80" t="str">
        <f t="shared" si="5"/>
        <v/>
      </c>
      <c r="AS97" s="80" t="str">
        <f>IFERROR((TP_DATA[[#This Row],[D, bottom '[m']]]+TP_DATA[[#This Row],[D, top '[m']]])/(2*TP_DATA[[#This Row],[t '[mm']]]/1000),"")</f>
        <v/>
      </c>
      <c r="AT97" s="80" t="str">
        <f>IFERROR((TP_DATA[[#This Row],[D, bottom '[m']]]+#REF!)/(2*#REF!/1000),"")</f>
        <v/>
      </c>
      <c r="BX97" s="80" t="str">
        <f>IFERROR(TOWER_DATA[[#This Row],[Bottom '[m']]]-TOWER_DATA[[#This Row],[D, top '[m']]], "")</f>
        <v/>
      </c>
      <c r="BY97" s="80" t="str">
        <f>IFERROR(-(TOWER_DATA[[#This Row],[D, bottom '[m']]]-TOWER_DATA[[#This Row],[D, top '[m']]])/(TOWER_DATA[[#This Row],[Bottom '[m']]]-TOWER_DATA[[#This Row],[Top '[m']]]),"")</f>
        <v/>
      </c>
      <c r="BZ97" s="80" t="str">
        <f t="shared" si="6"/>
        <v/>
      </c>
      <c r="CA97" s="80" t="str">
        <f>IFERROR((TOWER_DATA[[#This Row],[D, bottom '[m']]]+TOWER_DATA[[#This Row],[D, top '[m']]])/(2*TOWER_DATA[[#This Row],[t '[mm']]]/1000),"")</f>
        <v/>
      </c>
      <c r="CB97" s="80" t="str">
        <f>IFERROR((TOWER_DATA[[#This Row],[D, bottom '[m']]]+#REF!)/(2*#REF!/1000),"")</f>
        <v/>
      </c>
      <c r="DF97" s="80" t="str">
        <f>IFERROR(RNA_DATA[[#This Row],[Inertia '[kg·m²']]]-RNA_DATA[[#This Row],[Offset TT_COG '[m']]], "")</f>
        <v/>
      </c>
      <c r="DG97" s="80" t="str">
        <f>IFERROR(-(RNA_DATA[[#This Row],[comment]]-RNA_DATA[[#This Row],[Offset TT_COG '[m']]])/(RNA_DATA[[#This Row],[Inertia '[kg·m²']]]-RNA_DATA[[#This Row],[Mass '[t']]]),"")</f>
        <v/>
      </c>
      <c r="DH97" s="80" t="str">
        <f t="shared" si="7"/>
        <v/>
      </c>
      <c r="DI97" s="80" t="str">
        <f>IFERROR((RNA_DATA[[#This Row],[comment]]+RNA_DATA[[#This Row],[Offset TT_COG '[m']]])/(2*#REF!/1000),"")</f>
        <v/>
      </c>
    </row>
    <row r="98" spans="8:113" x14ac:dyDescent="0.3">
      <c r="H98" s="80" t="str">
        <f>IFERROR(MP_DATA[[#This Row],[Bottom '[m']]]-MP_DATA[[#This Row],[D, top '[m']]], "")</f>
        <v/>
      </c>
      <c r="I98" s="80" t="str">
        <f>IFERROR(-(MP_DATA[[#This Row],[D, bottom '[m']]]-MP_DATA[[#This Row],[D, top '[m']]])/(MP_DATA[[#This Row],[Bottom '[m']]]-MP_DATA[[#This Row],[Top '[m']]]),"")</f>
        <v/>
      </c>
      <c r="J98" s="80" t="str">
        <f t="shared" si="4"/>
        <v/>
      </c>
      <c r="K98" s="80" t="str">
        <f>IFERROR((MP_DATA[[#This Row],[D, bottom '[m']]]+MP_DATA[[#This Row],[D, top '[m']]])/(2*MP_DATA[[#This Row],[t '[mm']]]/1000),"")</f>
        <v/>
      </c>
      <c r="L98" s="80" t="str">
        <f>IFERROR((MP_DATA[[#This Row],[D, bottom '[m']]]+#REF!)/(2*#REF!/1000),"")</f>
        <v/>
      </c>
      <c r="AP98" s="80" t="str">
        <f>IFERROR(TP_DATA[[#This Row],[Bottom '[m']]]-TP_DATA[[#This Row],[D, top '[m']]], "")</f>
        <v/>
      </c>
      <c r="AQ98" s="80" t="str">
        <f>IFERROR(-(TP_DATA[[#This Row],[D, bottom '[m']]]-TP_DATA[[#This Row],[D, top '[m']]])/(TP_DATA[[#This Row],[Bottom '[m']]]-TP_DATA[[#This Row],[Top '[m']]]),"")</f>
        <v/>
      </c>
      <c r="AR98" s="80" t="str">
        <f t="shared" si="5"/>
        <v/>
      </c>
      <c r="AS98" s="80" t="str">
        <f>IFERROR((TP_DATA[[#This Row],[D, bottom '[m']]]+TP_DATA[[#This Row],[D, top '[m']]])/(2*TP_DATA[[#This Row],[t '[mm']]]/1000),"")</f>
        <v/>
      </c>
      <c r="AT98" s="80" t="str">
        <f>IFERROR((TP_DATA[[#This Row],[D, bottom '[m']]]+#REF!)/(2*#REF!/1000),"")</f>
        <v/>
      </c>
      <c r="BX98" s="80" t="str">
        <f>IFERROR(TOWER_DATA[[#This Row],[Bottom '[m']]]-TOWER_DATA[[#This Row],[D, top '[m']]], "")</f>
        <v/>
      </c>
      <c r="BY98" s="80" t="str">
        <f>IFERROR(-(TOWER_DATA[[#This Row],[D, bottom '[m']]]-TOWER_DATA[[#This Row],[D, top '[m']]])/(TOWER_DATA[[#This Row],[Bottom '[m']]]-TOWER_DATA[[#This Row],[Top '[m']]]),"")</f>
        <v/>
      </c>
      <c r="BZ98" s="80" t="str">
        <f t="shared" si="6"/>
        <v/>
      </c>
      <c r="CA98" s="80" t="str">
        <f>IFERROR((TOWER_DATA[[#This Row],[D, bottom '[m']]]+TOWER_DATA[[#This Row],[D, top '[m']]])/(2*TOWER_DATA[[#This Row],[t '[mm']]]/1000),"")</f>
        <v/>
      </c>
      <c r="CB98" s="80" t="str">
        <f>IFERROR((TOWER_DATA[[#This Row],[D, bottom '[m']]]+#REF!)/(2*#REF!/1000),"")</f>
        <v/>
      </c>
      <c r="DF98" s="80" t="str">
        <f>IFERROR(RNA_DATA[[#This Row],[Inertia '[kg·m²']]]-RNA_DATA[[#This Row],[Offset TT_COG '[m']]], "")</f>
        <v/>
      </c>
      <c r="DG98" s="80" t="str">
        <f>IFERROR(-(RNA_DATA[[#This Row],[comment]]-RNA_DATA[[#This Row],[Offset TT_COG '[m']]])/(RNA_DATA[[#This Row],[Inertia '[kg·m²']]]-RNA_DATA[[#This Row],[Mass '[t']]]),"")</f>
        <v/>
      </c>
      <c r="DH98" s="80" t="str">
        <f t="shared" si="7"/>
        <v/>
      </c>
      <c r="DI98" s="80" t="str">
        <f>IFERROR((RNA_DATA[[#This Row],[comment]]+RNA_DATA[[#This Row],[Offset TT_COG '[m']]])/(2*#REF!/1000),"")</f>
        <v/>
      </c>
    </row>
    <row r="99" spans="8:113" x14ac:dyDescent="0.3">
      <c r="H99" s="80" t="str">
        <f>IFERROR(MP_DATA[[#This Row],[Bottom '[m']]]-MP_DATA[[#This Row],[D, top '[m']]], "")</f>
        <v/>
      </c>
      <c r="I99" s="80" t="str">
        <f>IFERROR(-(MP_DATA[[#This Row],[D, bottom '[m']]]-MP_DATA[[#This Row],[D, top '[m']]])/(MP_DATA[[#This Row],[Bottom '[m']]]-MP_DATA[[#This Row],[Top '[m']]]),"")</f>
        <v/>
      </c>
      <c r="J99" s="80" t="str">
        <f t="shared" si="4"/>
        <v/>
      </c>
      <c r="K99" s="80" t="str">
        <f>IFERROR((MP_DATA[[#This Row],[D, bottom '[m']]]+MP_DATA[[#This Row],[D, top '[m']]])/(2*MP_DATA[[#This Row],[t '[mm']]]/1000),"")</f>
        <v/>
      </c>
      <c r="L99" s="80" t="str">
        <f>IFERROR((MP_DATA[[#This Row],[D, bottom '[m']]]+#REF!)/(2*#REF!/1000),"")</f>
        <v/>
      </c>
      <c r="AP99" s="80" t="str">
        <f>IFERROR(TP_DATA[[#This Row],[Bottom '[m']]]-TP_DATA[[#This Row],[D, top '[m']]], "")</f>
        <v/>
      </c>
      <c r="AQ99" s="80" t="str">
        <f>IFERROR(-(TP_DATA[[#This Row],[D, bottom '[m']]]-TP_DATA[[#This Row],[D, top '[m']]])/(TP_DATA[[#This Row],[Bottom '[m']]]-TP_DATA[[#This Row],[Top '[m']]]),"")</f>
        <v/>
      </c>
      <c r="AR99" s="80" t="str">
        <f t="shared" si="5"/>
        <v/>
      </c>
      <c r="AS99" s="80" t="str">
        <f>IFERROR((TP_DATA[[#This Row],[D, bottom '[m']]]+TP_DATA[[#This Row],[D, top '[m']]])/(2*TP_DATA[[#This Row],[t '[mm']]]/1000),"")</f>
        <v/>
      </c>
      <c r="AT99" s="80" t="str">
        <f>IFERROR((TP_DATA[[#This Row],[D, bottom '[m']]]+#REF!)/(2*#REF!/1000),"")</f>
        <v/>
      </c>
      <c r="BX99" s="80" t="str">
        <f>IFERROR(TOWER_DATA[[#This Row],[Bottom '[m']]]-TOWER_DATA[[#This Row],[D, top '[m']]], "")</f>
        <v/>
      </c>
      <c r="BY99" s="80" t="str">
        <f>IFERROR(-(TOWER_DATA[[#This Row],[D, bottom '[m']]]-TOWER_DATA[[#This Row],[D, top '[m']]])/(TOWER_DATA[[#This Row],[Bottom '[m']]]-TOWER_DATA[[#This Row],[Top '[m']]]),"")</f>
        <v/>
      </c>
      <c r="BZ99" s="80" t="str">
        <f t="shared" si="6"/>
        <v/>
      </c>
      <c r="CA99" s="80" t="str">
        <f>IFERROR((TOWER_DATA[[#This Row],[D, bottom '[m']]]+TOWER_DATA[[#This Row],[D, top '[m']]])/(2*TOWER_DATA[[#This Row],[t '[mm']]]/1000),"")</f>
        <v/>
      </c>
      <c r="CB99" s="80" t="str">
        <f>IFERROR((TOWER_DATA[[#This Row],[D, bottom '[m']]]+#REF!)/(2*#REF!/1000),"")</f>
        <v/>
      </c>
      <c r="DF99" s="80" t="str">
        <f>IFERROR(RNA_DATA[[#This Row],[Inertia '[kg·m²']]]-RNA_DATA[[#This Row],[Offset TT_COG '[m']]], "")</f>
        <v/>
      </c>
      <c r="DG99" s="80" t="str">
        <f>IFERROR(-(RNA_DATA[[#This Row],[comment]]-RNA_DATA[[#This Row],[Offset TT_COG '[m']]])/(RNA_DATA[[#This Row],[Inertia '[kg·m²']]]-RNA_DATA[[#This Row],[Mass '[t']]]),"")</f>
        <v/>
      </c>
      <c r="DH99" s="80" t="str">
        <f t="shared" si="7"/>
        <v/>
      </c>
      <c r="DI99" s="80" t="str">
        <f>IFERROR((RNA_DATA[[#This Row],[comment]]+RNA_DATA[[#This Row],[Offset TT_COG '[m']]])/(2*#REF!/1000),"")</f>
        <v/>
      </c>
    </row>
    <row r="100" spans="8:113" x14ac:dyDescent="0.3">
      <c r="H100" s="80" t="str">
        <f>IFERROR(MP_DATA[[#This Row],[Bottom '[m']]]-MP_DATA[[#This Row],[D, top '[m']]], "")</f>
        <v/>
      </c>
      <c r="I100" s="80" t="str">
        <f>IFERROR(-(MP_DATA[[#This Row],[D, bottom '[m']]]-MP_DATA[[#This Row],[D, top '[m']]])/(MP_DATA[[#This Row],[Bottom '[m']]]-MP_DATA[[#This Row],[Top '[m']]]),"")</f>
        <v/>
      </c>
      <c r="J100" s="80" t="str">
        <f t="shared" si="4"/>
        <v/>
      </c>
      <c r="K100" s="80" t="str">
        <f>IFERROR((MP_DATA[[#This Row],[D, bottom '[m']]]+MP_DATA[[#This Row],[D, top '[m']]])/(2*MP_DATA[[#This Row],[t '[mm']]]/1000),"")</f>
        <v/>
      </c>
      <c r="L100" s="80" t="str">
        <f>IFERROR((MP_DATA[[#This Row],[D, bottom '[m']]]+#REF!)/(2*#REF!/1000),"")</f>
        <v/>
      </c>
      <c r="AP100" s="80" t="str">
        <f>IFERROR(TP_DATA[[#This Row],[Bottom '[m']]]-TP_DATA[[#This Row],[D, top '[m']]], "")</f>
        <v/>
      </c>
      <c r="AQ100" s="80" t="str">
        <f>IFERROR(-(TP_DATA[[#This Row],[D, bottom '[m']]]-TP_DATA[[#This Row],[D, top '[m']]])/(TP_DATA[[#This Row],[Bottom '[m']]]-TP_DATA[[#This Row],[Top '[m']]]),"")</f>
        <v/>
      </c>
      <c r="AR100" s="80" t="str">
        <f t="shared" si="5"/>
        <v/>
      </c>
      <c r="AS100" s="80" t="str">
        <f>IFERROR((TP_DATA[[#This Row],[D, bottom '[m']]]+TP_DATA[[#This Row],[D, top '[m']]])/(2*TP_DATA[[#This Row],[t '[mm']]]/1000),"")</f>
        <v/>
      </c>
      <c r="AT100" s="80" t="str">
        <f>IFERROR((TP_DATA[[#This Row],[D, bottom '[m']]]+#REF!)/(2*#REF!/1000),"")</f>
        <v/>
      </c>
      <c r="BX100" s="80" t="str">
        <f>IFERROR(TOWER_DATA[[#This Row],[Bottom '[m']]]-TOWER_DATA[[#This Row],[D, top '[m']]], "")</f>
        <v/>
      </c>
      <c r="BY100" s="80" t="str">
        <f>IFERROR(-(TOWER_DATA[[#This Row],[D, bottom '[m']]]-TOWER_DATA[[#This Row],[D, top '[m']]])/(TOWER_DATA[[#This Row],[Bottom '[m']]]-TOWER_DATA[[#This Row],[Top '[m']]]),"")</f>
        <v/>
      </c>
      <c r="BZ100" s="80" t="str">
        <f t="shared" si="6"/>
        <v/>
      </c>
      <c r="CA100" s="80" t="str">
        <f>IFERROR((TOWER_DATA[[#This Row],[D, bottom '[m']]]+TOWER_DATA[[#This Row],[D, top '[m']]])/(2*TOWER_DATA[[#This Row],[t '[mm']]]/1000),"")</f>
        <v/>
      </c>
      <c r="CB100" s="80" t="str">
        <f>IFERROR((TOWER_DATA[[#This Row],[D, bottom '[m']]]+#REF!)/(2*#REF!/1000),"")</f>
        <v/>
      </c>
      <c r="DF100" s="80" t="str">
        <f>IFERROR(RNA_DATA[[#This Row],[Inertia '[kg·m²']]]-RNA_DATA[[#This Row],[Offset TT_COG '[m']]], "")</f>
        <v/>
      </c>
      <c r="DG100" s="80" t="str">
        <f>IFERROR(-(RNA_DATA[[#This Row],[comment]]-RNA_DATA[[#This Row],[Offset TT_COG '[m']]])/(RNA_DATA[[#This Row],[Inertia '[kg·m²']]]-RNA_DATA[[#This Row],[Mass '[t']]]),"")</f>
        <v/>
      </c>
      <c r="DH100" s="80" t="str">
        <f t="shared" si="7"/>
        <v/>
      </c>
      <c r="DI100" s="80" t="str">
        <f>IFERROR((RNA_DATA[[#This Row],[comment]]+RNA_DATA[[#This Row],[Offset TT_COG '[m']]])/(2*#REF!/1000),"")</f>
        <v/>
      </c>
    </row>
    <row r="101" spans="8:113" x14ac:dyDescent="0.3">
      <c r="H101" s="80" t="str">
        <f>IFERROR(MP_DATA[[#This Row],[Bottom '[m']]]-MP_DATA[[#This Row],[D, top '[m']]], "")</f>
        <v/>
      </c>
      <c r="I101" s="80" t="str">
        <f>IFERROR(-(MP_DATA[[#This Row],[D, bottom '[m']]]-MP_DATA[[#This Row],[D, top '[m']]])/(MP_DATA[[#This Row],[Bottom '[m']]]-MP_DATA[[#This Row],[Top '[m']]]),"")</f>
        <v/>
      </c>
      <c r="J101" s="80" t="str">
        <f t="shared" si="4"/>
        <v/>
      </c>
      <c r="K101" s="80" t="str">
        <f>IFERROR((MP_DATA[[#This Row],[D, bottom '[m']]]+MP_DATA[[#This Row],[D, top '[m']]])/(2*MP_DATA[[#This Row],[t '[mm']]]/1000),"")</f>
        <v/>
      </c>
      <c r="L101" s="80" t="str">
        <f>IFERROR((MP_DATA[[#This Row],[D, bottom '[m']]]+#REF!)/(2*#REF!/1000),"")</f>
        <v/>
      </c>
      <c r="AP101" s="80" t="str">
        <f>IFERROR(TP_DATA[[#This Row],[Bottom '[m']]]-TP_DATA[[#This Row],[D, top '[m']]], "")</f>
        <v/>
      </c>
      <c r="AQ101" s="80" t="str">
        <f>IFERROR(-(TP_DATA[[#This Row],[D, bottom '[m']]]-TP_DATA[[#This Row],[D, top '[m']]])/(TP_DATA[[#This Row],[Bottom '[m']]]-TP_DATA[[#This Row],[Top '[m']]]),"")</f>
        <v/>
      </c>
      <c r="AR101" s="80" t="str">
        <f t="shared" si="5"/>
        <v/>
      </c>
      <c r="AS101" s="80" t="str">
        <f>IFERROR((TP_DATA[[#This Row],[D, bottom '[m']]]+TP_DATA[[#This Row],[D, top '[m']]])/(2*TP_DATA[[#This Row],[t '[mm']]]/1000),"")</f>
        <v/>
      </c>
      <c r="AT101" s="80" t="str">
        <f>IFERROR((TP_DATA[[#This Row],[D, bottom '[m']]]+#REF!)/(2*#REF!/1000),"")</f>
        <v/>
      </c>
      <c r="BX101" s="80" t="str">
        <f>IFERROR(TOWER_DATA[[#This Row],[Bottom '[m']]]-TOWER_DATA[[#This Row],[D, top '[m']]], "")</f>
        <v/>
      </c>
      <c r="BY101" s="80" t="str">
        <f>IFERROR(-(TOWER_DATA[[#This Row],[D, bottom '[m']]]-TOWER_DATA[[#This Row],[D, top '[m']]])/(TOWER_DATA[[#This Row],[Bottom '[m']]]-TOWER_DATA[[#This Row],[Top '[m']]]),"")</f>
        <v/>
      </c>
      <c r="BZ101" s="80" t="str">
        <f t="shared" si="6"/>
        <v/>
      </c>
      <c r="CA101" s="80" t="str">
        <f>IFERROR((TOWER_DATA[[#This Row],[D, bottom '[m']]]+TOWER_DATA[[#This Row],[D, top '[m']]])/(2*TOWER_DATA[[#This Row],[t '[mm']]]/1000),"")</f>
        <v/>
      </c>
      <c r="CB101" s="80" t="str">
        <f>IFERROR((TOWER_DATA[[#This Row],[D, bottom '[m']]]+#REF!)/(2*#REF!/1000),"")</f>
        <v/>
      </c>
      <c r="DF101" s="80" t="str">
        <f>IFERROR(RNA_DATA[[#This Row],[Inertia '[kg·m²']]]-RNA_DATA[[#This Row],[Offset TT_COG '[m']]], "")</f>
        <v/>
      </c>
      <c r="DG101" s="80" t="str">
        <f>IFERROR(-(RNA_DATA[[#This Row],[comment]]-RNA_DATA[[#This Row],[Offset TT_COG '[m']]])/(RNA_DATA[[#This Row],[Inertia '[kg·m²']]]-RNA_DATA[[#This Row],[Mass '[t']]]),"")</f>
        <v/>
      </c>
      <c r="DH101" s="80" t="str">
        <f t="shared" si="7"/>
        <v/>
      </c>
      <c r="DI101" s="80" t="str">
        <f>IFERROR((RNA_DATA[[#This Row],[comment]]+RNA_DATA[[#This Row],[Offset TT_COG '[m']]])/(2*#REF!/1000),"")</f>
        <v/>
      </c>
    </row>
    <row r="102" spans="8:113" x14ac:dyDescent="0.3">
      <c r="H102" s="80" t="str">
        <f>IFERROR(MP_DATA[[#This Row],[Bottom '[m']]]-MP_DATA[[#This Row],[D, top '[m']]], "")</f>
        <v/>
      </c>
      <c r="I102" s="80" t="str">
        <f>IFERROR(-(MP_DATA[[#This Row],[D, bottom '[m']]]-MP_DATA[[#This Row],[D, top '[m']]])/(MP_DATA[[#This Row],[Bottom '[m']]]-MP_DATA[[#This Row],[Top '[m']]]),"")</f>
        <v/>
      </c>
      <c r="J102" s="80" t="str">
        <f t="shared" si="4"/>
        <v/>
      </c>
      <c r="K102" s="80" t="str">
        <f>IFERROR((MP_DATA[[#This Row],[D, bottom '[m']]]+MP_DATA[[#This Row],[D, top '[m']]])/(2*MP_DATA[[#This Row],[t '[mm']]]/1000),"")</f>
        <v/>
      </c>
      <c r="L102" s="80" t="str">
        <f>IFERROR((MP_DATA[[#This Row],[D, bottom '[m']]]+#REF!)/(2*#REF!/1000),"")</f>
        <v/>
      </c>
      <c r="AP102" s="80" t="str">
        <f>IFERROR(TP_DATA[[#This Row],[Bottom '[m']]]-TP_DATA[[#This Row],[D, top '[m']]], "")</f>
        <v/>
      </c>
      <c r="AQ102" s="80" t="str">
        <f>IFERROR(-(TP_DATA[[#This Row],[D, bottom '[m']]]-TP_DATA[[#This Row],[D, top '[m']]])/(TP_DATA[[#This Row],[Bottom '[m']]]-TP_DATA[[#This Row],[Top '[m']]]),"")</f>
        <v/>
      </c>
      <c r="AR102" s="80" t="str">
        <f t="shared" si="5"/>
        <v/>
      </c>
      <c r="AS102" s="80" t="str">
        <f>IFERROR((TP_DATA[[#This Row],[D, bottom '[m']]]+TP_DATA[[#This Row],[D, top '[m']]])/(2*TP_DATA[[#This Row],[t '[mm']]]/1000),"")</f>
        <v/>
      </c>
      <c r="AT102" s="80" t="str">
        <f>IFERROR((TP_DATA[[#This Row],[D, bottom '[m']]]+#REF!)/(2*#REF!/1000),"")</f>
        <v/>
      </c>
      <c r="BX102" s="80" t="str">
        <f>IFERROR(TOWER_DATA[[#This Row],[Bottom '[m']]]-TOWER_DATA[[#This Row],[D, top '[m']]], "")</f>
        <v/>
      </c>
      <c r="BY102" s="80" t="str">
        <f>IFERROR(-(TOWER_DATA[[#This Row],[D, bottom '[m']]]-TOWER_DATA[[#This Row],[D, top '[m']]])/(TOWER_DATA[[#This Row],[Bottom '[m']]]-TOWER_DATA[[#This Row],[Top '[m']]]),"")</f>
        <v/>
      </c>
      <c r="BZ102" s="80" t="str">
        <f t="shared" si="6"/>
        <v/>
      </c>
      <c r="CA102" s="80" t="str">
        <f>IFERROR((TOWER_DATA[[#This Row],[D, bottom '[m']]]+TOWER_DATA[[#This Row],[D, top '[m']]])/(2*TOWER_DATA[[#This Row],[t '[mm']]]/1000),"")</f>
        <v/>
      </c>
      <c r="CB102" s="80" t="str">
        <f>IFERROR((TOWER_DATA[[#This Row],[D, bottom '[m']]]+#REF!)/(2*#REF!/1000),"")</f>
        <v/>
      </c>
      <c r="DF102" s="80" t="str">
        <f>IFERROR(RNA_DATA[[#This Row],[Inertia '[kg·m²']]]-RNA_DATA[[#This Row],[Offset TT_COG '[m']]], "")</f>
        <v/>
      </c>
      <c r="DG102" s="80" t="str">
        <f>IFERROR(-(RNA_DATA[[#This Row],[comment]]-RNA_DATA[[#This Row],[Offset TT_COG '[m']]])/(RNA_DATA[[#This Row],[Inertia '[kg·m²']]]-RNA_DATA[[#This Row],[Mass '[t']]]),"")</f>
        <v/>
      </c>
      <c r="DH102" s="80" t="str">
        <f t="shared" si="7"/>
        <v/>
      </c>
      <c r="DI102" s="80" t="str">
        <f>IFERROR((RNA_DATA[[#This Row],[comment]]+RNA_DATA[[#This Row],[Offset TT_COG '[m']]])/(2*#REF!/1000),"")</f>
        <v/>
      </c>
    </row>
    <row r="103" spans="8:113" x14ac:dyDescent="0.3">
      <c r="H103" s="80" t="str">
        <f>IFERROR(MP_DATA[[#This Row],[Bottom '[m']]]-MP_DATA[[#This Row],[D, top '[m']]], "")</f>
        <v/>
      </c>
      <c r="I103" s="80" t="str">
        <f>IFERROR(-(MP_DATA[[#This Row],[D, bottom '[m']]]-MP_DATA[[#This Row],[D, top '[m']]])/(MP_DATA[[#This Row],[Bottom '[m']]]-MP_DATA[[#This Row],[Top '[m']]]),"")</f>
        <v/>
      </c>
      <c r="J103" s="80" t="str">
        <f t="shared" si="4"/>
        <v/>
      </c>
      <c r="K103" s="80" t="str">
        <f>IFERROR((MP_DATA[[#This Row],[D, bottom '[m']]]+MP_DATA[[#This Row],[D, top '[m']]])/(2*MP_DATA[[#This Row],[t '[mm']]]/1000),"")</f>
        <v/>
      </c>
      <c r="L103" s="80" t="str">
        <f>IFERROR((MP_DATA[[#This Row],[D, bottom '[m']]]+#REF!)/(2*#REF!/1000),"")</f>
        <v/>
      </c>
      <c r="AP103" s="80" t="str">
        <f>IFERROR(TP_DATA[[#This Row],[Bottom '[m']]]-TP_DATA[[#This Row],[D, top '[m']]], "")</f>
        <v/>
      </c>
      <c r="AQ103" s="80" t="str">
        <f>IFERROR(-(TP_DATA[[#This Row],[D, bottom '[m']]]-TP_DATA[[#This Row],[D, top '[m']]])/(TP_DATA[[#This Row],[Bottom '[m']]]-TP_DATA[[#This Row],[Top '[m']]]),"")</f>
        <v/>
      </c>
      <c r="AR103" s="80" t="str">
        <f t="shared" si="5"/>
        <v/>
      </c>
      <c r="AS103" s="80" t="str">
        <f>IFERROR((TP_DATA[[#This Row],[D, bottom '[m']]]+TP_DATA[[#This Row],[D, top '[m']]])/(2*TP_DATA[[#This Row],[t '[mm']]]/1000),"")</f>
        <v/>
      </c>
      <c r="AT103" s="80" t="str">
        <f>IFERROR((TP_DATA[[#This Row],[D, bottom '[m']]]+#REF!)/(2*#REF!/1000),"")</f>
        <v/>
      </c>
      <c r="BX103" s="80" t="str">
        <f>IFERROR(TOWER_DATA[[#This Row],[Bottom '[m']]]-TOWER_DATA[[#This Row],[D, top '[m']]], "")</f>
        <v/>
      </c>
      <c r="BY103" s="80" t="str">
        <f>IFERROR(-(TOWER_DATA[[#This Row],[D, bottom '[m']]]-TOWER_DATA[[#This Row],[D, top '[m']]])/(TOWER_DATA[[#This Row],[Bottom '[m']]]-TOWER_DATA[[#This Row],[Top '[m']]]),"")</f>
        <v/>
      </c>
      <c r="BZ103" s="80" t="str">
        <f t="shared" si="6"/>
        <v/>
      </c>
      <c r="CA103" s="80" t="str">
        <f>IFERROR((TOWER_DATA[[#This Row],[D, bottom '[m']]]+TOWER_DATA[[#This Row],[D, top '[m']]])/(2*TOWER_DATA[[#This Row],[t '[mm']]]/1000),"")</f>
        <v/>
      </c>
      <c r="CB103" s="80" t="str">
        <f>IFERROR((TOWER_DATA[[#This Row],[D, bottom '[m']]]+#REF!)/(2*#REF!/1000),"")</f>
        <v/>
      </c>
      <c r="DF103" s="80" t="str">
        <f>IFERROR(RNA_DATA[[#This Row],[Inertia '[kg·m²']]]-RNA_DATA[[#This Row],[Offset TT_COG '[m']]], "")</f>
        <v/>
      </c>
      <c r="DG103" s="80" t="str">
        <f>IFERROR(-(RNA_DATA[[#This Row],[comment]]-RNA_DATA[[#This Row],[Offset TT_COG '[m']]])/(RNA_DATA[[#This Row],[Inertia '[kg·m²']]]-RNA_DATA[[#This Row],[Mass '[t']]]),"")</f>
        <v/>
      </c>
      <c r="DH103" s="80" t="str">
        <f t="shared" si="7"/>
        <v/>
      </c>
      <c r="DI103" s="80" t="str">
        <f>IFERROR((RNA_DATA[[#This Row],[comment]]+RNA_DATA[[#This Row],[Offset TT_COG '[m']]])/(2*#REF!/1000),"")</f>
        <v/>
      </c>
    </row>
    <row r="104" spans="8:113" x14ac:dyDescent="0.3">
      <c r="H104" s="80" t="str">
        <f>IFERROR(MP_DATA[[#This Row],[Bottom '[m']]]-MP_DATA[[#This Row],[D, top '[m']]], "")</f>
        <v/>
      </c>
      <c r="I104" s="80" t="str">
        <f>IFERROR(-(MP_DATA[[#This Row],[D, bottom '[m']]]-MP_DATA[[#This Row],[D, top '[m']]])/(MP_DATA[[#This Row],[Bottom '[m']]]-MP_DATA[[#This Row],[Top '[m']]]),"")</f>
        <v/>
      </c>
      <c r="J104" s="80" t="str">
        <f t="shared" si="4"/>
        <v/>
      </c>
      <c r="K104" s="80" t="str">
        <f>IFERROR((MP_DATA[[#This Row],[D, bottom '[m']]]+MP_DATA[[#This Row],[D, top '[m']]])/(2*MP_DATA[[#This Row],[t '[mm']]]/1000),"")</f>
        <v/>
      </c>
      <c r="L104" s="80" t="str">
        <f>IFERROR((MP_DATA[[#This Row],[D, bottom '[m']]]+#REF!)/(2*#REF!/1000),"")</f>
        <v/>
      </c>
      <c r="AP104" s="80" t="str">
        <f>IFERROR(TP_DATA[[#This Row],[Bottom '[m']]]-TP_DATA[[#This Row],[D, top '[m']]], "")</f>
        <v/>
      </c>
      <c r="AQ104" s="80" t="str">
        <f>IFERROR(-(TP_DATA[[#This Row],[D, bottom '[m']]]-TP_DATA[[#This Row],[D, top '[m']]])/(TP_DATA[[#This Row],[Bottom '[m']]]-TP_DATA[[#This Row],[Top '[m']]]),"")</f>
        <v/>
      </c>
      <c r="AR104" s="80" t="str">
        <f t="shared" si="5"/>
        <v/>
      </c>
      <c r="AS104" s="80" t="str">
        <f>IFERROR((TP_DATA[[#This Row],[D, bottom '[m']]]+TP_DATA[[#This Row],[D, top '[m']]])/(2*TP_DATA[[#This Row],[t '[mm']]]/1000),"")</f>
        <v/>
      </c>
      <c r="AT104" s="80" t="str">
        <f>IFERROR((TP_DATA[[#This Row],[D, bottom '[m']]]+#REF!)/(2*#REF!/1000),"")</f>
        <v/>
      </c>
      <c r="BX104" s="80" t="str">
        <f>IFERROR(TOWER_DATA[[#This Row],[Bottom '[m']]]-TOWER_DATA[[#This Row],[D, top '[m']]], "")</f>
        <v/>
      </c>
      <c r="BY104" s="80" t="str">
        <f>IFERROR(-(TOWER_DATA[[#This Row],[D, bottom '[m']]]-TOWER_DATA[[#This Row],[D, top '[m']]])/(TOWER_DATA[[#This Row],[Bottom '[m']]]-TOWER_DATA[[#This Row],[Top '[m']]]),"")</f>
        <v/>
      </c>
      <c r="BZ104" s="80" t="str">
        <f t="shared" si="6"/>
        <v/>
      </c>
      <c r="CA104" s="80" t="str">
        <f>IFERROR((TOWER_DATA[[#This Row],[D, bottom '[m']]]+TOWER_DATA[[#This Row],[D, top '[m']]])/(2*TOWER_DATA[[#This Row],[t '[mm']]]/1000),"")</f>
        <v/>
      </c>
      <c r="CB104" s="80" t="str">
        <f>IFERROR((TOWER_DATA[[#This Row],[D, bottom '[m']]]+#REF!)/(2*#REF!/1000),"")</f>
        <v/>
      </c>
      <c r="DF104" s="80" t="str">
        <f>IFERROR(RNA_DATA[[#This Row],[Inertia '[kg·m²']]]-RNA_DATA[[#This Row],[Offset TT_COG '[m']]], "")</f>
        <v/>
      </c>
      <c r="DG104" s="80" t="str">
        <f>IFERROR(-(RNA_DATA[[#This Row],[comment]]-RNA_DATA[[#This Row],[Offset TT_COG '[m']]])/(RNA_DATA[[#This Row],[Inertia '[kg·m²']]]-RNA_DATA[[#This Row],[Mass '[t']]]),"")</f>
        <v/>
      </c>
      <c r="DH104" s="80" t="str">
        <f t="shared" si="7"/>
        <v/>
      </c>
      <c r="DI104" s="80" t="str">
        <f>IFERROR((RNA_DATA[[#This Row],[comment]]+RNA_DATA[[#This Row],[Offset TT_COG '[m']]])/(2*#REF!/1000),"")</f>
        <v/>
      </c>
    </row>
    <row r="105" spans="8:113" x14ac:dyDescent="0.3">
      <c r="H105" s="80" t="str">
        <f>IFERROR(MP_DATA[[#This Row],[Bottom '[m']]]-MP_DATA[[#This Row],[D, top '[m']]], "")</f>
        <v/>
      </c>
      <c r="I105" s="80" t="str">
        <f>IFERROR(-(MP_DATA[[#This Row],[D, bottom '[m']]]-MP_DATA[[#This Row],[D, top '[m']]])/(MP_DATA[[#This Row],[Bottom '[m']]]-MP_DATA[[#This Row],[Top '[m']]]),"")</f>
        <v/>
      </c>
      <c r="J105" s="80" t="str">
        <f t="shared" si="4"/>
        <v/>
      </c>
      <c r="K105" s="80" t="str">
        <f>IFERROR((MP_DATA[[#This Row],[D, bottom '[m']]]+MP_DATA[[#This Row],[D, top '[m']]])/(2*MP_DATA[[#This Row],[t '[mm']]]/1000),"")</f>
        <v/>
      </c>
      <c r="L105" s="80" t="str">
        <f>IFERROR((MP_DATA[[#This Row],[D, bottom '[m']]]+#REF!)/(2*#REF!/1000),"")</f>
        <v/>
      </c>
      <c r="AP105" s="80" t="str">
        <f>IFERROR(TP_DATA[[#This Row],[Bottom '[m']]]-TP_DATA[[#This Row],[D, top '[m']]], "")</f>
        <v/>
      </c>
      <c r="AQ105" s="80" t="str">
        <f>IFERROR(-(TP_DATA[[#This Row],[D, bottom '[m']]]-TP_DATA[[#This Row],[D, top '[m']]])/(TP_DATA[[#This Row],[Bottom '[m']]]-TP_DATA[[#This Row],[Top '[m']]]),"")</f>
        <v/>
      </c>
      <c r="AR105" s="80" t="str">
        <f t="shared" si="5"/>
        <v/>
      </c>
      <c r="AS105" s="80" t="str">
        <f>IFERROR((TP_DATA[[#This Row],[D, bottom '[m']]]+TP_DATA[[#This Row],[D, top '[m']]])/(2*TP_DATA[[#This Row],[t '[mm']]]/1000),"")</f>
        <v/>
      </c>
      <c r="AT105" s="80" t="str">
        <f>IFERROR((TP_DATA[[#This Row],[D, bottom '[m']]]+#REF!)/(2*#REF!/1000),"")</f>
        <v/>
      </c>
      <c r="BX105" s="80" t="str">
        <f>IFERROR(TOWER_DATA[[#This Row],[Bottom '[m']]]-TOWER_DATA[[#This Row],[D, top '[m']]], "")</f>
        <v/>
      </c>
      <c r="BY105" s="80" t="str">
        <f>IFERROR(-(TOWER_DATA[[#This Row],[D, bottom '[m']]]-TOWER_DATA[[#This Row],[D, top '[m']]])/(TOWER_DATA[[#This Row],[Bottom '[m']]]-TOWER_DATA[[#This Row],[Top '[m']]]),"")</f>
        <v/>
      </c>
      <c r="BZ105" s="80" t="str">
        <f t="shared" si="6"/>
        <v/>
      </c>
      <c r="CA105" s="80" t="str">
        <f>IFERROR((TOWER_DATA[[#This Row],[D, bottom '[m']]]+TOWER_DATA[[#This Row],[D, top '[m']]])/(2*TOWER_DATA[[#This Row],[t '[mm']]]/1000),"")</f>
        <v/>
      </c>
      <c r="CB105" s="80" t="str">
        <f>IFERROR((TOWER_DATA[[#This Row],[D, bottom '[m']]]+#REF!)/(2*#REF!/1000),"")</f>
        <v/>
      </c>
      <c r="DF105" s="80" t="str">
        <f>IFERROR(RNA_DATA[[#This Row],[Inertia '[kg·m²']]]-RNA_DATA[[#This Row],[Offset TT_COG '[m']]], "")</f>
        <v/>
      </c>
      <c r="DG105" s="80" t="str">
        <f>IFERROR(-(RNA_DATA[[#This Row],[comment]]-RNA_DATA[[#This Row],[Offset TT_COG '[m']]])/(RNA_DATA[[#This Row],[Inertia '[kg·m²']]]-RNA_DATA[[#This Row],[Mass '[t']]]),"")</f>
        <v/>
      </c>
      <c r="DH105" s="80" t="str">
        <f t="shared" si="7"/>
        <v/>
      </c>
      <c r="DI105" s="80" t="str">
        <f>IFERROR((RNA_DATA[[#This Row],[comment]]+RNA_DATA[[#This Row],[Offset TT_COG '[m']]])/(2*#REF!/1000),"")</f>
        <v/>
      </c>
    </row>
    <row r="106" spans="8:113" x14ac:dyDescent="0.3">
      <c r="H106" s="80" t="str">
        <f>IFERROR(MP_DATA[[#This Row],[Bottom '[m']]]-MP_DATA[[#This Row],[D, top '[m']]], "")</f>
        <v/>
      </c>
      <c r="I106" s="80" t="str">
        <f>IFERROR(-(MP_DATA[[#This Row],[D, bottom '[m']]]-MP_DATA[[#This Row],[D, top '[m']]])/(MP_DATA[[#This Row],[Bottom '[m']]]-MP_DATA[[#This Row],[Top '[m']]]),"")</f>
        <v/>
      </c>
      <c r="J106" s="80" t="str">
        <f t="shared" si="4"/>
        <v/>
      </c>
      <c r="K106" s="80" t="str">
        <f>IFERROR((MP_DATA[[#This Row],[D, bottom '[m']]]+MP_DATA[[#This Row],[D, top '[m']]])/(2*MP_DATA[[#This Row],[t '[mm']]]/1000),"")</f>
        <v/>
      </c>
      <c r="L106" s="80" t="str">
        <f>IFERROR((MP_DATA[[#This Row],[D, bottom '[m']]]+#REF!)/(2*#REF!/1000),"")</f>
        <v/>
      </c>
      <c r="AP106" s="80" t="str">
        <f>IFERROR(TP_DATA[[#This Row],[Bottom '[m']]]-TP_DATA[[#This Row],[D, top '[m']]], "")</f>
        <v/>
      </c>
      <c r="AQ106" s="80" t="str">
        <f>IFERROR(-(TP_DATA[[#This Row],[D, bottom '[m']]]-TP_DATA[[#This Row],[D, top '[m']]])/(TP_DATA[[#This Row],[Bottom '[m']]]-TP_DATA[[#This Row],[Top '[m']]]),"")</f>
        <v/>
      </c>
      <c r="AR106" s="80" t="str">
        <f t="shared" si="5"/>
        <v/>
      </c>
      <c r="AS106" s="80" t="str">
        <f>IFERROR((TP_DATA[[#This Row],[D, bottom '[m']]]+TP_DATA[[#This Row],[D, top '[m']]])/(2*TP_DATA[[#This Row],[t '[mm']]]/1000),"")</f>
        <v/>
      </c>
      <c r="AT106" s="80" t="str">
        <f>IFERROR((TP_DATA[[#This Row],[D, bottom '[m']]]+#REF!)/(2*#REF!/1000),"")</f>
        <v/>
      </c>
      <c r="BX106" s="80" t="str">
        <f>IFERROR(TOWER_DATA[[#This Row],[Bottom '[m']]]-TOWER_DATA[[#This Row],[D, top '[m']]], "")</f>
        <v/>
      </c>
      <c r="BY106" s="80" t="str">
        <f>IFERROR(-(TOWER_DATA[[#This Row],[D, bottom '[m']]]-TOWER_DATA[[#This Row],[D, top '[m']]])/(TOWER_DATA[[#This Row],[Bottom '[m']]]-TOWER_DATA[[#This Row],[Top '[m']]]),"")</f>
        <v/>
      </c>
      <c r="BZ106" s="80" t="str">
        <f t="shared" si="6"/>
        <v/>
      </c>
      <c r="CA106" s="80" t="str">
        <f>IFERROR((TOWER_DATA[[#This Row],[D, bottom '[m']]]+TOWER_DATA[[#This Row],[D, top '[m']]])/(2*TOWER_DATA[[#This Row],[t '[mm']]]/1000),"")</f>
        <v/>
      </c>
      <c r="CB106" s="80" t="str">
        <f>IFERROR((TOWER_DATA[[#This Row],[D, bottom '[m']]]+#REF!)/(2*#REF!/1000),"")</f>
        <v/>
      </c>
      <c r="DF106" s="80" t="str">
        <f>IFERROR(RNA_DATA[[#This Row],[Inertia '[kg·m²']]]-RNA_DATA[[#This Row],[Offset TT_COG '[m']]], "")</f>
        <v/>
      </c>
      <c r="DG106" s="80" t="str">
        <f>IFERROR(-(RNA_DATA[[#This Row],[comment]]-RNA_DATA[[#This Row],[Offset TT_COG '[m']]])/(RNA_DATA[[#This Row],[Inertia '[kg·m²']]]-RNA_DATA[[#This Row],[Mass '[t']]]),"")</f>
        <v/>
      </c>
      <c r="DH106" s="80" t="str">
        <f t="shared" si="7"/>
        <v/>
      </c>
      <c r="DI106" s="80" t="str">
        <f>IFERROR((RNA_DATA[[#This Row],[comment]]+RNA_DATA[[#This Row],[Offset TT_COG '[m']]])/(2*#REF!/1000),"")</f>
        <v/>
      </c>
    </row>
    <row r="107" spans="8:113" x14ac:dyDescent="0.3">
      <c r="H107" s="80" t="str">
        <f>IFERROR(MP_DATA[[#This Row],[Bottom '[m']]]-MP_DATA[[#This Row],[D, top '[m']]], "")</f>
        <v/>
      </c>
      <c r="I107" s="80" t="str">
        <f>IFERROR(-(MP_DATA[[#This Row],[D, bottom '[m']]]-MP_DATA[[#This Row],[D, top '[m']]])/(MP_DATA[[#This Row],[Bottom '[m']]]-MP_DATA[[#This Row],[Top '[m']]]),"")</f>
        <v/>
      </c>
      <c r="J107" s="80" t="str">
        <f t="shared" si="4"/>
        <v/>
      </c>
      <c r="K107" s="80" t="str">
        <f>IFERROR((MP_DATA[[#This Row],[D, bottom '[m']]]+MP_DATA[[#This Row],[D, top '[m']]])/(2*MP_DATA[[#This Row],[t '[mm']]]/1000),"")</f>
        <v/>
      </c>
      <c r="L107" s="80" t="str">
        <f>IFERROR((MP_DATA[[#This Row],[D, bottom '[m']]]+#REF!)/(2*#REF!/1000),"")</f>
        <v/>
      </c>
      <c r="AP107" s="80" t="str">
        <f>IFERROR(TP_DATA[[#This Row],[Bottom '[m']]]-TP_DATA[[#This Row],[D, top '[m']]], "")</f>
        <v/>
      </c>
      <c r="AQ107" s="80" t="str">
        <f>IFERROR(-(TP_DATA[[#This Row],[D, bottom '[m']]]-TP_DATA[[#This Row],[D, top '[m']]])/(TP_DATA[[#This Row],[Bottom '[m']]]-TP_DATA[[#This Row],[Top '[m']]]),"")</f>
        <v/>
      </c>
      <c r="AR107" s="80" t="str">
        <f t="shared" si="5"/>
        <v/>
      </c>
      <c r="AS107" s="80" t="str">
        <f>IFERROR((TP_DATA[[#This Row],[D, bottom '[m']]]+TP_DATA[[#This Row],[D, top '[m']]])/(2*TP_DATA[[#This Row],[t '[mm']]]/1000),"")</f>
        <v/>
      </c>
      <c r="AT107" s="80" t="str">
        <f>IFERROR((TP_DATA[[#This Row],[D, bottom '[m']]]+#REF!)/(2*#REF!/1000),"")</f>
        <v/>
      </c>
      <c r="BX107" s="80" t="str">
        <f>IFERROR(TOWER_DATA[[#This Row],[Bottom '[m']]]-TOWER_DATA[[#This Row],[D, top '[m']]], "")</f>
        <v/>
      </c>
      <c r="BY107" s="80" t="str">
        <f>IFERROR(-(TOWER_DATA[[#This Row],[D, bottom '[m']]]-TOWER_DATA[[#This Row],[D, top '[m']]])/(TOWER_DATA[[#This Row],[Bottom '[m']]]-TOWER_DATA[[#This Row],[Top '[m']]]),"")</f>
        <v/>
      </c>
      <c r="BZ107" s="80" t="str">
        <f t="shared" si="6"/>
        <v/>
      </c>
      <c r="CA107" s="80" t="str">
        <f>IFERROR((TOWER_DATA[[#This Row],[D, bottom '[m']]]+TOWER_DATA[[#This Row],[D, top '[m']]])/(2*TOWER_DATA[[#This Row],[t '[mm']]]/1000),"")</f>
        <v/>
      </c>
      <c r="CB107" s="80" t="str">
        <f>IFERROR((TOWER_DATA[[#This Row],[D, bottom '[m']]]+#REF!)/(2*#REF!/1000),"")</f>
        <v/>
      </c>
      <c r="DF107" s="80" t="str">
        <f>IFERROR(RNA_DATA[[#This Row],[Inertia '[kg·m²']]]-RNA_DATA[[#This Row],[Offset TT_COG '[m']]], "")</f>
        <v/>
      </c>
      <c r="DG107" s="80" t="str">
        <f>IFERROR(-(RNA_DATA[[#This Row],[comment]]-RNA_DATA[[#This Row],[Offset TT_COG '[m']]])/(RNA_DATA[[#This Row],[Inertia '[kg·m²']]]-RNA_DATA[[#This Row],[Mass '[t']]]),"")</f>
        <v/>
      </c>
      <c r="DH107" s="80" t="str">
        <f t="shared" si="7"/>
        <v/>
      </c>
      <c r="DI107" s="80" t="str">
        <f>IFERROR((RNA_DATA[[#This Row],[comment]]+RNA_DATA[[#This Row],[Offset TT_COG '[m']]])/(2*#REF!/1000),"")</f>
        <v/>
      </c>
    </row>
    <row r="108" spans="8:113" x14ac:dyDescent="0.3">
      <c r="H108" s="80" t="str">
        <f>IFERROR(MP_DATA[[#This Row],[Bottom '[m']]]-MP_DATA[[#This Row],[D, top '[m']]], "")</f>
        <v/>
      </c>
      <c r="I108" s="80" t="str">
        <f>IFERROR(-(MP_DATA[[#This Row],[D, bottom '[m']]]-MP_DATA[[#This Row],[D, top '[m']]])/(MP_DATA[[#This Row],[Bottom '[m']]]-MP_DATA[[#This Row],[Top '[m']]]),"")</f>
        <v/>
      </c>
      <c r="J108" s="80" t="str">
        <f t="shared" si="4"/>
        <v/>
      </c>
      <c r="K108" s="80" t="str">
        <f>IFERROR((MP_DATA[[#This Row],[D, bottom '[m']]]+MP_DATA[[#This Row],[D, top '[m']]])/(2*MP_DATA[[#This Row],[t '[mm']]]/1000),"")</f>
        <v/>
      </c>
      <c r="L108" s="80" t="str">
        <f>IFERROR((MP_DATA[[#This Row],[D, bottom '[m']]]+#REF!)/(2*#REF!/1000),"")</f>
        <v/>
      </c>
      <c r="AP108" s="80" t="str">
        <f>IFERROR(TP_DATA[[#This Row],[Bottom '[m']]]-TP_DATA[[#This Row],[D, top '[m']]], "")</f>
        <v/>
      </c>
      <c r="AQ108" s="80" t="str">
        <f>IFERROR(-(TP_DATA[[#This Row],[D, bottom '[m']]]-TP_DATA[[#This Row],[D, top '[m']]])/(TP_DATA[[#This Row],[Bottom '[m']]]-TP_DATA[[#This Row],[Top '[m']]]),"")</f>
        <v/>
      </c>
      <c r="AR108" s="80" t="str">
        <f t="shared" si="5"/>
        <v/>
      </c>
      <c r="AS108" s="80" t="str">
        <f>IFERROR((TP_DATA[[#This Row],[D, bottom '[m']]]+TP_DATA[[#This Row],[D, top '[m']]])/(2*TP_DATA[[#This Row],[t '[mm']]]/1000),"")</f>
        <v/>
      </c>
      <c r="AT108" s="80" t="str">
        <f>IFERROR((TP_DATA[[#This Row],[D, bottom '[m']]]+#REF!)/(2*#REF!/1000),"")</f>
        <v/>
      </c>
      <c r="BX108" s="80" t="str">
        <f>IFERROR(TOWER_DATA[[#This Row],[Bottom '[m']]]-TOWER_DATA[[#This Row],[D, top '[m']]], "")</f>
        <v/>
      </c>
      <c r="BY108" s="80" t="str">
        <f>IFERROR(-(TOWER_DATA[[#This Row],[D, bottom '[m']]]-TOWER_DATA[[#This Row],[D, top '[m']]])/(TOWER_DATA[[#This Row],[Bottom '[m']]]-TOWER_DATA[[#This Row],[Top '[m']]]),"")</f>
        <v/>
      </c>
      <c r="BZ108" s="80" t="str">
        <f t="shared" si="6"/>
        <v/>
      </c>
      <c r="CA108" s="80" t="str">
        <f>IFERROR((TOWER_DATA[[#This Row],[D, bottom '[m']]]+TOWER_DATA[[#This Row],[D, top '[m']]])/(2*TOWER_DATA[[#This Row],[t '[mm']]]/1000),"")</f>
        <v/>
      </c>
      <c r="CB108" s="80" t="str">
        <f>IFERROR((TOWER_DATA[[#This Row],[D, bottom '[m']]]+#REF!)/(2*#REF!/1000),"")</f>
        <v/>
      </c>
      <c r="DF108" s="80" t="str">
        <f>IFERROR(RNA_DATA[[#This Row],[Inertia '[kg·m²']]]-RNA_DATA[[#This Row],[Offset TT_COG '[m']]], "")</f>
        <v/>
      </c>
      <c r="DG108" s="80" t="str">
        <f>IFERROR(-(RNA_DATA[[#This Row],[comment]]-RNA_DATA[[#This Row],[Offset TT_COG '[m']]])/(RNA_DATA[[#This Row],[Inertia '[kg·m²']]]-RNA_DATA[[#This Row],[Mass '[t']]]),"")</f>
        <v/>
      </c>
      <c r="DH108" s="80" t="str">
        <f t="shared" si="7"/>
        <v/>
      </c>
      <c r="DI108" s="80" t="str">
        <f>IFERROR((RNA_DATA[[#This Row],[comment]]+RNA_DATA[[#This Row],[Offset TT_COG '[m']]])/(2*#REF!/1000),"")</f>
        <v/>
      </c>
    </row>
    <row r="109" spans="8:113" x14ac:dyDescent="0.3">
      <c r="H109" s="80" t="str">
        <f>IFERROR(MP_DATA[[#This Row],[Bottom '[m']]]-MP_DATA[[#This Row],[D, top '[m']]], "")</f>
        <v/>
      </c>
      <c r="I109" s="80" t="str">
        <f>IFERROR(-(MP_DATA[[#This Row],[D, bottom '[m']]]-MP_DATA[[#This Row],[D, top '[m']]])/(MP_DATA[[#This Row],[Bottom '[m']]]-MP_DATA[[#This Row],[Top '[m']]]),"")</f>
        <v/>
      </c>
      <c r="J109" s="80" t="str">
        <f t="shared" si="4"/>
        <v/>
      </c>
      <c r="K109" s="80" t="str">
        <f>IFERROR((MP_DATA[[#This Row],[D, bottom '[m']]]+MP_DATA[[#This Row],[D, top '[m']]])/(2*MP_DATA[[#This Row],[t '[mm']]]/1000),"")</f>
        <v/>
      </c>
      <c r="L109" s="80" t="str">
        <f>IFERROR((MP_DATA[[#This Row],[D, bottom '[m']]]+#REF!)/(2*#REF!/1000),"")</f>
        <v/>
      </c>
      <c r="AP109" s="80" t="str">
        <f>IFERROR(TP_DATA[[#This Row],[Bottom '[m']]]-TP_DATA[[#This Row],[D, top '[m']]], "")</f>
        <v/>
      </c>
      <c r="AQ109" s="80" t="str">
        <f>IFERROR(-(TP_DATA[[#This Row],[D, bottom '[m']]]-TP_DATA[[#This Row],[D, top '[m']]])/(TP_DATA[[#This Row],[Bottom '[m']]]-TP_DATA[[#This Row],[Top '[m']]]),"")</f>
        <v/>
      </c>
      <c r="AR109" s="80" t="str">
        <f t="shared" si="5"/>
        <v/>
      </c>
      <c r="AS109" s="80" t="str">
        <f>IFERROR((TP_DATA[[#This Row],[D, bottom '[m']]]+TP_DATA[[#This Row],[D, top '[m']]])/(2*TP_DATA[[#This Row],[t '[mm']]]/1000),"")</f>
        <v/>
      </c>
      <c r="AT109" s="80" t="str">
        <f>IFERROR((TP_DATA[[#This Row],[D, bottom '[m']]]+#REF!)/(2*#REF!/1000),"")</f>
        <v/>
      </c>
      <c r="BX109" s="80" t="str">
        <f>IFERROR(TOWER_DATA[[#This Row],[Bottom '[m']]]-TOWER_DATA[[#This Row],[D, top '[m']]], "")</f>
        <v/>
      </c>
      <c r="BY109" s="80" t="str">
        <f>IFERROR(-(TOWER_DATA[[#This Row],[D, bottom '[m']]]-TOWER_DATA[[#This Row],[D, top '[m']]])/(TOWER_DATA[[#This Row],[Bottom '[m']]]-TOWER_DATA[[#This Row],[Top '[m']]]),"")</f>
        <v/>
      </c>
      <c r="BZ109" s="80" t="str">
        <f t="shared" si="6"/>
        <v/>
      </c>
      <c r="CA109" s="80" t="str">
        <f>IFERROR((TOWER_DATA[[#This Row],[D, bottom '[m']]]+TOWER_DATA[[#This Row],[D, top '[m']]])/(2*TOWER_DATA[[#This Row],[t '[mm']]]/1000),"")</f>
        <v/>
      </c>
      <c r="CB109" s="80" t="str">
        <f>IFERROR((TOWER_DATA[[#This Row],[D, bottom '[m']]]+#REF!)/(2*#REF!/1000),"")</f>
        <v/>
      </c>
      <c r="DF109" s="80" t="str">
        <f>IFERROR(RNA_DATA[[#This Row],[Inertia '[kg·m²']]]-RNA_DATA[[#This Row],[Offset TT_COG '[m']]], "")</f>
        <v/>
      </c>
      <c r="DG109" s="80" t="str">
        <f>IFERROR(-(RNA_DATA[[#This Row],[comment]]-RNA_DATA[[#This Row],[Offset TT_COG '[m']]])/(RNA_DATA[[#This Row],[Inertia '[kg·m²']]]-RNA_DATA[[#This Row],[Mass '[t']]]),"")</f>
        <v/>
      </c>
      <c r="DH109" s="80" t="str">
        <f t="shared" si="7"/>
        <v/>
      </c>
      <c r="DI109" s="80" t="str">
        <f>IFERROR((RNA_DATA[[#This Row],[comment]]+RNA_DATA[[#This Row],[Offset TT_COG '[m']]])/(2*#REF!/1000),"")</f>
        <v/>
      </c>
    </row>
    <row r="110" spans="8:113" x14ac:dyDescent="0.3">
      <c r="H110" s="80" t="str">
        <f>IFERROR(MP_DATA[[#This Row],[Bottom '[m']]]-MP_DATA[[#This Row],[D, top '[m']]], "")</f>
        <v/>
      </c>
      <c r="I110" s="80" t="str">
        <f>IFERROR(-(MP_DATA[[#This Row],[D, bottom '[m']]]-MP_DATA[[#This Row],[D, top '[m']]])/(MP_DATA[[#This Row],[Bottom '[m']]]-MP_DATA[[#This Row],[Top '[m']]]),"")</f>
        <v/>
      </c>
      <c r="J110" s="80" t="str">
        <f t="shared" si="4"/>
        <v/>
      </c>
      <c r="K110" s="80" t="str">
        <f>IFERROR((MP_DATA[[#This Row],[D, bottom '[m']]]+MP_DATA[[#This Row],[D, top '[m']]])/(2*MP_DATA[[#This Row],[t '[mm']]]/1000),"")</f>
        <v/>
      </c>
      <c r="L110" s="80" t="str">
        <f>IFERROR((MP_DATA[[#This Row],[D, bottom '[m']]]+#REF!)/(2*#REF!/1000),"")</f>
        <v/>
      </c>
      <c r="AP110" s="80" t="str">
        <f>IFERROR(TP_DATA[[#This Row],[Bottom '[m']]]-TP_DATA[[#This Row],[D, top '[m']]], "")</f>
        <v/>
      </c>
      <c r="AQ110" s="80" t="str">
        <f>IFERROR(-(TP_DATA[[#This Row],[D, bottom '[m']]]-TP_DATA[[#This Row],[D, top '[m']]])/(TP_DATA[[#This Row],[Bottom '[m']]]-TP_DATA[[#This Row],[Top '[m']]]),"")</f>
        <v/>
      </c>
      <c r="AR110" s="80" t="str">
        <f t="shared" si="5"/>
        <v/>
      </c>
      <c r="AS110" s="80" t="str">
        <f>IFERROR((TP_DATA[[#This Row],[D, bottom '[m']]]+TP_DATA[[#This Row],[D, top '[m']]])/(2*TP_DATA[[#This Row],[t '[mm']]]/1000),"")</f>
        <v/>
      </c>
      <c r="AT110" s="80" t="str">
        <f>IFERROR((TP_DATA[[#This Row],[D, bottom '[m']]]+#REF!)/(2*#REF!/1000),"")</f>
        <v/>
      </c>
      <c r="BX110" s="80" t="str">
        <f>IFERROR(TOWER_DATA[[#This Row],[Bottom '[m']]]-TOWER_DATA[[#This Row],[D, top '[m']]], "")</f>
        <v/>
      </c>
      <c r="BY110" s="80" t="str">
        <f>IFERROR(-(TOWER_DATA[[#This Row],[D, bottom '[m']]]-TOWER_DATA[[#This Row],[D, top '[m']]])/(TOWER_DATA[[#This Row],[Bottom '[m']]]-TOWER_DATA[[#This Row],[Top '[m']]]),"")</f>
        <v/>
      </c>
      <c r="BZ110" s="80" t="str">
        <f t="shared" si="6"/>
        <v/>
      </c>
      <c r="CA110" s="80" t="str">
        <f>IFERROR((TOWER_DATA[[#This Row],[D, bottom '[m']]]+TOWER_DATA[[#This Row],[D, top '[m']]])/(2*TOWER_DATA[[#This Row],[t '[mm']]]/1000),"")</f>
        <v/>
      </c>
      <c r="CB110" s="80" t="str">
        <f>IFERROR((TOWER_DATA[[#This Row],[D, bottom '[m']]]+#REF!)/(2*#REF!/1000),"")</f>
        <v/>
      </c>
      <c r="DF110" s="80" t="str">
        <f>IFERROR(RNA_DATA[[#This Row],[Inertia '[kg·m²']]]-RNA_DATA[[#This Row],[Offset TT_COG '[m']]], "")</f>
        <v/>
      </c>
      <c r="DG110" s="80" t="str">
        <f>IFERROR(-(RNA_DATA[[#This Row],[comment]]-RNA_DATA[[#This Row],[Offset TT_COG '[m']]])/(RNA_DATA[[#This Row],[Inertia '[kg·m²']]]-RNA_DATA[[#This Row],[Mass '[t']]]),"")</f>
        <v/>
      </c>
      <c r="DH110" s="80" t="str">
        <f t="shared" si="7"/>
        <v/>
      </c>
      <c r="DI110" s="80" t="str">
        <f>IFERROR((RNA_DATA[[#This Row],[comment]]+RNA_DATA[[#This Row],[Offset TT_COG '[m']]])/(2*#REF!/1000),"")</f>
        <v/>
      </c>
    </row>
    <row r="111" spans="8:113" x14ac:dyDescent="0.3">
      <c r="H111" s="80" t="str">
        <f>IFERROR(MP_DATA[[#This Row],[Bottom '[m']]]-MP_DATA[[#This Row],[D, top '[m']]], "")</f>
        <v/>
      </c>
      <c r="I111" s="80" t="str">
        <f>IFERROR(-(MP_DATA[[#This Row],[D, bottom '[m']]]-MP_DATA[[#This Row],[D, top '[m']]])/(MP_DATA[[#This Row],[Bottom '[m']]]-MP_DATA[[#This Row],[Top '[m']]]),"")</f>
        <v/>
      </c>
      <c r="J111" s="80" t="str">
        <f t="shared" si="4"/>
        <v/>
      </c>
      <c r="K111" s="80" t="str">
        <f>IFERROR((MP_DATA[[#This Row],[D, bottom '[m']]]+MP_DATA[[#This Row],[D, top '[m']]])/(2*MP_DATA[[#This Row],[t '[mm']]]/1000),"")</f>
        <v/>
      </c>
      <c r="L111" s="80" t="str">
        <f>IFERROR((MP_DATA[[#This Row],[D, bottom '[m']]]+#REF!)/(2*#REF!/1000),"")</f>
        <v/>
      </c>
      <c r="AP111" s="80" t="str">
        <f>IFERROR(TP_DATA[[#This Row],[Bottom '[m']]]-TP_DATA[[#This Row],[D, top '[m']]], "")</f>
        <v/>
      </c>
      <c r="AQ111" s="80" t="str">
        <f>IFERROR(-(TP_DATA[[#This Row],[D, bottom '[m']]]-TP_DATA[[#This Row],[D, top '[m']]])/(TP_DATA[[#This Row],[Bottom '[m']]]-TP_DATA[[#This Row],[Top '[m']]]),"")</f>
        <v/>
      </c>
      <c r="AR111" s="80" t="str">
        <f t="shared" si="5"/>
        <v/>
      </c>
      <c r="AS111" s="80" t="str">
        <f>IFERROR((TP_DATA[[#This Row],[D, bottom '[m']]]+TP_DATA[[#This Row],[D, top '[m']]])/(2*TP_DATA[[#This Row],[t '[mm']]]/1000),"")</f>
        <v/>
      </c>
      <c r="AT111" s="80" t="str">
        <f>IFERROR((TP_DATA[[#This Row],[D, bottom '[m']]]+#REF!)/(2*#REF!/1000),"")</f>
        <v/>
      </c>
      <c r="BX111" s="80" t="str">
        <f>IFERROR(TOWER_DATA[[#This Row],[Bottom '[m']]]-TOWER_DATA[[#This Row],[D, top '[m']]], "")</f>
        <v/>
      </c>
      <c r="BY111" s="80" t="str">
        <f>IFERROR(-(TOWER_DATA[[#This Row],[D, bottom '[m']]]-TOWER_DATA[[#This Row],[D, top '[m']]])/(TOWER_DATA[[#This Row],[Bottom '[m']]]-TOWER_DATA[[#This Row],[Top '[m']]]),"")</f>
        <v/>
      </c>
      <c r="BZ111" s="80" t="str">
        <f t="shared" si="6"/>
        <v/>
      </c>
      <c r="CA111" s="80" t="str">
        <f>IFERROR((TOWER_DATA[[#This Row],[D, bottom '[m']]]+TOWER_DATA[[#This Row],[D, top '[m']]])/(2*TOWER_DATA[[#This Row],[t '[mm']]]/1000),"")</f>
        <v/>
      </c>
      <c r="CB111" s="80" t="str">
        <f>IFERROR((TOWER_DATA[[#This Row],[D, bottom '[m']]]+#REF!)/(2*#REF!/1000),"")</f>
        <v/>
      </c>
      <c r="DF111" s="80" t="str">
        <f>IFERROR(RNA_DATA[[#This Row],[Inertia '[kg·m²']]]-RNA_DATA[[#This Row],[Offset TT_COG '[m']]], "")</f>
        <v/>
      </c>
      <c r="DG111" s="80" t="str">
        <f>IFERROR(-(RNA_DATA[[#This Row],[comment]]-RNA_DATA[[#This Row],[Offset TT_COG '[m']]])/(RNA_DATA[[#This Row],[Inertia '[kg·m²']]]-RNA_DATA[[#This Row],[Mass '[t']]]),"")</f>
        <v/>
      </c>
      <c r="DH111" s="80" t="str">
        <f t="shared" si="7"/>
        <v/>
      </c>
      <c r="DI111" s="80" t="str">
        <f>IFERROR((RNA_DATA[[#This Row],[comment]]+RNA_DATA[[#This Row],[Offset TT_COG '[m']]])/(2*#REF!/1000),"")</f>
        <v/>
      </c>
    </row>
    <row r="112" spans="8:113" x14ac:dyDescent="0.3">
      <c r="H112" s="80" t="str">
        <f>IFERROR(MP_DATA[[#This Row],[Bottom '[m']]]-MP_DATA[[#This Row],[D, top '[m']]], "")</f>
        <v/>
      </c>
      <c r="I112" s="80" t="str">
        <f>IFERROR(-(MP_DATA[[#This Row],[D, bottom '[m']]]-MP_DATA[[#This Row],[D, top '[m']]])/(MP_DATA[[#This Row],[Bottom '[m']]]-MP_DATA[[#This Row],[Top '[m']]]),"")</f>
        <v/>
      </c>
      <c r="J112" s="80" t="str">
        <f t="shared" si="4"/>
        <v/>
      </c>
      <c r="K112" s="80" t="str">
        <f>IFERROR((MP_DATA[[#This Row],[D, bottom '[m']]]+MP_DATA[[#This Row],[D, top '[m']]])/(2*MP_DATA[[#This Row],[t '[mm']]]/1000),"")</f>
        <v/>
      </c>
      <c r="L112" s="80" t="str">
        <f>IFERROR((MP_DATA[[#This Row],[D, bottom '[m']]]+#REF!)/(2*#REF!/1000),"")</f>
        <v/>
      </c>
      <c r="AP112" s="80" t="str">
        <f>IFERROR(TP_DATA[[#This Row],[Bottom '[m']]]-TP_DATA[[#This Row],[D, top '[m']]], "")</f>
        <v/>
      </c>
      <c r="AQ112" s="80" t="str">
        <f>IFERROR(-(TP_DATA[[#This Row],[D, bottom '[m']]]-TP_DATA[[#This Row],[D, top '[m']]])/(TP_DATA[[#This Row],[Bottom '[m']]]-TP_DATA[[#This Row],[Top '[m']]]),"")</f>
        <v/>
      </c>
      <c r="AR112" s="80" t="str">
        <f t="shared" si="5"/>
        <v/>
      </c>
      <c r="AS112" s="80" t="str">
        <f>IFERROR((TP_DATA[[#This Row],[D, bottom '[m']]]+TP_DATA[[#This Row],[D, top '[m']]])/(2*TP_DATA[[#This Row],[t '[mm']]]/1000),"")</f>
        <v/>
      </c>
      <c r="AT112" s="80" t="str">
        <f>IFERROR((TP_DATA[[#This Row],[D, bottom '[m']]]+#REF!)/(2*#REF!/1000),"")</f>
        <v/>
      </c>
      <c r="BX112" s="80" t="str">
        <f>IFERROR(TOWER_DATA[[#This Row],[Bottom '[m']]]-TOWER_DATA[[#This Row],[D, top '[m']]], "")</f>
        <v/>
      </c>
      <c r="BY112" s="80" t="str">
        <f>IFERROR(-(TOWER_DATA[[#This Row],[D, bottom '[m']]]-TOWER_DATA[[#This Row],[D, top '[m']]])/(TOWER_DATA[[#This Row],[Bottom '[m']]]-TOWER_DATA[[#This Row],[Top '[m']]]),"")</f>
        <v/>
      </c>
      <c r="BZ112" s="80" t="str">
        <f t="shared" si="6"/>
        <v/>
      </c>
      <c r="CA112" s="80" t="str">
        <f>IFERROR((TOWER_DATA[[#This Row],[D, bottom '[m']]]+TOWER_DATA[[#This Row],[D, top '[m']]])/(2*TOWER_DATA[[#This Row],[t '[mm']]]/1000),"")</f>
        <v/>
      </c>
      <c r="CB112" s="80" t="str">
        <f>IFERROR((TOWER_DATA[[#This Row],[D, bottom '[m']]]+#REF!)/(2*#REF!/1000),"")</f>
        <v/>
      </c>
      <c r="DF112" s="80" t="str">
        <f>IFERROR(RNA_DATA[[#This Row],[Inertia '[kg·m²']]]-RNA_DATA[[#This Row],[Offset TT_COG '[m']]], "")</f>
        <v/>
      </c>
      <c r="DG112" s="80" t="str">
        <f>IFERROR(-(RNA_DATA[[#This Row],[comment]]-RNA_DATA[[#This Row],[Offset TT_COG '[m']]])/(RNA_DATA[[#This Row],[Inertia '[kg·m²']]]-RNA_DATA[[#This Row],[Mass '[t']]]),"")</f>
        <v/>
      </c>
      <c r="DH112" s="80" t="str">
        <f t="shared" si="7"/>
        <v/>
      </c>
      <c r="DI112" s="80" t="str">
        <f>IFERROR((RNA_DATA[[#This Row],[comment]]+RNA_DATA[[#This Row],[Offset TT_COG '[m']]])/(2*#REF!/1000),"")</f>
        <v/>
      </c>
    </row>
    <row r="113" spans="8:113" x14ac:dyDescent="0.3">
      <c r="H113" s="80" t="str">
        <f>IFERROR(MP_DATA[[#This Row],[Bottom '[m']]]-MP_DATA[[#This Row],[D, top '[m']]], "")</f>
        <v/>
      </c>
      <c r="I113" s="80" t="str">
        <f>IFERROR(-(MP_DATA[[#This Row],[D, bottom '[m']]]-MP_DATA[[#This Row],[D, top '[m']]])/(MP_DATA[[#This Row],[Bottom '[m']]]-MP_DATA[[#This Row],[Top '[m']]]),"")</f>
        <v/>
      </c>
      <c r="J113" s="80" t="str">
        <f t="shared" si="4"/>
        <v/>
      </c>
      <c r="K113" s="80" t="str">
        <f>IFERROR((MP_DATA[[#This Row],[D, bottom '[m']]]+MP_DATA[[#This Row],[D, top '[m']]])/(2*MP_DATA[[#This Row],[t '[mm']]]/1000),"")</f>
        <v/>
      </c>
      <c r="L113" s="80" t="str">
        <f>IFERROR((MP_DATA[[#This Row],[D, bottom '[m']]]+#REF!)/(2*#REF!/1000),"")</f>
        <v/>
      </c>
      <c r="AP113" s="80" t="str">
        <f>IFERROR(TP_DATA[[#This Row],[Bottom '[m']]]-TP_DATA[[#This Row],[D, top '[m']]], "")</f>
        <v/>
      </c>
      <c r="AQ113" s="80" t="str">
        <f>IFERROR(-(TP_DATA[[#This Row],[D, bottom '[m']]]-TP_DATA[[#This Row],[D, top '[m']]])/(TP_DATA[[#This Row],[Bottom '[m']]]-TP_DATA[[#This Row],[Top '[m']]]),"")</f>
        <v/>
      </c>
      <c r="AR113" s="80" t="str">
        <f t="shared" si="5"/>
        <v/>
      </c>
      <c r="AS113" s="80" t="str">
        <f>IFERROR((TP_DATA[[#This Row],[D, bottom '[m']]]+TP_DATA[[#This Row],[D, top '[m']]])/(2*TP_DATA[[#This Row],[t '[mm']]]/1000),"")</f>
        <v/>
      </c>
      <c r="AT113" s="80" t="str">
        <f>IFERROR((TP_DATA[[#This Row],[D, bottom '[m']]]+#REF!)/(2*#REF!/1000),"")</f>
        <v/>
      </c>
      <c r="BX113" s="80" t="str">
        <f>IFERROR(TOWER_DATA[[#This Row],[Bottom '[m']]]-TOWER_DATA[[#This Row],[D, top '[m']]], "")</f>
        <v/>
      </c>
      <c r="BY113" s="80" t="str">
        <f>IFERROR(-(TOWER_DATA[[#This Row],[D, bottom '[m']]]-TOWER_DATA[[#This Row],[D, top '[m']]])/(TOWER_DATA[[#This Row],[Bottom '[m']]]-TOWER_DATA[[#This Row],[Top '[m']]]),"")</f>
        <v/>
      </c>
      <c r="BZ113" s="80" t="str">
        <f t="shared" si="6"/>
        <v/>
      </c>
      <c r="CA113" s="80" t="str">
        <f>IFERROR((TOWER_DATA[[#This Row],[D, bottom '[m']]]+TOWER_DATA[[#This Row],[D, top '[m']]])/(2*TOWER_DATA[[#This Row],[t '[mm']]]/1000),"")</f>
        <v/>
      </c>
      <c r="CB113" s="80" t="str">
        <f>IFERROR((TOWER_DATA[[#This Row],[D, bottom '[m']]]+#REF!)/(2*#REF!/1000),"")</f>
        <v/>
      </c>
      <c r="DF113" s="80" t="str">
        <f>IFERROR(RNA_DATA[[#This Row],[Inertia '[kg·m²']]]-RNA_DATA[[#This Row],[Offset TT_COG '[m']]], "")</f>
        <v/>
      </c>
      <c r="DG113" s="80" t="str">
        <f>IFERROR(-(RNA_DATA[[#This Row],[comment]]-RNA_DATA[[#This Row],[Offset TT_COG '[m']]])/(RNA_DATA[[#This Row],[Inertia '[kg·m²']]]-RNA_DATA[[#This Row],[Mass '[t']]]),"")</f>
        <v/>
      </c>
      <c r="DH113" s="80" t="str">
        <f t="shared" si="7"/>
        <v/>
      </c>
      <c r="DI113" s="80" t="str">
        <f>IFERROR((RNA_DATA[[#This Row],[comment]]+RNA_DATA[[#This Row],[Offset TT_COG '[m']]])/(2*#REF!/1000),"")</f>
        <v/>
      </c>
    </row>
    <row r="114" spans="8:113" x14ac:dyDescent="0.3">
      <c r="H114" s="80" t="str">
        <f>IFERROR(MP_DATA[[#This Row],[Bottom '[m']]]-MP_DATA[[#This Row],[D, top '[m']]], "")</f>
        <v/>
      </c>
      <c r="I114" s="80" t="str">
        <f>IFERROR(-(MP_DATA[[#This Row],[D, bottom '[m']]]-MP_DATA[[#This Row],[D, top '[m']]])/(MP_DATA[[#This Row],[Bottom '[m']]]-MP_DATA[[#This Row],[Top '[m']]]),"")</f>
        <v/>
      </c>
      <c r="J114" s="80" t="str">
        <f t="shared" si="4"/>
        <v/>
      </c>
      <c r="K114" s="80" t="str">
        <f>IFERROR((MP_DATA[[#This Row],[D, bottom '[m']]]+MP_DATA[[#This Row],[D, top '[m']]])/(2*MP_DATA[[#This Row],[t '[mm']]]/1000),"")</f>
        <v/>
      </c>
      <c r="L114" s="80" t="str">
        <f>IFERROR((MP_DATA[[#This Row],[D, bottom '[m']]]+#REF!)/(2*#REF!/1000),"")</f>
        <v/>
      </c>
      <c r="AP114" s="80" t="str">
        <f>IFERROR(TP_DATA[[#This Row],[Bottom '[m']]]-TP_DATA[[#This Row],[D, top '[m']]], "")</f>
        <v/>
      </c>
      <c r="AQ114" s="80" t="str">
        <f>IFERROR(-(TP_DATA[[#This Row],[D, bottom '[m']]]-TP_DATA[[#This Row],[D, top '[m']]])/(TP_DATA[[#This Row],[Bottom '[m']]]-TP_DATA[[#This Row],[Top '[m']]]),"")</f>
        <v/>
      </c>
      <c r="AR114" s="80" t="str">
        <f t="shared" si="5"/>
        <v/>
      </c>
      <c r="AS114" s="80" t="str">
        <f>IFERROR((TP_DATA[[#This Row],[D, bottom '[m']]]+TP_DATA[[#This Row],[D, top '[m']]])/(2*TP_DATA[[#This Row],[t '[mm']]]/1000),"")</f>
        <v/>
      </c>
      <c r="AT114" s="80" t="str">
        <f>IFERROR((TP_DATA[[#This Row],[D, bottom '[m']]]+#REF!)/(2*#REF!/1000),"")</f>
        <v/>
      </c>
      <c r="BX114" s="80" t="str">
        <f>IFERROR(TOWER_DATA[[#This Row],[Bottom '[m']]]-TOWER_DATA[[#This Row],[D, top '[m']]], "")</f>
        <v/>
      </c>
      <c r="BY114" s="80" t="str">
        <f>IFERROR(-(TOWER_DATA[[#This Row],[D, bottom '[m']]]-TOWER_DATA[[#This Row],[D, top '[m']]])/(TOWER_DATA[[#This Row],[Bottom '[m']]]-TOWER_DATA[[#This Row],[Top '[m']]]),"")</f>
        <v/>
      </c>
      <c r="BZ114" s="80" t="str">
        <f t="shared" si="6"/>
        <v/>
      </c>
      <c r="CA114" s="80" t="str">
        <f>IFERROR((TOWER_DATA[[#This Row],[D, bottom '[m']]]+TOWER_DATA[[#This Row],[D, top '[m']]])/(2*TOWER_DATA[[#This Row],[t '[mm']]]/1000),"")</f>
        <v/>
      </c>
      <c r="CB114" s="80" t="str">
        <f>IFERROR((TOWER_DATA[[#This Row],[D, bottom '[m']]]+#REF!)/(2*#REF!/1000),"")</f>
        <v/>
      </c>
      <c r="DF114" s="80" t="str">
        <f>IFERROR(RNA_DATA[[#This Row],[Inertia '[kg·m²']]]-RNA_DATA[[#This Row],[Offset TT_COG '[m']]], "")</f>
        <v/>
      </c>
      <c r="DG114" s="80" t="str">
        <f>IFERROR(-(RNA_DATA[[#This Row],[comment]]-RNA_DATA[[#This Row],[Offset TT_COG '[m']]])/(RNA_DATA[[#This Row],[Inertia '[kg·m²']]]-RNA_DATA[[#This Row],[Mass '[t']]]),"")</f>
        <v/>
      </c>
      <c r="DH114" s="80" t="str">
        <f t="shared" si="7"/>
        <v/>
      </c>
      <c r="DI114" s="80" t="str">
        <f>IFERROR((RNA_DATA[[#This Row],[comment]]+RNA_DATA[[#This Row],[Offset TT_COG '[m']]])/(2*#REF!/1000),"")</f>
        <v/>
      </c>
    </row>
    <row r="115" spans="8:113" x14ac:dyDescent="0.3">
      <c r="H115" s="80" t="str">
        <f>IFERROR(MP_DATA[[#This Row],[Bottom '[m']]]-MP_DATA[[#This Row],[D, top '[m']]], "")</f>
        <v/>
      </c>
      <c r="I115" s="80" t="str">
        <f>IFERROR(-(MP_DATA[[#This Row],[D, bottom '[m']]]-MP_DATA[[#This Row],[D, top '[m']]])/(MP_DATA[[#This Row],[Bottom '[m']]]-MP_DATA[[#This Row],[Top '[m']]]),"")</f>
        <v/>
      </c>
      <c r="J115" s="80" t="str">
        <f t="shared" si="4"/>
        <v/>
      </c>
      <c r="K115" s="80" t="str">
        <f>IFERROR((MP_DATA[[#This Row],[D, bottom '[m']]]+MP_DATA[[#This Row],[D, top '[m']]])/(2*MP_DATA[[#This Row],[t '[mm']]]/1000),"")</f>
        <v/>
      </c>
      <c r="L115" s="80" t="str">
        <f>IFERROR((MP_DATA[[#This Row],[D, bottom '[m']]]+#REF!)/(2*#REF!/1000),"")</f>
        <v/>
      </c>
      <c r="AP115" s="80" t="str">
        <f>IFERROR(TP_DATA[[#This Row],[Bottom '[m']]]-TP_DATA[[#This Row],[D, top '[m']]], "")</f>
        <v/>
      </c>
      <c r="AQ115" s="80" t="str">
        <f>IFERROR(-(TP_DATA[[#This Row],[D, bottom '[m']]]-TP_DATA[[#This Row],[D, top '[m']]])/(TP_DATA[[#This Row],[Bottom '[m']]]-TP_DATA[[#This Row],[Top '[m']]]),"")</f>
        <v/>
      </c>
      <c r="AR115" s="80" t="str">
        <f t="shared" si="5"/>
        <v/>
      </c>
      <c r="AS115" s="80" t="str">
        <f>IFERROR((TP_DATA[[#This Row],[D, bottom '[m']]]+TP_DATA[[#This Row],[D, top '[m']]])/(2*TP_DATA[[#This Row],[t '[mm']]]/1000),"")</f>
        <v/>
      </c>
      <c r="AT115" s="80" t="str">
        <f>IFERROR((TP_DATA[[#This Row],[D, bottom '[m']]]+#REF!)/(2*#REF!/1000),"")</f>
        <v/>
      </c>
      <c r="BX115" s="80" t="str">
        <f>IFERROR(TOWER_DATA[[#This Row],[Bottom '[m']]]-TOWER_DATA[[#This Row],[D, top '[m']]], "")</f>
        <v/>
      </c>
      <c r="BY115" s="80" t="str">
        <f>IFERROR(-(TOWER_DATA[[#This Row],[D, bottom '[m']]]-TOWER_DATA[[#This Row],[D, top '[m']]])/(TOWER_DATA[[#This Row],[Bottom '[m']]]-TOWER_DATA[[#This Row],[Top '[m']]]),"")</f>
        <v/>
      </c>
      <c r="BZ115" s="80" t="str">
        <f t="shared" si="6"/>
        <v/>
      </c>
      <c r="CA115" s="80" t="str">
        <f>IFERROR((TOWER_DATA[[#This Row],[D, bottom '[m']]]+TOWER_DATA[[#This Row],[D, top '[m']]])/(2*TOWER_DATA[[#This Row],[t '[mm']]]/1000),"")</f>
        <v/>
      </c>
      <c r="CB115" s="80" t="str">
        <f>IFERROR((TOWER_DATA[[#This Row],[D, bottom '[m']]]+#REF!)/(2*#REF!/1000),"")</f>
        <v/>
      </c>
      <c r="DF115" s="80" t="str">
        <f>IFERROR(RNA_DATA[[#This Row],[Inertia '[kg·m²']]]-RNA_DATA[[#This Row],[Offset TT_COG '[m']]], "")</f>
        <v/>
      </c>
      <c r="DG115" s="80" t="str">
        <f>IFERROR(-(RNA_DATA[[#This Row],[comment]]-RNA_DATA[[#This Row],[Offset TT_COG '[m']]])/(RNA_DATA[[#This Row],[Inertia '[kg·m²']]]-RNA_DATA[[#This Row],[Mass '[t']]]),"")</f>
        <v/>
      </c>
      <c r="DH115" s="80" t="str">
        <f t="shared" si="7"/>
        <v/>
      </c>
      <c r="DI115" s="80" t="str">
        <f>IFERROR((RNA_DATA[[#This Row],[comment]]+RNA_DATA[[#This Row],[Offset TT_COG '[m']]])/(2*#REF!/1000),"")</f>
        <v/>
      </c>
    </row>
    <row r="116" spans="8:113" x14ac:dyDescent="0.3">
      <c r="H116" s="80" t="str">
        <f>IFERROR(MP_DATA[[#This Row],[Bottom '[m']]]-MP_DATA[[#This Row],[D, top '[m']]], "")</f>
        <v/>
      </c>
      <c r="I116" s="80" t="str">
        <f>IFERROR(-(MP_DATA[[#This Row],[D, bottom '[m']]]-MP_DATA[[#This Row],[D, top '[m']]])/(MP_DATA[[#This Row],[Bottom '[m']]]-MP_DATA[[#This Row],[Top '[m']]]),"")</f>
        <v/>
      </c>
      <c r="J116" s="80" t="str">
        <f t="shared" si="4"/>
        <v/>
      </c>
      <c r="K116" s="80" t="str">
        <f>IFERROR((MP_DATA[[#This Row],[D, bottom '[m']]]+MP_DATA[[#This Row],[D, top '[m']]])/(2*MP_DATA[[#This Row],[t '[mm']]]/1000),"")</f>
        <v/>
      </c>
      <c r="L116" s="80" t="str">
        <f>IFERROR((MP_DATA[[#This Row],[D, bottom '[m']]]+#REF!)/(2*#REF!/1000),"")</f>
        <v/>
      </c>
      <c r="AP116" s="80" t="str">
        <f>IFERROR(TP_DATA[[#This Row],[Bottom '[m']]]-TP_DATA[[#This Row],[D, top '[m']]], "")</f>
        <v/>
      </c>
      <c r="AQ116" s="80" t="str">
        <f>IFERROR(-(TP_DATA[[#This Row],[D, bottom '[m']]]-TP_DATA[[#This Row],[D, top '[m']]])/(TP_DATA[[#This Row],[Bottom '[m']]]-TP_DATA[[#This Row],[Top '[m']]]),"")</f>
        <v/>
      </c>
      <c r="AR116" s="80" t="str">
        <f t="shared" si="5"/>
        <v/>
      </c>
      <c r="AS116" s="80" t="str">
        <f>IFERROR((TP_DATA[[#This Row],[D, bottom '[m']]]+TP_DATA[[#This Row],[D, top '[m']]])/(2*TP_DATA[[#This Row],[t '[mm']]]/1000),"")</f>
        <v/>
      </c>
      <c r="AT116" s="80" t="str">
        <f>IFERROR((TP_DATA[[#This Row],[D, bottom '[m']]]+#REF!)/(2*#REF!/1000),"")</f>
        <v/>
      </c>
      <c r="BX116" s="80" t="str">
        <f>IFERROR(TOWER_DATA[[#This Row],[Bottom '[m']]]-TOWER_DATA[[#This Row],[D, top '[m']]], "")</f>
        <v/>
      </c>
      <c r="BY116" s="80" t="str">
        <f>IFERROR(-(TOWER_DATA[[#This Row],[D, bottom '[m']]]-TOWER_DATA[[#This Row],[D, top '[m']]])/(TOWER_DATA[[#This Row],[Bottom '[m']]]-TOWER_DATA[[#This Row],[Top '[m']]]),"")</f>
        <v/>
      </c>
      <c r="BZ116" s="80" t="str">
        <f t="shared" si="6"/>
        <v/>
      </c>
      <c r="CA116" s="80" t="str">
        <f>IFERROR((TOWER_DATA[[#This Row],[D, bottom '[m']]]+TOWER_DATA[[#This Row],[D, top '[m']]])/(2*TOWER_DATA[[#This Row],[t '[mm']]]/1000),"")</f>
        <v/>
      </c>
      <c r="CB116" s="80" t="str">
        <f>IFERROR((TOWER_DATA[[#This Row],[D, bottom '[m']]]+#REF!)/(2*#REF!/1000),"")</f>
        <v/>
      </c>
      <c r="DF116" s="80" t="str">
        <f>IFERROR(RNA_DATA[[#This Row],[Inertia '[kg·m²']]]-RNA_DATA[[#This Row],[Offset TT_COG '[m']]], "")</f>
        <v/>
      </c>
      <c r="DG116" s="80" t="str">
        <f>IFERROR(-(RNA_DATA[[#This Row],[comment]]-RNA_DATA[[#This Row],[Offset TT_COG '[m']]])/(RNA_DATA[[#This Row],[Inertia '[kg·m²']]]-RNA_DATA[[#This Row],[Mass '[t']]]),"")</f>
        <v/>
      </c>
      <c r="DH116" s="80" t="str">
        <f t="shared" si="7"/>
        <v/>
      </c>
      <c r="DI116" s="80" t="str">
        <f>IFERROR((RNA_DATA[[#This Row],[comment]]+RNA_DATA[[#This Row],[Offset TT_COG '[m']]])/(2*#REF!/1000),"")</f>
        <v/>
      </c>
    </row>
    <row r="117" spans="8:113" x14ac:dyDescent="0.3">
      <c r="H117" s="80" t="str">
        <f>IFERROR(MP_DATA[[#This Row],[Bottom '[m']]]-MP_DATA[[#This Row],[D, top '[m']]], "")</f>
        <v/>
      </c>
      <c r="I117" s="80" t="str">
        <f>IFERROR(-(MP_DATA[[#This Row],[D, bottom '[m']]]-MP_DATA[[#This Row],[D, top '[m']]])/(MP_DATA[[#This Row],[Bottom '[m']]]-MP_DATA[[#This Row],[Top '[m']]]),"")</f>
        <v/>
      </c>
      <c r="J117" s="80" t="str">
        <f t="shared" si="4"/>
        <v/>
      </c>
      <c r="K117" s="80" t="str">
        <f>IFERROR((MP_DATA[[#This Row],[D, bottom '[m']]]+MP_DATA[[#This Row],[D, top '[m']]])/(2*MP_DATA[[#This Row],[t '[mm']]]/1000),"")</f>
        <v/>
      </c>
      <c r="L117" s="80" t="str">
        <f>IFERROR((MP_DATA[[#This Row],[D, bottom '[m']]]+#REF!)/(2*#REF!/1000),"")</f>
        <v/>
      </c>
      <c r="AP117" s="80" t="str">
        <f>IFERROR(TP_DATA[[#This Row],[Bottom '[m']]]-TP_DATA[[#This Row],[D, top '[m']]], "")</f>
        <v/>
      </c>
      <c r="AQ117" s="80" t="str">
        <f>IFERROR(-(TP_DATA[[#This Row],[D, bottom '[m']]]-TP_DATA[[#This Row],[D, top '[m']]])/(TP_DATA[[#This Row],[Bottom '[m']]]-TP_DATA[[#This Row],[Top '[m']]]),"")</f>
        <v/>
      </c>
      <c r="AR117" s="80" t="str">
        <f t="shared" si="5"/>
        <v/>
      </c>
      <c r="AS117" s="80" t="str">
        <f>IFERROR((TP_DATA[[#This Row],[D, bottom '[m']]]+TP_DATA[[#This Row],[D, top '[m']]])/(2*TP_DATA[[#This Row],[t '[mm']]]/1000),"")</f>
        <v/>
      </c>
      <c r="AT117" s="80" t="str">
        <f>IFERROR((TP_DATA[[#This Row],[D, bottom '[m']]]+#REF!)/(2*#REF!/1000),"")</f>
        <v/>
      </c>
      <c r="BX117" s="80" t="str">
        <f>IFERROR(TOWER_DATA[[#This Row],[Bottom '[m']]]-TOWER_DATA[[#This Row],[D, top '[m']]], "")</f>
        <v/>
      </c>
      <c r="BY117" s="80" t="str">
        <f>IFERROR(-(TOWER_DATA[[#This Row],[D, bottom '[m']]]-TOWER_DATA[[#This Row],[D, top '[m']]])/(TOWER_DATA[[#This Row],[Bottom '[m']]]-TOWER_DATA[[#This Row],[Top '[m']]]),"")</f>
        <v/>
      </c>
      <c r="BZ117" s="80" t="str">
        <f t="shared" si="6"/>
        <v/>
      </c>
      <c r="CA117" s="80" t="str">
        <f>IFERROR((TOWER_DATA[[#This Row],[D, bottom '[m']]]+TOWER_DATA[[#This Row],[D, top '[m']]])/(2*TOWER_DATA[[#This Row],[t '[mm']]]/1000),"")</f>
        <v/>
      </c>
      <c r="CB117" s="80" t="str">
        <f>IFERROR((TOWER_DATA[[#This Row],[D, bottom '[m']]]+#REF!)/(2*#REF!/1000),"")</f>
        <v/>
      </c>
      <c r="DF117" s="80" t="str">
        <f>IFERROR(RNA_DATA[[#This Row],[Inertia '[kg·m²']]]-RNA_DATA[[#This Row],[Offset TT_COG '[m']]], "")</f>
        <v/>
      </c>
      <c r="DG117" s="80" t="str">
        <f>IFERROR(-(RNA_DATA[[#This Row],[comment]]-RNA_DATA[[#This Row],[Offset TT_COG '[m']]])/(RNA_DATA[[#This Row],[Inertia '[kg·m²']]]-RNA_DATA[[#This Row],[Mass '[t']]]),"")</f>
        <v/>
      </c>
      <c r="DH117" s="80" t="str">
        <f t="shared" si="7"/>
        <v/>
      </c>
      <c r="DI117" s="80" t="str">
        <f>IFERROR((RNA_DATA[[#This Row],[comment]]+RNA_DATA[[#This Row],[Offset TT_COG '[m']]])/(2*#REF!/1000),"")</f>
        <v/>
      </c>
    </row>
    <row r="118" spans="8:113" x14ac:dyDescent="0.3">
      <c r="H118" s="80" t="str">
        <f>IFERROR(MP_DATA[[#This Row],[Bottom '[m']]]-MP_DATA[[#This Row],[D, top '[m']]], "")</f>
        <v/>
      </c>
      <c r="I118" s="80" t="str">
        <f>IFERROR(-(MP_DATA[[#This Row],[D, bottom '[m']]]-MP_DATA[[#This Row],[D, top '[m']]])/(MP_DATA[[#This Row],[Bottom '[m']]]-MP_DATA[[#This Row],[Top '[m']]]),"")</f>
        <v/>
      </c>
      <c r="J118" s="80" t="str">
        <f t="shared" si="4"/>
        <v/>
      </c>
      <c r="K118" s="80" t="str">
        <f>IFERROR((MP_DATA[[#This Row],[D, bottom '[m']]]+MP_DATA[[#This Row],[D, top '[m']]])/(2*MP_DATA[[#This Row],[t '[mm']]]/1000),"")</f>
        <v/>
      </c>
      <c r="L118" s="80" t="str">
        <f>IFERROR((MP_DATA[[#This Row],[D, bottom '[m']]]+#REF!)/(2*#REF!/1000),"")</f>
        <v/>
      </c>
      <c r="AP118" s="80" t="str">
        <f>IFERROR(TP_DATA[[#This Row],[Bottom '[m']]]-TP_DATA[[#This Row],[D, top '[m']]], "")</f>
        <v/>
      </c>
      <c r="AQ118" s="80" t="str">
        <f>IFERROR(-(TP_DATA[[#This Row],[D, bottom '[m']]]-TP_DATA[[#This Row],[D, top '[m']]])/(TP_DATA[[#This Row],[Bottom '[m']]]-TP_DATA[[#This Row],[Top '[m']]]),"")</f>
        <v/>
      </c>
      <c r="AR118" s="80" t="str">
        <f t="shared" si="5"/>
        <v/>
      </c>
      <c r="AS118" s="80" t="str">
        <f>IFERROR((TP_DATA[[#This Row],[D, bottom '[m']]]+TP_DATA[[#This Row],[D, top '[m']]])/(2*TP_DATA[[#This Row],[t '[mm']]]/1000),"")</f>
        <v/>
      </c>
      <c r="AT118" s="80" t="str">
        <f>IFERROR((TP_DATA[[#This Row],[D, bottom '[m']]]+#REF!)/(2*#REF!/1000),"")</f>
        <v/>
      </c>
      <c r="BX118" s="80" t="str">
        <f>IFERROR(TOWER_DATA[[#This Row],[Bottom '[m']]]-TOWER_DATA[[#This Row],[D, top '[m']]], "")</f>
        <v/>
      </c>
      <c r="BY118" s="80" t="str">
        <f>IFERROR(-(TOWER_DATA[[#This Row],[D, bottom '[m']]]-TOWER_DATA[[#This Row],[D, top '[m']]])/(TOWER_DATA[[#This Row],[Bottom '[m']]]-TOWER_DATA[[#This Row],[Top '[m']]]),"")</f>
        <v/>
      </c>
      <c r="BZ118" s="80" t="str">
        <f t="shared" si="6"/>
        <v/>
      </c>
      <c r="CA118" s="80" t="str">
        <f>IFERROR((TOWER_DATA[[#This Row],[D, bottom '[m']]]+TOWER_DATA[[#This Row],[D, top '[m']]])/(2*TOWER_DATA[[#This Row],[t '[mm']]]/1000),"")</f>
        <v/>
      </c>
      <c r="CB118" s="80" t="str">
        <f>IFERROR((TOWER_DATA[[#This Row],[D, bottom '[m']]]+#REF!)/(2*#REF!/1000),"")</f>
        <v/>
      </c>
      <c r="DF118" s="80" t="str">
        <f>IFERROR(RNA_DATA[[#This Row],[Inertia '[kg·m²']]]-RNA_DATA[[#This Row],[Offset TT_COG '[m']]], "")</f>
        <v/>
      </c>
      <c r="DG118" s="80" t="str">
        <f>IFERROR(-(RNA_DATA[[#This Row],[comment]]-RNA_DATA[[#This Row],[Offset TT_COG '[m']]])/(RNA_DATA[[#This Row],[Inertia '[kg·m²']]]-RNA_DATA[[#This Row],[Mass '[t']]]),"")</f>
        <v/>
      </c>
      <c r="DH118" s="80" t="str">
        <f t="shared" si="7"/>
        <v/>
      </c>
      <c r="DI118" s="80" t="str">
        <f>IFERROR((RNA_DATA[[#This Row],[comment]]+RNA_DATA[[#This Row],[Offset TT_COG '[m']]])/(2*#REF!/1000),"")</f>
        <v/>
      </c>
    </row>
    <row r="119" spans="8:113" x14ac:dyDescent="0.3">
      <c r="H119" s="80" t="str">
        <f>IFERROR(MP_DATA[[#This Row],[Bottom '[m']]]-MP_DATA[[#This Row],[D, top '[m']]], "")</f>
        <v/>
      </c>
      <c r="I119" s="80" t="str">
        <f>IFERROR(-(MP_DATA[[#This Row],[D, bottom '[m']]]-MP_DATA[[#This Row],[D, top '[m']]])/(MP_DATA[[#This Row],[Bottom '[m']]]-MP_DATA[[#This Row],[Top '[m']]]),"")</f>
        <v/>
      </c>
      <c r="J119" s="80" t="str">
        <f t="shared" si="4"/>
        <v/>
      </c>
      <c r="K119" s="80" t="str">
        <f>IFERROR((MP_DATA[[#This Row],[D, bottom '[m']]]+MP_DATA[[#This Row],[D, top '[m']]])/(2*MP_DATA[[#This Row],[t '[mm']]]/1000),"")</f>
        <v/>
      </c>
      <c r="L119" s="80" t="str">
        <f>IFERROR((MP_DATA[[#This Row],[D, bottom '[m']]]+#REF!)/(2*#REF!/1000),"")</f>
        <v/>
      </c>
      <c r="AP119" s="80" t="str">
        <f>IFERROR(TP_DATA[[#This Row],[Bottom '[m']]]-TP_DATA[[#This Row],[D, top '[m']]], "")</f>
        <v/>
      </c>
      <c r="AQ119" s="80" t="str">
        <f>IFERROR(-(TP_DATA[[#This Row],[D, bottom '[m']]]-TP_DATA[[#This Row],[D, top '[m']]])/(TP_DATA[[#This Row],[Bottom '[m']]]-TP_DATA[[#This Row],[Top '[m']]]),"")</f>
        <v/>
      </c>
      <c r="AR119" s="80" t="str">
        <f t="shared" si="5"/>
        <v/>
      </c>
      <c r="AS119" s="80" t="str">
        <f>IFERROR((TP_DATA[[#This Row],[D, bottom '[m']]]+TP_DATA[[#This Row],[D, top '[m']]])/(2*TP_DATA[[#This Row],[t '[mm']]]/1000),"")</f>
        <v/>
      </c>
      <c r="AT119" s="80" t="str">
        <f>IFERROR((TP_DATA[[#This Row],[D, bottom '[m']]]+#REF!)/(2*#REF!/1000),"")</f>
        <v/>
      </c>
      <c r="BX119" s="80" t="str">
        <f>IFERROR(TOWER_DATA[[#This Row],[Bottom '[m']]]-TOWER_DATA[[#This Row],[D, top '[m']]], "")</f>
        <v/>
      </c>
      <c r="BY119" s="80" t="str">
        <f>IFERROR(-(TOWER_DATA[[#This Row],[D, bottom '[m']]]-TOWER_DATA[[#This Row],[D, top '[m']]])/(TOWER_DATA[[#This Row],[Bottom '[m']]]-TOWER_DATA[[#This Row],[Top '[m']]]),"")</f>
        <v/>
      </c>
      <c r="BZ119" s="80" t="str">
        <f t="shared" si="6"/>
        <v/>
      </c>
      <c r="CA119" s="80" t="str">
        <f>IFERROR((TOWER_DATA[[#This Row],[D, bottom '[m']]]+TOWER_DATA[[#This Row],[D, top '[m']]])/(2*TOWER_DATA[[#This Row],[t '[mm']]]/1000),"")</f>
        <v/>
      </c>
      <c r="CB119" s="80" t="str">
        <f>IFERROR((TOWER_DATA[[#This Row],[D, bottom '[m']]]+#REF!)/(2*#REF!/1000),"")</f>
        <v/>
      </c>
      <c r="DF119" s="80" t="str">
        <f>IFERROR(RNA_DATA[[#This Row],[Inertia '[kg·m²']]]-RNA_DATA[[#This Row],[Offset TT_COG '[m']]], "")</f>
        <v/>
      </c>
      <c r="DG119" s="80" t="str">
        <f>IFERROR(-(RNA_DATA[[#This Row],[comment]]-RNA_DATA[[#This Row],[Offset TT_COG '[m']]])/(RNA_DATA[[#This Row],[Inertia '[kg·m²']]]-RNA_DATA[[#This Row],[Mass '[t']]]),"")</f>
        <v/>
      </c>
      <c r="DH119" s="80" t="str">
        <f t="shared" si="7"/>
        <v/>
      </c>
      <c r="DI119" s="80" t="str">
        <f>IFERROR((RNA_DATA[[#This Row],[comment]]+RNA_DATA[[#This Row],[Offset TT_COG '[m']]])/(2*#REF!/1000),"")</f>
        <v/>
      </c>
    </row>
    <row r="120" spans="8:113" x14ac:dyDescent="0.3">
      <c r="H120" s="80" t="str">
        <f>IFERROR(MP_DATA[[#This Row],[Bottom '[m']]]-MP_DATA[[#This Row],[D, top '[m']]], "")</f>
        <v/>
      </c>
      <c r="I120" s="80" t="str">
        <f>IFERROR(-(MP_DATA[[#This Row],[D, bottom '[m']]]-MP_DATA[[#This Row],[D, top '[m']]])/(MP_DATA[[#This Row],[Bottom '[m']]]-MP_DATA[[#This Row],[Top '[m']]]),"")</f>
        <v/>
      </c>
      <c r="J120" s="80" t="str">
        <f t="shared" si="4"/>
        <v/>
      </c>
      <c r="K120" s="80" t="str">
        <f>IFERROR((MP_DATA[[#This Row],[D, bottom '[m']]]+MP_DATA[[#This Row],[D, top '[m']]])/(2*MP_DATA[[#This Row],[t '[mm']]]/1000),"")</f>
        <v/>
      </c>
      <c r="L120" s="80" t="str">
        <f>IFERROR((MP_DATA[[#This Row],[D, bottom '[m']]]+#REF!)/(2*#REF!/1000),"")</f>
        <v/>
      </c>
      <c r="AP120" s="80" t="str">
        <f>IFERROR(TP_DATA[[#This Row],[Bottom '[m']]]-TP_DATA[[#This Row],[D, top '[m']]], "")</f>
        <v/>
      </c>
      <c r="AQ120" s="80" t="str">
        <f>IFERROR(-(TP_DATA[[#This Row],[D, bottom '[m']]]-TP_DATA[[#This Row],[D, top '[m']]])/(TP_DATA[[#This Row],[Bottom '[m']]]-TP_DATA[[#This Row],[Top '[m']]]),"")</f>
        <v/>
      </c>
      <c r="AR120" s="80" t="str">
        <f t="shared" si="5"/>
        <v/>
      </c>
      <c r="AS120" s="80" t="str">
        <f>IFERROR((TP_DATA[[#This Row],[D, bottom '[m']]]+TP_DATA[[#This Row],[D, top '[m']]])/(2*TP_DATA[[#This Row],[t '[mm']]]/1000),"")</f>
        <v/>
      </c>
      <c r="AT120" s="80" t="str">
        <f>IFERROR((TP_DATA[[#This Row],[D, bottom '[m']]]+#REF!)/(2*#REF!/1000),"")</f>
        <v/>
      </c>
      <c r="BX120" s="80" t="str">
        <f>IFERROR(TOWER_DATA[[#This Row],[Bottom '[m']]]-TOWER_DATA[[#This Row],[D, top '[m']]], "")</f>
        <v/>
      </c>
      <c r="BY120" s="80" t="str">
        <f>IFERROR(-(TOWER_DATA[[#This Row],[D, bottom '[m']]]-TOWER_DATA[[#This Row],[D, top '[m']]])/(TOWER_DATA[[#This Row],[Bottom '[m']]]-TOWER_DATA[[#This Row],[Top '[m']]]),"")</f>
        <v/>
      </c>
      <c r="BZ120" s="80" t="str">
        <f t="shared" si="6"/>
        <v/>
      </c>
      <c r="CA120" s="80" t="str">
        <f>IFERROR((TOWER_DATA[[#This Row],[D, bottom '[m']]]+TOWER_DATA[[#This Row],[D, top '[m']]])/(2*TOWER_DATA[[#This Row],[t '[mm']]]/1000),"")</f>
        <v/>
      </c>
      <c r="CB120" s="80" t="str">
        <f>IFERROR((TOWER_DATA[[#This Row],[D, bottom '[m']]]+#REF!)/(2*#REF!/1000),"")</f>
        <v/>
      </c>
      <c r="DF120" s="80" t="str">
        <f>IFERROR(RNA_DATA[[#This Row],[Inertia '[kg·m²']]]-RNA_DATA[[#This Row],[Offset TT_COG '[m']]], "")</f>
        <v/>
      </c>
      <c r="DG120" s="80" t="str">
        <f>IFERROR(-(RNA_DATA[[#This Row],[comment]]-RNA_DATA[[#This Row],[Offset TT_COG '[m']]])/(RNA_DATA[[#This Row],[Inertia '[kg·m²']]]-RNA_DATA[[#This Row],[Mass '[t']]]),"")</f>
        <v/>
      </c>
      <c r="DH120" s="80" t="str">
        <f t="shared" si="7"/>
        <v/>
      </c>
      <c r="DI120" s="80" t="str">
        <f>IFERROR((RNA_DATA[[#This Row],[comment]]+RNA_DATA[[#This Row],[Offset TT_COG '[m']]])/(2*#REF!/1000),"")</f>
        <v/>
      </c>
    </row>
    <row r="121" spans="8:113" x14ac:dyDescent="0.3">
      <c r="H121" s="80" t="str">
        <f>IFERROR(MP_DATA[[#This Row],[Bottom '[m']]]-MP_DATA[[#This Row],[D, top '[m']]], "")</f>
        <v/>
      </c>
      <c r="I121" s="80" t="str">
        <f>IFERROR(-(MP_DATA[[#This Row],[D, bottom '[m']]]-MP_DATA[[#This Row],[D, top '[m']]])/(MP_DATA[[#This Row],[Bottom '[m']]]-MP_DATA[[#This Row],[Top '[m']]]),"")</f>
        <v/>
      </c>
      <c r="J121" s="80" t="str">
        <f t="shared" ref="J121:J153" si="8">IF(7850/1000*(1/3)*PI()*ABS(C121-D121)*((E121/2)^2+(E121/2)*(F121/2)+(F121/2)^2-(E121/2-G121/1000)^2-(E121/2-G121/1000)*(F121/2-G121/1000)-(F121/2-G121/1000)^2)=0,"",7850/1000*(1/3)*PI()*ABS(C121-D121)*((E121/2)^2+(E121/2)*(F121/2)+(F121/2)^2-(E121/2-G121/1000)^2-(E121/2-G121/1000)*(F121/2-G121/1000)-(F121/2-G121/1000)^2))</f>
        <v/>
      </c>
      <c r="K121" s="80" t="str">
        <f>IFERROR((MP_DATA[[#This Row],[D, bottom '[m']]]+MP_DATA[[#This Row],[D, top '[m']]])/(2*MP_DATA[[#This Row],[t '[mm']]]/1000),"")</f>
        <v/>
      </c>
      <c r="L121" s="80" t="str">
        <f>IFERROR((MP_DATA[[#This Row],[D, bottom '[m']]]+#REF!)/(2*#REF!/1000),"")</f>
        <v/>
      </c>
      <c r="AP121" s="80" t="str">
        <f>IFERROR(TP_DATA[[#This Row],[Bottom '[m']]]-TP_DATA[[#This Row],[D, top '[m']]], "")</f>
        <v/>
      </c>
      <c r="AQ121" s="80" t="str">
        <f>IFERROR(-(TP_DATA[[#This Row],[D, bottom '[m']]]-TP_DATA[[#This Row],[D, top '[m']]])/(TP_DATA[[#This Row],[Bottom '[m']]]-TP_DATA[[#This Row],[Top '[m']]]),"")</f>
        <v/>
      </c>
      <c r="AR121" s="80" t="str">
        <f t="shared" si="5"/>
        <v/>
      </c>
      <c r="AS121" s="80" t="str">
        <f>IFERROR((TP_DATA[[#This Row],[D, bottom '[m']]]+TP_DATA[[#This Row],[D, top '[m']]])/(2*TP_DATA[[#This Row],[t '[mm']]]/1000),"")</f>
        <v/>
      </c>
      <c r="AT121" s="80" t="str">
        <f>IFERROR((TP_DATA[[#This Row],[D, bottom '[m']]]+#REF!)/(2*#REF!/1000),"")</f>
        <v/>
      </c>
      <c r="BX121" s="80" t="str">
        <f>IFERROR(TOWER_DATA[[#This Row],[Bottom '[m']]]-TOWER_DATA[[#This Row],[D, top '[m']]], "")</f>
        <v/>
      </c>
      <c r="BY121" s="80" t="str">
        <f>IFERROR(-(TOWER_DATA[[#This Row],[D, bottom '[m']]]-TOWER_DATA[[#This Row],[D, top '[m']]])/(TOWER_DATA[[#This Row],[Bottom '[m']]]-TOWER_DATA[[#This Row],[Top '[m']]]),"")</f>
        <v/>
      </c>
      <c r="BZ121" s="80" t="str">
        <f t="shared" si="6"/>
        <v/>
      </c>
      <c r="CA121" s="80" t="str">
        <f>IFERROR((TOWER_DATA[[#This Row],[D, bottom '[m']]]+TOWER_DATA[[#This Row],[D, top '[m']]])/(2*TOWER_DATA[[#This Row],[t '[mm']]]/1000),"")</f>
        <v/>
      </c>
      <c r="CB121" s="80" t="str">
        <f>IFERROR((TOWER_DATA[[#This Row],[D, bottom '[m']]]+#REF!)/(2*#REF!/1000),"")</f>
        <v/>
      </c>
      <c r="DF121" s="80" t="str">
        <f>IFERROR(RNA_DATA[[#This Row],[Inertia '[kg·m²']]]-RNA_DATA[[#This Row],[Offset TT_COG '[m']]], "")</f>
        <v/>
      </c>
      <c r="DG121" s="80" t="str">
        <f>IFERROR(-(RNA_DATA[[#This Row],[comment]]-RNA_DATA[[#This Row],[Offset TT_COG '[m']]])/(RNA_DATA[[#This Row],[Inertia '[kg·m²']]]-RNA_DATA[[#This Row],[Mass '[t']]]),"")</f>
        <v/>
      </c>
      <c r="DH121" s="80" t="str">
        <f t="shared" si="7"/>
        <v/>
      </c>
      <c r="DI121" s="80" t="str">
        <f>IFERROR((RNA_DATA[[#This Row],[comment]]+RNA_DATA[[#This Row],[Offset TT_COG '[m']]])/(2*#REF!/1000),"")</f>
        <v/>
      </c>
    </row>
    <row r="122" spans="8:113" x14ac:dyDescent="0.3">
      <c r="H122" s="80" t="str">
        <f>IFERROR(MP_DATA[[#This Row],[Bottom '[m']]]-MP_DATA[[#This Row],[D, top '[m']]], "")</f>
        <v/>
      </c>
      <c r="I122" s="80" t="str">
        <f>IFERROR(-(MP_DATA[[#This Row],[D, bottom '[m']]]-MP_DATA[[#This Row],[D, top '[m']]])/(MP_DATA[[#This Row],[Bottom '[m']]]-MP_DATA[[#This Row],[Top '[m']]]),"")</f>
        <v/>
      </c>
      <c r="J122" s="80" t="str">
        <f t="shared" si="8"/>
        <v/>
      </c>
      <c r="K122" s="80" t="str">
        <f>IFERROR((MP_DATA[[#This Row],[D, bottom '[m']]]+MP_DATA[[#This Row],[D, top '[m']]])/(2*MP_DATA[[#This Row],[t '[mm']]]/1000),"")</f>
        <v/>
      </c>
      <c r="L122" s="80" t="str">
        <f>IFERROR((MP_DATA[[#This Row],[D, bottom '[m']]]+#REF!)/(2*#REF!/1000),"")</f>
        <v/>
      </c>
      <c r="AP122" s="80" t="str">
        <f>IFERROR(TP_DATA[[#This Row],[Bottom '[m']]]-TP_DATA[[#This Row],[D, top '[m']]], "")</f>
        <v/>
      </c>
      <c r="AQ122" s="80" t="str">
        <f>IFERROR(-(TP_DATA[[#This Row],[D, bottom '[m']]]-TP_DATA[[#This Row],[D, top '[m']]])/(TP_DATA[[#This Row],[Bottom '[m']]]-TP_DATA[[#This Row],[Top '[m']]]),"")</f>
        <v/>
      </c>
      <c r="AR122" s="80" t="str">
        <f t="shared" si="5"/>
        <v/>
      </c>
      <c r="AS122" s="80" t="str">
        <f>IFERROR((TP_DATA[[#This Row],[D, bottom '[m']]]+TP_DATA[[#This Row],[D, top '[m']]])/(2*TP_DATA[[#This Row],[t '[mm']]]/1000),"")</f>
        <v/>
      </c>
      <c r="AT122" s="80" t="str">
        <f>IFERROR((TP_DATA[[#This Row],[D, bottom '[m']]]+#REF!)/(2*#REF!/1000),"")</f>
        <v/>
      </c>
      <c r="BX122" s="80" t="str">
        <f>IFERROR(TOWER_DATA[[#This Row],[Bottom '[m']]]-TOWER_DATA[[#This Row],[D, top '[m']]], "")</f>
        <v/>
      </c>
      <c r="BY122" s="80" t="str">
        <f>IFERROR(-(TOWER_DATA[[#This Row],[D, bottom '[m']]]-TOWER_DATA[[#This Row],[D, top '[m']]])/(TOWER_DATA[[#This Row],[Bottom '[m']]]-TOWER_DATA[[#This Row],[Top '[m']]]),"")</f>
        <v/>
      </c>
      <c r="BZ122" s="80" t="str">
        <f t="shared" si="6"/>
        <v/>
      </c>
      <c r="CA122" s="80" t="str">
        <f>IFERROR((TOWER_DATA[[#This Row],[D, bottom '[m']]]+TOWER_DATA[[#This Row],[D, top '[m']]])/(2*TOWER_DATA[[#This Row],[t '[mm']]]/1000),"")</f>
        <v/>
      </c>
      <c r="CB122" s="80" t="str">
        <f>IFERROR((TOWER_DATA[[#This Row],[D, bottom '[m']]]+#REF!)/(2*#REF!/1000),"")</f>
        <v/>
      </c>
      <c r="DF122" s="80" t="str">
        <f>IFERROR(RNA_DATA[[#This Row],[Inertia '[kg·m²']]]-RNA_DATA[[#This Row],[Offset TT_COG '[m']]], "")</f>
        <v/>
      </c>
      <c r="DG122" s="80" t="str">
        <f>IFERROR(-(RNA_DATA[[#This Row],[comment]]-RNA_DATA[[#This Row],[Offset TT_COG '[m']]])/(RNA_DATA[[#This Row],[Inertia '[kg·m²']]]-RNA_DATA[[#This Row],[Mass '[t']]]),"")</f>
        <v/>
      </c>
      <c r="DH122" s="80" t="str">
        <f t="shared" si="7"/>
        <v/>
      </c>
      <c r="DI122" s="80" t="str">
        <f>IFERROR((RNA_DATA[[#This Row],[comment]]+RNA_DATA[[#This Row],[Offset TT_COG '[m']]])/(2*#REF!/1000),"")</f>
        <v/>
      </c>
    </row>
    <row r="123" spans="8:113" x14ac:dyDescent="0.3">
      <c r="H123" s="80" t="str">
        <f>IFERROR(MP_DATA[[#This Row],[Bottom '[m']]]-MP_DATA[[#This Row],[D, top '[m']]], "")</f>
        <v/>
      </c>
      <c r="I123" s="80" t="str">
        <f>IFERROR(-(MP_DATA[[#This Row],[D, bottom '[m']]]-MP_DATA[[#This Row],[D, top '[m']]])/(MP_DATA[[#This Row],[Bottom '[m']]]-MP_DATA[[#This Row],[Top '[m']]]),"")</f>
        <v/>
      </c>
      <c r="J123" s="80" t="str">
        <f t="shared" si="8"/>
        <v/>
      </c>
      <c r="K123" s="80" t="str">
        <f>IFERROR((MP_DATA[[#This Row],[D, bottom '[m']]]+MP_DATA[[#This Row],[D, top '[m']]])/(2*MP_DATA[[#This Row],[t '[mm']]]/1000),"")</f>
        <v/>
      </c>
      <c r="L123" s="80" t="str">
        <f>IFERROR((MP_DATA[[#This Row],[D, bottom '[m']]]+#REF!)/(2*#REF!/1000),"")</f>
        <v/>
      </c>
      <c r="AP123" s="80" t="str">
        <f>IFERROR(TP_DATA[[#This Row],[Bottom '[m']]]-TP_DATA[[#This Row],[D, top '[m']]], "")</f>
        <v/>
      </c>
      <c r="AQ123" s="80" t="str">
        <f>IFERROR(-(TP_DATA[[#This Row],[D, bottom '[m']]]-TP_DATA[[#This Row],[D, top '[m']]])/(TP_DATA[[#This Row],[Bottom '[m']]]-TP_DATA[[#This Row],[Top '[m']]]),"")</f>
        <v/>
      </c>
      <c r="AR123" s="80" t="str">
        <f t="shared" si="5"/>
        <v/>
      </c>
      <c r="AS123" s="80" t="str">
        <f>IFERROR((TP_DATA[[#This Row],[D, bottom '[m']]]+TP_DATA[[#This Row],[D, top '[m']]])/(2*TP_DATA[[#This Row],[t '[mm']]]/1000),"")</f>
        <v/>
      </c>
      <c r="AT123" s="80" t="str">
        <f>IFERROR((TP_DATA[[#This Row],[D, bottom '[m']]]+#REF!)/(2*#REF!/1000),"")</f>
        <v/>
      </c>
      <c r="BX123" s="80" t="str">
        <f>IFERROR(TOWER_DATA[[#This Row],[Bottom '[m']]]-TOWER_DATA[[#This Row],[D, top '[m']]], "")</f>
        <v/>
      </c>
      <c r="BY123" s="80" t="str">
        <f>IFERROR(-(TOWER_DATA[[#This Row],[D, bottom '[m']]]-TOWER_DATA[[#This Row],[D, top '[m']]])/(TOWER_DATA[[#This Row],[Bottom '[m']]]-TOWER_DATA[[#This Row],[Top '[m']]]),"")</f>
        <v/>
      </c>
      <c r="BZ123" s="80" t="str">
        <f t="shared" si="6"/>
        <v/>
      </c>
      <c r="CA123" s="80" t="str">
        <f>IFERROR((TOWER_DATA[[#This Row],[D, bottom '[m']]]+TOWER_DATA[[#This Row],[D, top '[m']]])/(2*TOWER_DATA[[#This Row],[t '[mm']]]/1000),"")</f>
        <v/>
      </c>
      <c r="CB123" s="80" t="str">
        <f>IFERROR((TOWER_DATA[[#This Row],[D, bottom '[m']]]+#REF!)/(2*#REF!/1000),"")</f>
        <v/>
      </c>
      <c r="DF123" s="80" t="str">
        <f>IFERROR(RNA_DATA[[#This Row],[Inertia '[kg·m²']]]-RNA_DATA[[#This Row],[Offset TT_COG '[m']]], "")</f>
        <v/>
      </c>
      <c r="DG123" s="80" t="str">
        <f>IFERROR(-(RNA_DATA[[#This Row],[comment]]-RNA_DATA[[#This Row],[Offset TT_COG '[m']]])/(RNA_DATA[[#This Row],[Inertia '[kg·m²']]]-RNA_DATA[[#This Row],[Mass '[t']]]),"")</f>
        <v/>
      </c>
      <c r="DH123" s="80" t="str">
        <f t="shared" si="7"/>
        <v/>
      </c>
      <c r="DI123" s="80" t="str">
        <f>IFERROR((RNA_DATA[[#This Row],[comment]]+RNA_DATA[[#This Row],[Offset TT_COG '[m']]])/(2*#REF!/1000),"")</f>
        <v/>
      </c>
    </row>
    <row r="124" spans="8:113" x14ac:dyDescent="0.3">
      <c r="H124" s="80" t="str">
        <f>IFERROR(MP_DATA[[#This Row],[Bottom '[m']]]-MP_DATA[[#This Row],[D, top '[m']]], "")</f>
        <v/>
      </c>
      <c r="I124" s="80" t="str">
        <f>IFERROR(-(MP_DATA[[#This Row],[D, bottom '[m']]]-MP_DATA[[#This Row],[D, top '[m']]])/(MP_DATA[[#This Row],[Bottom '[m']]]-MP_DATA[[#This Row],[Top '[m']]]),"")</f>
        <v/>
      </c>
      <c r="J124" s="80" t="str">
        <f t="shared" si="8"/>
        <v/>
      </c>
      <c r="K124" s="80" t="str">
        <f>IFERROR((MP_DATA[[#This Row],[D, bottom '[m']]]+MP_DATA[[#This Row],[D, top '[m']]])/(2*MP_DATA[[#This Row],[t '[mm']]]/1000),"")</f>
        <v/>
      </c>
      <c r="L124" s="80" t="str">
        <f>IFERROR((MP_DATA[[#This Row],[D, bottom '[m']]]+#REF!)/(2*#REF!/1000),"")</f>
        <v/>
      </c>
      <c r="AP124" s="80" t="str">
        <f>IFERROR(TP_DATA[[#This Row],[Bottom '[m']]]-TP_DATA[[#This Row],[D, top '[m']]], "")</f>
        <v/>
      </c>
      <c r="AQ124" s="80" t="str">
        <f>IFERROR(-(TP_DATA[[#This Row],[D, bottom '[m']]]-TP_DATA[[#This Row],[D, top '[m']]])/(TP_DATA[[#This Row],[Bottom '[m']]]-TP_DATA[[#This Row],[Top '[m']]]),"")</f>
        <v/>
      </c>
      <c r="AR124" s="80" t="str">
        <f t="shared" si="5"/>
        <v/>
      </c>
      <c r="AS124" s="80" t="str">
        <f>IFERROR((TP_DATA[[#This Row],[D, bottom '[m']]]+TP_DATA[[#This Row],[D, top '[m']]])/(2*TP_DATA[[#This Row],[t '[mm']]]/1000),"")</f>
        <v/>
      </c>
      <c r="AT124" s="80" t="str">
        <f>IFERROR((TP_DATA[[#This Row],[D, bottom '[m']]]+#REF!)/(2*#REF!/1000),"")</f>
        <v/>
      </c>
      <c r="BX124" s="80" t="str">
        <f>IFERROR(TOWER_DATA[[#This Row],[Bottom '[m']]]-TOWER_DATA[[#This Row],[D, top '[m']]], "")</f>
        <v/>
      </c>
      <c r="BY124" s="80" t="str">
        <f>IFERROR(-(TOWER_DATA[[#This Row],[D, bottom '[m']]]-TOWER_DATA[[#This Row],[D, top '[m']]])/(TOWER_DATA[[#This Row],[Bottom '[m']]]-TOWER_DATA[[#This Row],[Top '[m']]]),"")</f>
        <v/>
      </c>
      <c r="BZ124" s="80" t="str">
        <f t="shared" si="6"/>
        <v/>
      </c>
      <c r="CA124" s="80" t="str">
        <f>IFERROR((TOWER_DATA[[#This Row],[D, bottom '[m']]]+TOWER_DATA[[#This Row],[D, top '[m']]])/(2*TOWER_DATA[[#This Row],[t '[mm']]]/1000),"")</f>
        <v/>
      </c>
      <c r="CB124" s="80" t="str">
        <f>IFERROR((TOWER_DATA[[#This Row],[D, bottom '[m']]]+#REF!)/(2*#REF!/1000),"")</f>
        <v/>
      </c>
      <c r="DF124" s="80" t="str">
        <f>IFERROR(RNA_DATA[[#This Row],[Inertia '[kg·m²']]]-RNA_DATA[[#This Row],[Offset TT_COG '[m']]], "")</f>
        <v/>
      </c>
      <c r="DG124" s="80" t="str">
        <f>IFERROR(-(RNA_DATA[[#This Row],[comment]]-RNA_DATA[[#This Row],[Offset TT_COG '[m']]])/(RNA_DATA[[#This Row],[Inertia '[kg·m²']]]-RNA_DATA[[#This Row],[Mass '[t']]]),"")</f>
        <v/>
      </c>
      <c r="DH124" s="80" t="str">
        <f t="shared" si="7"/>
        <v/>
      </c>
      <c r="DI124" s="80" t="str">
        <f>IFERROR((RNA_DATA[[#This Row],[comment]]+RNA_DATA[[#This Row],[Offset TT_COG '[m']]])/(2*#REF!/1000),"")</f>
        <v/>
      </c>
    </row>
    <row r="125" spans="8:113" x14ac:dyDescent="0.3">
      <c r="H125" s="80" t="str">
        <f>IFERROR(MP_DATA[[#This Row],[Bottom '[m']]]-MP_DATA[[#This Row],[D, top '[m']]], "")</f>
        <v/>
      </c>
      <c r="I125" s="80" t="str">
        <f>IFERROR(-(MP_DATA[[#This Row],[D, bottom '[m']]]-MP_DATA[[#This Row],[D, top '[m']]])/(MP_DATA[[#This Row],[Bottom '[m']]]-MP_DATA[[#This Row],[Top '[m']]]),"")</f>
        <v/>
      </c>
      <c r="J125" s="80" t="str">
        <f t="shared" si="8"/>
        <v/>
      </c>
      <c r="K125" s="80" t="str">
        <f>IFERROR((MP_DATA[[#This Row],[D, bottom '[m']]]+MP_DATA[[#This Row],[D, top '[m']]])/(2*MP_DATA[[#This Row],[t '[mm']]]/1000),"")</f>
        <v/>
      </c>
      <c r="L125" s="80" t="str">
        <f>IFERROR((MP_DATA[[#This Row],[D, bottom '[m']]]+#REF!)/(2*#REF!/1000),"")</f>
        <v/>
      </c>
      <c r="AP125" s="80" t="str">
        <f>IFERROR(TP_DATA[[#This Row],[Bottom '[m']]]-TP_DATA[[#This Row],[D, top '[m']]], "")</f>
        <v/>
      </c>
      <c r="AQ125" s="80" t="str">
        <f>IFERROR(-(TP_DATA[[#This Row],[D, bottom '[m']]]-TP_DATA[[#This Row],[D, top '[m']]])/(TP_DATA[[#This Row],[Bottom '[m']]]-TP_DATA[[#This Row],[Top '[m']]]),"")</f>
        <v/>
      </c>
      <c r="AR125" s="80" t="str">
        <f t="shared" si="5"/>
        <v/>
      </c>
      <c r="AS125" s="80" t="str">
        <f>IFERROR((TP_DATA[[#This Row],[D, bottom '[m']]]+TP_DATA[[#This Row],[D, top '[m']]])/(2*TP_DATA[[#This Row],[t '[mm']]]/1000),"")</f>
        <v/>
      </c>
      <c r="AT125" s="80" t="str">
        <f>IFERROR((TP_DATA[[#This Row],[D, bottom '[m']]]+#REF!)/(2*#REF!/1000),"")</f>
        <v/>
      </c>
      <c r="BX125" s="80" t="str">
        <f>IFERROR(TOWER_DATA[[#This Row],[Bottom '[m']]]-TOWER_DATA[[#This Row],[D, top '[m']]], "")</f>
        <v/>
      </c>
      <c r="BY125" s="80" t="str">
        <f>IFERROR(-(TOWER_DATA[[#This Row],[D, bottom '[m']]]-TOWER_DATA[[#This Row],[D, top '[m']]])/(TOWER_DATA[[#This Row],[Bottom '[m']]]-TOWER_DATA[[#This Row],[Top '[m']]]),"")</f>
        <v/>
      </c>
      <c r="BZ125" s="80" t="str">
        <f t="shared" si="6"/>
        <v/>
      </c>
      <c r="CA125" s="80" t="str">
        <f>IFERROR((TOWER_DATA[[#This Row],[D, bottom '[m']]]+TOWER_DATA[[#This Row],[D, top '[m']]])/(2*TOWER_DATA[[#This Row],[t '[mm']]]/1000),"")</f>
        <v/>
      </c>
      <c r="CB125" s="80" t="str">
        <f>IFERROR((TOWER_DATA[[#This Row],[D, bottom '[m']]]+#REF!)/(2*#REF!/1000),"")</f>
        <v/>
      </c>
      <c r="DF125" s="80" t="str">
        <f>IFERROR(RNA_DATA[[#This Row],[Inertia '[kg·m²']]]-RNA_DATA[[#This Row],[Offset TT_COG '[m']]], "")</f>
        <v/>
      </c>
      <c r="DG125" s="80" t="str">
        <f>IFERROR(-(RNA_DATA[[#This Row],[comment]]-RNA_DATA[[#This Row],[Offset TT_COG '[m']]])/(RNA_DATA[[#This Row],[Inertia '[kg·m²']]]-RNA_DATA[[#This Row],[Mass '[t']]]),"")</f>
        <v/>
      </c>
      <c r="DH125" s="80" t="str">
        <f t="shared" si="7"/>
        <v/>
      </c>
      <c r="DI125" s="80" t="str">
        <f>IFERROR((RNA_DATA[[#This Row],[comment]]+RNA_DATA[[#This Row],[Offset TT_COG '[m']]])/(2*#REF!/1000),"")</f>
        <v/>
      </c>
    </row>
    <row r="126" spans="8:113" x14ac:dyDescent="0.3">
      <c r="H126" s="80" t="str">
        <f>IFERROR(MP_DATA[[#This Row],[Bottom '[m']]]-MP_DATA[[#This Row],[D, top '[m']]], "")</f>
        <v/>
      </c>
      <c r="I126" s="80" t="str">
        <f>IFERROR(-(MP_DATA[[#This Row],[D, bottom '[m']]]-MP_DATA[[#This Row],[D, top '[m']]])/(MP_DATA[[#This Row],[Bottom '[m']]]-MP_DATA[[#This Row],[Top '[m']]]),"")</f>
        <v/>
      </c>
      <c r="J126" s="80" t="str">
        <f t="shared" si="8"/>
        <v/>
      </c>
      <c r="K126" s="80" t="str">
        <f>IFERROR((MP_DATA[[#This Row],[D, bottom '[m']]]+MP_DATA[[#This Row],[D, top '[m']]])/(2*MP_DATA[[#This Row],[t '[mm']]]/1000),"")</f>
        <v/>
      </c>
      <c r="L126" s="80" t="str">
        <f>IFERROR((MP_DATA[[#This Row],[D, bottom '[m']]]+#REF!)/(2*#REF!/1000),"")</f>
        <v/>
      </c>
      <c r="AP126" s="80" t="str">
        <f>IFERROR(TP_DATA[[#This Row],[Bottom '[m']]]-TP_DATA[[#This Row],[D, top '[m']]], "")</f>
        <v/>
      </c>
      <c r="AQ126" s="80" t="str">
        <f>IFERROR(-(TP_DATA[[#This Row],[D, bottom '[m']]]-TP_DATA[[#This Row],[D, top '[m']]])/(TP_DATA[[#This Row],[Bottom '[m']]]-TP_DATA[[#This Row],[Top '[m']]]),"")</f>
        <v/>
      </c>
      <c r="AR126" s="80" t="str">
        <f t="shared" si="5"/>
        <v/>
      </c>
      <c r="AS126" s="80" t="str">
        <f>IFERROR((TP_DATA[[#This Row],[D, bottom '[m']]]+TP_DATA[[#This Row],[D, top '[m']]])/(2*TP_DATA[[#This Row],[t '[mm']]]/1000),"")</f>
        <v/>
      </c>
      <c r="AT126" s="80" t="str">
        <f>IFERROR((TP_DATA[[#This Row],[D, bottom '[m']]]+#REF!)/(2*#REF!/1000),"")</f>
        <v/>
      </c>
      <c r="BX126" s="80" t="str">
        <f>IFERROR(TOWER_DATA[[#This Row],[Bottom '[m']]]-TOWER_DATA[[#This Row],[D, top '[m']]], "")</f>
        <v/>
      </c>
      <c r="BY126" s="80" t="str">
        <f>IFERROR(-(TOWER_DATA[[#This Row],[D, bottom '[m']]]-TOWER_DATA[[#This Row],[D, top '[m']]])/(TOWER_DATA[[#This Row],[Bottom '[m']]]-TOWER_DATA[[#This Row],[Top '[m']]]),"")</f>
        <v/>
      </c>
      <c r="BZ126" s="80" t="str">
        <f t="shared" si="6"/>
        <v/>
      </c>
      <c r="CA126" s="80" t="str">
        <f>IFERROR((TOWER_DATA[[#This Row],[D, bottom '[m']]]+TOWER_DATA[[#This Row],[D, top '[m']]])/(2*TOWER_DATA[[#This Row],[t '[mm']]]/1000),"")</f>
        <v/>
      </c>
      <c r="CB126" s="80" t="str">
        <f>IFERROR((TOWER_DATA[[#This Row],[D, bottom '[m']]]+#REF!)/(2*#REF!/1000),"")</f>
        <v/>
      </c>
      <c r="DF126" s="80" t="str">
        <f>IFERROR(RNA_DATA[[#This Row],[Inertia '[kg·m²']]]-RNA_DATA[[#This Row],[Offset TT_COG '[m']]], "")</f>
        <v/>
      </c>
      <c r="DG126" s="80" t="str">
        <f>IFERROR(-(RNA_DATA[[#This Row],[comment]]-RNA_DATA[[#This Row],[Offset TT_COG '[m']]])/(RNA_DATA[[#This Row],[Inertia '[kg·m²']]]-RNA_DATA[[#This Row],[Mass '[t']]]),"")</f>
        <v/>
      </c>
      <c r="DH126" s="80" t="str">
        <f t="shared" si="7"/>
        <v/>
      </c>
      <c r="DI126" s="80" t="str">
        <f>IFERROR((RNA_DATA[[#This Row],[comment]]+RNA_DATA[[#This Row],[Offset TT_COG '[m']]])/(2*#REF!/1000),"")</f>
        <v/>
      </c>
    </row>
    <row r="127" spans="8:113" x14ac:dyDescent="0.3">
      <c r="H127" s="80" t="str">
        <f>IFERROR(MP_DATA[[#This Row],[Bottom '[m']]]-MP_DATA[[#This Row],[D, top '[m']]], "")</f>
        <v/>
      </c>
      <c r="I127" s="80" t="str">
        <f>IFERROR(-(MP_DATA[[#This Row],[D, bottom '[m']]]-MP_DATA[[#This Row],[D, top '[m']]])/(MP_DATA[[#This Row],[Bottom '[m']]]-MP_DATA[[#This Row],[Top '[m']]]),"")</f>
        <v/>
      </c>
      <c r="J127" s="80" t="str">
        <f t="shared" si="8"/>
        <v/>
      </c>
      <c r="K127" s="80" t="str">
        <f>IFERROR((MP_DATA[[#This Row],[D, bottom '[m']]]+MP_DATA[[#This Row],[D, top '[m']]])/(2*MP_DATA[[#This Row],[t '[mm']]]/1000),"")</f>
        <v/>
      </c>
      <c r="L127" s="80" t="str">
        <f>IFERROR((MP_DATA[[#This Row],[D, bottom '[m']]]+#REF!)/(2*#REF!/1000),"")</f>
        <v/>
      </c>
      <c r="AP127" s="80" t="str">
        <f>IFERROR(TP_DATA[[#This Row],[Bottom '[m']]]-TP_DATA[[#This Row],[D, top '[m']]], "")</f>
        <v/>
      </c>
      <c r="AQ127" s="80" t="str">
        <f>IFERROR(-(TP_DATA[[#This Row],[D, bottom '[m']]]-TP_DATA[[#This Row],[D, top '[m']]])/(TP_DATA[[#This Row],[Bottom '[m']]]-TP_DATA[[#This Row],[Top '[m']]]),"")</f>
        <v/>
      </c>
      <c r="AR127" s="80" t="str">
        <f t="shared" si="5"/>
        <v/>
      </c>
      <c r="AS127" s="80" t="str">
        <f>IFERROR((TP_DATA[[#This Row],[D, bottom '[m']]]+TP_DATA[[#This Row],[D, top '[m']]])/(2*TP_DATA[[#This Row],[t '[mm']]]/1000),"")</f>
        <v/>
      </c>
      <c r="AT127" s="80" t="str">
        <f>IFERROR((TP_DATA[[#This Row],[D, bottom '[m']]]+#REF!)/(2*#REF!/1000),"")</f>
        <v/>
      </c>
      <c r="BX127" s="80" t="str">
        <f>IFERROR(TOWER_DATA[[#This Row],[Bottom '[m']]]-TOWER_DATA[[#This Row],[D, top '[m']]], "")</f>
        <v/>
      </c>
      <c r="BY127" s="80" t="str">
        <f>IFERROR(-(TOWER_DATA[[#This Row],[D, bottom '[m']]]-TOWER_DATA[[#This Row],[D, top '[m']]])/(TOWER_DATA[[#This Row],[Bottom '[m']]]-TOWER_DATA[[#This Row],[Top '[m']]]),"")</f>
        <v/>
      </c>
      <c r="BZ127" s="80" t="str">
        <f t="shared" si="6"/>
        <v/>
      </c>
      <c r="CA127" s="80" t="str">
        <f>IFERROR((TOWER_DATA[[#This Row],[D, bottom '[m']]]+TOWER_DATA[[#This Row],[D, top '[m']]])/(2*TOWER_DATA[[#This Row],[t '[mm']]]/1000),"")</f>
        <v/>
      </c>
      <c r="CB127" s="80" t="str">
        <f>IFERROR((TOWER_DATA[[#This Row],[D, bottom '[m']]]+#REF!)/(2*#REF!/1000),"")</f>
        <v/>
      </c>
      <c r="DF127" s="80" t="str">
        <f>IFERROR(RNA_DATA[[#This Row],[Inertia '[kg·m²']]]-RNA_DATA[[#This Row],[Offset TT_COG '[m']]], "")</f>
        <v/>
      </c>
      <c r="DG127" s="80" t="str">
        <f>IFERROR(-(RNA_DATA[[#This Row],[comment]]-RNA_DATA[[#This Row],[Offset TT_COG '[m']]])/(RNA_DATA[[#This Row],[Inertia '[kg·m²']]]-RNA_DATA[[#This Row],[Mass '[t']]]),"")</f>
        <v/>
      </c>
      <c r="DH127" s="80" t="str">
        <f t="shared" si="7"/>
        <v/>
      </c>
      <c r="DI127" s="80" t="str">
        <f>IFERROR((RNA_DATA[[#This Row],[comment]]+RNA_DATA[[#This Row],[Offset TT_COG '[m']]])/(2*#REF!/1000),"")</f>
        <v/>
      </c>
    </row>
    <row r="128" spans="8:113" x14ac:dyDescent="0.3">
      <c r="H128" s="80" t="str">
        <f>IFERROR(MP_DATA[[#This Row],[Bottom '[m']]]-MP_DATA[[#This Row],[D, top '[m']]], "")</f>
        <v/>
      </c>
      <c r="I128" s="80" t="str">
        <f>IFERROR(-(MP_DATA[[#This Row],[D, bottom '[m']]]-MP_DATA[[#This Row],[D, top '[m']]])/(MP_DATA[[#This Row],[Bottom '[m']]]-MP_DATA[[#This Row],[Top '[m']]]),"")</f>
        <v/>
      </c>
      <c r="J128" s="80" t="str">
        <f t="shared" si="8"/>
        <v/>
      </c>
      <c r="K128" s="80" t="str">
        <f>IFERROR((MP_DATA[[#This Row],[D, bottom '[m']]]+MP_DATA[[#This Row],[D, top '[m']]])/(2*MP_DATA[[#This Row],[t '[mm']]]/1000),"")</f>
        <v/>
      </c>
      <c r="L128" s="80" t="str">
        <f>IFERROR((MP_DATA[[#This Row],[D, bottom '[m']]]+#REF!)/(2*#REF!/1000),"")</f>
        <v/>
      </c>
      <c r="AP128" s="80" t="str">
        <f>IFERROR(TP_DATA[[#This Row],[Bottom '[m']]]-TP_DATA[[#This Row],[D, top '[m']]], "")</f>
        <v/>
      </c>
      <c r="AQ128" s="80" t="str">
        <f>IFERROR(-(TP_DATA[[#This Row],[D, bottom '[m']]]-TP_DATA[[#This Row],[D, top '[m']]])/(TP_DATA[[#This Row],[Bottom '[m']]]-TP_DATA[[#This Row],[Top '[m']]]),"")</f>
        <v/>
      </c>
      <c r="AR128" s="80" t="str">
        <f t="shared" si="5"/>
        <v/>
      </c>
      <c r="AS128" s="80" t="str">
        <f>IFERROR((TP_DATA[[#This Row],[D, bottom '[m']]]+TP_DATA[[#This Row],[D, top '[m']]])/(2*TP_DATA[[#This Row],[t '[mm']]]/1000),"")</f>
        <v/>
      </c>
      <c r="AT128" s="80" t="str">
        <f>IFERROR((TP_DATA[[#This Row],[D, bottom '[m']]]+#REF!)/(2*#REF!/1000),"")</f>
        <v/>
      </c>
      <c r="BX128" s="80" t="str">
        <f>IFERROR(TOWER_DATA[[#This Row],[Bottom '[m']]]-TOWER_DATA[[#This Row],[D, top '[m']]], "")</f>
        <v/>
      </c>
      <c r="BY128" s="80" t="str">
        <f>IFERROR(-(TOWER_DATA[[#This Row],[D, bottom '[m']]]-TOWER_DATA[[#This Row],[D, top '[m']]])/(TOWER_DATA[[#This Row],[Bottom '[m']]]-TOWER_DATA[[#This Row],[Top '[m']]]),"")</f>
        <v/>
      </c>
      <c r="BZ128" s="80" t="str">
        <f t="shared" si="6"/>
        <v/>
      </c>
      <c r="CA128" s="80" t="str">
        <f>IFERROR((TOWER_DATA[[#This Row],[D, bottom '[m']]]+TOWER_DATA[[#This Row],[D, top '[m']]])/(2*TOWER_DATA[[#This Row],[t '[mm']]]/1000),"")</f>
        <v/>
      </c>
      <c r="CB128" s="80" t="str">
        <f>IFERROR((TOWER_DATA[[#This Row],[D, bottom '[m']]]+#REF!)/(2*#REF!/1000),"")</f>
        <v/>
      </c>
      <c r="DF128" s="80" t="str">
        <f>IFERROR(RNA_DATA[[#This Row],[Inertia '[kg·m²']]]-RNA_DATA[[#This Row],[Offset TT_COG '[m']]], "")</f>
        <v/>
      </c>
      <c r="DG128" s="80" t="str">
        <f>IFERROR(-(RNA_DATA[[#This Row],[comment]]-RNA_DATA[[#This Row],[Offset TT_COG '[m']]])/(RNA_DATA[[#This Row],[Inertia '[kg·m²']]]-RNA_DATA[[#This Row],[Mass '[t']]]),"")</f>
        <v/>
      </c>
      <c r="DH128" s="80" t="str">
        <f t="shared" si="7"/>
        <v/>
      </c>
      <c r="DI128" s="80" t="str">
        <f>IFERROR((RNA_DATA[[#This Row],[comment]]+RNA_DATA[[#This Row],[Offset TT_COG '[m']]])/(2*#REF!/1000),"")</f>
        <v/>
      </c>
    </row>
    <row r="129" spans="8:113" x14ac:dyDescent="0.3">
      <c r="H129" s="80" t="str">
        <f>IFERROR(MP_DATA[[#This Row],[Bottom '[m']]]-MP_DATA[[#This Row],[D, top '[m']]], "")</f>
        <v/>
      </c>
      <c r="I129" s="80" t="str">
        <f>IFERROR(-(MP_DATA[[#This Row],[D, bottom '[m']]]-MP_DATA[[#This Row],[D, top '[m']]])/(MP_DATA[[#This Row],[Bottom '[m']]]-MP_DATA[[#This Row],[Top '[m']]]),"")</f>
        <v/>
      </c>
      <c r="J129" s="80" t="str">
        <f t="shared" si="8"/>
        <v/>
      </c>
      <c r="K129" s="80" t="str">
        <f>IFERROR((MP_DATA[[#This Row],[D, bottom '[m']]]+MP_DATA[[#This Row],[D, top '[m']]])/(2*MP_DATA[[#This Row],[t '[mm']]]/1000),"")</f>
        <v/>
      </c>
      <c r="L129" s="80" t="str">
        <f>IFERROR((MP_DATA[[#This Row],[D, bottom '[m']]]+#REF!)/(2*#REF!/1000),"")</f>
        <v/>
      </c>
      <c r="AP129" s="80" t="str">
        <f>IFERROR(TP_DATA[[#This Row],[Bottom '[m']]]-TP_DATA[[#This Row],[D, top '[m']]], "")</f>
        <v/>
      </c>
      <c r="AQ129" s="80" t="str">
        <f>IFERROR(-(TP_DATA[[#This Row],[D, bottom '[m']]]-TP_DATA[[#This Row],[D, top '[m']]])/(TP_DATA[[#This Row],[Bottom '[m']]]-TP_DATA[[#This Row],[Top '[m']]]),"")</f>
        <v/>
      </c>
      <c r="AR129" s="80" t="str">
        <f t="shared" si="5"/>
        <v/>
      </c>
      <c r="AS129" s="80" t="str">
        <f>IFERROR((TP_DATA[[#This Row],[D, bottom '[m']]]+TP_DATA[[#This Row],[D, top '[m']]])/(2*TP_DATA[[#This Row],[t '[mm']]]/1000),"")</f>
        <v/>
      </c>
      <c r="AT129" s="80" t="str">
        <f>IFERROR((TP_DATA[[#This Row],[D, bottom '[m']]]+#REF!)/(2*#REF!/1000),"")</f>
        <v/>
      </c>
      <c r="BX129" s="80" t="str">
        <f>IFERROR(TOWER_DATA[[#This Row],[Bottom '[m']]]-TOWER_DATA[[#This Row],[D, top '[m']]], "")</f>
        <v/>
      </c>
      <c r="BY129" s="80" t="str">
        <f>IFERROR(-(TOWER_DATA[[#This Row],[D, bottom '[m']]]-TOWER_DATA[[#This Row],[D, top '[m']]])/(TOWER_DATA[[#This Row],[Bottom '[m']]]-TOWER_DATA[[#This Row],[Top '[m']]]),"")</f>
        <v/>
      </c>
      <c r="BZ129" s="80" t="str">
        <f t="shared" si="6"/>
        <v/>
      </c>
      <c r="CA129" s="80" t="str">
        <f>IFERROR((TOWER_DATA[[#This Row],[D, bottom '[m']]]+TOWER_DATA[[#This Row],[D, top '[m']]])/(2*TOWER_DATA[[#This Row],[t '[mm']]]/1000),"")</f>
        <v/>
      </c>
      <c r="CB129" s="80" t="str">
        <f>IFERROR((TOWER_DATA[[#This Row],[D, bottom '[m']]]+#REF!)/(2*#REF!/1000),"")</f>
        <v/>
      </c>
      <c r="DF129" s="80" t="str">
        <f>IFERROR(RNA_DATA[[#This Row],[Inertia '[kg·m²']]]-RNA_DATA[[#This Row],[Offset TT_COG '[m']]], "")</f>
        <v/>
      </c>
      <c r="DG129" s="80" t="str">
        <f>IFERROR(-(RNA_DATA[[#This Row],[comment]]-RNA_DATA[[#This Row],[Offset TT_COG '[m']]])/(RNA_DATA[[#This Row],[Inertia '[kg·m²']]]-RNA_DATA[[#This Row],[Mass '[t']]]),"")</f>
        <v/>
      </c>
      <c r="DH129" s="80" t="str">
        <f t="shared" si="7"/>
        <v/>
      </c>
      <c r="DI129" s="80" t="str">
        <f>IFERROR((RNA_DATA[[#This Row],[comment]]+RNA_DATA[[#This Row],[Offset TT_COG '[m']]])/(2*#REF!/1000),"")</f>
        <v/>
      </c>
    </row>
    <row r="130" spans="8:113" x14ac:dyDescent="0.3">
      <c r="H130" s="80" t="str">
        <f>IFERROR(MP_DATA[[#This Row],[Bottom '[m']]]-MP_DATA[[#This Row],[D, top '[m']]], "")</f>
        <v/>
      </c>
      <c r="I130" s="80" t="str">
        <f>IFERROR(-(MP_DATA[[#This Row],[D, bottom '[m']]]-MP_DATA[[#This Row],[D, top '[m']]])/(MP_DATA[[#This Row],[Bottom '[m']]]-MP_DATA[[#This Row],[Top '[m']]]),"")</f>
        <v/>
      </c>
      <c r="J130" s="80" t="str">
        <f t="shared" si="8"/>
        <v/>
      </c>
      <c r="K130" s="80" t="str">
        <f>IFERROR((MP_DATA[[#This Row],[D, bottom '[m']]]+MP_DATA[[#This Row],[D, top '[m']]])/(2*MP_DATA[[#This Row],[t '[mm']]]/1000),"")</f>
        <v/>
      </c>
      <c r="L130" s="80" t="str">
        <f>IFERROR((MP_DATA[[#This Row],[D, bottom '[m']]]+#REF!)/(2*#REF!/1000),"")</f>
        <v/>
      </c>
      <c r="AP130" s="80" t="str">
        <f>IFERROR(TP_DATA[[#This Row],[Bottom '[m']]]-TP_DATA[[#This Row],[D, top '[m']]], "")</f>
        <v/>
      </c>
      <c r="AQ130" s="80" t="str">
        <f>IFERROR(-(TP_DATA[[#This Row],[D, bottom '[m']]]-TP_DATA[[#This Row],[D, top '[m']]])/(TP_DATA[[#This Row],[Bottom '[m']]]-TP_DATA[[#This Row],[Top '[m']]]),"")</f>
        <v/>
      </c>
      <c r="AR130" s="80" t="str">
        <f t="shared" si="5"/>
        <v/>
      </c>
      <c r="AS130" s="80" t="str">
        <f>IFERROR((TP_DATA[[#This Row],[D, bottom '[m']]]+TP_DATA[[#This Row],[D, top '[m']]])/(2*TP_DATA[[#This Row],[t '[mm']]]/1000),"")</f>
        <v/>
      </c>
      <c r="AT130" s="80" t="str">
        <f>IFERROR((TP_DATA[[#This Row],[D, bottom '[m']]]+#REF!)/(2*#REF!/1000),"")</f>
        <v/>
      </c>
      <c r="BX130" s="80" t="str">
        <f>IFERROR(TOWER_DATA[[#This Row],[Bottom '[m']]]-TOWER_DATA[[#This Row],[D, top '[m']]], "")</f>
        <v/>
      </c>
      <c r="BY130" s="80" t="str">
        <f>IFERROR(-(TOWER_DATA[[#This Row],[D, bottom '[m']]]-TOWER_DATA[[#This Row],[D, top '[m']]])/(TOWER_DATA[[#This Row],[Bottom '[m']]]-TOWER_DATA[[#This Row],[Top '[m']]]),"")</f>
        <v/>
      </c>
      <c r="BZ130" s="80" t="str">
        <f t="shared" si="6"/>
        <v/>
      </c>
      <c r="CA130" s="80" t="str">
        <f>IFERROR((TOWER_DATA[[#This Row],[D, bottom '[m']]]+TOWER_DATA[[#This Row],[D, top '[m']]])/(2*TOWER_DATA[[#This Row],[t '[mm']]]/1000),"")</f>
        <v/>
      </c>
      <c r="CB130" s="80" t="str">
        <f>IFERROR((TOWER_DATA[[#This Row],[D, bottom '[m']]]+#REF!)/(2*#REF!/1000),"")</f>
        <v/>
      </c>
      <c r="DF130" s="80" t="str">
        <f>IFERROR(RNA_DATA[[#This Row],[Inertia '[kg·m²']]]-RNA_DATA[[#This Row],[Offset TT_COG '[m']]], "")</f>
        <v/>
      </c>
      <c r="DG130" s="80" t="str">
        <f>IFERROR(-(RNA_DATA[[#This Row],[comment]]-RNA_DATA[[#This Row],[Offset TT_COG '[m']]])/(RNA_DATA[[#This Row],[Inertia '[kg·m²']]]-RNA_DATA[[#This Row],[Mass '[t']]]),"")</f>
        <v/>
      </c>
      <c r="DH130" s="80" t="str">
        <f t="shared" si="7"/>
        <v/>
      </c>
      <c r="DI130" s="80" t="str">
        <f>IFERROR((RNA_DATA[[#This Row],[comment]]+RNA_DATA[[#This Row],[Offset TT_COG '[m']]])/(2*#REF!/1000),"")</f>
        <v/>
      </c>
    </row>
    <row r="131" spans="8:113" x14ac:dyDescent="0.3">
      <c r="H131" s="80" t="str">
        <f>IFERROR(MP_DATA[[#This Row],[Bottom '[m']]]-MP_DATA[[#This Row],[D, top '[m']]], "")</f>
        <v/>
      </c>
      <c r="I131" s="80" t="str">
        <f>IFERROR(-(MP_DATA[[#This Row],[D, bottom '[m']]]-MP_DATA[[#This Row],[D, top '[m']]])/(MP_DATA[[#This Row],[Bottom '[m']]]-MP_DATA[[#This Row],[Top '[m']]]),"")</f>
        <v/>
      </c>
      <c r="J131" s="80" t="str">
        <f t="shared" si="8"/>
        <v/>
      </c>
      <c r="K131" s="80" t="str">
        <f>IFERROR((MP_DATA[[#This Row],[D, bottom '[m']]]+MP_DATA[[#This Row],[D, top '[m']]])/(2*MP_DATA[[#This Row],[t '[mm']]]/1000),"")</f>
        <v/>
      </c>
      <c r="L131" s="80" t="str">
        <f>IFERROR((MP_DATA[[#This Row],[D, bottom '[m']]]+#REF!)/(2*#REF!/1000),"")</f>
        <v/>
      </c>
      <c r="AP131" s="80" t="str">
        <f>IFERROR(TP_DATA[[#This Row],[Bottom '[m']]]-TP_DATA[[#This Row],[D, top '[m']]], "")</f>
        <v/>
      </c>
      <c r="AQ131" s="80" t="str">
        <f>IFERROR(-(TP_DATA[[#This Row],[D, bottom '[m']]]-TP_DATA[[#This Row],[D, top '[m']]])/(TP_DATA[[#This Row],[Bottom '[m']]]-TP_DATA[[#This Row],[Top '[m']]]),"")</f>
        <v/>
      </c>
      <c r="AR131" s="80" t="str">
        <f t="shared" si="5"/>
        <v/>
      </c>
      <c r="AS131" s="80" t="str">
        <f>IFERROR((TP_DATA[[#This Row],[D, bottom '[m']]]+TP_DATA[[#This Row],[D, top '[m']]])/(2*TP_DATA[[#This Row],[t '[mm']]]/1000),"")</f>
        <v/>
      </c>
      <c r="AT131" s="80" t="str">
        <f>IFERROR((TP_DATA[[#This Row],[D, bottom '[m']]]+#REF!)/(2*#REF!/1000),"")</f>
        <v/>
      </c>
      <c r="BX131" s="80" t="str">
        <f>IFERROR(TOWER_DATA[[#This Row],[Bottom '[m']]]-TOWER_DATA[[#This Row],[D, top '[m']]], "")</f>
        <v/>
      </c>
      <c r="BY131" s="80" t="str">
        <f>IFERROR(-(TOWER_DATA[[#This Row],[D, bottom '[m']]]-TOWER_DATA[[#This Row],[D, top '[m']]])/(TOWER_DATA[[#This Row],[Bottom '[m']]]-TOWER_DATA[[#This Row],[Top '[m']]]),"")</f>
        <v/>
      </c>
      <c r="BZ131" s="80" t="str">
        <f t="shared" si="6"/>
        <v/>
      </c>
      <c r="CA131" s="80" t="str">
        <f>IFERROR((TOWER_DATA[[#This Row],[D, bottom '[m']]]+TOWER_DATA[[#This Row],[D, top '[m']]])/(2*TOWER_DATA[[#This Row],[t '[mm']]]/1000),"")</f>
        <v/>
      </c>
      <c r="CB131" s="80" t="str">
        <f>IFERROR((TOWER_DATA[[#This Row],[D, bottom '[m']]]+#REF!)/(2*#REF!/1000),"")</f>
        <v/>
      </c>
      <c r="DF131" s="80" t="str">
        <f>IFERROR(RNA_DATA[[#This Row],[Inertia '[kg·m²']]]-RNA_DATA[[#This Row],[Offset TT_COG '[m']]], "")</f>
        <v/>
      </c>
      <c r="DG131" s="80" t="str">
        <f>IFERROR(-(RNA_DATA[[#This Row],[comment]]-RNA_DATA[[#This Row],[Offset TT_COG '[m']]])/(RNA_DATA[[#This Row],[Inertia '[kg·m²']]]-RNA_DATA[[#This Row],[Mass '[t']]]),"")</f>
        <v/>
      </c>
      <c r="DH131" s="80" t="str">
        <f t="shared" si="7"/>
        <v/>
      </c>
      <c r="DI131" s="80" t="str">
        <f>IFERROR((RNA_DATA[[#This Row],[comment]]+RNA_DATA[[#This Row],[Offset TT_COG '[m']]])/(2*#REF!/1000),"")</f>
        <v/>
      </c>
    </row>
    <row r="132" spans="8:113" x14ac:dyDescent="0.3">
      <c r="H132" s="80" t="str">
        <f>IFERROR(MP_DATA[[#This Row],[Bottom '[m']]]-MP_DATA[[#This Row],[D, top '[m']]], "")</f>
        <v/>
      </c>
      <c r="I132" s="80" t="str">
        <f>IFERROR(-(MP_DATA[[#This Row],[D, bottom '[m']]]-MP_DATA[[#This Row],[D, top '[m']]])/(MP_DATA[[#This Row],[Bottom '[m']]]-MP_DATA[[#This Row],[Top '[m']]]),"")</f>
        <v/>
      </c>
      <c r="J132" s="80" t="str">
        <f t="shared" si="8"/>
        <v/>
      </c>
      <c r="K132" s="80" t="str">
        <f>IFERROR((MP_DATA[[#This Row],[D, bottom '[m']]]+MP_DATA[[#This Row],[D, top '[m']]])/(2*MP_DATA[[#This Row],[t '[mm']]]/1000),"")</f>
        <v/>
      </c>
      <c r="L132" s="80" t="str">
        <f>IFERROR((MP_DATA[[#This Row],[D, bottom '[m']]]+#REF!)/(2*#REF!/1000),"")</f>
        <v/>
      </c>
      <c r="AP132" s="80" t="str">
        <f>IFERROR(TP_DATA[[#This Row],[Bottom '[m']]]-TP_DATA[[#This Row],[D, top '[m']]], "")</f>
        <v/>
      </c>
      <c r="AQ132" s="80" t="str">
        <f>IFERROR(-(TP_DATA[[#This Row],[D, bottom '[m']]]-TP_DATA[[#This Row],[D, top '[m']]])/(TP_DATA[[#This Row],[Bottom '[m']]]-TP_DATA[[#This Row],[Top '[m']]]),"")</f>
        <v/>
      </c>
      <c r="AR132" s="80" t="str">
        <f t="shared" si="5"/>
        <v/>
      </c>
      <c r="AS132" s="80" t="str">
        <f>IFERROR((TP_DATA[[#This Row],[D, bottom '[m']]]+TP_DATA[[#This Row],[D, top '[m']]])/(2*TP_DATA[[#This Row],[t '[mm']]]/1000),"")</f>
        <v/>
      </c>
      <c r="AT132" s="80" t="str">
        <f>IFERROR((TP_DATA[[#This Row],[D, bottom '[m']]]+#REF!)/(2*#REF!/1000),"")</f>
        <v/>
      </c>
      <c r="BX132" s="80" t="str">
        <f>IFERROR(TOWER_DATA[[#This Row],[Bottom '[m']]]-TOWER_DATA[[#This Row],[D, top '[m']]], "")</f>
        <v/>
      </c>
      <c r="BY132" s="80" t="str">
        <f>IFERROR(-(TOWER_DATA[[#This Row],[D, bottom '[m']]]-TOWER_DATA[[#This Row],[D, top '[m']]])/(TOWER_DATA[[#This Row],[Bottom '[m']]]-TOWER_DATA[[#This Row],[Top '[m']]]),"")</f>
        <v/>
      </c>
      <c r="BZ132" s="80" t="str">
        <f t="shared" si="6"/>
        <v/>
      </c>
      <c r="CA132" s="80" t="str">
        <f>IFERROR((TOWER_DATA[[#This Row],[D, bottom '[m']]]+TOWER_DATA[[#This Row],[D, top '[m']]])/(2*TOWER_DATA[[#This Row],[t '[mm']]]/1000),"")</f>
        <v/>
      </c>
      <c r="CB132" s="80" t="str">
        <f>IFERROR((TOWER_DATA[[#This Row],[D, bottom '[m']]]+#REF!)/(2*#REF!/1000),"")</f>
        <v/>
      </c>
      <c r="DF132" s="80" t="str">
        <f>IFERROR(RNA_DATA[[#This Row],[Inertia '[kg·m²']]]-RNA_DATA[[#This Row],[Offset TT_COG '[m']]], "")</f>
        <v/>
      </c>
      <c r="DG132" s="80" t="str">
        <f>IFERROR(-(RNA_DATA[[#This Row],[comment]]-RNA_DATA[[#This Row],[Offset TT_COG '[m']]])/(RNA_DATA[[#This Row],[Inertia '[kg·m²']]]-RNA_DATA[[#This Row],[Mass '[t']]]),"")</f>
        <v/>
      </c>
      <c r="DH132" s="80" t="str">
        <f t="shared" si="7"/>
        <v/>
      </c>
      <c r="DI132" s="80" t="str">
        <f>IFERROR((RNA_DATA[[#This Row],[comment]]+RNA_DATA[[#This Row],[Offset TT_COG '[m']]])/(2*#REF!/1000),"")</f>
        <v/>
      </c>
    </row>
    <row r="133" spans="8:113" x14ac:dyDescent="0.3">
      <c r="H133" s="80" t="str">
        <f>IFERROR(MP_DATA[[#This Row],[Bottom '[m']]]-MP_DATA[[#This Row],[D, top '[m']]], "")</f>
        <v/>
      </c>
      <c r="I133" s="80" t="str">
        <f>IFERROR(-(MP_DATA[[#This Row],[D, bottom '[m']]]-MP_DATA[[#This Row],[D, top '[m']]])/(MP_DATA[[#This Row],[Bottom '[m']]]-MP_DATA[[#This Row],[Top '[m']]]),"")</f>
        <v/>
      </c>
      <c r="J133" s="80" t="str">
        <f t="shared" si="8"/>
        <v/>
      </c>
      <c r="K133" s="80" t="str">
        <f>IFERROR((MP_DATA[[#This Row],[D, bottom '[m']]]+MP_DATA[[#This Row],[D, top '[m']]])/(2*MP_DATA[[#This Row],[t '[mm']]]/1000),"")</f>
        <v/>
      </c>
      <c r="L133" s="80" t="str">
        <f>IFERROR((MP_DATA[[#This Row],[D, bottom '[m']]]+#REF!)/(2*#REF!/1000),"")</f>
        <v/>
      </c>
      <c r="AP133" s="80" t="str">
        <f>IFERROR(TP_DATA[[#This Row],[Bottom '[m']]]-TP_DATA[[#This Row],[D, top '[m']]], "")</f>
        <v/>
      </c>
      <c r="AQ133" s="80" t="str">
        <f>IFERROR(-(TP_DATA[[#This Row],[D, bottom '[m']]]-TP_DATA[[#This Row],[D, top '[m']]])/(TP_DATA[[#This Row],[Bottom '[m']]]-TP_DATA[[#This Row],[Top '[m']]]),"")</f>
        <v/>
      </c>
      <c r="AR133" s="80" t="str">
        <f t="shared" si="5"/>
        <v/>
      </c>
      <c r="AS133" s="80" t="str">
        <f>IFERROR((TP_DATA[[#This Row],[D, bottom '[m']]]+TP_DATA[[#This Row],[D, top '[m']]])/(2*TP_DATA[[#This Row],[t '[mm']]]/1000),"")</f>
        <v/>
      </c>
      <c r="AT133" s="80" t="str">
        <f>IFERROR((TP_DATA[[#This Row],[D, bottom '[m']]]+#REF!)/(2*#REF!/1000),"")</f>
        <v/>
      </c>
      <c r="BX133" s="80" t="str">
        <f>IFERROR(TOWER_DATA[[#This Row],[Bottom '[m']]]-TOWER_DATA[[#This Row],[D, top '[m']]], "")</f>
        <v/>
      </c>
      <c r="BY133" s="80" t="str">
        <f>IFERROR(-(TOWER_DATA[[#This Row],[D, bottom '[m']]]-TOWER_DATA[[#This Row],[D, top '[m']]])/(TOWER_DATA[[#This Row],[Bottom '[m']]]-TOWER_DATA[[#This Row],[Top '[m']]]),"")</f>
        <v/>
      </c>
      <c r="BZ133" s="80" t="str">
        <f t="shared" si="6"/>
        <v/>
      </c>
      <c r="CA133" s="80" t="str">
        <f>IFERROR((TOWER_DATA[[#This Row],[D, bottom '[m']]]+TOWER_DATA[[#This Row],[D, top '[m']]])/(2*TOWER_DATA[[#This Row],[t '[mm']]]/1000),"")</f>
        <v/>
      </c>
      <c r="CB133" s="80" t="str">
        <f>IFERROR((TOWER_DATA[[#This Row],[D, bottom '[m']]]+#REF!)/(2*#REF!/1000),"")</f>
        <v/>
      </c>
      <c r="DF133" s="80" t="str">
        <f>IFERROR(RNA_DATA[[#This Row],[Inertia '[kg·m²']]]-RNA_DATA[[#This Row],[Offset TT_COG '[m']]], "")</f>
        <v/>
      </c>
      <c r="DG133" s="80" t="str">
        <f>IFERROR(-(RNA_DATA[[#This Row],[comment]]-RNA_DATA[[#This Row],[Offset TT_COG '[m']]])/(RNA_DATA[[#This Row],[Inertia '[kg·m²']]]-RNA_DATA[[#This Row],[Mass '[t']]]),"")</f>
        <v/>
      </c>
      <c r="DH133" s="80" t="str">
        <f t="shared" si="7"/>
        <v/>
      </c>
      <c r="DI133" s="80" t="str">
        <f>IFERROR((RNA_DATA[[#This Row],[comment]]+RNA_DATA[[#This Row],[Offset TT_COG '[m']]])/(2*#REF!/1000),"")</f>
        <v/>
      </c>
    </row>
    <row r="134" spans="8:113" x14ac:dyDescent="0.3">
      <c r="H134" s="80" t="str">
        <f>IFERROR(MP_DATA[[#This Row],[Bottom '[m']]]-MP_DATA[[#This Row],[D, top '[m']]], "")</f>
        <v/>
      </c>
      <c r="I134" s="80" t="str">
        <f>IFERROR(-(MP_DATA[[#This Row],[D, bottom '[m']]]-MP_DATA[[#This Row],[D, top '[m']]])/(MP_DATA[[#This Row],[Bottom '[m']]]-MP_DATA[[#This Row],[Top '[m']]]),"")</f>
        <v/>
      </c>
      <c r="J134" s="80" t="str">
        <f t="shared" si="8"/>
        <v/>
      </c>
      <c r="K134" s="80" t="str">
        <f>IFERROR((MP_DATA[[#This Row],[D, bottom '[m']]]+MP_DATA[[#This Row],[D, top '[m']]])/(2*MP_DATA[[#This Row],[t '[mm']]]/1000),"")</f>
        <v/>
      </c>
      <c r="L134" s="80" t="str">
        <f>IFERROR((MP_DATA[[#This Row],[D, bottom '[m']]]+#REF!)/(2*#REF!/1000),"")</f>
        <v/>
      </c>
      <c r="AP134" s="80" t="str">
        <f>IFERROR(TP_DATA[[#This Row],[Bottom '[m']]]-TP_DATA[[#This Row],[D, top '[m']]], "")</f>
        <v/>
      </c>
      <c r="AQ134" s="80" t="str">
        <f>IFERROR(-(TP_DATA[[#This Row],[D, bottom '[m']]]-TP_DATA[[#This Row],[D, top '[m']]])/(TP_DATA[[#This Row],[Bottom '[m']]]-TP_DATA[[#This Row],[Top '[m']]]),"")</f>
        <v/>
      </c>
      <c r="AR134" s="80" t="str">
        <f t="shared" si="5"/>
        <v/>
      </c>
      <c r="AS134" s="80" t="str">
        <f>IFERROR((TP_DATA[[#This Row],[D, bottom '[m']]]+TP_DATA[[#This Row],[D, top '[m']]])/(2*TP_DATA[[#This Row],[t '[mm']]]/1000),"")</f>
        <v/>
      </c>
      <c r="AT134" s="80" t="str">
        <f>IFERROR((TP_DATA[[#This Row],[D, bottom '[m']]]+#REF!)/(2*#REF!/1000),"")</f>
        <v/>
      </c>
      <c r="BX134" s="80" t="str">
        <f>IFERROR(TOWER_DATA[[#This Row],[Bottom '[m']]]-TOWER_DATA[[#This Row],[D, top '[m']]], "")</f>
        <v/>
      </c>
      <c r="BY134" s="80" t="str">
        <f>IFERROR(-(TOWER_DATA[[#This Row],[D, bottom '[m']]]-TOWER_DATA[[#This Row],[D, top '[m']]])/(TOWER_DATA[[#This Row],[Bottom '[m']]]-TOWER_DATA[[#This Row],[Top '[m']]]),"")</f>
        <v/>
      </c>
      <c r="BZ134" s="80" t="str">
        <f t="shared" si="6"/>
        <v/>
      </c>
      <c r="CA134" s="80" t="str">
        <f>IFERROR((TOWER_DATA[[#This Row],[D, bottom '[m']]]+TOWER_DATA[[#This Row],[D, top '[m']]])/(2*TOWER_DATA[[#This Row],[t '[mm']]]/1000),"")</f>
        <v/>
      </c>
      <c r="CB134" s="80" t="str">
        <f>IFERROR((TOWER_DATA[[#This Row],[D, bottom '[m']]]+#REF!)/(2*#REF!/1000),"")</f>
        <v/>
      </c>
      <c r="DF134" s="80" t="str">
        <f>IFERROR(RNA_DATA[[#This Row],[Inertia '[kg·m²']]]-RNA_DATA[[#This Row],[Offset TT_COG '[m']]], "")</f>
        <v/>
      </c>
      <c r="DG134" s="80" t="str">
        <f>IFERROR(-(RNA_DATA[[#This Row],[comment]]-RNA_DATA[[#This Row],[Offset TT_COG '[m']]])/(RNA_DATA[[#This Row],[Inertia '[kg·m²']]]-RNA_DATA[[#This Row],[Mass '[t']]]),"")</f>
        <v/>
      </c>
      <c r="DH134" s="80" t="str">
        <f t="shared" si="7"/>
        <v/>
      </c>
      <c r="DI134" s="80" t="str">
        <f>IFERROR((RNA_DATA[[#This Row],[comment]]+RNA_DATA[[#This Row],[Offset TT_COG '[m']]])/(2*#REF!/1000),"")</f>
        <v/>
      </c>
    </row>
    <row r="135" spans="8:113" x14ac:dyDescent="0.3">
      <c r="H135" s="80" t="str">
        <f>IFERROR(MP_DATA[[#This Row],[Bottom '[m']]]-MP_DATA[[#This Row],[D, top '[m']]], "")</f>
        <v/>
      </c>
      <c r="I135" s="80" t="str">
        <f>IFERROR(-(MP_DATA[[#This Row],[D, bottom '[m']]]-MP_DATA[[#This Row],[D, top '[m']]])/(MP_DATA[[#This Row],[Bottom '[m']]]-MP_DATA[[#This Row],[Top '[m']]]),"")</f>
        <v/>
      </c>
      <c r="J135" s="80" t="str">
        <f t="shared" si="8"/>
        <v/>
      </c>
      <c r="K135" s="80" t="str">
        <f>IFERROR((MP_DATA[[#This Row],[D, bottom '[m']]]+MP_DATA[[#This Row],[D, top '[m']]])/(2*MP_DATA[[#This Row],[t '[mm']]]/1000),"")</f>
        <v/>
      </c>
      <c r="L135" s="80" t="str">
        <f>IFERROR((MP_DATA[[#This Row],[D, bottom '[m']]]+#REF!)/(2*#REF!/1000),"")</f>
        <v/>
      </c>
      <c r="AP135" s="80" t="str">
        <f>IFERROR(TP_DATA[[#This Row],[Bottom '[m']]]-TP_DATA[[#This Row],[D, top '[m']]], "")</f>
        <v/>
      </c>
      <c r="AQ135" s="80" t="str">
        <f>IFERROR(-(TP_DATA[[#This Row],[D, bottom '[m']]]-TP_DATA[[#This Row],[D, top '[m']]])/(TP_DATA[[#This Row],[Bottom '[m']]]-TP_DATA[[#This Row],[Top '[m']]]),"")</f>
        <v/>
      </c>
      <c r="AR135" s="80" t="str">
        <f t="shared" si="5"/>
        <v/>
      </c>
      <c r="AS135" s="80" t="str">
        <f>IFERROR((TP_DATA[[#This Row],[D, bottom '[m']]]+TP_DATA[[#This Row],[D, top '[m']]])/(2*TP_DATA[[#This Row],[t '[mm']]]/1000),"")</f>
        <v/>
      </c>
      <c r="AT135" s="80" t="str">
        <f>IFERROR((TP_DATA[[#This Row],[D, bottom '[m']]]+#REF!)/(2*#REF!/1000),"")</f>
        <v/>
      </c>
      <c r="BX135" s="80" t="str">
        <f>IFERROR(TOWER_DATA[[#This Row],[Bottom '[m']]]-TOWER_DATA[[#This Row],[D, top '[m']]], "")</f>
        <v/>
      </c>
      <c r="BY135" s="80" t="str">
        <f>IFERROR(-(TOWER_DATA[[#This Row],[D, bottom '[m']]]-TOWER_DATA[[#This Row],[D, top '[m']]])/(TOWER_DATA[[#This Row],[Bottom '[m']]]-TOWER_DATA[[#This Row],[Top '[m']]]),"")</f>
        <v/>
      </c>
      <c r="BZ135" s="80" t="str">
        <f t="shared" si="6"/>
        <v/>
      </c>
      <c r="CA135" s="80" t="str">
        <f>IFERROR((TOWER_DATA[[#This Row],[D, bottom '[m']]]+TOWER_DATA[[#This Row],[D, top '[m']]])/(2*TOWER_DATA[[#This Row],[t '[mm']]]/1000),"")</f>
        <v/>
      </c>
      <c r="CB135" s="80" t="str">
        <f>IFERROR((TOWER_DATA[[#This Row],[D, bottom '[m']]]+#REF!)/(2*#REF!/1000),"")</f>
        <v/>
      </c>
      <c r="DF135" s="80" t="str">
        <f>IFERROR(RNA_DATA[[#This Row],[Inertia '[kg·m²']]]-RNA_DATA[[#This Row],[Offset TT_COG '[m']]], "")</f>
        <v/>
      </c>
      <c r="DG135" s="80" t="str">
        <f>IFERROR(-(RNA_DATA[[#This Row],[comment]]-RNA_DATA[[#This Row],[Offset TT_COG '[m']]])/(RNA_DATA[[#This Row],[Inertia '[kg·m²']]]-RNA_DATA[[#This Row],[Mass '[t']]]),"")</f>
        <v/>
      </c>
      <c r="DH135" s="80" t="str">
        <f t="shared" si="7"/>
        <v/>
      </c>
      <c r="DI135" s="80" t="str">
        <f>IFERROR((RNA_DATA[[#This Row],[comment]]+RNA_DATA[[#This Row],[Offset TT_COG '[m']]])/(2*#REF!/1000),"")</f>
        <v/>
      </c>
    </row>
    <row r="136" spans="8:113" x14ac:dyDescent="0.3">
      <c r="H136" s="80" t="str">
        <f>IFERROR(MP_DATA[[#This Row],[Bottom '[m']]]-MP_DATA[[#This Row],[D, top '[m']]], "")</f>
        <v/>
      </c>
      <c r="I136" s="80" t="str">
        <f>IFERROR(-(MP_DATA[[#This Row],[D, bottom '[m']]]-MP_DATA[[#This Row],[D, top '[m']]])/(MP_DATA[[#This Row],[Bottom '[m']]]-MP_DATA[[#This Row],[Top '[m']]]),"")</f>
        <v/>
      </c>
      <c r="J136" s="80" t="str">
        <f t="shared" si="8"/>
        <v/>
      </c>
      <c r="K136" s="80" t="str">
        <f>IFERROR((MP_DATA[[#This Row],[D, bottom '[m']]]+MP_DATA[[#This Row],[D, top '[m']]])/(2*MP_DATA[[#This Row],[t '[mm']]]/1000),"")</f>
        <v/>
      </c>
      <c r="L136" t="str">
        <f>IFERROR((MP_DATA[[#This Row],[D, bottom '[m']]]+#REF!)/(2*#REF!/1000),"")</f>
        <v/>
      </c>
      <c r="AP136" s="80" t="str">
        <f>IFERROR(TP_DATA[[#This Row],[Bottom '[m']]]-TP_DATA[[#This Row],[D, top '[m']]], "")</f>
        <v/>
      </c>
      <c r="AQ136" s="80" t="str">
        <f>IFERROR(-(TP_DATA[[#This Row],[D, bottom '[m']]]-TP_DATA[[#This Row],[D, top '[m']]])/(TP_DATA[[#This Row],[Bottom '[m']]]-TP_DATA[[#This Row],[Top '[m']]]),"")</f>
        <v/>
      </c>
      <c r="AR136" s="80" t="str">
        <f t="shared" si="5"/>
        <v/>
      </c>
      <c r="AS136" s="80" t="str">
        <f>IFERROR((TP_DATA[[#This Row],[D, bottom '[m']]]+TP_DATA[[#This Row],[D, top '[m']]])/(2*TP_DATA[[#This Row],[t '[mm']]]/1000),"")</f>
        <v/>
      </c>
      <c r="AT136" t="str">
        <f>IFERROR((TP_DATA[[#This Row],[D, bottom '[m']]]+#REF!)/(2*#REF!/1000),"")</f>
        <v/>
      </c>
      <c r="BX136" s="80" t="str">
        <f>IFERROR(TOWER_DATA[[#This Row],[Bottom '[m']]]-TOWER_DATA[[#This Row],[D, top '[m']]], "")</f>
        <v/>
      </c>
      <c r="BY136" s="80" t="str">
        <f>IFERROR(-(TOWER_DATA[[#This Row],[D, bottom '[m']]]-TOWER_DATA[[#This Row],[D, top '[m']]])/(TOWER_DATA[[#This Row],[Bottom '[m']]]-TOWER_DATA[[#This Row],[Top '[m']]]),"")</f>
        <v/>
      </c>
      <c r="BZ136" s="80" t="str">
        <f t="shared" si="6"/>
        <v/>
      </c>
      <c r="CA136" s="80" t="str">
        <f>IFERROR((TOWER_DATA[[#This Row],[D, bottom '[m']]]+TOWER_DATA[[#This Row],[D, top '[m']]])/(2*TOWER_DATA[[#This Row],[t '[mm']]]/1000),"")</f>
        <v/>
      </c>
      <c r="CB136" t="str">
        <f>IFERROR((TOWER_DATA[[#This Row],[D, bottom '[m']]]+#REF!)/(2*#REF!/1000),"")</f>
        <v/>
      </c>
      <c r="DF136" s="80" t="str">
        <f>IFERROR(RNA_DATA[[#This Row],[Inertia '[kg·m²']]]-RNA_DATA[[#This Row],[Offset TT_COG '[m']]], "")</f>
        <v/>
      </c>
      <c r="DG136" s="80" t="str">
        <f>IFERROR(-(RNA_DATA[[#This Row],[comment]]-RNA_DATA[[#This Row],[Offset TT_COG '[m']]])/(RNA_DATA[[#This Row],[Inertia '[kg·m²']]]-RNA_DATA[[#This Row],[Mass '[t']]]),"")</f>
        <v/>
      </c>
      <c r="DH136" s="80" t="str">
        <f t="shared" si="7"/>
        <v/>
      </c>
      <c r="DI136" s="80" t="str">
        <f>IFERROR((RNA_DATA[[#This Row],[comment]]+RNA_DATA[[#This Row],[Offset TT_COG '[m']]])/(2*#REF!/1000),"")</f>
        <v/>
      </c>
    </row>
    <row r="137" spans="8:113" x14ac:dyDescent="0.3">
      <c r="H137" s="80" t="str">
        <f>IFERROR(MP_DATA[[#This Row],[Bottom '[m']]]-MP_DATA[[#This Row],[D, top '[m']]], "")</f>
        <v/>
      </c>
      <c r="I137" s="80" t="str">
        <f>IFERROR(-(MP_DATA[[#This Row],[D, bottom '[m']]]-MP_DATA[[#This Row],[D, top '[m']]])/(MP_DATA[[#This Row],[Bottom '[m']]]-MP_DATA[[#This Row],[Top '[m']]]),"")</f>
        <v/>
      </c>
      <c r="J137" s="80" t="str">
        <f t="shared" si="8"/>
        <v/>
      </c>
      <c r="K137" s="80" t="str">
        <f>IFERROR((MP_DATA[[#This Row],[D, bottom '[m']]]+MP_DATA[[#This Row],[D, top '[m']]])/(2*MP_DATA[[#This Row],[t '[mm']]]/1000),"")</f>
        <v/>
      </c>
      <c r="L137" t="str">
        <f>IFERROR((MP_DATA[[#This Row],[D, bottom '[m']]]+#REF!)/(2*#REF!/1000),"")</f>
        <v/>
      </c>
      <c r="AP137" s="80" t="str">
        <f>IFERROR(TP_DATA[[#This Row],[Bottom '[m']]]-TP_DATA[[#This Row],[D, top '[m']]], "")</f>
        <v/>
      </c>
      <c r="AQ137" s="80" t="str">
        <f>IFERROR(-(TP_DATA[[#This Row],[D, bottom '[m']]]-TP_DATA[[#This Row],[D, top '[m']]])/(TP_DATA[[#This Row],[Bottom '[m']]]-TP_DATA[[#This Row],[Top '[m']]]),"")</f>
        <v/>
      </c>
      <c r="AR137" s="80" t="str">
        <f t="shared" si="5"/>
        <v/>
      </c>
      <c r="AS137" s="80" t="str">
        <f>IFERROR((TP_DATA[[#This Row],[D, bottom '[m']]]+TP_DATA[[#This Row],[D, top '[m']]])/(2*TP_DATA[[#This Row],[t '[mm']]]/1000),"")</f>
        <v/>
      </c>
      <c r="AT137" t="str">
        <f>IFERROR((TP_DATA[[#This Row],[D, bottom '[m']]]+#REF!)/(2*#REF!/1000),"")</f>
        <v/>
      </c>
      <c r="BX137" s="80" t="str">
        <f>IFERROR(TOWER_DATA[[#This Row],[Bottom '[m']]]-TOWER_DATA[[#This Row],[D, top '[m']]], "")</f>
        <v/>
      </c>
      <c r="BY137" s="80" t="str">
        <f>IFERROR(-(TOWER_DATA[[#This Row],[D, bottom '[m']]]-TOWER_DATA[[#This Row],[D, top '[m']]])/(TOWER_DATA[[#This Row],[Bottom '[m']]]-TOWER_DATA[[#This Row],[Top '[m']]]),"")</f>
        <v/>
      </c>
      <c r="BZ137" s="80" t="str">
        <f t="shared" si="6"/>
        <v/>
      </c>
      <c r="CA137" s="80" t="str">
        <f>IFERROR((TOWER_DATA[[#This Row],[D, bottom '[m']]]+TOWER_DATA[[#This Row],[D, top '[m']]])/(2*TOWER_DATA[[#This Row],[t '[mm']]]/1000),"")</f>
        <v/>
      </c>
      <c r="CB137" t="str">
        <f>IFERROR((TOWER_DATA[[#This Row],[D, bottom '[m']]]+#REF!)/(2*#REF!/1000),"")</f>
        <v/>
      </c>
      <c r="DF137" s="80" t="str">
        <f>IFERROR(RNA_DATA[[#This Row],[Inertia '[kg·m²']]]-RNA_DATA[[#This Row],[Offset TT_COG '[m']]], "")</f>
        <v/>
      </c>
      <c r="DG137" s="80" t="str">
        <f>IFERROR(-(RNA_DATA[[#This Row],[comment]]-RNA_DATA[[#This Row],[Offset TT_COG '[m']]])/(RNA_DATA[[#This Row],[Inertia '[kg·m²']]]-RNA_DATA[[#This Row],[Mass '[t']]]),"")</f>
        <v/>
      </c>
      <c r="DH137" s="80" t="str">
        <f t="shared" si="7"/>
        <v/>
      </c>
      <c r="DI137" s="80" t="str">
        <f>IFERROR((RNA_DATA[[#This Row],[comment]]+RNA_DATA[[#This Row],[Offset TT_COG '[m']]])/(2*#REF!/1000),"")</f>
        <v/>
      </c>
    </row>
    <row r="138" spans="8:113" x14ac:dyDescent="0.3">
      <c r="H138" s="80" t="str">
        <f>IFERROR(MP_DATA[[#This Row],[Bottom '[m']]]-MP_DATA[[#This Row],[D, top '[m']]], "")</f>
        <v/>
      </c>
      <c r="I138" s="80" t="str">
        <f>IFERROR(-(MP_DATA[[#This Row],[D, bottom '[m']]]-MP_DATA[[#This Row],[D, top '[m']]])/(MP_DATA[[#This Row],[Bottom '[m']]]-MP_DATA[[#This Row],[Top '[m']]]),"")</f>
        <v/>
      </c>
      <c r="J138" s="80" t="str">
        <f t="shared" si="8"/>
        <v/>
      </c>
      <c r="K138" s="80" t="str">
        <f>IFERROR((MP_DATA[[#This Row],[D, bottom '[m']]]+MP_DATA[[#This Row],[D, top '[m']]])/(2*MP_DATA[[#This Row],[t '[mm']]]/1000),"")</f>
        <v/>
      </c>
      <c r="L138" t="str">
        <f>IFERROR((MP_DATA[[#This Row],[D, bottom '[m']]]+#REF!)/(2*#REF!/1000),"")</f>
        <v/>
      </c>
      <c r="AP138" s="80" t="str">
        <f>IFERROR(TP_DATA[[#This Row],[Bottom '[m']]]-TP_DATA[[#This Row],[D, top '[m']]], "")</f>
        <v/>
      </c>
      <c r="AQ138" s="80" t="str">
        <f>IFERROR(-(TP_DATA[[#This Row],[D, bottom '[m']]]-TP_DATA[[#This Row],[D, top '[m']]])/(TP_DATA[[#This Row],[Bottom '[m']]]-TP_DATA[[#This Row],[Top '[m']]]),"")</f>
        <v/>
      </c>
      <c r="AR138" s="80" t="str">
        <f t="shared" si="5"/>
        <v/>
      </c>
      <c r="AS138" s="80" t="str">
        <f>IFERROR((TP_DATA[[#This Row],[D, bottom '[m']]]+TP_DATA[[#This Row],[D, top '[m']]])/(2*TP_DATA[[#This Row],[t '[mm']]]/1000),"")</f>
        <v/>
      </c>
      <c r="AT138" t="str">
        <f>IFERROR((TP_DATA[[#This Row],[D, bottom '[m']]]+#REF!)/(2*#REF!/1000),"")</f>
        <v/>
      </c>
      <c r="BX138" s="80" t="str">
        <f>IFERROR(TOWER_DATA[[#This Row],[Bottom '[m']]]-TOWER_DATA[[#This Row],[D, top '[m']]], "")</f>
        <v/>
      </c>
      <c r="BY138" s="80" t="str">
        <f>IFERROR(-(TOWER_DATA[[#This Row],[D, bottom '[m']]]-TOWER_DATA[[#This Row],[D, top '[m']]])/(TOWER_DATA[[#This Row],[Bottom '[m']]]-TOWER_DATA[[#This Row],[Top '[m']]]),"")</f>
        <v/>
      </c>
      <c r="BZ138" s="80" t="str">
        <f t="shared" si="6"/>
        <v/>
      </c>
      <c r="CA138" s="80" t="str">
        <f>IFERROR((TOWER_DATA[[#This Row],[D, bottom '[m']]]+TOWER_DATA[[#This Row],[D, top '[m']]])/(2*TOWER_DATA[[#This Row],[t '[mm']]]/1000),"")</f>
        <v/>
      </c>
      <c r="CB138" t="str">
        <f>IFERROR((TOWER_DATA[[#This Row],[D, bottom '[m']]]+#REF!)/(2*#REF!/1000),"")</f>
        <v/>
      </c>
      <c r="DF138" s="80" t="str">
        <f>IFERROR(RNA_DATA[[#This Row],[Inertia '[kg·m²']]]-RNA_DATA[[#This Row],[Offset TT_COG '[m']]], "")</f>
        <v/>
      </c>
      <c r="DG138" s="80" t="str">
        <f>IFERROR(-(RNA_DATA[[#This Row],[comment]]-RNA_DATA[[#This Row],[Offset TT_COG '[m']]])/(RNA_DATA[[#This Row],[Inertia '[kg·m²']]]-RNA_DATA[[#This Row],[Mass '[t']]]),"")</f>
        <v/>
      </c>
      <c r="DH138" s="80" t="str">
        <f t="shared" si="7"/>
        <v/>
      </c>
      <c r="DI138" s="80" t="str">
        <f>IFERROR((RNA_DATA[[#This Row],[comment]]+RNA_DATA[[#This Row],[Offset TT_COG '[m']]])/(2*#REF!/1000),"")</f>
        <v/>
      </c>
    </row>
    <row r="139" spans="8:113" x14ac:dyDescent="0.3">
      <c r="H139" s="80" t="str">
        <f>IFERROR(MP_DATA[[#This Row],[Bottom '[m']]]-MP_DATA[[#This Row],[D, top '[m']]], "")</f>
        <v/>
      </c>
      <c r="I139" s="80" t="str">
        <f>IFERROR(-(MP_DATA[[#This Row],[D, bottom '[m']]]-MP_DATA[[#This Row],[D, top '[m']]])/(MP_DATA[[#This Row],[Bottom '[m']]]-MP_DATA[[#This Row],[Top '[m']]]),"")</f>
        <v/>
      </c>
      <c r="J139" s="80" t="str">
        <f t="shared" si="8"/>
        <v/>
      </c>
      <c r="K139" s="80" t="str">
        <f>IFERROR((MP_DATA[[#This Row],[D, bottom '[m']]]+MP_DATA[[#This Row],[D, top '[m']]])/(2*MP_DATA[[#This Row],[t '[mm']]]/1000),"")</f>
        <v/>
      </c>
      <c r="L139" t="str">
        <f>IFERROR((MP_DATA[[#This Row],[D, bottom '[m']]]+#REF!)/(2*#REF!/1000),"")</f>
        <v/>
      </c>
      <c r="AP139" s="80" t="str">
        <f>IFERROR(TP_DATA[[#This Row],[Bottom '[m']]]-TP_DATA[[#This Row],[D, top '[m']]], "")</f>
        <v/>
      </c>
      <c r="AQ139" s="80" t="str">
        <f>IFERROR(-(TP_DATA[[#This Row],[D, bottom '[m']]]-TP_DATA[[#This Row],[D, top '[m']]])/(TP_DATA[[#This Row],[Bottom '[m']]]-TP_DATA[[#This Row],[Top '[m']]]),"")</f>
        <v/>
      </c>
      <c r="AR139" s="80" t="str">
        <f t="shared" si="5"/>
        <v/>
      </c>
      <c r="AS139" s="80" t="str">
        <f>IFERROR((TP_DATA[[#This Row],[D, bottom '[m']]]+TP_DATA[[#This Row],[D, top '[m']]])/(2*TP_DATA[[#This Row],[t '[mm']]]/1000),"")</f>
        <v/>
      </c>
      <c r="AT139" t="str">
        <f>IFERROR((TP_DATA[[#This Row],[D, bottom '[m']]]+#REF!)/(2*#REF!/1000),"")</f>
        <v/>
      </c>
      <c r="BX139" s="80" t="str">
        <f>IFERROR(TOWER_DATA[[#This Row],[Bottom '[m']]]-TOWER_DATA[[#This Row],[D, top '[m']]], "")</f>
        <v/>
      </c>
      <c r="BY139" s="80" t="str">
        <f>IFERROR(-(TOWER_DATA[[#This Row],[D, bottom '[m']]]-TOWER_DATA[[#This Row],[D, top '[m']]])/(TOWER_DATA[[#This Row],[Bottom '[m']]]-TOWER_DATA[[#This Row],[Top '[m']]]),"")</f>
        <v/>
      </c>
      <c r="BZ139" s="80" t="str">
        <f t="shared" si="6"/>
        <v/>
      </c>
      <c r="CA139" s="80" t="str">
        <f>IFERROR((TOWER_DATA[[#This Row],[D, bottom '[m']]]+TOWER_DATA[[#This Row],[D, top '[m']]])/(2*TOWER_DATA[[#This Row],[t '[mm']]]/1000),"")</f>
        <v/>
      </c>
      <c r="CB139" t="str">
        <f>IFERROR((TOWER_DATA[[#This Row],[D, bottom '[m']]]+#REF!)/(2*#REF!/1000),"")</f>
        <v/>
      </c>
      <c r="DF139" s="80" t="str">
        <f>IFERROR(RNA_DATA[[#This Row],[Inertia '[kg·m²']]]-RNA_DATA[[#This Row],[Offset TT_COG '[m']]], "")</f>
        <v/>
      </c>
      <c r="DG139" s="80" t="str">
        <f>IFERROR(-(RNA_DATA[[#This Row],[comment]]-RNA_DATA[[#This Row],[Offset TT_COG '[m']]])/(RNA_DATA[[#This Row],[Inertia '[kg·m²']]]-RNA_DATA[[#This Row],[Mass '[t']]]),"")</f>
        <v/>
      </c>
      <c r="DH139" s="80" t="str">
        <f t="shared" si="7"/>
        <v/>
      </c>
      <c r="DI139" s="80" t="str">
        <f>IFERROR((RNA_DATA[[#This Row],[comment]]+RNA_DATA[[#This Row],[Offset TT_COG '[m']]])/(2*#REF!/1000),"")</f>
        <v/>
      </c>
    </row>
    <row r="140" spans="8:113" x14ac:dyDescent="0.3">
      <c r="H140" s="80" t="str">
        <f>IFERROR(MP_DATA[[#This Row],[Bottom '[m']]]-MP_DATA[[#This Row],[D, top '[m']]], "")</f>
        <v/>
      </c>
      <c r="I140" s="80" t="str">
        <f>IFERROR(-(MP_DATA[[#This Row],[D, bottom '[m']]]-MP_DATA[[#This Row],[D, top '[m']]])/(MP_DATA[[#This Row],[Bottom '[m']]]-MP_DATA[[#This Row],[Top '[m']]]),"")</f>
        <v/>
      </c>
      <c r="J140" s="80" t="str">
        <f t="shared" si="8"/>
        <v/>
      </c>
      <c r="K140" s="80" t="str">
        <f>IFERROR((MP_DATA[[#This Row],[D, bottom '[m']]]+MP_DATA[[#This Row],[D, top '[m']]])/(2*MP_DATA[[#This Row],[t '[mm']]]/1000),"")</f>
        <v/>
      </c>
      <c r="L140" t="str">
        <f>IFERROR((MP_DATA[[#This Row],[D, bottom '[m']]]+#REF!)/(2*#REF!/1000),"")</f>
        <v/>
      </c>
      <c r="AP140" s="80" t="str">
        <f>IFERROR(TP_DATA[[#This Row],[Bottom '[m']]]-TP_DATA[[#This Row],[D, top '[m']]], "")</f>
        <v/>
      </c>
      <c r="AQ140" s="80" t="str">
        <f>IFERROR(-(TP_DATA[[#This Row],[D, bottom '[m']]]-TP_DATA[[#This Row],[D, top '[m']]])/(TP_DATA[[#This Row],[Bottom '[m']]]-TP_DATA[[#This Row],[Top '[m']]]),"")</f>
        <v/>
      </c>
      <c r="AR140" s="80" t="str">
        <f t="shared" si="5"/>
        <v/>
      </c>
      <c r="AS140" s="80" t="str">
        <f>IFERROR((TP_DATA[[#This Row],[D, bottom '[m']]]+TP_DATA[[#This Row],[D, top '[m']]])/(2*TP_DATA[[#This Row],[t '[mm']]]/1000),"")</f>
        <v/>
      </c>
      <c r="AT140" t="str">
        <f>IFERROR((TP_DATA[[#This Row],[D, bottom '[m']]]+#REF!)/(2*#REF!/1000),"")</f>
        <v/>
      </c>
      <c r="BX140" s="80" t="str">
        <f>IFERROR(TOWER_DATA[[#This Row],[Bottom '[m']]]-TOWER_DATA[[#This Row],[D, top '[m']]], "")</f>
        <v/>
      </c>
      <c r="BY140" s="80" t="str">
        <f>IFERROR(-(TOWER_DATA[[#This Row],[D, bottom '[m']]]-TOWER_DATA[[#This Row],[D, top '[m']]])/(TOWER_DATA[[#This Row],[Bottom '[m']]]-TOWER_DATA[[#This Row],[Top '[m']]]),"")</f>
        <v/>
      </c>
      <c r="BZ140" s="80" t="str">
        <f t="shared" si="6"/>
        <v/>
      </c>
      <c r="CA140" s="80" t="str">
        <f>IFERROR((TOWER_DATA[[#This Row],[D, bottom '[m']]]+TOWER_DATA[[#This Row],[D, top '[m']]])/(2*TOWER_DATA[[#This Row],[t '[mm']]]/1000),"")</f>
        <v/>
      </c>
      <c r="CB140" t="str">
        <f>IFERROR((TOWER_DATA[[#This Row],[D, bottom '[m']]]+#REF!)/(2*#REF!/1000),"")</f>
        <v/>
      </c>
      <c r="DF140" s="80" t="str">
        <f>IFERROR(RNA_DATA[[#This Row],[Inertia '[kg·m²']]]-RNA_DATA[[#This Row],[Offset TT_COG '[m']]], "")</f>
        <v/>
      </c>
      <c r="DG140" s="80" t="str">
        <f>IFERROR(-(RNA_DATA[[#This Row],[comment]]-RNA_DATA[[#This Row],[Offset TT_COG '[m']]])/(RNA_DATA[[#This Row],[Inertia '[kg·m²']]]-RNA_DATA[[#This Row],[Mass '[t']]]),"")</f>
        <v/>
      </c>
      <c r="DH140" s="80" t="str">
        <f t="shared" si="7"/>
        <v/>
      </c>
      <c r="DI140" s="80" t="str">
        <f>IFERROR((RNA_DATA[[#This Row],[comment]]+RNA_DATA[[#This Row],[Offset TT_COG '[m']]])/(2*#REF!/1000),"")</f>
        <v/>
      </c>
    </row>
    <row r="141" spans="8:113" x14ac:dyDescent="0.3">
      <c r="H141" s="80" t="str">
        <f>IFERROR(MP_DATA[[#This Row],[Bottom '[m']]]-MP_DATA[[#This Row],[D, top '[m']]], "")</f>
        <v/>
      </c>
      <c r="I141" s="80" t="str">
        <f>IFERROR(-(MP_DATA[[#This Row],[D, bottom '[m']]]-MP_DATA[[#This Row],[D, top '[m']]])/(MP_DATA[[#This Row],[Bottom '[m']]]-MP_DATA[[#This Row],[Top '[m']]]),"")</f>
        <v/>
      </c>
      <c r="J141" s="80" t="str">
        <f t="shared" si="8"/>
        <v/>
      </c>
      <c r="K141" s="80" t="str">
        <f>IFERROR((MP_DATA[[#This Row],[D, bottom '[m']]]+MP_DATA[[#This Row],[D, top '[m']]])/(2*MP_DATA[[#This Row],[t '[mm']]]/1000),"")</f>
        <v/>
      </c>
      <c r="L141" t="str">
        <f>IFERROR((MP_DATA[[#This Row],[D, bottom '[m']]]+#REF!)/(2*#REF!/1000),"")</f>
        <v/>
      </c>
      <c r="AP141" s="80" t="str">
        <f>IFERROR(TP_DATA[[#This Row],[Bottom '[m']]]-TP_DATA[[#This Row],[D, top '[m']]], "")</f>
        <v/>
      </c>
      <c r="AQ141" s="80" t="str">
        <f>IFERROR(-(TP_DATA[[#This Row],[D, bottom '[m']]]-TP_DATA[[#This Row],[D, top '[m']]])/(TP_DATA[[#This Row],[Bottom '[m']]]-TP_DATA[[#This Row],[Top '[m']]]),"")</f>
        <v/>
      </c>
      <c r="AR141" s="80" t="str">
        <f t="shared" si="5"/>
        <v/>
      </c>
      <c r="AS141" s="80" t="str">
        <f>IFERROR((TP_DATA[[#This Row],[D, bottom '[m']]]+TP_DATA[[#This Row],[D, top '[m']]])/(2*TP_DATA[[#This Row],[t '[mm']]]/1000),"")</f>
        <v/>
      </c>
      <c r="AT141" t="str">
        <f>IFERROR((TP_DATA[[#This Row],[D, bottom '[m']]]+#REF!)/(2*#REF!/1000),"")</f>
        <v/>
      </c>
      <c r="BX141" s="80" t="str">
        <f>IFERROR(TOWER_DATA[[#This Row],[Bottom '[m']]]-TOWER_DATA[[#This Row],[D, top '[m']]], "")</f>
        <v/>
      </c>
      <c r="BY141" s="80" t="str">
        <f>IFERROR(-(TOWER_DATA[[#This Row],[D, bottom '[m']]]-TOWER_DATA[[#This Row],[D, top '[m']]])/(TOWER_DATA[[#This Row],[Bottom '[m']]]-TOWER_DATA[[#This Row],[Top '[m']]]),"")</f>
        <v/>
      </c>
      <c r="BZ141" s="80" t="str">
        <f t="shared" si="6"/>
        <v/>
      </c>
      <c r="CA141" s="80" t="str">
        <f>IFERROR((TOWER_DATA[[#This Row],[D, bottom '[m']]]+TOWER_DATA[[#This Row],[D, top '[m']]])/(2*TOWER_DATA[[#This Row],[t '[mm']]]/1000),"")</f>
        <v/>
      </c>
      <c r="CB141" t="str">
        <f>IFERROR((TOWER_DATA[[#This Row],[D, bottom '[m']]]+#REF!)/(2*#REF!/1000),"")</f>
        <v/>
      </c>
      <c r="DF141" s="80" t="str">
        <f>IFERROR(RNA_DATA[[#This Row],[Inertia '[kg·m²']]]-RNA_DATA[[#This Row],[Offset TT_COG '[m']]], "")</f>
        <v/>
      </c>
      <c r="DG141" s="80" t="str">
        <f>IFERROR(-(RNA_DATA[[#This Row],[comment]]-RNA_DATA[[#This Row],[Offset TT_COG '[m']]])/(RNA_DATA[[#This Row],[Inertia '[kg·m²']]]-RNA_DATA[[#This Row],[Mass '[t']]]),"")</f>
        <v/>
      </c>
      <c r="DH141" s="80" t="str">
        <f t="shared" si="7"/>
        <v/>
      </c>
      <c r="DI141" s="80" t="str">
        <f>IFERROR((RNA_DATA[[#This Row],[comment]]+RNA_DATA[[#This Row],[Offset TT_COG '[m']]])/(2*#REF!/1000),"")</f>
        <v/>
      </c>
    </row>
    <row r="142" spans="8:113" x14ac:dyDescent="0.3">
      <c r="H142" s="80" t="str">
        <f>IFERROR(MP_DATA[[#This Row],[Bottom '[m']]]-MP_DATA[[#This Row],[D, top '[m']]], "")</f>
        <v/>
      </c>
      <c r="I142" s="80" t="str">
        <f>IFERROR(-(MP_DATA[[#This Row],[D, bottom '[m']]]-MP_DATA[[#This Row],[D, top '[m']]])/(MP_DATA[[#This Row],[Bottom '[m']]]-MP_DATA[[#This Row],[Top '[m']]]),"")</f>
        <v/>
      </c>
      <c r="J142" s="80" t="str">
        <f t="shared" si="8"/>
        <v/>
      </c>
      <c r="K142" s="80" t="str">
        <f>IFERROR((MP_DATA[[#This Row],[D, bottom '[m']]]+MP_DATA[[#This Row],[D, top '[m']]])/(2*MP_DATA[[#This Row],[t '[mm']]]/1000),"")</f>
        <v/>
      </c>
      <c r="AP142" s="80" t="str">
        <f>IFERROR(TP_DATA[[#This Row],[Bottom '[m']]]-TP_DATA[[#This Row],[D, top '[m']]], "")</f>
        <v/>
      </c>
      <c r="AQ142" s="80" t="str">
        <f>IFERROR(-(TP_DATA[[#This Row],[D, bottom '[m']]]-TP_DATA[[#This Row],[D, top '[m']]])/(TP_DATA[[#This Row],[Bottom '[m']]]-TP_DATA[[#This Row],[Top '[m']]]),"")</f>
        <v/>
      </c>
      <c r="AR142" s="80" t="str">
        <f t="shared" si="5"/>
        <v/>
      </c>
      <c r="AS142" s="80" t="str">
        <f>IFERROR((TP_DATA[[#This Row],[D, bottom '[m']]]+TP_DATA[[#This Row],[D, top '[m']]])/(2*TP_DATA[[#This Row],[t '[mm']]]/1000),"")</f>
        <v/>
      </c>
      <c r="BX142" s="80" t="str">
        <f>IFERROR(TOWER_DATA[[#This Row],[Bottom '[m']]]-TOWER_DATA[[#This Row],[D, top '[m']]], "")</f>
        <v/>
      </c>
      <c r="BY142" s="80" t="str">
        <f>IFERROR(-(TOWER_DATA[[#This Row],[D, bottom '[m']]]-TOWER_DATA[[#This Row],[D, top '[m']]])/(TOWER_DATA[[#This Row],[Bottom '[m']]]-TOWER_DATA[[#This Row],[Top '[m']]]),"")</f>
        <v/>
      </c>
      <c r="BZ142" s="80" t="str">
        <f t="shared" si="6"/>
        <v/>
      </c>
      <c r="CA142" s="80" t="str">
        <f>IFERROR((TOWER_DATA[[#This Row],[D, bottom '[m']]]+TOWER_DATA[[#This Row],[D, top '[m']]])/(2*TOWER_DATA[[#This Row],[t '[mm']]]/1000),"")</f>
        <v/>
      </c>
      <c r="DF142" s="80" t="str">
        <f>IFERROR(RNA_DATA[[#This Row],[Inertia '[kg·m²']]]-RNA_DATA[[#This Row],[Offset TT_COG '[m']]], "")</f>
        <v/>
      </c>
      <c r="DG142" s="80" t="str">
        <f>IFERROR(-(RNA_DATA[[#This Row],[comment]]-RNA_DATA[[#This Row],[Offset TT_COG '[m']]])/(RNA_DATA[[#This Row],[Inertia '[kg·m²']]]-RNA_DATA[[#This Row],[Mass '[t']]]),"")</f>
        <v/>
      </c>
      <c r="DH142" s="80" t="str">
        <f t="shared" si="7"/>
        <v/>
      </c>
      <c r="DI142" s="80" t="str">
        <f>IFERROR((RNA_DATA[[#This Row],[comment]]+RNA_DATA[[#This Row],[Offset TT_COG '[m']]])/(2*#REF!/1000),"")</f>
        <v/>
      </c>
    </row>
    <row r="143" spans="8:113" x14ac:dyDescent="0.3">
      <c r="H143" s="80" t="str">
        <f>IFERROR(MP_DATA[[#This Row],[Bottom '[m']]]-MP_DATA[[#This Row],[D, top '[m']]], "")</f>
        <v/>
      </c>
      <c r="I143" s="80" t="str">
        <f>IFERROR(-(MP_DATA[[#This Row],[D, bottom '[m']]]-MP_DATA[[#This Row],[D, top '[m']]])/(MP_DATA[[#This Row],[Bottom '[m']]]-MP_DATA[[#This Row],[Top '[m']]]),"")</f>
        <v/>
      </c>
      <c r="J143" s="80" t="str">
        <f t="shared" si="8"/>
        <v/>
      </c>
      <c r="K143" s="80" t="str">
        <f>IFERROR((MP_DATA[[#This Row],[D, bottom '[m']]]+MP_DATA[[#This Row],[D, top '[m']]])/(2*MP_DATA[[#This Row],[t '[mm']]]/1000),"")</f>
        <v/>
      </c>
      <c r="AP143" s="80" t="str">
        <f>IFERROR(TP_DATA[[#This Row],[Bottom '[m']]]-TP_DATA[[#This Row],[D, top '[m']]], "")</f>
        <v/>
      </c>
      <c r="AQ143" s="80" t="str">
        <f>IFERROR(-(TP_DATA[[#This Row],[D, bottom '[m']]]-TP_DATA[[#This Row],[D, top '[m']]])/(TP_DATA[[#This Row],[Bottom '[m']]]-TP_DATA[[#This Row],[Top '[m']]]),"")</f>
        <v/>
      </c>
      <c r="AR143" s="80" t="str">
        <f t="shared" si="5"/>
        <v/>
      </c>
      <c r="AS143" s="80" t="str">
        <f>IFERROR((TP_DATA[[#This Row],[D, bottom '[m']]]+TP_DATA[[#This Row],[D, top '[m']]])/(2*TP_DATA[[#This Row],[t '[mm']]]/1000),"")</f>
        <v/>
      </c>
      <c r="BX143" s="80" t="str">
        <f>IFERROR(TOWER_DATA[[#This Row],[Bottom '[m']]]-TOWER_DATA[[#This Row],[D, top '[m']]], "")</f>
        <v/>
      </c>
      <c r="BY143" s="80" t="str">
        <f>IFERROR(-(TOWER_DATA[[#This Row],[D, bottom '[m']]]-TOWER_DATA[[#This Row],[D, top '[m']]])/(TOWER_DATA[[#This Row],[Bottom '[m']]]-TOWER_DATA[[#This Row],[Top '[m']]]),"")</f>
        <v/>
      </c>
      <c r="BZ143" s="80" t="str">
        <f t="shared" si="6"/>
        <v/>
      </c>
      <c r="CA143" s="80" t="str">
        <f>IFERROR((TOWER_DATA[[#This Row],[D, bottom '[m']]]+TOWER_DATA[[#This Row],[D, top '[m']]])/(2*TOWER_DATA[[#This Row],[t '[mm']]]/1000),"")</f>
        <v/>
      </c>
      <c r="DF143" s="80" t="str">
        <f>IFERROR(RNA_DATA[[#This Row],[Inertia '[kg·m²']]]-RNA_DATA[[#This Row],[Offset TT_COG '[m']]], "")</f>
        <v/>
      </c>
      <c r="DG143" s="80" t="str">
        <f>IFERROR(-(RNA_DATA[[#This Row],[comment]]-RNA_DATA[[#This Row],[Offset TT_COG '[m']]])/(RNA_DATA[[#This Row],[Inertia '[kg·m²']]]-RNA_DATA[[#This Row],[Mass '[t']]]),"")</f>
        <v/>
      </c>
      <c r="DH143" s="80" t="str">
        <f t="shared" si="7"/>
        <v/>
      </c>
      <c r="DI143" s="80" t="str">
        <f>IFERROR((RNA_DATA[[#This Row],[comment]]+RNA_DATA[[#This Row],[Offset TT_COG '[m']]])/(2*#REF!/1000),"")</f>
        <v/>
      </c>
    </row>
    <row r="144" spans="8:113" x14ac:dyDescent="0.3">
      <c r="H144" s="80" t="str">
        <f>IFERROR(MP_DATA[[#This Row],[Bottom '[m']]]-MP_DATA[[#This Row],[D, top '[m']]], "")</f>
        <v/>
      </c>
      <c r="I144" s="80" t="str">
        <f>IFERROR(-(MP_DATA[[#This Row],[D, bottom '[m']]]-MP_DATA[[#This Row],[D, top '[m']]])/(MP_DATA[[#This Row],[Bottom '[m']]]-MP_DATA[[#This Row],[Top '[m']]]),"")</f>
        <v/>
      </c>
      <c r="J144" s="80" t="str">
        <f t="shared" si="8"/>
        <v/>
      </c>
      <c r="K144" s="80" t="str">
        <f>IFERROR((MP_DATA[[#This Row],[D, bottom '[m']]]+MP_DATA[[#This Row],[D, top '[m']]])/(2*MP_DATA[[#This Row],[t '[mm']]]/1000),"")</f>
        <v/>
      </c>
      <c r="AP144" s="80" t="str">
        <f>IFERROR(TP_DATA[[#This Row],[Bottom '[m']]]-TP_DATA[[#This Row],[D, top '[m']]], "")</f>
        <v/>
      </c>
      <c r="AQ144" s="80" t="str">
        <f>IFERROR(-(TP_DATA[[#This Row],[D, bottom '[m']]]-TP_DATA[[#This Row],[D, top '[m']]])/(TP_DATA[[#This Row],[Bottom '[m']]]-TP_DATA[[#This Row],[Top '[m']]]),"")</f>
        <v/>
      </c>
      <c r="AR144" s="80" t="str">
        <f t="shared" si="5"/>
        <v/>
      </c>
      <c r="AS144" s="80" t="str">
        <f>IFERROR((TP_DATA[[#This Row],[D, bottom '[m']]]+TP_DATA[[#This Row],[D, top '[m']]])/(2*TP_DATA[[#This Row],[t '[mm']]]/1000),"")</f>
        <v/>
      </c>
      <c r="BX144" s="80" t="str">
        <f>IFERROR(TOWER_DATA[[#This Row],[Bottom '[m']]]-TOWER_DATA[[#This Row],[D, top '[m']]], "")</f>
        <v/>
      </c>
      <c r="BY144" s="80" t="str">
        <f>IFERROR(-(TOWER_DATA[[#This Row],[D, bottom '[m']]]-TOWER_DATA[[#This Row],[D, top '[m']]])/(TOWER_DATA[[#This Row],[Bottom '[m']]]-TOWER_DATA[[#This Row],[Top '[m']]]),"")</f>
        <v/>
      </c>
      <c r="BZ144" s="80" t="str">
        <f t="shared" si="6"/>
        <v/>
      </c>
      <c r="CA144" s="80" t="str">
        <f>IFERROR((TOWER_DATA[[#This Row],[D, bottom '[m']]]+TOWER_DATA[[#This Row],[D, top '[m']]])/(2*TOWER_DATA[[#This Row],[t '[mm']]]/1000),"")</f>
        <v/>
      </c>
      <c r="DF144" s="80" t="str">
        <f>IFERROR(RNA_DATA[[#This Row],[Inertia '[kg·m²']]]-RNA_DATA[[#This Row],[Offset TT_COG '[m']]], "")</f>
        <v/>
      </c>
      <c r="DG144" s="80" t="str">
        <f>IFERROR(-(RNA_DATA[[#This Row],[comment]]-RNA_DATA[[#This Row],[Offset TT_COG '[m']]])/(RNA_DATA[[#This Row],[Inertia '[kg·m²']]]-RNA_DATA[[#This Row],[Mass '[t']]]),"")</f>
        <v/>
      </c>
      <c r="DH144" s="80" t="str">
        <f t="shared" si="7"/>
        <v/>
      </c>
      <c r="DI144" s="80" t="str">
        <f>IFERROR((RNA_DATA[[#This Row],[comment]]+RNA_DATA[[#This Row],[Offset TT_COG '[m']]])/(2*#REF!/1000),"")</f>
        <v/>
      </c>
    </row>
    <row r="145" spans="8:113" x14ac:dyDescent="0.3">
      <c r="H145" s="80" t="str">
        <f>IFERROR(MP_DATA[[#This Row],[Bottom '[m']]]-MP_DATA[[#This Row],[D, top '[m']]], "")</f>
        <v/>
      </c>
      <c r="I145" s="80" t="str">
        <f>IFERROR(-(MP_DATA[[#This Row],[D, bottom '[m']]]-MP_DATA[[#This Row],[D, top '[m']]])/(MP_DATA[[#This Row],[Bottom '[m']]]-MP_DATA[[#This Row],[Top '[m']]]),"")</f>
        <v/>
      </c>
      <c r="J145" s="80" t="str">
        <f t="shared" si="8"/>
        <v/>
      </c>
      <c r="K145" s="80" t="str">
        <f>IFERROR((MP_DATA[[#This Row],[D, bottom '[m']]]+MP_DATA[[#This Row],[D, top '[m']]])/(2*MP_DATA[[#This Row],[t '[mm']]]/1000),"")</f>
        <v/>
      </c>
      <c r="AP145" s="80" t="str">
        <f>IFERROR(TP_DATA[[#This Row],[Bottom '[m']]]-TP_DATA[[#This Row],[D, top '[m']]], "")</f>
        <v/>
      </c>
      <c r="AQ145" s="80" t="str">
        <f>IFERROR(-(TP_DATA[[#This Row],[D, bottom '[m']]]-TP_DATA[[#This Row],[D, top '[m']]])/(TP_DATA[[#This Row],[Bottom '[m']]]-TP_DATA[[#This Row],[Top '[m']]]),"")</f>
        <v/>
      </c>
      <c r="AR145" s="80" t="str">
        <f t="shared" si="5"/>
        <v/>
      </c>
      <c r="AS145" s="80" t="str">
        <f>IFERROR((TP_DATA[[#This Row],[D, bottom '[m']]]+TP_DATA[[#This Row],[D, top '[m']]])/(2*TP_DATA[[#This Row],[t '[mm']]]/1000),"")</f>
        <v/>
      </c>
      <c r="BX145" s="80" t="str">
        <f>IFERROR(TOWER_DATA[[#This Row],[Bottom '[m']]]-TOWER_DATA[[#This Row],[D, top '[m']]], "")</f>
        <v/>
      </c>
      <c r="BY145" s="80" t="str">
        <f>IFERROR(-(TOWER_DATA[[#This Row],[D, bottom '[m']]]-TOWER_DATA[[#This Row],[D, top '[m']]])/(TOWER_DATA[[#This Row],[Bottom '[m']]]-TOWER_DATA[[#This Row],[Top '[m']]]),"")</f>
        <v/>
      </c>
      <c r="BZ145" s="80" t="str">
        <f t="shared" si="6"/>
        <v/>
      </c>
      <c r="CA145" s="80" t="str">
        <f>IFERROR((TOWER_DATA[[#This Row],[D, bottom '[m']]]+TOWER_DATA[[#This Row],[D, top '[m']]])/(2*TOWER_DATA[[#This Row],[t '[mm']]]/1000),"")</f>
        <v/>
      </c>
      <c r="DF145" s="80" t="str">
        <f>IFERROR(RNA_DATA[[#This Row],[Inertia '[kg·m²']]]-RNA_DATA[[#This Row],[Offset TT_COG '[m']]], "")</f>
        <v/>
      </c>
      <c r="DG145" s="80" t="str">
        <f>IFERROR(-(RNA_DATA[[#This Row],[comment]]-RNA_DATA[[#This Row],[Offset TT_COG '[m']]])/(RNA_DATA[[#This Row],[Inertia '[kg·m²']]]-RNA_DATA[[#This Row],[Mass '[t']]]),"")</f>
        <v/>
      </c>
      <c r="DH145" s="80" t="str">
        <f t="shared" si="7"/>
        <v/>
      </c>
      <c r="DI145" s="80" t="str">
        <f>IFERROR((RNA_DATA[[#This Row],[comment]]+RNA_DATA[[#This Row],[Offset TT_COG '[m']]])/(2*#REF!/1000),"")</f>
        <v/>
      </c>
    </row>
    <row r="146" spans="8:113" x14ac:dyDescent="0.3">
      <c r="H146" s="80" t="str">
        <f>IFERROR(MP_DATA[[#This Row],[Bottom '[m']]]-MP_DATA[[#This Row],[D, top '[m']]], "")</f>
        <v/>
      </c>
      <c r="I146" s="80" t="str">
        <f>IFERROR(-(MP_DATA[[#This Row],[D, bottom '[m']]]-MP_DATA[[#This Row],[D, top '[m']]])/(MP_DATA[[#This Row],[Bottom '[m']]]-MP_DATA[[#This Row],[Top '[m']]]),"")</f>
        <v/>
      </c>
      <c r="J146" s="80" t="str">
        <f t="shared" si="8"/>
        <v/>
      </c>
      <c r="K146" s="80" t="str">
        <f>IFERROR((MP_DATA[[#This Row],[D, bottom '[m']]]+MP_DATA[[#This Row],[D, top '[m']]])/(2*MP_DATA[[#This Row],[t '[mm']]]/1000),"")</f>
        <v/>
      </c>
      <c r="AP146" s="80" t="str">
        <f>IFERROR(TP_DATA[[#This Row],[Bottom '[m']]]-TP_DATA[[#This Row],[D, top '[m']]], "")</f>
        <v/>
      </c>
      <c r="AQ146" s="80" t="str">
        <f>IFERROR(-(TP_DATA[[#This Row],[D, bottom '[m']]]-TP_DATA[[#This Row],[D, top '[m']]])/(TP_DATA[[#This Row],[Bottom '[m']]]-TP_DATA[[#This Row],[Top '[m']]]),"")</f>
        <v/>
      </c>
      <c r="AR146" s="80" t="str">
        <f t="shared" si="5"/>
        <v/>
      </c>
      <c r="AS146" s="80" t="str">
        <f>IFERROR((TP_DATA[[#This Row],[D, bottom '[m']]]+TP_DATA[[#This Row],[D, top '[m']]])/(2*TP_DATA[[#This Row],[t '[mm']]]/1000),"")</f>
        <v/>
      </c>
      <c r="BX146" s="80" t="str">
        <f>IFERROR(TOWER_DATA[[#This Row],[Bottom '[m']]]-TOWER_DATA[[#This Row],[D, top '[m']]], "")</f>
        <v/>
      </c>
      <c r="BY146" s="80" t="str">
        <f>IFERROR(-(TOWER_DATA[[#This Row],[D, bottom '[m']]]-TOWER_DATA[[#This Row],[D, top '[m']]])/(TOWER_DATA[[#This Row],[Bottom '[m']]]-TOWER_DATA[[#This Row],[Top '[m']]]),"")</f>
        <v/>
      </c>
      <c r="BZ146" s="80" t="str">
        <f t="shared" si="6"/>
        <v/>
      </c>
      <c r="CA146" s="80" t="str">
        <f>IFERROR((TOWER_DATA[[#This Row],[D, bottom '[m']]]+TOWER_DATA[[#This Row],[D, top '[m']]])/(2*TOWER_DATA[[#This Row],[t '[mm']]]/1000),"")</f>
        <v/>
      </c>
      <c r="DF146" s="80" t="str">
        <f>IFERROR(RNA_DATA[[#This Row],[Inertia '[kg·m²']]]-RNA_DATA[[#This Row],[Offset TT_COG '[m']]], "")</f>
        <v/>
      </c>
      <c r="DG146" s="80" t="str">
        <f>IFERROR(-(RNA_DATA[[#This Row],[comment]]-RNA_DATA[[#This Row],[Offset TT_COG '[m']]])/(RNA_DATA[[#This Row],[Inertia '[kg·m²']]]-RNA_DATA[[#This Row],[Mass '[t']]]),"")</f>
        <v/>
      </c>
      <c r="DH146" s="80" t="str">
        <f t="shared" si="7"/>
        <v/>
      </c>
      <c r="DI146" s="80" t="str">
        <f>IFERROR((RNA_DATA[[#This Row],[comment]]+RNA_DATA[[#This Row],[Offset TT_COG '[m']]])/(2*#REF!/1000),"")</f>
        <v/>
      </c>
    </row>
    <row r="147" spans="8:113" x14ac:dyDescent="0.3">
      <c r="H147" s="80" t="str">
        <f>IFERROR(MP_DATA[[#This Row],[Bottom '[m']]]-MP_DATA[[#This Row],[D, top '[m']]], "")</f>
        <v/>
      </c>
      <c r="I147" s="80" t="str">
        <f>IFERROR(-(MP_DATA[[#This Row],[D, bottom '[m']]]-MP_DATA[[#This Row],[D, top '[m']]])/(MP_DATA[[#This Row],[Bottom '[m']]]-MP_DATA[[#This Row],[Top '[m']]]),"")</f>
        <v/>
      </c>
      <c r="J147" s="80" t="str">
        <f t="shared" si="8"/>
        <v/>
      </c>
      <c r="K147" s="80" t="str">
        <f>IFERROR((MP_DATA[[#This Row],[D, bottom '[m']]]+MP_DATA[[#This Row],[D, top '[m']]])/(2*MP_DATA[[#This Row],[t '[mm']]]/1000),"")</f>
        <v/>
      </c>
      <c r="AP147" s="80" t="str">
        <f>IFERROR(TP_DATA[[#This Row],[Bottom '[m']]]-TP_DATA[[#This Row],[D, top '[m']]], "")</f>
        <v/>
      </c>
      <c r="AQ147" s="80" t="str">
        <f>IFERROR(-(TP_DATA[[#This Row],[D, bottom '[m']]]-TP_DATA[[#This Row],[D, top '[m']]])/(TP_DATA[[#This Row],[Bottom '[m']]]-TP_DATA[[#This Row],[Top '[m']]]),"")</f>
        <v/>
      </c>
      <c r="AR147" s="80" t="str">
        <f t="shared" si="5"/>
        <v/>
      </c>
      <c r="AS147" s="80" t="str">
        <f>IFERROR((TP_DATA[[#This Row],[D, bottom '[m']]]+TP_DATA[[#This Row],[D, top '[m']]])/(2*TP_DATA[[#This Row],[t '[mm']]]/1000),"")</f>
        <v/>
      </c>
      <c r="BX147" s="80" t="str">
        <f>IFERROR(TOWER_DATA[[#This Row],[Bottom '[m']]]-TOWER_DATA[[#This Row],[D, top '[m']]], "")</f>
        <v/>
      </c>
      <c r="BY147" s="80" t="str">
        <f>IFERROR(-(TOWER_DATA[[#This Row],[D, bottom '[m']]]-TOWER_DATA[[#This Row],[D, top '[m']]])/(TOWER_DATA[[#This Row],[Bottom '[m']]]-TOWER_DATA[[#This Row],[Top '[m']]]),"")</f>
        <v/>
      </c>
      <c r="BZ147" s="80" t="str">
        <f t="shared" si="6"/>
        <v/>
      </c>
      <c r="CA147" s="80" t="str">
        <f>IFERROR((TOWER_DATA[[#This Row],[D, bottom '[m']]]+TOWER_DATA[[#This Row],[D, top '[m']]])/(2*TOWER_DATA[[#This Row],[t '[mm']]]/1000),"")</f>
        <v/>
      </c>
      <c r="DF147" s="80" t="str">
        <f>IFERROR(RNA_DATA[[#This Row],[Inertia '[kg·m²']]]-RNA_DATA[[#This Row],[Offset TT_COG '[m']]], "")</f>
        <v/>
      </c>
      <c r="DG147" s="80" t="str">
        <f>IFERROR(-(RNA_DATA[[#This Row],[comment]]-RNA_DATA[[#This Row],[Offset TT_COG '[m']]])/(RNA_DATA[[#This Row],[Inertia '[kg·m²']]]-RNA_DATA[[#This Row],[Mass '[t']]]),"")</f>
        <v/>
      </c>
      <c r="DH147" s="80" t="str">
        <f t="shared" si="7"/>
        <v/>
      </c>
      <c r="DI147" s="80" t="str">
        <f>IFERROR((RNA_DATA[[#This Row],[comment]]+RNA_DATA[[#This Row],[Offset TT_COG '[m']]])/(2*#REF!/1000),"")</f>
        <v/>
      </c>
    </row>
    <row r="148" spans="8:113" x14ac:dyDescent="0.3">
      <c r="H148" s="80" t="str">
        <f>IFERROR(MP_DATA[[#This Row],[Bottom '[m']]]-MP_DATA[[#This Row],[D, top '[m']]], "")</f>
        <v/>
      </c>
      <c r="I148" s="80" t="str">
        <f>IFERROR(-(MP_DATA[[#This Row],[D, bottom '[m']]]-MP_DATA[[#This Row],[D, top '[m']]])/(MP_DATA[[#This Row],[Bottom '[m']]]-MP_DATA[[#This Row],[Top '[m']]]),"")</f>
        <v/>
      </c>
      <c r="J148" s="80" t="str">
        <f t="shared" si="8"/>
        <v/>
      </c>
      <c r="K148" s="80" t="str">
        <f>IFERROR((MP_DATA[[#This Row],[D, bottom '[m']]]+MP_DATA[[#This Row],[D, top '[m']]])/(2*MP_DATA[[#This Row],[t '[mm']]]/1000),"")</f>
        <v/>
      </c>
      <c r="AP148" s="80" t="str">
        <f>IFERROR(TP_DATA[[#This Row],[Bottom '[m']]]-TP_DATA[[#This Row],[D, top '[m']]], "")</f>
        <v/>
      </c>
      <c r="AQ148" s="80" t="str">
        <f>IFERROR(-(TP_DATA[[#This Row],[D, bottom '[m']]]-TP_DATA[[#This Row],[D, top '[m']]])/(TP_DATA[[#This Row],[Bottom '[m']]]-TP_DATA[[#This Row],[Top '[m']]]),"")</f>
        <v/>
      </c>
      <c r="AR148" s="80" t="str">
        <f t="shared" si="5"/>
        <v/>
      </c>
      <c r="AS148" s="80" t="str">
        <f>IFERROR((TP_DATA[[#This Row],[D, bottom '[m']]]+TP_DATA[[#This Row],[D, top '[m']]])/(2*TP_DATA[[#This Row],[t '[mm']]]/1000),"")</f>
        <v/>
      </c>
      <c r="BX148" s="80" t="str">
        <f>IFERROR(TOWER_DATA[[#This Row],[Bottom '[m']]]-TOWER_DATA[[#This Row],[D, top '[m']]], "")</f>
        <v/>
      </c>
      <c r="BY148" s="80" t="str">
        <f>IFERROR(-(TOWER_DATA[[#This Row],[D, bottom '[m']]]-TOWER_DATA[[#This Row],[D, top '[m']]])/(TOWER_DATA[[#This Row],[Bottom '[m']]]-TOWER_DATA[[#This Row],[Top '[m']]]),"")</f>
        <v/>
      </c>
      <c r="BZ148" s="80" t="str">
        <f t="shared" si="6"/>
        <v/>
      </c>
      <c r="CA148" s="80" t="str">
        <f>IFERROR((TOWER_DATA[[#This Row],[D, bottom '[m']]]+TOWER_DATA[[#This Row],[D, top '[m']]])/(2*TOWER_DATA[[#This Row],[t '[mm']]]/1000),"")</f>
        <v/>
      </c>
      <c r="DF148" s="80" t="str">
        <f>IFERROR(RNA_DATA[[#This Row],[Inertia '[kg·m²']]]-RNA_DATA[[#This Row],[Offset TT_COG '[m']]], "")</f>
        <v/>
      </c>
      <c r="DG148" s="80" t="str">
        <f>IFERROR(-(RNA_DATA[[#This Row],[comment]]-RNA_DATA[[#This Row],[Offset TT_COG '[m']]])/(RNA_DATA[[#This Row],[Inertia '[kg·m²']]]-RNA_DATA[[#This Row],[Mass '[t']]]),"")</f>
        <v/>
      </c>
      <c r="DH148" s="80" t="str">
        <f t="shared" si="7"/>
        <v/>
      </c>
      <c r="DI148" s="80" t="str">
        <f>IFERROR((RNA_DATA[[#This Row],[comment]]+RNA_DATA[[#This Row],[Offset TT_COG '[m']]])/(2*#REF!/1000),"")</f>
        <v/>
      </c>
    </row>
    <row r="149" spans="8:113" x14ac:dyDescent="0.3">
      <c r="H149" s="80" t="str">
        <f>IFERROR(MP_DATA[[#This Row],[Bottom '[m']]]-MP_DATA[[#This Row],[D, top '[m']]], "")</f>
        <v/>
      </c>
      <c r="I149" s="80" t="str">
        <f>IFERROR(-(MP_DATA[[#This Row],[D, bottom '[m']]]-MP_DATA[[#This Row],[D, top '[m']]])/(MP_DATA[[#This Row],[Bottom '[m']]]-MP_DATA[[#This Row],[Top '[m']]]),"")</f>
        <v/>
      </c>
      <c r="J149" s="80" t="str">
        <f t="shared" si="8"/>
        <v/>
      </c>
      <c r="K149" s="80" t="str">
        <f>IFERROR((MP_DATA[[#This Row],[D, bottom '[m']]]+MP_DATA[[#This Row],[D, top '[m']]])/(2*MP_DATA[[#This Row],[t '[mm']]]/1000),"")</f>
        <v/>
      </c>
      <c r="AP149" s="80" t="str">
        <f>IFERROR(TP_DATA[[#This Row],[Bottom '[m']]]-TP_DATA[[#This Row],[D, top '[m']]], "")</f>
        <v/>
      </c>
      <c r="AQ149" s="80" t="str">
        <f>IFERROR(-(TP_DATA[[#This Row],[D, bottom '[m']]]-TP_DATA[[#This Row],[D, top '[m']]])/(TP_DATA[[#This Row],[Bottom '[m']]]-TP_DATA[[#This Row],[Top '[m']]]),"")</f>
        <v/>
      </c>
      <c r="AR149" s="80" t="str">
        <f t="shared" si="5"/>
        <v/>
      </c>
      <c r="AS149" s="80" t="str">
        <f>IFERROR((TP_DATA[[#This Row],[D, bottom '[m']]]+TP_DATA[[#This Row],[D, top '[m']]])/(2*TP_DATA[[#This Row],[t '[mm']]]/1000),"")</f>
        <v/>
      </c>
      <c r="BX149" s="80" t="str">
        <f>IFERROR(TOWER_DATA[[#This Row],[Bottom '[m']]]-TOWER_DATA[[#This Row],[D, top '[m']]], "")</f>
        <v/>
      </c>
      <c r="BY149" s="80" t="str">
        <f>IFERROR(-(TOWER_DATA[[#This Row],[D, bottom '[m']]]-TOWER_DATA[[#This Row],[D, top '[m']]])/(TOWER_DATA[[#This Row],[Bottom '[m']]]-TOWER_DATA[[#This Row],[Top '[m']]]),"")</f>
        <v/>
      </c>
      <c r="BZ149" s="80" t="str">
        <f t="shared" si="6"/>
        <v/>
      </c>
      <c r="CA149" s="80" t="str">
        <f>IFERROR((TOWER_DATA[[#This Row],[D, bottom '[m']]]+TOWER_DATA[[#This Row],[D, top '[m']]])/(2*TOWER_DATA[[#This Row],[t '[mm']]]/1000),"")</f>
        <v/>
      </c>
      <c r="DF149" s="80" t="str">
        <f>IFERROR(RNA_DATA[[#This Row],[Inertia '[kg·m²']]]-RNA_DATA[[#This Row],[Offset TT_COG '[m']]], "")</f>
        <v/>
      </c>
      <c r="DG149" s="80" t="str">
        <f>IFERROR(-(RNA_DATA[[#This Row],[comment]]-RNA_DATA[[#This Row],[Offset TT_COG '[m']]])/(RNA_DATA[[#This Row],[Inertia '[kg·m²']]]-RNA_DATA[[#This Row],[Mass '[t']]]),"")</f>
        <v/>
      </c>
      <c r="DH149" s="80" t="str">
        <f t="shared" si="7"/>
        <v/>
      </c>
      <c r="DI149" s="80" t="str">
        <f>IFERROR((RNA_DATA[[#This Row],[comment]]+RNA_DATA[[#This Row],[Offset TT_COG '[m']]])/(2*#REF!/1000),"")</f>
        <v/>
      </c>
    </row>
    <row r="150" spans="8:113" x14ac:dyDescent="0.3">
      <c r="H150" s="80" t="str">
        <f>IFERROR(MP_DATA[[#This Row],[Bottom '[m']]]-MP_DATA[[#This Row],[D, top '[m']]], "")</f>
        <v/>
      </c>
      <c r="I150" s="80" t="str">
        <f>IFERROR(-(MP_DATA[[#This Row],[D, bottom '[m']]]-MP_DATA[[#This Row],[D, top '[m']]])/(MP_DATA[[#This Row],[Bottom '[m']]]-MP_DATA[[#This Row],[Top '[m']]]),"")</f>
        <v/>
      </c>
      <c r="J150" s="80" t="str">
        <f t="shared" si="8"/>
        <v/>
      </c>
      <c r="K150" s="80" t="str">
        <f>IFERROR((MP_DATA[[#This Row],[D, bottom '[m']]]+MP_DATA[[#This Row],[D, top '[m']]])/(2*MP_DATA[[#This Row],[t '[mm']]]/1000),"")</f>
        <v/>
      </c>
      <c r="AP150" s="80" t="str">
        <f>IFERROR(TP_DATA[[#This Row],[Bottom '[m']]]-TP_DATA[[#This Row],[D, top '[m']]], "")</f>
        <v/>
      </c>
      <c r="AQ150" s="80" t="str">
        <f>IFERROR(-(TP_DATA[[#This Row],[D, bottom '[m']]]-TP_DATA[[#This Row],[D, top '[m']]])/(TP_DATA[[#This Row],[Bottom '[m']]]-TP_DATA[[#This Row],[Top '[m']]]),"")</f>
        <v/>
      </c>
      <c r="AR150" s="80" t="str">
        <f t="shared" si="5"/>
        <v/>
      </c>
      <c r="AS150" s="80" t="str">
        <f>IFERROR((TP_DATA[[#This Row],[D, bottom '[m']]]+TP_DATA[[#This Row],[D, top '[m']]])/(2*TP_DATA[[#This Row],[t '[mm']]]/1000),"")</f>
        <v/>
      </c>
      <c r="BX150" s="80" t="str">
        <f>IFERROR(TOWER_DATA[[#This Row],[Bottom '[m']]]-TOWER_DATA[[#This Row],[D, top '[m']]], "")</f>
        <v/>
      </c>
      <c r="BY150" s="80" t="str">
        <f>IFERROR(-(TOWER_DATA[[#This Row],[D, bottom '[m']]]-TOWER_DATA[[#This Row],[D, top '[m']]])/(TOWER_DATA[[#This Row],[Bottom '[m']]]-TOWER_DATA[[#This Row],[Top '[m']]]),"")</f>
        <v/>
      </c>
      <c r="BZ150" s="80" t="str">
        <f t="shared" si="6"/>
        <v/>
      </c>
      <c r="CA150" s="80" t="str">
        <f>IFERROR((TOWER_DATA[[#This Row],[D, bottom '[m']]]+TOWER_DATA[[#This Row],[D, top '[m']]])/(2*TOWER_DATA[[#This Row],[t '[mm']]]/1000),"")</f>
        <v/>
      </c>
      <c r="DF150" s="80" t="str">
        <f>IFERROR(RNA_DATA[[#This Row],[Inertia '[kg·m²']]]-RNA_DATA[[#This Row],[Offset TT_COG '[m']]], "")</f>
        <v/>
      </c>
      <c r="DG150" s="80" t="str">
        <f>IFERROR(-(RNA_DATA[[#This Row],[comment]]-RNA_DATA[[#This Row],[Offset TT_COG '[m']]])/(RNA_DATA[[#This Row],[Inertia '[kg·m²']]]-RNA_DATA[[#This Row],[Mass '[t']]]),"")</f>
        <v/>
      </c>
      <c r="DH150" s="80" t="str">
        <f t="shared" si="7"/>
        <v/>
      </c>
      <c r="DI150" s="80" t="str">
        <f>IFERROR((RNA_DATA[[#This Row],[comment]]+RNA_DATA[[#This Row],[Offset TT_COG '[m']]])/(2*#REF!/1000),"")</f>
        <v/>
      </c>
    </row>
    <row r="151" spans="8:113" x14ac:dyDescent="0.3">
      <c r="H151" s="80" t="str">
        <f>IFERROR(MP_DATA[[#This Row],[Bottom '[m']]]-MP_DATA[[#This Row],[D, top '[m']]], "")</f>
        <v/>
      </c>
      <c r="I151" s="80" t="str">
        <f>IFERROR(-(MP_DATA[[#This Row],[D, bottom '[m']]]-MP_DATA[[#This Row],[D, top '[m']]])/(MP_DATA[[#This Row],[Bottom '[m']]]-MP_DATA[[#This Row],[Top '[m']]]),"")</f>
        <v/>
      </c>
      <c r="J151" s="80" t="str">
        <f t="shared" si="8"/>
        <v/>
      </c>
      <c r="K151" s="80" t="str">
        <f>IFERROR((MP_DATA[[#This Row],[D, bottom '[m']]]+MP_DATA[[#This Row],[D, top '[m']]])/(2*MP_DATA[[#This Row],[t '[mm']]]/1000),"")</f>
        <v/>
      </c>
      <c r="AP151" s="80" t="str">
        <f>IFERROR(TP_DATA[[#This Row],[Bottom '[m']]]-TP_DATA[[#This Row],[D, top '[m']]], "")</f>
        <v/>
      </c>
      <c r="AQ151" s="80" t="str">
        <f>IFERROR(-(TP_DATA[[#This Row],[D, bottom '[m']]]-TP_DATA[[#This Row],[D, top '[m']]])/(TP_DATA[[#This Row],[Bottom '[m']]]-TP_DATA[[#This Row],[Top '[m']]]),"")</f>
        <v/>
      </c>
      <c r="AR151" s="80" t="str">
        <f t="shared" si="5"/>
        <v/>
      </c>
      <c r="AS151" s="80" t="str">
        <f>IFERROR((TP_DATA[[#This Row],[D, bottom '[m']]]+TP_DATA[[#This Row],[D, top '[m']]])/(2*TP_DATA[[#This Row],[t '[mm']]]/1000),"")</f>
        <v/>
      </c>
      <c r="BX151" s="80" t="str">
        <f>IFERROR(TOWER_DATA[[#This Row],[Bottom '[m']]]-TOWER_DATA[[#This Row],[D, top '[m']]], "")</f>
        <v/>
      </c>
      <c r="BY151" s="80" t="str">
        <f>IFERROR(-(TOWER_DATA[[#This Row],[D, bottom '[m']]]-TOWER_DATA[[#This Row],[D, top '[m']]])/(TOWER_DATA[[#This Row],[Bottom '[m']]]-TOWER_DATA[[#This Row],[Top '[m']]]),"")</f>
        <v/>
      </c>
      <c r="BZ151" s="80" t="str">
        <f t="shared" si="6"/>
        <v/>
      </c>
      <c r="CA151" s="80" t="str">
        <f>IFERROR((TOWER_DATA[[#This Row],[D, bottom '[m']]]+TOWER_DATA[[#This Row],[D, top '[m']]])/(2*TOWER_DATA[[#This Row],[t '[mm']]]/1000),"")</f>
        <v/>
      </c>
      <c r="DF151" s="80" t="str">
        <f>IFERROR(RNA_DATA[[#This Row],[Inertia '[kg·m²']]]-RNA_DATA[[#This Row],[Offset TT_COG '[m']]], "")</f>
        <v/>
      </c>
      <c r="DG151" s="80" t="str">
        <f>IFERROR(-(RNA_DATA[[#This Row],[comment]]-RNA_DATA[[#This Row],[Offset TT_COG '[m']]])/(RNA_DATA[[#This Row],[Inertia '[kg·m²']]]-RNA_DATA[[#This Row],[Mass '[t']]]),"")</f>
        <v/>
      </c>
      <c r="DH151" s="80" t="str">
        <f t="shared" si="7"/>
        <v/>
      </c>
      <c r="DI151" s="80" t="str">
        <f>IFERROR((RNA_DATA[[#This Row],[comment]]+RNA_DATA[[#This Row],[Offset TT_COG '[m']]])/(2*#REF!/1000),"")</f>
        <v/>
      </c>
    </row>
    <row r="152" spans="8:113" x14ac:dyDescent="0.3">
      <c r="H152" s="80" t="str">
        <f>IFERROR(MP_DATA[[#This Row],[Bottom '[m']]]-MP_DATA[[#This Row],[D, top '[m']]], "")</f>
        <v/>
      </c>
      <c r="I152" s="80" t="str">
        <f>IFERROR(-(MP_DATA[[#This Row],[D, bottom '[m']]]-MP_DATA[[#This Row],[D, top '[m']]])/(MP_DATA[[#This Row],[Bottom '[m']]]-MP_DATA[[#This Row],[Top '[m']]]),"")</f>
        <v/>
      </c>
      <c r="J152" s="80" t="str">
        <f t="shared" si="8"/>
        <v/>
      </c>
      <c r="K152" s="80" t="str">
        <f>IFERROR((MP_DATA[[#This Row],[D, bottom '[m']]]+MP_DATA[[#This Row],[D, top '[m']]])/(2*MP_DATA[[#This Row],[t '[mm']]]/1000),"")</f>
        <v/>
      </c>
      <c r="AP152" s="80" t="str">
        <f>IFERROR(TP_DATA[[#This Row],[Bottom '[m']]]-TP_DATA[[#This Row],[D, top '[m']]], "")</f>
        <v/>
      </c>
      <c r="AQ152" s="80" t="str">
        <f>IFERROR(-(TP_DATA[[#This Row],[D, bottom '[m']]]-TP_DATA[[#This Row],[D, top '[m']]])/(TP_DATA[[#This Row],[Bottom '[m']]]-TP_DATA[[#This Row],[Top '[m']]]),"")</f>
        <v/>
      </c>
      <c r="AR152" s="80" t="str">
        <f t="shared" si="5"/>
        <v/>
      </c>
      <c r="AS152" s="80" t="str">
        <f>IFERROR((TP_DATA[[#This Row],[D, bottom '[m']]]+TP_DATA[[#This Row],[D, top '[m']]])/(2*TP_DATA[[#This Row],[t '[mm']]]/1000),"")</f>
        <v/>
      </c>
      <c r="BX152" s="80" t="str">
        <f>IFERROR(TOWER_DATA[[#This Row],[Bottom '[m']]]-TOWER_DATA[[#This Row],[D, top '[m']]], "")</f>
        <v/>
      </c>
      <c r="BY152" s="80" t="str">
        <f>IFERROR(-(TOWER_DATA[[#This Row],[D, bottom '[m']]]-TOWER_DATA[[#This Row],[D, top '[m']]])/(TOWER_DATA[[#This Row],[Bottom '[m']]]-TOWER_DATA[[#This Row],[Top '[m']]]),"")</f>
        <v/>
      </c>
      <c r="BZ152" s="80" t="str">
        <f t="shared" si="6"/>
        <v/>
      </c>
      <c r="CA152" s="80" t="str">
        <f>IFERROR((TOWER_DATA[[#This Row],[D, bottom '[m']]]+TOWER_DATA[[#This Row],[D, top '[m']]])/(2*TOWER_DATA[[#This Row],[t '[mm']]]/1000),"")</f>
        <v/>
      </c>
      <c r="DF152" s="80" t="str">
        <f>IFERROR(RNA_DATA[[#This Row],[Inertia '[kg·m²']]]-RNA_DATA[[#This Row],[Offset TT_COG '[m']]], "")</f>
        <v/>
      </c>
      <c r="DG152" s="80" t="str">
        <f>IFERROR(-(RNA_DATA[[#This Row],[comment]]-RNA_DATA[[#This Row],[Offset TT_COG '[m']]])/(RNA_DATA[[#This Row],[Inertia '[kg·m²']]]-RNA_DATA[[#This Row],[Mass '[t']]]),"")</f>
        <v/>
      </c>
      <c r="DH152" s="80" t="str">
        <f t="shared" si="7"/>
        <v/>
      </c>
      <c r="DI152" s="80" t="str">
        <f>IFERROR((RNA_DATA[[#This Row],[comment]]+RNA_DATA[[#This Row],[Offset TT_COG '[m']]])/(2*#REF!/1000),"")</f>
        <v/>
      </c>
    </row>
    <row r="153" spans="8:113" x14ac:dyDescent="0.3">
      <c r="H153" s="80" t="str">
        <f>IFERROR(MP_DATA[[#This Row],[Bottom '[m']]]-MP_DATA[[#This Row],[D, top '[m']]], "")</f>
        <v/>
      </c>
      <c r="I153" s="80" t="str">
        <f>IFERROR(-(MP_DATA[[#This Row],[D, bottom '[m']]]-MP_DATA[[#This Row],[D, top '[m']]])/(MP_DATA[[#This Row],[Bottom '[m']]]-MP_DATA[[#This Row],[Top '[m']]]),"")</f>
        <v/>
      </c>
      <c r="J153" s="80" t="str">
        <f t="shared" si="8"/>
        <v/>
      </c>
      <c r="K153" s="80" t="str">
        <f>IFERROR((MP_DATA[[#This Row],[D, bottom '[m']]]+MP_DATA[[#This Row],[D, top '[m']]])/(2*MP_DATA[[#This Row],[t '[mm']]]/1000),"")</f>
        <v/>
      </c>
      <c r="AP153" s="80" t="str">
        <f>IFERROR(TP_DATA[[#This Row],[Bottom '[m']]]-TP_DATA[[#This Row],[D, top '[m']]], "")</f>
        <v/>
      </c>
      <c r="AQ153" s="80" t="str">
        <f>IFERROR(-(TP_DATA[[#This Row],[D, bottom '[m']]]-TP_DATA[[#This Row],[D, top '[m']]])/(TP_DATA[[#This Row],[Bottom '[m']]]-TP_DATA[[#This Row],[Top '[m']]]),"")</f>
        <v/>
      </c>
      <c r="AR153" s="80" t="str">
        <f t="shared" ref="AR153:AR160" si="9">IF(7850/1000*(1/3)*PI()*ABS(AK153-AL153)*((AM153/2)^2+(AM153/2)*(AN153/2)+(AN153/2)^2-(AM153/2-AO153/1000)^2-(AM153/2-AO153/1000)*(AN153/2-AO153/1000)-(AN153/2-AO153/1000)^2)=0,"",7850/1000*(1/3)*PI()*ABS(AK153-AL153)*((AM153/2)^2+(AM153/2)*(AN153/2)+(AN153/2)^2-(AM153/2-AO153/1000)^2-(AM153/2-AO153/1000)*(AN153/2-AO153/1000)-(AN153/2-AO153/1000)^2))</f>
        <v/>
      </c>
      <c r="AS153" s="80" t="str">
        <f>IFERROR((TP_DATA[[#This Row],[D, bottom '[m']]]+TP_DATA[[#This Row],[D, top '[m']]])/(2*TP_DATA[[#This Row],[t '[mm']]]/1000),"")</f>
        <v/>
      </c>
      <c r="BX153" s="80" t="str">
        <f>IFERROR(TOWER_DATA[[#This Row],[Bottom '[m']]]-TOWER_DATA[[#This Row],[D, top '[m']]], "")</f>
        <v/>
      </c>
      <c r="BY153" s="80" t="str">
        <f>IFERROR(-(TOWER_DATA[[#This Row],[D, bottom '[m']]]-TOWER_DATA[[#This Row],[D, top '[m']]])/(TOWER_DATA[[#This Row],[Bottom '[m']]]-TOWER_DATA[[#This Row],[Top '[m']]]),"")</f>
        <v/>
      </c>
      <c r="BZ153" s="80" t="str">
        <f t="shared" ref="BZ153:BZ162" si="10">IF(7850/1000*(1/3)*PI()*ABS(BS153-BT153)*((BU153/2)^2+(BU153/2)*(BV153/2)+(BV153/2)^2-(BU153/2-BW153/1000)^2-(BU153/2-BW153/1000)*(BV153/2-BW153/1000)-(BV153/2-BW153/1000)^2)=0,"",7850/1000*(1/3)*PI()*ABS(BS153-BT153)*((BU153/2)^2+(BU153/2)*(BV153/2)+(BV153/2)^2-(BU153/2-BW153/1000)^2-(BU153/2-BW153/1000)*(BV153/2-BW153/1000)-(BV153/2-BW153/1000)^2))</f>
        <v/>
      </c>
      <c r="CA153" s="80" t="str">
        <f>IFERROR((TOWER_DATA[[#This Row],[D, bottom '[m']]]+TOWER_DATA[[#This Row],[D, top '[m']]])/(2*TOWER_DATA[[#This Row],[t '[mm']]]/1000),"")</f>
        <v/>
      </c>
      <c r="DF153" s="80" t="str">
        <f>IFERROR(RNA_DATA[[#This Row],[Inertia '[kg·m²']]]-RNA_DATA[[#This Row],[Offset TT_COG '[m']]], "")</f>
        <v/>
      </c>
      <c r="DG153" s="80" t="str">
        <f>IFERROR(-(RNA_DATA[[#This Row],[comment]]-RNA_DATA[[#This Row],[Offset TT_COG '[m']]])/(RNA_DATA[[#This Row],[Inertia '[kg·m²']]]-RNA_DATA[[#This Row],[Mass '[t']]]),"")</f>
        <v/>
      </c>
      <c r="DH153" s="80" t="str">
        <f t="shared" ref="DH153:DH162" si="11">IF(7850/1000*(1/3)*PI()*ABS(DA153-DB153)*((DC153/2)^2+(DC153/2)*(DD153/2)+(DD153/2)^2-(DC153/2-DE153/1000)^2-(DC153/2-DE153/1000)*(DD153/2-DE153/1000)-(DD153/2-DE153/1000)^2)=0,"",7850/1000*(1/3)*PI()*ABS(DA153-DB153)*((DC153/2)^2+(DC153/2)*(DD153/2)+(DD153/2)^2-(DC153/2-DE153/1000)^2-(DC153/2-DE153/1000)*(DD153/2-DE153/1000)-(DD153/2-DE153/1000)^2))</f>
        <v/>
      </c>
      <c r="DI153" s="80" t="str">
        <f>IFERROR((RNA_DATA[[#This Row],[comment]]+RNA_DATA[[#This Row],[Offset TT_COG '[m']]])/(2*#REF!/1000),"")</f>
        <v/>
      </c>
    </row>
    <row r="154" spans="8:113" x14ac:dyDescent="0.3">
      <c r="H154" s="80" t="str">
        <f>IFERROR(MP_DATA[[#This Row],[Bottom '[m']]]-MP_DATA[[#This Row],[D, top '[m']]], "")</f>
        <v/>
      </c>
      <c r="I154" s="80" t="str">
        <f>IFERROR(-(MP_DATA[[#This Row],[D, bottom '[m']]]-MP_DATA[[#This Row],[D, top '[m']]])/(MP_DATA[[#This Row],[Bottom '[m']]]-MP_DATA[[#This Row],[Top '[m']]]),"")</f>
        <v/>
      </c>
      <c r="J154" s="80" t="str">
        <f t="shared" ref="J154:J160" si="12">IF(7850/1000*(1/3)*PI()*ABS(C154-D154)*((E154/2)^2+(E154/2)*(F154/2)+(F154/2)^2-(E154/2-G154/1000)^2-(E154/2-G154/1000)*(F154/2-G154/1000)-(F154/2-G154/1000)^2)=0,"",7850/1000*(1/3)*PI()*ABS(C154-D154)*((E154/2)^2+(E154/2)*(F154/2)+(F154/2)^2-(E154/2-G154/1000)^2-(E154/2-G154/1000)*(F154/2-G154/1000)-(F154/2-G154/1000)^2))</f>
        <v/>
      </c>
      <c r="K154" s="80" t="str">
        <f>IFERROR((MP_DATA[[#This Row],[D, bottom '[m']]]+MP_DATA[[#This Row],[D, top '[m']]])/(2*MP_DATA[[#This Row],[t '[mm']]]/1000),"")</f>
        <v/>
      </c>
      <c r="AP154" s="80" t="str">
        <f>IFERROR(TP_DATA[[#This Row],[Bottom '[m']]]-TP_DATA[[#This Row],[D, top '[m']]], "")</f>
        <v/>
      </c>
      <c r="AQ154" s="80" t="str">
        <f>IFERROR(-(TP_DATA[[#This Row],[D, bottom '[m']]]-TP_DATA[[#This Row],[D, top '[m']]])/(TP_DATA[[#This Row],[Bottom '[m']]]-TP_DATA[[#This Row],[Top '[m']]]),"")</f>
        <v/>
      </c>
      <c r="AR154" s="80" t="str">
        <f t="shared" si="9"/>
        <v/>
      </c>
      <c r="AS154" s="80" t="str">
        <f>IFERROR((TP_DATA[[#This Row],[D, bottom '[m']]]+TP_DATA[[#This Row],[D, top '[m']]])/(2*TP_DATA[[#This Row],[t '[mm']]]/1000),"")</f>
        <v/>
      </c>
      <c r="BX154" s="80" t="str">
        <f>IFERROR(TOWER_DATA[[#This Row],[Bottom '[m']]]-TOWER_DATA[[#This Row],[D, top '[m']]], "")</f>
        <v/>
      </c>
      <c r="BY154" s="80" t="str">
        <f>IFERROR(-(TOWER_DATA[[#This Row],[D, bottom '[m']]]-TOWER_DATA[[#This Row],[D, top '[m']]])/(TOWER_DATA[[#This Row],[Bottom '[m']]]-TOWER_DATA[[#This Row],[Top '[m']]]),"")</f>
        <v/>
      </c>
      <c r="BZ154" s="80" t="str">
        <f t="shared" si="10"/>
        <v/>
      </c>
      <c r="CA154" s="80" t="str">
        <f>IFERROR((TOWER_DATA[[#This Row],[D, bottom '[m']]]+TOWER_DATA[[#This Row],[D, top '[m']]])/(2*TOWER_DATA[[#This Row],[t '[mm']]]/1000),"")</f>
        <v/>
      </c>
      <c r="DF154" s="80" t="str">
        <f>IFERROR(RNA_DATA[[#This Row],[Inertia '[kg·m²']]]-RNA_DATA[[#This Row],[Offset TT_COG '[m']]], "")</f>
        <v/>
      </c>
      <c r="DG154" s="80" t="str">
        <f>IFERROR(-(RNA_DATA[[#This Row],[comment]]-RNA_DATA[[#This Row],[Offset TT_COG '[m']]])/(RNA_DATA[[#This Row],[Inertia '[kg·m²']]]-RNA_DATA[[#This Row],[Mass '[t']]]),"")</f>
        <v/>
      </c>
      <c r="DH154" s="80" t="str">
        <f t="shared" si="11"/>
        <v/>
      </c>
      <c r="DI154" s="80" t="str">
        <f>IFERROR((RNA_DATA[[#This Row],[comment]]+RNA_DATA[[#This Row],[Offset TT_COG '[m']]])/(2*#REF!/1000),"")</f>
        <v/>
      </c>
    </row>
    <row r="155" spans="8:113" x14ac:dyDescent="0.3">
      <c r="H155" s="80" t="str">
        <f>IFERROR(MP_DATA[[#This Row],[Bottom '[m']]]-MP_DATA[[#This Row],[D, top '[m']]], "")</f>
        <v/>
      </c>
      <c r="I155" s="80" t="str">
        <f>IFERROR(-(MP_DATA[[#This Row],[D, bottom '[m']]]-MP_DATA[[#This Row],[D, top '[m']]])/(MP_DATA[[#This Row],[Bottom '[m']]]-MP_DATA[[#This Row],[Top '[m']]]),"")</f>
        <v/>
      </c>
      <c r="J155" s="80" t="str">
        <f t="shared" si="12"/>
        <v/>
      </c>
      <c r="K155" s="80" t="str">
        <f>IFERROR((MP_DATA[[#This Row],[D, bottom '[m']]]+MP_DATA[[#This Row],[D, top '[m']]])/(2*MP_DATA[[#This Row],[t '[mm']]]/1000),"")</f>
        <v/>
      </c>
      <c r="AP155" s="80" t="str">
        <f>IFERROR(TP_DATA[[#This Row],[Bottom '[m']]]-TP_DATA[[#This Row],[D, top '[m']]], "")</f>
        <v/>
      </c>
      <c r="AQ155" s="80" t="str">
        <f>IFERROR(-(TP_DATA[[#This Row],[D, bottom '[m']]]-TP_DATA[[#This Row],[D, top '[m']]])/(TP_DATA[[#This Row],[Bottom '[m']]]-TP_DATA[[#This Row],[Top '[m']]]),"")</f>
        <v/>
      </c>
      <c r="AR155" s="80" t="str">
        <f t="shared" si="9"/>
        <v/>
      </c>
      <c r="AS155" s="80" t="str">
        <f>IFERROR((TP_DATA[[#This Row],[D, bottom '[m']]]+TP_DATA[[#This Row],[D, top '[m']]])/(2*TP_DATA[[#This Row],[t '[mm']]]/1000),"")</f>
        <v/>
      </c>
      <c r="BX155" s="80" t="str">
        <f>IFERROR(TOWER_DATA[[#This Row],[Bottom '[m']]]-TOWER_DATA[[#This Row],[D, top '[m']]], "")</f>
        <v/>
      </c>
      <c r="BY155" s="80" t="str">
        <f>IFERROR(-(TOWER_DATA[[#This Row],[D, bottom '[m']]]-TOWER_DATA[[#This Row],[D, top '[m']]])/(TOWER_DATA[[#This Row],[Bottom '[m']]]-TOWER_DATA[[#This Row],[Top '[m']]]),"")</f>
        <v/>
      </c>
      <c r="BZ155" s="80" t="str">
        <f t="shared" si="10"/>
        <v/>
      </c>
      <c r="CA155" s="80" t="str">
        <f>IFERROR((TOWER_DATA[[#This Row],[D, bottom '[m']]]+TOWER_DATA[[#This Row],[D, top '[m']]])/(2*TOWER_DATA[[#This Row],[t '[mm']]]/1000),"")</f>
        <v/>
      </c>
      <c r="DF155" s="80" t="str">
        <f>IFERROR(RNA_DATA[[#This Row],[Inertia '[kg·m²']]]-RNA_DATA[[#This Row],[Offset TT_COG '[m']]], "")</f>
        <v/>
      </c>
      <c r="DG155" s="80" t="str">
        <f>IFERROR(-(RNA_DATA[[#This Row],[comment]]-RNA_DATA[[#This Row],[Offset TT_COG '[m']]])/(RNA_DATA[[#This Row],[Inertia '[kg·m²']]]-RNA_DATA[[#This Row],[Mass '[t']]]),"")</f>
        <v/>
      </c>
      <c r="DH155" s="80" t="str">
        <f t="shared" si="11"/>
        <v/>
      </c>
      <c r="DI155" s="80" t="str">
        <f>IFERROR((RNA_DATA[[#This Row],[comment]]+RNA_DATA[[#This Row],[Offset TT_COG '[m']]])/(2*#REF!/1000),"")</f>
        <v/>
      </c>
    </row>
    <row r="156" spans="8:113" x14ac:dyDescent="0.3">
      <c r="H156" s="80" t="str">
        <f>IFERROR(MP_DATA[[#This Row],[Bottom '[m']]]-MP_DATA[[#This Row],[D, top '[m']]], "")</f>
        <v/>
      </c>
      <c r="I156" s="80" t="str">
        <f>IFERROR(-(MP_DATA[[#This Row],[D, bottom '[m']]]-MP_DATA[[#This Row],[D, top '[m']]])/(MP_DATA[[#This Row],[Bottom '[m']]]-MP_DATA[[#This Row],[Top '[m']]]),"")</f>
        <v/>
      </c>
      <c r="J156" s="80" t="str">
        <f t="shared" si="12"/>
        <v/>
      </c>
      <c r="K156" s="80" t="str">
        <f>IFERROR((MP_DATA[[#This Row],[D, bottom '[m']]]+MP_DATA[[#This Row],[D, top '[m']]])/(2*MP_DATA[[#This Row],[t '[mm']]]/1000),"")</f>
        <v/>
      </c>
      <c r="AP156" s="80" t="str">
        <f>IFERROR(TP_DATA[[#This Row],[Bottom '[m']]]-TP_DATA[[#This Row],[D, top '[m']]], "")</f>
        <v/>
      </c>
      <c r="AQ156" s="80" t="str">
        <f>IFERROR(-(TP_DATA[[#This Row],[D, bottom '[m']]]-TP_DATA[[#This Row],[D, top '[m']]])/(TP_DATA[[#This Row],[Bottom '[m']]]-TP_DATA[[#This Row],[Top '[m']]]),"")</f>
        <v/>
      </c>
      <c r="AR156" s="80" t="str">
        <f t="shared" si="9"/>
        <v/>
      </c>
      <c r="AS156" s="80" t="str">
        <f>IFERROR((TP_DATA[[#This Row],[D, bottom '[m']]]+TP_DATA[[#This Row],[D, top '[m']]])/(2*TP_DATA[[#This Row],[t '[mm']]]/1000),"")</f>
        <v/>
      </c>
      <c r="BX156" s="80" t="str">
        <f>IFERROR(TOWER_DATA[[#This Row],[Bottom '[m']]]-TOWER_DATA[[#This Row],[D, top '[m']]], "")</f>
        <v/>
      </c>
      <c r="BY156" s="80" t="str">
        <f>IFERROR(-(TOWER_DATA[[#This Row],[D, bottom '[m']]]-TOWER_DATA[[#This Row],[D, top '[m']]])/(TOWER_DATA[[#This Row],[Bottom '[m']]]-TOWER_DATA[[#This Row],[Top '[m']]]),"")</f>
        <v/>
      </c>
      <c r="BZ156" s="80" t="str">
        <f t="shared" si="10"/>
        <v/>
      </c>
      <c r="CA156" s="80" t="str">
        <f>IFERROR((TOWER_DATA[[#This Row],[D, bottom '[m']]]+TOWER_DATA[[#This Row],[D, top '[m']]])/(2*TOWER_DATA[[#This Row],[t '[mm']]]/1000),"")</f>
        <v/>
      </c>
      <c r="DF156" s="80" t="str">
        <f>IFERROR(RNA_DATA[[#This Row],[Inertia '[kg·m²']]]-RNA_DATA[[#This Row],[Offset TT_COG '[m']]], "")</f>
        <v/>
      </c>
      <c r="DG156" s="80" t="str">
        <f>IFERROR(-(RNA_DATA[[#This Row],[comment]]-RNA_DATA[[#This Row],[Offset TT_COG '[m']]])/(RNA_DATA[[#This Row],[Inertia '[kg·m²']]]-RNA_DATA[[#This Row],[Mass '[t']]]),"")</f>
        <v/>
      </c>
      <c r="DH156" s="80" t="str">
        <f t="shared" si="11"/>
        <v/>
      </c>
      <c r="DI156" s="80" t="str">
        <f>IFERROR((RNA_DATA[[#This Row],[comment]]+RNA_DATA[[#This Row],[Offset TT_COG '[m']]])/(2*#REF!/1000),"")</f>
        <v/>
      </c>
    </row>
    <row r="157" spans="8:113" x14ac:dyDescent="0.3">
      <c r="H157" s="80" t="str">
        <f>IFERROR(MP_DATA[[#This Row],[Bottom '[m']]]-MP_DATA[[#This Row],[D, top '[m']]], "")</f>
        <v/>
      </c>
      <c r="I157" s="80" t="str">
        <f>IFERROR(-(MP_DATA[[#This Row],[D, bottom '[m']]]-MP_DATA[[#This Row],[D, top '[m']]])/(MP_DATA[[#This Row],[Bottom '[m']]]-MP_DATA[[#This Row],[Top '[m']]]),"")</f>
        <v/>
      </c>
      <c r="J157" s="80" t="str">
        <f t="shared" si="12"/>
        <v/>
      </c>
      <c r="K157" s="80" t="str">
        <f>IFERROR((MP_DATA[[#This Row],[D, bottom '[m']]]+MP_DATA[[#This Row],[D, top '[m']]])/(2*MP_DATA[[#This Row],[t '[mm']]]/1000),"")</f>
        <v/>
      </c>
      <c r="AP157" s="80" t="str">
        <f>IFERROR(TP_DATA[[#This Row],[Bottom '[m']]]-TP_DATA[[#This Row],[D, top '[m']]], "")</f>
        <v/>
      </c>
      <c r="AQ157" s="80" t="str">
        <f>IFERROR(-(TP_DATA[[#This Row],[D, bottom '[m']]]-TP_DATA[[#This Row],[D, top '[m']]])/(TP_DATA[[#This Row],[Bottom '[m']]]-TP_DATA[[#This Row],[Top '[m']]]),"")</f>
        <v/>
      </c>
      <c r="AR157" s="80" t="str">
        <f t="shared" si="9"/>
        <v/>
      </c>
      <c r="AS157" s="80" t="str">
        <f>IFERROR((TP_DATA[[#This Row],[D, bottom '[m']]]+TP_DATA[[#This Row],[D, top '[m']]])/(2*TP_DATA[[#This Row],[t '[mm']]]/1000),"")</f>
        <v/>
      </c>
      <c r="BX157" s="80" t="str">
        <f>IFERROR(TOWER_DATA[[#This Row],[Bottom '[m']]]-TOWER_DATA[[#This Row],[D, top '[m']]], "")</f>
        <v/>
      </c>
      <c r="BY157" s="80" t="str">
        <f>IFERROR(-(TOWER_DATA[[#This Row],[D, bottom '[m']]]-TOWER_DATA[[#This Row],[D, top '[m']]])/(TOWER_DATA[[#This Row],[Bottom '[m']]]-TOWER_DATA[[#This Row],[Top '[m']]]),"")</f>
        <v/>
      </c>
      <c r="BZ157" s="80" t="str">
        <f t="shared" si="10"/>
        <v/>
      </c>
      <c r="CA157" s="80" t="str">
        <f>IFERROR((TOWER_DATA[[#This Row],[D, bottom '[m']]]+TOWER_DATA[[#This Row],[D, top '[m']]])/(2*TOWER_DATA[[#This Row],[t '[mm']]]/1000),"")</f>
        <v/>
      </c>
      <c r="DF157" s="80" t="str">
        <f>IFERROR(RNA_DATA[[#This Row],[Inertia '[kg·m²']]]-RNA_DATA[[#This Row],[Offset TT_COG '[m']]], "")</f>
        <v/>
      </c>
      <c r="DG157" s="80" t="str">
        <f>IFERROR(-(RNA_DATA[[#This Row],[comment]]-RNA_DATA[[#This Row],[Offset TT_COG '[m']]])/(RNA_DATA[[#This Row],[Inertia '[kg·m²']]]-RNA_DATA[[#This Row],[Mass '[t']]]),"")</f>
        <v/>
      </c>
      <c r="DH157" s="80" t="str">
        <f t="shared" si="11"/>
        <v/>
      </c>
      <c r="DI157" s="80" t="str">
        <f>IFERROR((RNA_DATA[[#This Row],[comment]]+RNA_DATA[[#This Row],[Offset TT_COG '[m']]])/(2*#REF!/1000),"")</f>
        <v/>
      </c>
    </row>
    <row r="158" spans="8:113" x14ac:dyDescent="0.3">
      <c r="H158" s="80" t="str">
        <f>IFERROR(MP_DATA[[#This Row],[Bottom '[m']]]-MP_DATA[[#This Row],[D, top '[m']]], "")</f>
        <v/>
      </c>
      <c r="I158" s="80" t="str">
        <f>IFERROR(-(MP_DATA[[#This Row],[D, bottom '[m']]]-MP_DATA[[#This Row],[D, top '[m']]])/(MP_DATA[[#This Row],[Bottom '[m']]]-MP_DATA[[#This Row],[Top '[m']]]),"")</f>
        <v/>
      </c>
      <c r="J158" s="80" t="str">
        <f t="shared" si="12"/>
        <v/>
      </c>
      <c r="K158" s="80" t="str">
        <f>IFERROR((MP_DATA[[#This Row],[D, bottom '[m']]]+MP_DATA[[#This Row],[D, top '[m']]])/(2*MP_DATA[[#This Row],[t '[mm']]]/1000),"")</f>
        <v/>
      </c>
      <c r="AP158" s="80" t="str">
        <f>IFERROR(TP_DATA[[#This Row],[Bottom '[m']]]-TP_DATA[[#This Row],[D, top '[m']]], "")</f>
        <v/>
      </c>
      <c r="AQ158" s="80" t="str">
        <f>IFERROR(-(TP_DATA[[#This Row],[D, bottom '[m']]]-TP_DATA[[#This Row],[D, top '[m']]])/(TP_DATA[[#This Row],[Bottom '[m']]]-TP_DATA[[#This Row],[Top '[m']]]),"")</f>
        <v/>
      </c>
      <c r="AR158" s="80" t="str">
        <f t="shared" si="9"/>
        <v/>
      </c>
      <c r="AS158" s="80" t="str">
        <f>IFERROR((TP_DATA[[#This Row],[D, bottom '[m']]]+TP_DATA[[#This Row],[D, top '[m']]])/(2*TP_DATA[[#This Row],[t '[mm']]]/1000),"")</f>
        <v/>
      </c>
      <c r="BX158" s="80" t="str">
        <f>IFERROR(TOWER_DATA[[#This Row],[Bottom '[m']]]-TOWER_DATA[[#This Row],[D, top '[m']]], "")</f>
        <v/>
      </c>
      <c r="BY158" s="80" t="str">
        <f>IFERROR(-(TOWER_DATA[[#This Row],[D, bottom '[m']]]-TOWER_DATA[[#This Row],[D, top '[m']]])/(TOWER_DATA[[#This Row],[Bottom '[m']]]-TOWER_DATA[[#This Row],[Top '[m']]]),"")</f>
        <v/>
      </c>
      <c r="BZ158" s="80" t="str">
        <f t="shared" si="10"/>
        <v/>
      </c>
      <c r="CA158" s="80" t="str">
        <f>IFERROR((TOWER_DATA[[#This Row],[D, bottom '[m']]]+TOWER_DATA[[#This Row],[D, top '[m']]])/(2*TOWER_DATA[[#This Row],[t '[mm']]]/1000),"")</f>
        <v/>
      </c>
      <c r="DF158" s="80" t="str">
        <f>IFERROR(RNA_DATA[[#This Row],[Inertia '[kg·m²']]]-RNA_DATA[[#This Row],[Offset TT_COG '[m']]], "")</f>
        <v/>
      </c>
      <c r="DG158" s="80" t="str">
        <f>IFERROR(-(RNA_DATA[[#This Row],[comment]]-RNA_DATA[[#This Row],[Offset TT_COG '[m']]])/(RNA_DATA[[#This Row],[Inertia '[kg·m²']]]-RNA_DATA[[#This Row],[Mass '[t']]]),"")</f>
        <v/>
      </c>
      <c r="DH158" s="80" t="str">
        <f t="shared" si="11"/>
        <v/>
      </c>
      <c r="DI158" s="80" t="str">
        <f>IFERROR((RNA_DATA[[#This Row],[comment]]+RNA_DATA[[#This Row],[Offset TT_COG '[m']]])/(2*#REF!/1000),"")</f>
        <v/>
      </c>
    </row>
    <row r="159" spans="8:113" x14ac:dyDescent="0.3">
      <c r="H159" s="80" t="str">
        <f>IFERROR(MP_DATA[[#This Row],[Bottom '[m']]]-MP_DATA[[#This Row],[D, top '[m']]], "")</f>
        <v/>
      </c>
      <c r="I159" s="80" t="str">
        <f>IFERROR(-(MP_DATA[[#This Row],[D, bottom '[m']]]-MP_DATA[[#This Row],[D, top '[m']]])/(MP_DATA[[#This Row],[Bottom '[m']]]-MP_DATA[[#This Row],[Top '[m']]]),"")</f>
        <v/>
      </c>
      <c r="J159" s="80" t="str">
        <f t="shared" si="12"/>
        <v/>
      </c>
      <c r="K159" s="80" t="str">
        <f>IFERROR((MP_DATA[[#This Row],[D, bottom '[m']]]+MP_DATA[[#This Row],[D, top '[m']]])/(2*MP_DATA[[#This Row],[t '[mm']]]/1000),"")</f>
        <v/>
      </c>
      <c r="AP159" s="80" t="str">
        <f>IFERROR(TP_DATA[[#This Row],[Bottom '[m']]]-TP_DATA[[#This Row],[D, top '[m']]], "")</f>
        <v/>
      </c>
      <c r="AQ159" s="80" t="str">
        <f>IFERROR(-(TP_DATA[[#This Row],[D, bottom '[m']]]-TP_DATA[[#This Row],[D, top '[m']]])/(TP_DATA[[#This Row],[Bottom '[m']]]-TP_DATA[[#This Row],[Top '[m']]]),"")</f>
        <v/>
      </c>
      <c r="AR159" s="80" t="str">
        <f t="shared" si="9"/>
        <v/>
      </c>
      <c r="AS159" s="80" t="str">
        <f>IFERROR((TP_DATA[[#This Row],[D, bottom '[m']]]+TP_DATA[[#This Row],[D, top '[m']]])/(2*TP_DATA[[#This Row],[t '[mm']]]/1000),"")</f>
        <v/>
      </c>
      <c r="BX159" s="80" t="str">
        <f>IFERROR(TOWER_DATA[[#This Row],[Bottom '[m']]]-TOWER_DATA[[#This Row],[D, top '[m']]], "")</f>
        <v/>
      </c>
      <c r="BY159" s="80" t="str">
        <f>IFERROR(-(TOWER_DATA[[#This Row],[D, bottom '[m']]]-TOWER_DATA[[#This Row],[D, top '[m']]])/(TOWER_DATA[[#This Row],[Bottom '[m']]]-TOWER_DATA[[#This Row],[Top '[m']]]),"")</f>
        <v/>
      </c>
      <c r="BZ159" s="80" t="str">
        <f t="shared" si="10"/>
        <v/>
      </c>
      <c r="CA159" s="80" t="str">
        <f>IFERROR((TOWER_DATA[[#This Row],[D, bottom '[m']]]+TOWER_DATA[[#This Row],[D, top '[m']]])/(2*TOWER_DATA[[#This Row],[t '[mm']]]/1000),"")</f>
        <v/>
      </c>
      <c r="DF159" s="80" t="str">
        <f>IFERROR(RNA_DATA[[#This Row],[Inertia '[kg·m²']]]-RNA_DATA[[#This Row],[Offset TT_COG '[m']]], "")</f>
        <v/>
      </c>
      <c r="DG159" s="80" t="str">
        <f>IFERROR(-(RNA_DATA[[#This Row],[comment]]-RNA_DATA[[#This Row],[Offset TT_COG '[m']]])/(RNA_DATA[[#This Row],[Inertia '[kg·m²']]]-RNA_DATA[[#This Row],[Mass '[t']]]),"")</f>
        <v/>
      </c>
      <c r="DH159" s="80" t="str">
        <f t="shared" si="11"/>
        <v/>
      </c>
      <c r="DI159" s="80" t="str">
        <f>IFERROR((RNA_DATA[[#This Row],[comment]]+RNA_DATA[[#This Row],[Offset TT_COG '[m']]])/(2*#REF!/1000),"")</f>
        <v/>
      </c>
    </row>
    <row r="160" spans="8:113" x14ac:dyDescent="0.3">
      <c r="H160" s="80" t="str">
        <f>IFERROR(MP_DATA[[#This Row],[Bottom '[m']]]-MP_DATA[[#This Row],[D, top '[m']]], "")</f>
        <v/>
      </c>
      <c r="I160" s="80" t="str">
        <f>IFERROR(-(MP_DATA[[#This Row],[D, bottom '[m']]]-MP_DATA[[#This Row],[D, top '[m']]])/(MP_DATA[[#This Row],[Bottom '[m']]]-MP_DATA[[#This Row],[Top '[m']]]),"")</f>
        <v/>
      </c>
      <c r="J160" s="80" t="str">
        <f t="shared" si="12"/>
        <v/>
      </c>
      <c r="K160" s="80" t="str">
        <f>IFERROR((MP_DATA[[#This Row],[D, bottom '[m']]]+MP_DATA[[#This Row],[D, top '[m']]])/(2*MP_DATA[[#This Row],[t '[mm']]]/1000),"")</f>
        <v/>
      </c>
      <c r="AP160" s="80" t="str">
        <f>IFERROR(TP_DATA[[#This Row],[Bottom '[m']]]-TP_DATA[[#This Row],[D, top '[m']]], "")</f>
        <v/>
      </c>
      <c r="AQ160" s="80" t="str">
        <f>IFERROR(-(TP_DATA[[#This Row],[D, bottom '[m']]]-TP_DATA[[#This Row],[D, top '[m']]])/(TP_DATA[[#This Row],[Bottom '[m']]]-TP_DATA[[#This Row],[Top '[m']]]),"")</f>
        <v/>
      </c>
      <c r="AR160" s="80" t="str">
        <f t="shared" si="9"/>
        <v/>
      </c>
      <c r="AS160" s="80" t="str">
        <f>IFERROR((TP_DATA[[#This Row],[D, bottom '[m']]]+TP_DATA[[#This Row],[D, top '[m']]])/(2*TP_DATA[[#This Row],[t '[mm']]]/1000),"")</f>
        <v/>
      </c>
      <c r="BX160" s="80" t="str">
        <f>IFERROR(TOWER_DATA[[#This Row],[Bottom '[m']]]-TOWER_DATA[[#This Row],[D, top '[m']]], "")</f>
        <v/>
      </c>
      <c r="BY160" s="80" t="str">
        <f>IFERROR(-(TOWER_DATA[[#This Row],[D, bottom '[m']]]-TOWER_DATA[[#This Row],[D, top '[m']]])/(TOWER_DATA[[#This Row],[Bottom '[m']]]-TOWER_DATA[[#This Row],[Top '[m']]]),"")</f>
        <v/>
      </c>
      <c r="BZ160" s="80" t="str">
        <f t="shared" si="10"/>
        <v/>
      </c>
      <c r="CA160" s="80" t="str">
        <f>IFERROR((TOWER_DATA[[#This Row],[D, bottom '[m']]]+TOWER_DATA[[#This Row],[D, top '[m']]])/(2*TOWER_DATA[[#This Row],[t '[mm']]]/1000),"")</f>
        <v/>
      </c>
      <c r="DF160" s="80" t="str">
        <f>IFERROR(RNA_DATA[[#This Row],[Inertia '[kg·m²']]]-RNA_DATA[[#This Row],[Offset TT_COG '[m']]], "")</f>
        <v/>
      </c>
      <c r="DG160" s="80" t="str">
        <f>IFERROR(-(RNA_DATA[[#This Row],[comment]]-RNA_DATA[[#This Row],[Offset TT_COG '[m']]])/(RNA_DATA[[#This Row],[Inertia '[kg·m²']]]-RNA_DATA[[#This Row],[Mass '[t']]]),"")</f>
        <v/>
      </c>
      <c r="DH160" s="80" t="str">
        <f t="shared" si="11"/>
        <v/>
      </c>
      <c r="DI160" s="80" t="str">
        <f>IFERROR((RNA_DATA[[#This Row],[comment]]+RNA_DATA[[#This Row],[Offset TT_COG '[m']]])/(2*#REF!/1000),"")</f>
        <v/>
      </c>
    </row>
    <row r="161" spans="8:113" x14ac:dyDescent="0.3">
      <c r="H161" s="80" t="str">
        <f>IFERROR(MP_DATA[[#This Row],[Bottom '[m']]]-MP_DATA[[#This Row],[D, top '[m']]], "")</f>
        <v/>
      </c>
      <c r="I161" s="80" t="str">
        <f>IFERROR(-(MP_DATA[[#This Row],[D, bottom '[m']]]-MP_DATA[[#This Row],[D, top '[m']]])/(MP_DATA[[#This Row],[Bottom '[m']]]-MP_DATA[[#This Row],[Top '[m']]]),"")</f>
        <v/>
      </c>
      <c r="K161" s="80" t="str">
        <f>IFERROR((MP_DATA[[#This Row],[D, bottom '[m']]]+MP_DATA[[#This Row],[D, top '[m']]])/(2*MP_DATA[[#This Row],[t '[mm']]]/1000),"")</f>
        <v/>
      </c>
      <c r="AP161" s="80" t="str">
        <f>IFERROR(TP_DATA[[#This Row],[Bottom '[m']]]-TP_DATA[[#This Row],[D, top '[m']]], "")</f>
        <v/>
      </c>
      <c r="AQ161" s="80" t="str">
        <f>IFERROR(-(TP_DATA[[#This Row],[D, bottom '[m']]]-TP_DATA[[#This Row],[D, top '[m']]])/(TP_DATA[[#This Row],[Bottom '[m']]]-TP_DATA[[#This Row],[Top '[m']]]),"")</f>
        <v/>
      </c>
      <c r="AS161" s="80" t="str">
        <f>IFERROR((TP_DATA[[#This Row],[D, bottom '[m']]]+TP_DATA[[#This Row],[D, top '[m']]])/(2*TP_DATA[[#This Row],[t '[mm']]]/1000),"")</f>
        <v/>
      </c>
      <c r="BX161" s="80" t="str">
        <f>IFERROR(TOWER_DATA[[#This Row],[Bottom '[m']]]-TOWER_DATA[[#This Row],[D, top '[m']]], "")</f>
        <v/>
      </c>
      <c r="BY161" s="80" t="str">
        <f>IFERROR(-(TOWER_DATA[[#This Row],[D, bottom '[m']]]-TOWER_DATA[[#This Row],[D, top '[m']]])/(TOWER_DATA[[#This Row],[Bottom '[m']]]-TOWER_DATA[[#This Row],[Top '[m']]]),"")</f>
        <v/>
      </c>
      <c r="BZ161" s="80" t="str">
        <f t="shared" si="10"/>
        <v/>
      </c>
      <c r="CA161" s="80" t="str">
        <f>IFERROR((TOWER_DATA[[#This Row],[D, bottom '[m']]]+TOWER_DATA[[#This Row],[D, top '[m']]])/(2*TOWER_DATA[[#This Row],[t '[mm']]]/1000),"")</f>
        <v/>
      </c>
      <c r="DF161" s="80" t="str">
        <f>IFERROR(RNA_DATA[[#This Row],[Inertia '[kg·m²']]]-RNA_DATA[[#This Row],[Offset TT_COG '[m']]], "")</f>
        <v/>
      </c>
      <c r="DG161" s="80" t="str">
        <f>IFERROR(-(RNA_DATA[[#This Row],[comment]]-RNA_DATA[[#This Row],[Offset TT_COG '[m']]])/(RNA_DATA[[#This Row],[Inertia '[kg·m²']]]-RNA_DATA[[#This Row],[Mass '[t']]]),"")</f>
        <v/>
      </c>
      <c r="DH161" s="80" t="str">
        <f t="shared" si="11"/>
        <v/>
      </c>
      <c r="DI161" s="80" t="str">
        <f>IFERROR((RNA_DATA[[#This Row],[comment]]+RNA_DATA[[#This Row],[Offset TT_COG '[m']]])/(2*#REF!/1000),"")</f>
        <v/>
      </c>
    </row>
    <row r="162" spans="8:113" x14ac:dyDescent="0.3">
      <c r="H162" s="80" t="str">
        <f>IFERROR(MP_DATA[[#This Row],[Bottom '[m']]]-MP_DATA[[#This Row],[D, top '[m']]], "")</f>
        <v/>
      </c>
      <c r="I162" s="80" t="str">
        <f>IFERROR(-(MP_DATA[[#This Row],[D, bottom '[m']]]-MP_DATA[[#This Row],[D, top '[m']]])/(MP_DATA[[#This Row],[Bottom '[m']]]-MP_DATA[[#This Row],[Top '[m']]]),"")</f>
        <v/>
      </c>
      <c r="K162" s="80" t="str">
        <f>IFERROR((MP_DATA[[#This Row],[D, bottom '[m']]]+MP_DATA[[#This Row],[D, top '[m']]])/(2*MP_DATA[[#This Row],[t '[mm']]]/1000),"")</f>
        <v/>
      </c>
      <c r="AP162" s="80" t="str">
        <f>IFERROR(TP_DATA[[#This Row],[Bottom '[m']]]-TP_DATA[[#This Row],[D, top '[m']]], "")</f>
        <v/>
      </c>
      <c r="AQ162" s="80" t="str">
        <f>IFERROR(-(TP_DATA[[#This Row],[D, bottom '[m']]]-TP_DATA[[#This Row],[D, top '[m']]])/(TP_DATA[[#This Row],[Bottom '[m']]]-TP_DATA[[#This Row],[Top '[m']]]),"")</f>
        <v/>
      </c>
      <c r="AS162" s="80" t="str">
        <f>IFERROR((TP_DATA[[#This Row],[D, bottom '[m']]]+TP_DATA[[#This Row],[D, top '[m']]])/(2*TP_DATA[[#This Row],[t '[mm']]]/1000),"")</f>
        <v/>
      </c>
      <c r="BX162" s="80" t="str">
        <f>IFERROR(TOWER_DATA[[#This Row],[Bottom '[m']]]-TOWER_DATA[[#This Row],[D, top '[m']]], "")</f>
        <v/>
      </c>
      <c r="BY162" s="80" t="str">
        <f>IFERROR(-(TOWER_DATA[[#This Row],[D, bottom '[m']]]-TOWER_DATA[[#This Row],[D, top '[m']]])/(TOWER_DATA[[#This Row],[Bottom '[m']]]-TOWER_DATA[[#This Row],[Top '[m']]]),"")</f>
        <v/>
      </c>
      <c r="BZ162" s="80" t="str">
        <f t="shared" si="10"/>
        <v/>
      </c>
      <c r="CA162" s="80" t="str">
        <f>IFERROR((TOWER_DATA[[#This Row],[D, bottom '[m']]]+TOWER_DATA[[#This Row],[D, top '[m']]])/(2*TOWER_DATA[[#This Row],[t '[mm']]]/1000),"")</f>
        <v/>
      </c>
      <c r="DF162" s="80" t="str">
        <f>IFERROR(RNA_DATA[[#This Row],[Inertia '[kg·m²']]]-RNA_DATA[[#This Row],[Offset TT_COG '[m']]], "")</f>
        <v/>
      </c>
      <c r="DG162" s="80" t="str">
        <f>IFERROR(-(RNA_DATA[[#This Row],[comment]]-RNA_DATA[[#This Row],[Offset TT_COG '[m']]])/(RNA_DATA[[#This Row],[Inertia '[kg·m²']]]-RNA_DATA[[#This Row],[Mass '[t']]]),"")</f>
        <v/>
      </c>
      <c r="DH162" s="80" t="str">
        <f t="shared" si="11"/>
        <v/>
      </c>
      <c r="DI162" s="80" t="str">
        <f>IFERROR((RNA_DATA[[#This Row],[comment]]+RNA_DATA[[#This Row],[Offset TT_COG '[m']]])/(2*#REF!/1000),"")</f>
        <v/>
      </c>
    </row>
    <row r="163" spans="8:113" x14ac:dyDescent="0.3">
      <c r="H163" s="80" t="str">
        <f>IFERROR(MP_DATA[[#This Row],[Bottom '[m']]]-MP_DATA[[#This Row],[D, top '[m']]], "")</f>
        <v/>
      </c>
      <c r="I163" s="80" t="str">
        <f>IFERROR(-(MP_DATA[[#This Row],[D, bottom '[m']]]-MP_DATA[[#This Row],[D, top '[m']]])/(MP_DATA[[#This Row],[Bottom '[m']]]-MP_DATA[[#This Row],[Top '[m']]]),"")</f>
        <v/>
      </c>
      <c r="K163" s="80" t="str">
        <f>IFERROR((MP_DATA[[#This Row],[D, bottom '[m']]]+MP_DATA[[#This Row],[D, top '[m']]])/(2*MP_DATA[[#This Row],[t '[mm']]]/1000),"")</f>
        <v/>
      </c>
      <c r="AP163" s="80" t="str">
        <f>IFERROR(TP_DATA[[#This Row],[Bottom '[m']]]-TP_DATA[[#This Row],[D, top '[m']]], "")</f>
        <v/>
      </c>
      <c r="AQ163" s="80" t="str">
        <f>IFERROR(-(TP_DATA[[#This Row],[D, bottom '[m']]]-TP_DATA[[#This Row],[D, top '[m']]])/(TP_DATA[[#This Row],[Bottom '[m']]]-TP_DATA[[#This Row],[Top '[m']]]),"")</f>
        <v/>
      </c>
      <c r="AS163" s="80" t="str">
        <f>IFERROR((TP_DATA[[#This Row],[D, bottom '[m']]]+TP_DATA[[#This Row],[D, top '[m']]])/(2*TP_DATA[[#This Row],[t '[mm']]]/1000),"")</f>
        <v/>
      </c>
      <c r="BX163" s="80" t="str">
        <f>IFERROR(TOWER_DATA[[#This Row],[Bottom '[m']]]-TOWER_DATA[[#This Row],[D, top '[m']]], "")</f>
        <v/>
      </c>
      <c r="BY163" s="80" t="str">
        <f>IFERROR(-(TOWER_DATA[[#This Row],[D, bottom '[m']]]-TOWER_DATA[[#This Row],[D, top '[m']]])/(TOWER_DATA[[#This Row],[Bottom '[m']]]-TOWER_DATA[[#This Row],[Top '[m']]]),"")</f>
        <v/>
      </c>
      <c r="CA163" s="80" t="str">
        <f>IFERROR((TOWER_DATA[[#This Row],[D, bottom '[m']]]+TOWER_DATA[[#This Row],[D, top '[m']]])/(2*TOWER_DATA[[#This Row],[t '[mm']]]/1000),"")</f>
        <v/>
      </c>
      <c r="DF163" s="80" t="str">
        <f>IFERROR(RNA_DATA[[#This Row],[Inertia '[kg·m²']]]-RNA_DATA[[#This Row],[Offset TT_COG '[m']]], "")</f>
        <v/>
      </c>
      <c r="DG163" s="80" t="str">
        <f>IFERROR(-(RNA_DATA[[#This Row],[comment]]-RNA_DATA[[#This Row],[Offset TT_COG '[m']]])/(RNA_DATA[[#This Row],[Inertia '[kg·m²']]]-RNA_DATA[[#This Row],[Mass '[t']]]),"")</f>
        <v/>
      </c>
      <c r="DI163" s="80" t="str">
        <f>IFERROR((RNA_DATA[[#This Row],[comment]]+RNA_DATA[[#This Row],[Offset TT_COG '[m']]])/(2*#REF!/1000),"")</f>
        <v/>
      </c>
    </row>
    <row r="164" spans="8:113" x14ac:dyDescent="0.3">
      <c r="H164" s="80" t="str">
        <f>IFERROR(MP_DATA[[#This Row],[Bottom '[m']]]-MP_DATA[[#This Row],[D, top '[m']]], "")</f>
        <v/>
      </c>
      <c r="I164" s="80" t="str">
        <f>IFERROR(-(MP_DATA[[#This Row],[D, bottom '[m']]]-MP_DATA[[#This Row],[D, top '[m']]])/(MP_DATA[[#This Row],[Bottom '[m']]]-MP_DATA[[#This Row],[Top '[m']]]),"")</f>
        <v/>
      </c>
      <c r="K164" s="80" t="str">
        <f>IFERROR((MP_DATA[[#This Row],[D, bottom '[m']]]+MP_DATA[[#This Row],[D, top '[m']]])/(2*MP_DATA[[#This Row],[t '[mm']]]/1000),"")</f>
        <v/>
      </c>
      <c r="AP164" s="80" t="str">
        <f>IFERROR(TP_DATA[[#This Row],[Bottom '[m']]]-TP_DATA[[#This Row],[D, top '[m']]], "")</f>
        <v/>
      </c>
      <c r="AQ164" s="80" t="str">
        <f>IFERROR(-(TP_DATA[[#This Row],[D, bottom '[m']]]-TP_DATA[[#This Row],[D, top '[m']]])/(TP_DATA[[#This Row],[Bottom '[m']]]-TP_DATA[[#This Row],[Top '[m']]]),"")</f>
        <v/>
      </c>
      <c r="AS164" s="80" t="str">
        <f>IFERROR((TP_DATA[[#This Row],[D, bottom '[m']]]+TP_DATA[[#This Row],[D, top '[m']]])/(2*TP_DATA[[#This Row],[t '[mm']]]/1000),"")</f>
        <v/>
      </c>
      <c r="BX164" s="80" t="str">
        <f>IFERROR(TOWER_DATA[[#This Row],[Bottom '[m']]]-TOWER_DATA[[#This Row],[D, top '[m']]], "")</f>
        <v/>
      </c>
      <c r="BY164" s="80" t="str">
        <f>IFERROR(-(TOWER_DATA[[#This Row],[D, bottom '[m']]]-TOWER_DATA[[#This Row],[D, top '[m']]])/(TOWER_DATA[[#This Row],[Bottom '[m']]]-TOWER_DATA[[#This Row],[Top '[m']]]),"")</f>
        <v/>
      </c>
      <c r="CA164" s="80" t="str">
        <f>IFERROR((TOWER_DATA[[#This Row],[D, bottom '[m']]]+TOWER_DATA[[#This Row],[D, top '[m']]])/(2*TOWER_DATA[[#This Row],[t '[mm']]]/1000),"")</f>
        <v/>
      </c>
      <c r="DF164" s="80" t="str">
        <f>IFERROR(RNA_DATA[[#This Row],[Inertia '[kg·m²']]]-RNA_DATA[[#This Row],[Offset TT_COG '[m']]], "")</f>
        <v/>
      </c>
      <c r="DG164" s="80" t="str">
        <f>IFERROR(-(RNA_DATA[[#This Row],[comment]]-RNA_DATA[[#This Row],[Offset TT_COG '[m']]])/(RNA_DATA[[#This Row],[Inertia '[kg·m²']]]-RNA_DATA[[#This Row],[Mass '[t']]]),"")</f>
        <v/>
      </c>
      <c r="DI164" s="80" t="str">
        <f>IFERROR((RNA_DATA[[#This Row],[comment]]+RNA_DATA[[#This Row],[Offset TT_COG '[m']]])/(2*#REF!/1000),"")</f>
        <v/>
      </c>
    </row>
    <row r="165" spans="8:113" x14ac:dyDescent="0.3">
      <c r="H165" s="80" t="str">
        <f>IFERROR(MP_DATA[[#This Row],[Bottom '[m']]]-MP_DATA[[#This Row],[D, top '[m']]], "")</f>
        <v/>
      </c>
      <c r="I165" s="80" t="str">
        <f>IFERROR(-(MP_DATA[[#This Row],[D, bottom '[m']]]-MP_DATA[[#This Row],[D, top '[m']]])/(MP_DATA[[#This Row],[Bottom '[m']]]-MP_DATA[[#This Row],[Top '[m']]]),"")</f>
        <v/>
      </c>
      <c r="K165" s="80" t="str">
        <f>IFERROR((MP_DATA[[#This Row],[D, bottom '[m']]]+MP_DATA[[#This Row],[D, top '[m']]])/(2*MP_DATA[[#This Row],[t '[mm']]]/1000),"")</f>
        <v/>
      </c>
      <c r="AP165" s="80" t="str">
        <f>IFERROR(TP_DATA[[#This Row],[Bottom '[m']]]-TP_DATA[[#This Row],[D, top '[m']]], "")</f>
        <v/>
      </c>
      <c r="AQ165" s="80" t="str">
        <f>IFERROR(-(TP_DATA[[#This Row],[D, bottom '[m']]]-TP_DATA[[#This Row],[D, top '[m']]])/(TP_DATA[[#This Row],[Bottom '[m']]]-TP_DATA[[#This Row],[Top '[m']]]),"")</f>
        <v/>
      </c>
      <c r="AS165" s="80" t="str">
        <f>IFERROR((TP_DATA[[#This Row],[D, bottom '[m']]]+TP_DATA[[#This Row],[D, top '[m']]])/(2*TP_DATA[[#This Row],[t '[mm']]]/1000),"")</f>
        <v/>
      </c>
      <c r="BX165" s="80" t="str">
        <f>IFERROR(TOWER_DATA[[#This Row],[Bottom '[m']]]-TOWER_DATA[[#This Row],[D, top '[m']]], "")</f>
        <v/>
      </c>
      <c r="BY165" s="80" t="str">
        <f>IFERROR(-(TOWER_DATA[[#This Row],[D, bottom '[m']]]-TOWER_DATA[[#This Row],[D, top '[m']]])/(TOWER_DATA[[#This Row],[Bottom '[m']]]-TOWER_DATA[[#This Row],[Top '[m']]]),"")</f>
        <v/>
      </c>
      <c r="CA165" s="80" t="str">
        <f>IFERROR((TOWER_DATA[[#This Row],[D, bottom '[m']]]+TOWER_DATA[[#This Row],[D, top '[m']]])/(2*TOWER_DATA[[#This Row],[t '[mm']]]/1000),"")</f>
        <v/>
      </c>
      <c r="DF165" s="80" t="str">
        <f>IFERROR(RNA_DATA[[#This Row],[Inertia '[kg·m²']]]-RNA_DATA[[#This Row],[Offset TT_COG '[m']]], "")</f>
        <v/>
      </c>
      <c r="DG165" s="80" t="str">
        <f>IFERROR(-(RNA_DATA[[#This Row],[comment]]-RNA_DATA[[#This Row],[Offset TT_COG '[m']]])/(RNA_DATA[[#This Row],[Inertia '[kg·m²']]]-RNA_DATA[[#This Row],[Mass '[t']]]),"")</f>
        <v/>
      </c>
      <c r="DI165" s="80" t="str">
        <f>IFERROR((RNA_DATA[[#This Row],[comment]]+RNA_DATA[[#This Row],[Offset TT_COG '[m']]])/(2*#REF!/1000),"")</f>
        <v/>
      </c>
    </row>
    <row r="166" spans="8:113" x14ac:dyDescent="0.3">
      <c r="H166" s="80" t="str">
        <f>IFERROR(MP_DATA[[#This Row],[Bottom '[m']]]-MP_DATA[[#This Row],[D, top '[m']]], "")</f>
        <v/>
      </c>
      <c r="I166" s="80" t="str">
        <f>IFERROR(-(MP_DATA[[#This Row],[D, bottom '[m']]]-MP_DATA[[#This Row],[D, top '[m']]])/(MP_DATA[[#This Row],[Bottom '[m']]]-MP_DATA[[#This Row],[Top '[m']]]),"")</f>
        <v/>
      </c>
      <c r="K166" s="80" t="str">
        <f>IFERROR((MP_DATA[[#This Row],[D, bottom '[m']]]+MP_DATA[[#This Row],[D, top '[m']]])/(2*MP_DATA[[#This Row],[t '[mm']]]/1000),"")</f>
        <v/>
      </c>
      <c r="AP166" s="80" t="str">
        <f>IFERROR(TP_DATA[[#This Row],[Bottom '[m']]]-TP_DATA[[#This Row],[D, top '[m']]], "")</f>
        <v/>
      </c>
      <c r="AQ166" s="80" t="str">
        <f>IFERROR(-(TP_DATA[[#This Row],[D, bottom '[m']]]-TP_DATA[[#This Row],[D, top '[m']]])/(TP_DATA[[#This Row],[Bottom '[m']]]-TP_DATA[[#This Row],[Top '[m']]]),"")</f>
        <v/>
      </c>
      <c r="AS166" s="80" t="str">
        <f>IFERROR((TP_DATA[[#This Row],[D, bottom '[m']]]+TP_DATA[[#This Row],[D, top '[m']]])/(2*TP_DATA[[#This Row],[t '[mm']]]/1000),"")</f>
        <v/>
      </c>
      <c r="BX166" s="80" t="str">
        <f>IFERROR(TOWER_DATA[[#This Row],[Bottom '[m']]]-TOWER_DATA[[#This Row],[D, top '[m']]], "")</f>
        <v/>
      </c>
      <c r="BY166" s="80" t="str">
        <f>IFERROR(-(TOWER_DATA[[#This Row],[D, bottom '[m']]]-TOWER_DATA[[#This Row],[D, top '[m']]])/(TOWER_DATA[[#This Row],[Bottom '[m']]]-TOWER_DATA[[#This Row],[Top '[m']]]),"")</f>
        <v/>
      </c>
      <c r="CA166" s="80" t="str">
        <f>IFERROR((TOWER_DATA[[#This Row],[D, bottom '[m']]]+TOWER_DATA[[#This Row],[D, top '[m']]])/(2*TOWER_DATA[[#This Row],[t '[mm']]]/1000),"")</f>
        <v/>
      </c>
      <c r="DF166" s="80" t="str">
        <f>IFERROR(RNA_DATA[[#This Row],[Inertia '[kg·m²']]]-RNA_DATA[[#This Row],[Offset TT_COG '[m']]], "")</f>
        <v/>
      </c>
      <c r="DG166" s="80" t="str">
        <f>IFERROR(-(RNA_DATA[[#This Row],[comment]]-RNA_DATA[[#This Row],[Offset TT_COG '[m']]])/(RNA_DATA[[#This Row],[Inertia '[kg·m²']]]-RNA_DATA[[#This Row],[Mass '[t']]]),"")</f>
        <v/>
      </c>
      <c r="DI166" s="80" t="str">
        <f>IFERROR((RNA_DATA[[#This Row],[comment]]+RNA_DATA[[#This Row],[Offset TT_COG '[m']]])/(2*#REF!/1000),"")</f>
        <v/>
      </c>
    </row>
    <row r="167" spans="8:113" x14ac:dyDescent="0.3">
      <c r="H167" s="80" t="str">
        <f>IFERROR(MP_DATA[[#This Row],[Bottom '[m']]]-MP_DATA[[#This Row],[D, top '[m']]], "")</f>
        <v/>
      </c>
      <c r="K167" s="80" t="str">
        <f>IFERROR((MP_DATA[[#This Row],[D, bottom '[m']]]+MP_DATA[[#This Row],[D, top '[m']]])/(2*MP_DATA[[#This Row],[t '[mm']]]/1000),"")</f>
        <v/>
      </c>
      <c r="BI167" s="80"/>
      <c r="BJ167" s="80"/>
      <c r="BK167" s="80"/>
      <c r="BL167" s="80"/>
    </row>
    <row r="168" spans="8:113" x14ac:dyDescent="0.3">
      <c r="BI168" s="80"/>
      <c r="BJ168" s="80"/>
      <c r="BK168" s="80"/>
      <c r="BL168" s="80"/>
    </row>
  </sheetData>
  <protectedRanges>
    <protectedRange sqref="CC25:CE49" name="Bereich1"/>
    <protectedRange sqref="CZ25:DD25" name="Bereich1_1"/>
  </protectedRanges>
  <dataConsolidate/>
  <phoneticPr fontId="10" type="noConversion"/>
  <conditionalFormatting sqref="B1966">
    <cfRule type="expression" dxfId="13" priority="13">
      <formula>B1965&lt;&gt;_xludf.INDIRECT("B" &amp; _xludf.ROW() + 200)</formula>
    </cfRule>
  </conditionalFormatting>
  <conditionalFormatting sqref="B168:L191 B56:G167 I167:J167 J161:J166 L144:L167">
    <cfRule type="expression" dxfId="12" priority="15">
      <formula>#REF!&lt;&gt;_xludf.INDIRECT(_xludf.ADDRESS(_xludf.ROW()-200,_xludf.COLUMN()))</formula>
    </cfRule>
  </conditionalFormatting>
  <conditionalFormatting sqref="H206">
    <cfRule type="expression" dxfId="11" priority="17">
      <formula>#REF!&lt;&gt;_xludf.INDIRECT(_xludf.ADDRESS(_xludf.ROW()-200,_xludf.COLUMN()))</formula>
    </cfRule>
  </conditionalFormatting>
  <conditionalFormatting sqref="D193">
    <cfRule type="expression" dxfId="10" priority="20">
      <formula>#REF!&lt;&gt;_xludf.INDIRECT(_xludf.ADDRESS(_xludf.ROW()-200,_xludf.COLUMN()))</formula>
    </cfRule>
  </conditionalFormatting>
  <conditionalFormatting sqref="G208:G214 H207:H214 G197:G206 B197:F214 H197:H205 I197:L214">
    <cfRule type="expression" dxfId="9" priority="21">
      <formula>B29&lt;&gt;_xludf.INDIRECT(_xludf.ADDRESS(_xludf.ROW()-200,_xludf.COLUMN()))</formula>
    </cfRule>
  </conditionalFormatting>
  <conditionalFormatting sqref="G207">
    <cfRule type="expression" dxfId="8" priority="30">
      <formula>H38&lt;&gt;_xludf.INDIRECT(_xludf.ADDRESS(_xludf.ROW()-200,_xludf.COLUMN()))</formula>
    </cfRule>
  </conditionalFormatting>
  <conditionalFormatting sqref="F193:G196 C193:C196 D194:E196 C192:G192 I192:L196">
    <cfRule type="expression" dxfId="7" priority="31">
      <formula>B24&lt;&gt;_xludf.INDIRECT(_xludf.ADDRESS(_xludf.ROW()-200,_xludf.COLUMN()))</formula>
    </cfRule>
  </conditionalFormatting>
  <conditionalFormatting sqref="B192:B196 H192:H196">
    <cfRule type="expression" dxfId="6" priority="38">
      <formula>#REF!&lt;&gt;_xludf.INDIRECT(_xludf.ADDRESS(_xludf.ROW()-200,_xludf.COLUMN()))</formula>
    </cfRule>
  </conditionalFormatting>
  <conditionalFormatting sqref="E193">
    <cfRule type="expression" dxfId="5" priority="41">
      <formula>C25&lt;&gt;_xludf.INDIRECT(_xludf.ADDRESS(_xludf.ROW()-200,_xludf.COLUMN()))</formula>
    </cfRule>
  </conditionalFormatting>
  <conditionalFormatting sqref="AJ56:AO166 AR161:AR166 AT144:AT166">
    <cfRule type="expression" dxfId="4" priority="3">
      <formula>#REF!&lt;&gt;_xludf.INDIRECT(_xludf.ADDRESS(_xludf.ROW()-200,_xludf.COLUMN()))</formula>
    </cfRule>
  </conditionalFormatting>
  <conditionalFormatting sqref="BR93:BW203 BZ163:BZ166 CB144:CB166">
    <cfRule type="expression" dxfId="3" priority="2">
      <formula>#REF!&lt;&gt;_xludf.INDIRECT(_xludf.ADDRESS(_xludf.ROW()-200,_xludf.COLUMN()))</formula>
    </cfRule>
  </conditionalFormatting>
  <conditionalFormatting sqref="CZ93:DE203 DH163:DH166">
    <cfRule type="expression" dxfId="2" priority="1">
      <formula>#REF!&lt;&gt;_xludf.INDIRECT(_xludf.ADDRESS(_xludf.ROW()-200,_xludf.COLUMN()))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5" r:id="rId4" name="Button 19">
              <controlPr defaultSize="0" print="0" autoFill="0" autoPict="0" macro="[0]!assamble_structure">
                <anchor moveWithCells="1" sizeWithCells="1">
                  <from>
                    <xdr:col>1</xdr:col>
                    <xdr:colOff>7620</xdr:colOff>
                    <xdr:row>0</xdr:row>
                    <xdr:rowOff>121920</xdr:rowOff>
                  </from>
                  <to>
                    <xdr:col>4</xdr:col>
                    <xdr:colOff>137160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Dropdown_MP_Structures">
              <controlPr defaultSize="0" autoLine="0" autoPict="0" macro="[0]!load_MP_Data">
                <anchor moveWithCells="1">
                  <from>
                    <xdr:col>1</xdr:col>
                    <xdr:colOff>38100</xdr:colOff>
                    <xdr:row>13</xdr:row>
                    <xdr:rowOff>160020</xdr:rowOff>
                  </from>
                  <to>
                    <xdr:col>2</xdr:col>
                    <xdr:colOff>190500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load_MP_DB">
                <anchor moveWithCells="1" sizeWithCells="1">
                  <from>
                    <xdr:col>1</xdr:col>
                    <xdr:colOff>30480</xdr:colOff>
                    <xdr:row>12</xdr:row>
                    <xdr:rowOff>30480</xdr:rowOff>
                  </from>
                  <to>
                    <xdr:col>1</xdr:col>
                    <xdr:colOff>1074420</xdr:colOff>
                    <xdr:row>12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 macro="[0]!save_MP_Data">
                <anchor moveWithCells="1" sizeWithCells="1">
                  <from>
                    <xdr:col>12</xdr:col>
                    <xdr:colOff>38100</xdr:colOff>
                    <xdr:row>17</xdr:row>
                    <xdr:rowOff>22860</xdr:rowOff>
                  </from>
                  <to>
                    <xdr:col>14</xdr:col>
                    <xdr:colOff>1341120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8" name="Button 11">
              <controlPr defaultSize="0" print="0" autoFill="0" autoPict="0" macro="[0]!delete_MP_Data">
                <anchor moveWithCells="1" sizeWithCells="1">
                  <from>
                    <xdr:col>9</xdr:col>
                    <xdr:colOff>358140</xdr:colOff>
                    <xdr:row>16</xdr:row>
                    <xdr:rowOff>167640</xdr:rowOff>
                  </from>
                  <to>
                    <xdr:col>11</xdr:col>
                    <xdr:colOff>815340</xdr:colOff>
                    <xdr:row>21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9" name="Button 20">
              <controlPr defaultSize="0" print="0" autoFill="0" autoPict="0" macro="[0]!import_MP_from_MPTool">
                <anchor moveWithCells="1" sizeWithCells="1">
                  <from>
                    <xdr:col>1</xdr:col>
                    <xdr:colOff>22860</xdr:colOff>
                    <xdr:row>4</xdr:row>
                    <xdr:rowOff>99060</xdr:rowOff>
                  </from>
                  <to>
                    <xdr:col>2</xdr:col>
                    <xdr:colOff>289560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0" name="Dropdown_TP_Structures">
              <controlPr defaultSize="0" autoLine="0" autoPict="0" macro="[0]!load_TP_Data">
                <anchor moveWithCells="1">
                  <from>
                    <xdr:col>35</xdr:col>
                    <xdr:colOff>38100</xdr:colOff>
                    <xdr:row>13</xdr:row>
                    <xdr:rowOff>160020</xdr:rowOff>
                  </from>
                  <to>
                    <xdr:col>37</xdr:col>
                    <xdr:colOff>373380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1" name="Button 22">
              <controlPr defaultSize="0" print="0" autoFill="0" autoPict="0" macro="[0]!load_TP_DB">
                <anchor moveWithCells="1" sizeWithCells="1">
                  <from>
                    <xdr:col>35</xdr:col>
                    <xdr:colOff>30480</xdr:colOff>
                    <xdr:row>12</xdr:row>
                    <xdr:rowOff>30480</xdr:rowOff>
                  </from>
                  <to>
                    <xdr:col>35</xdr:col>
                    <xdr:colOff>800100</xdr:colOff>
                    <xdr:row>12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2" name="Button 23">
              <controlPr defaultSize="0" print="0" autoFill="0" autoPict="0" macro="[0]!save_TP_Data">
                <anchor moveWithCells="1" sizeWithCells="1">
                  <from>
                    <xdr:col>47</xdr:col>
                    <xdr:colOff>38100</xdr:colOff>
                    <xdr:row>17</xdr:row>
                    <xdr:rowOff>22860</xdr:rowOff>
                  </from>
                  <to>
                    <xdr:col>48</xdr:col>
                    <xdr:colOff>1341120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3" name="Button 24">
              <controlPr defaultSize="0" print="0" autoFill="0" autoPict="0" macro="[0]!delete_TP_Data">
                <anchor moveWithCells="1" sizeWithCells="1">
                  <from>
                    <xdr:col>44</xdr:col>
                    <xdr:colOff>274320</xdr:colOff>
                    <xdr:row>17</xdr:row>
                    <xdr:rowOff>45720</xdr:rowOff>
                  </from>
                  <to>
                    <xdr:col>46</xdr:col>
                    <xdr:colOff>762000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14" name="Dropdown_TOWER_Structures">
              <controlPr defaultSize="0" autoLine="0" autoPict="0" macro="[0]!load_TOWER_Data">
                <anchor moveWithCells="1">
                  <from>
                    <xdr:col>69</xdr:col>
                    <xdr:colOff>38100</xdr:colOff>
                    <xdr:row>13</xdr:row>
                    <xdr:rowOff>160020</xdr:rowOff>
                  </from>
                  <to>
                    <xdr:col>71</xdr:col>
                    <xdr:colOff>388620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15" name="Button 27">
              <controlPr defaultSize="0" print="0" autoFill="0" autoPict="0" macro="[0]!load_TOWER_DB">
                <anchor moveWithCells="1" sizeWithCells="1">
                  <from>
                    <xdr:col>69</xdr:col>
                    <xdr:colOff>38100</xdr:colOff>
                    <xdr:row>12</xdr:row>
                    <xdr:rowOff>38100</xdr:rowOff>
                  </from>
                  <to>
                    <xdr:col>69</xdr:col>
                    <xdr:colOff>792480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16" name="Button 28">
              <controlPr defaultSize="0" print="0" autoFill="0" autoPict="0" macro="[0]!save_TOWER_Data">
                <anchor moveWithCells="1" sizeWithCells="1">
                  <from>
                    <xdr:col>81</xdr:col>
                    <xdr:colOff>868680</xdr:colOff>
                    <xdr:row>17</xdr:row>
                    <xdr:rowOff>22860</xdr:rowOff>
                  </from>
                  <to>
                    <xdr:col>82</xdr:col>
                    <xdr:colOff>2171700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17" name="Button 29">
              <controlPr defaultSize="0" print="0" autoFill="0" autoPict="0" macro="[0]!delete_TOWER_Data">
                <anchor moveWithCells="1" sizeWithCells="1">
                  <from>
                    <xdr:col>79</xdr:col>
                    <xdr:colOff>335280</xdr:colOff>
                    <xdr:row>16</xdr:row>
                    <xdr:rowOff>175260</xdr:rowOff>
                  </from>
                  <to>
                    <xdr:col>81</xdr:col>
                    <xdr:colOff>807720</xdr:colOff>
                    <xdr:row>21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18" name="Button 31">
              <controlPr defaultSize="0" print="0" autoFill="0" autoPict="0" macro="[0]!reload_MP_DB">
                <anchor moveWithCells="1" sizeWithCells="1">
                  <from>
                    <xdr:col>1</xdr:col>
                    <xdr:colOff>1143000</xdr:colOff>
                    <xdr:row>12</xdr:row>
                    <xdr:rowOff>38100</xdr:rowOff>
                  </from>
                  <to>
                    <xdr:col>2</xdr:col>
                    <xdr:colOff>22860</xdr:colOff>
                    <xdr:row>12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19" name="Button 32">
              <controlPr defaultSize="0" print="0" autoFill="0" autoPict="0" macro="[0]!reload_TP_DB">
                <anchor moveWithCells="1" sizeWithCells="1">
                  <from>
                    <xdr:col>35</xdr:col>
                    <xdr:colOff>838200</xdr:colOff>
                    <xdr:row>12</xdr:row>
                    <xdr:rowOff>22860</xdr:rowOff>
                  </from>
                  <to>
                    <xdr:col>36</xdr:col>
                    <xdr:colOff>0</xdr:colOff>
                    <xdr:row>12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20" name="Button 33">
              <controlPr defaultSize="0" print="0" autoFill="0" autoPict="0" macro="[0]!reload_TOWER_DB">
                <anchor moveWithCells="1" sizeWithCells="1">
                  <from>
                    <xdr:col>69</xdr:col>
                    <xdr:colOff>822960</xdr:colOff>
                    <xdr:row>12</xdr:row>
                    <xdr:rowOff>22860</xdr:rowOff>
                  </from>
                  <to>
                    <xdr:col>70</xdr:col>
                    <xdr:colOff>7620</xdr:colOff>
                    <xdr:row>12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1" name="Import_MP_use_TP">
              <controlPr defaultSize="0" autoFill="0" autoLine="0" autoPict="0">
                <anchor moveWithCells="1">
                  <from>
                    <xdr:col>3</xdr:col>
                    <xdr:colOff>68580</xdr:colOff>
                    <xdr:row>6</xdr:row>
                    <xdr:rowOff>22860</xdr:rowOff>
                  </from>
                  <to>
                    <xdr:col>3</xdr:col>
                    <xdr:colOff>868680</xdr:colOff>
                    <xdr:row>8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2" name="Import_MP_use_MP">
              <controlPr defaultSize="0" autoFill="0" autoLine="0" autoPict="0">
                <anchor moveWithCells="1">
                  <from>
                    <xdr:col>3</xdr:col>
                    <xdr:colOff>60960</xdr:colOff>
                    <xdr:row>4</xdr:row>
                    <xdr:rowOff>38100</xdr:rowOff>
                  </from>
                  <to>
                    <xdr:col>3</xdr:col>
                    <xdr:colOff>944880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3" name="Button 36">
              <controlPr defaultSize="0" print="0" autoFill="0" autoPict="0" macro="[0]!move_structure_MP">
                <anchor moveWithCells="1" sizeWithCells="1">
                  <from>
                    <xdr:col>6</xdr:col>
                    <xdr:colOff>30480</xdr:colOff>
                    <xdr:row>14</xdr:row>
                    <xdr:rowOff>0</xdr:rowOff>
                  </from>
                  <to>
                    <xdr:col>7</xdr:col>
                    <xdr:colOff>708660</xdr:colOff>
                    <xdr:row>14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24" name="Button 38">
              <controlPr defaultSize="0" print="0" autoFill="0" autoPict="0" macro="[0]!move_structure_TP">
                <anchor moveWithCells="1" sizeWithCells="1">
                  <from>
                    <xdr:col>42</xdr:col>
                    <xdr:colOff>60960</xdr:colOff>
                    <xdr:row>14</xdr:row>
                    <xdr:rowOff>0</xdr:rowOff>
                  </from>
                  <to>
                    <xdr:col>43</xdr:col>
                    <xdr:colOff>731520</xdr:colOff>
                    <xdr:row>14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25" name="Dropdown_RNA_Structures">
              <controlPr defaultSize="0" autoLine="0" autoPict="0" macro="[0]!load_TOWER_Data">
                <anchor moveWithCells="1">
                  <from>
                    <xdr:col>103</xdr:col>
                    <xdr:colOff>38100</xdr:colOff>
                    <xdr:row>13</xdr:row>
                    <xdr:rowOff>160020</xdr:rowOff>
                  </from>
                  <to>
                    <xdr:col>105</xdr:col>
                    <xdr:colOff>152400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26" name="Button 40">
              <controlPr defaultSize="0" print="0" autoFill="0" autoPict="0" macro="[0]!load_TOWER_DB">
                <anchor moveWithCells="1" sizeWithCells="1">
                  <from>
                    <xdr:col>103</xdr:col>
                    <xdr:colOff>38100</xdr:colOff>
                    <xdr:row>12</xdr:row>
                    <xdr:rowOff>38100</xdr:rowOff>
                  </from>
                  <to>
                    <xdr:col>103</xdr:col>
                    <xdr:colOff>792480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27" name="Button 41">
              <controlPr defaultSize="0" print="0" autoFill="0" autoPict="0" macro="[0]!save_TOWER_Data">
                <anchor moveWithCells="1" sizeWithCells="1">
                  <from>
                    <xdr:col>110</xdr:col>
                    <xdr:colOff>228600</xdr:colOff>
                    <xdr:row>13</xdr:row>
                    <xdr:rowOff>60960</xdr:rowOff>
                  </from>
                  <to>
                    <xdr:col>112</xdr:col>
                    <xdr:colOff>708660</xdr:colOff>
                    <xdr:row>16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28" name="Button 42">
              <controlPr defaultSize="0" print="0" autoFill="0" autoPict="0" macro="[0]!delete_TOWER_Data">
                <anchor moveWithCells="1" sizeWithCells="1">
                  <from>
                    <xdr:col>110</xdr:col>
                    <xdr:colOff>220980</xdr:colOff>
                    <xdr:row>17</xdr:row>
                    <xdr:rowOff>30480</xdr:rowOff>
                  </from>
                  <to>
                    <xdr:col>112</xdr:col>
                    <xdr:colOff>693420</xdr:colOff>
                    <xdr:row>21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29" name="Button 43">
              <controlPr defaultSize="0" print="0" autoFill="0" autoPict="0" macro="[0]!reload_TOWER_DB">
                <anchor moveWithCells="1" sizeWithCells="1">
                  <from>
                    <xdr:col>103</xdr:col>
                    <xdr:colOff>822960</xdr:colOff>
                    <xdr:row>12</xdr:row>
                    <xdr:rowOff>22860</xdr:rowOff>
                  </from>
                  <to>
                    <xdr:col>104</xdr:col>
                    <xdr:colOff>7620</xdr:colOff>
                    <xdr:row>12</xdr:row>
                    <xdr:rowOff>259080</xdr:rowOff>
                  </to>
                </anchor>
              </controlPr>
            </control>
          </mc:Choice>
        </mc:AlternateContent>
      </controls>
    </mc:Choice>
  </mc:AlternateContent>
  <tableParts count="30"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14BD2-BE27-45D5-AB15-D631D9970CFE}">
  <sheetPr codeName="Tabelle4"/>
  <dimension ref="B2:AN452"/>
  <sheetViews>
    <sheetView tabSelected="1" zoomScale="85" zoomScaleNormal="85" workbookViewId="0">
      <selection activeCell="E18" sqref="E18"/>
    </sheetView>
  </sheetViews>
  <sheetFormatPr baseColWidth="10" defaultColWidth="14.44140625" defaultRowHeight="14.4" x14ac:dyDescent="0.3"/>
  <cols>
    <col min="1" max="1" width="14.44140625" style="51"/>
    <col min="2" max="2" width="16.6640625" style="51" customWidth="1"/>
    <col min="3" max="6" width="14.44140625" style="51"/>
    <col min="7" max="7" width="19.77734375" style="51" customWidth="1"/>
    <col min="8" max="9" width="14.44140625" style="51"/>
    <col min="10" max="10" width="14.44140625" style="51" customWidth="1"/>
    <col min="11" max="13" width="14.44140625" style="51"/>
    <col min="14" max="14" width="22.109375" style="51" customWidth="1"/>
    <col min="15" max="15" width="10.33203125" style="55" customWidth="1"/>
    <col min="16" max="16" width="23.88671875" style="55" customWidth="1"/>
    <col min="17" max="17" width="12.6640625" style="55" customWidth="1"/>
    <col min="18" max="18" width="58.6640625" style="55" customWidth="1"/>
    <col min="19" max="19" width="13" style="51" customWidth="1"/>
    <col min="20" max="20" width="14.44140625" style="51" customWidth="1"/>
    <col min="21" max="21" width="19.33203125" style="51" customWidth="1"/>
    <col min="22" max="22" width="14.44140625" style="51"/>
    <col min="23" max="23" width="17.6640625" style="51" customWidth="1"/>
    <col min="24" max="26" width="14.44140625" style="51"/>
    <col min="30" max="30" width="22.77734375" customWidth="1"/>
    <col min="33" max="34" width="14.44140625" style="51"/>
    <col min="35" max="35" width="20.44140625" style="51" customWidth="1"/>
    <col min="36" max="16384" width="14.44140625" style="51"/>
  </cols>
  <sheetData>
    <row r="2" spans="2:40" ht="15" customHeight="1" x14ac:dyDescent="0.3">
      <c r="B2" s="51" t="s">
        <v>27</v>
      </c>
      <c r="C2" s="51" t="s">
        <v>134</v>
      </c>
      <c r="D2" s="55" t="s">
        <v>135</v>
      </c>
      <c r="E2" s="55"/>
      <c r="F2" s="55"/>
      <c r="G2" s="55"/>
      <c r="H2" s="55"/>
      <c r="I2" s="55" t="s">
        <v>149</v>
      </c>
      <c r="M2" s="55"/>
      <c r="N2" s="55"/>
    </row>
    <row r="3" spans="2:40" x14ac:dyDescent="0.3">
      <c r="B3" s="94" t="s">
        <v>154</v>
      </c>
      <c r="C3" s="104"/>
      <c r="D3" s="107" t="s">
        <v>90</v>
      </c>
      <c r="E3" s="55"/>
      <c r="I3" s="55" t="s">
        <v>79</v>
      </c>
      <c r="J3" s="55"/>
      <c r="M3" s="55"/>
      <c r="N3" s="55"/>
    </row>
    <row r="4" spans="2:40" ht="15" customHeight="1" x14ac:dyDescent="0.3">
      <c r="B4" s="94" t="s">
        <v>152</v>
      </c>
      <c r="C4" s="104" t="s">
        <v>117</v>
      </c>
      <c r="D4" s="107" t="s">
        <v>90</v>
      </c>
      <c r="I4" s="55" t="s">
        <v>101</v>
      </c>
      <c r="J4" s="55"/>
      <c r="L4" s="55"/>
      <c r="M4" s="55"/>
      <c r="N4" s="55"/>
    </row>
    <row r="5" spans="2:40" ht="15" customHeight="1" x14ac:dyDescent="0.3">
      <c r="B5" s="95" t="s">
        <v>153</v>
      </c>
      <c r="C5" s="105"/>
      <c r="D5" s="106" t="s">
        <v>155</v>
      </c>
      <c r="I5" s="55" t="s">
        <v>70</v>
      </c>
      <c r="J5" s="55"/>
      <c r="M5" s="55"/>
      <c r="N5" s="55"/>
    </row>
    <row r="6" spans="2:40" x14ac:dyDescent="0.3">
      <c r="B6" s="94" t="s">
        <v>156</v>
      </c>
      <c r="C6" s="104"/>
      <c r="D6" s="107" t="s">
        <v>155</v>
      </c>
      <c r="I6" s="55" t="s">
        <v>144</v>
      </c>
      <c r="J6" s="55"/>
      <c r="M6" s="55"/>
      <c r="N6" s="55"/>
    </row>
    <row r="7" spans="2:40" ht="15" customHeight="1" x14ac:dyDescent="0.3">
      <c r="I7" s="55" t="s">
        <v>151</v>
      </c>
      <c r="J7" s="55"/>
      <c r="M7" s="55"/>
      <c r="N7" s="55"/>
    </row>
    <row r="8" spans="2:40" ht="15" customHeight="1" x14ac:dyDescent="0.3">
      <c r="B8"/>
      <c r="C8"/>
      <c r="D8"/>
      <c r="E8"/>
      <c r="F8"/>
      <c r="G8"/>
      <c r="H8"/>
      <c r="J8" s="55"/>
      <c r="L8"/>
      <c r="M8"/>
      <c r="N8"/>
      <c r="O8"/>
      <c r="P8"/>
      <c r="Q8"/>
    </row>
    <row r="9" spans="2:40" ht="31.8" customHeight="1" x14ac:dyDescent="0.6">
      <c r="B9" s="68" t="s">
        <v>124</v>
      </c>
      <c r="O9" s="68" t="s">
        <v>125</v>
      </c>
      <c r="T9" s="68" t="s">
        <v>127</v>
      </c>
      <c r="AA9" s="68" t="s">
        <v>144</v>
      </c>
      <c r="AG9" s="68" t="s">
        <v>20</v>
      </c>
      <c r="AK9" s="68" t="s">
        <v>126</v>
      </c>
    </row>
    <row r="12" spans="2:40" x14ac:dyDescent="0.3">
      <c r="B12" s="51" t="s">
        <v>1</v>
      </c>
      <c r="C12" s="51" t="s">
        <v>103</v>
      </c>
      <c r="D12" s="51" t="s">
        <v>100</v>
      </c>
      <c r="E12" s="51" t="s">
        <v>121</v>
      </c>
      <c r="F12" s="51" t="s">
        <v>120</v>
      </c>
      <c r="G12" s="51" t="s">
        <v>94</v>
      </c>
      <c r="H12" s="51" t="s">
        <v>95</v>
      </c>
      <c r="I12" s="51" t="s">
        <v>96</v>
      </c>
      <c r="J12" s="51" t="s">
        <v>102</v>
      </c>
      <c r="K12" s="51" t="s">
        <v>9</v>
      </c>
      <c r="L12" s="51" t="s">
        <v>10</v>
      </c>
      <c r="M12" s="51" t="s">
        <v>12</v>
      </c>
      <c r="O12" s="55" t="s">
        <v>103</v>
      </c>
      <c r="P12" t="s">
        <v>123</v>
      </c>
      <c r="Q12" t="s">
        <v>106</v>
      </c>
      <c r="R12" s="55" t="s">
        <v>19</v>
      </c>
      <c r="T12" s="66" t="s">
        <v>103</v>
      </c>
      <c r="U12" s="57" t="s">
        <v>123</v>
      </c>
      <c r="V12" s="57" t="s">
        <v>106</v>
      </c>
      <c r="W12" s="67" t="s">
        <v>19</v>
      </c>
      <c r="AA12" s="84" t="s">
        <v>82</v>
      </c>
      <c r="AB12" s="84" t="s">
        <v>148</v>
      </c>
      <c r="AC12" s="84" t="s">
        <v>145</v>
      </c>
      <c r="AD12" s="84" t="s">
        <v>146</v>
      </c>
      <c r="AE12" s="84" t="s">
        <v>19</v>
      </c>
      <c r="AG12" s="51" t="s">
        <v>120</v>
      </c>
      <c r="AH12" s="51" t="s">
        <v>121</v>
      </c>
      <c r="AI12" s="51" t="s">
        <v>128</v>
      </c>
      <c r="AK12" s="51" t="s">
        <v>120</v>
      </c>
      <c r="AL12" s="51" t="s">
        <v>121</v>
      </c>
      <c r="AM12" s="51" t="s">
        <v>17</v>
      </c>
      <c r="AN12" s="51" t="s">
        <v>18</v>
      </c>
    </row>
    <row r="13" spans="2:40" x14ac:dyDescent="0.3">
      <c r="B13" s="51">
        <v>1</v>
      </c>
      <c r="C13" s="51" t="s">
        <v>79</v>
      </c>
      <c r="D13" s="51">
        <v>1</v>
      </c>
      <c r="E13" s="51">
        <v>103.71</v>
      </c>
      <c r="F13" s="51">
        <v>100.50999999999999</v>
      </c>
      <c r="G13" s="51">
        <v>8</v>
      </c>
      <c r="H13" s="51">
        <v>8</v>
      </c>
      <c r="I13" s="51">
        <v>115</v>
      </c>
      <c r="J13" s="54">
        <f t="shared" ref="J13:J39" si="0">IF(7850/1000*(1/3)*PI()*ABS(E13-F13)*((G13/2)^2+(G13/2)*(H13/2)+(H13/2)^2-(G13/2-I13/1000)^2-(G13/2-I13/1000)*(H13/2-I13/1000)-(H13/2-I13/1000)^2)=0,"",7850/1000*(1/3)*PI()*ABS(E13-F13)*((G13/2)^2+(G13/2)*(H13/2)+(H13/2)^2-(G13/2-I13/1000)^2-(G13/2-I13/1000)*(H13/2-I13/1000)-(H13/2-I13/1000)^2))</f>
        <v>71.559788082887437</v>
      </c>
      <c r="K13" s="53">
        <f>IFERROR(WHOLE_STRUCTURE[[#This Row],[Bottom '[m']]]-WHOLE_STRUCTURE[[#This Row],[D, top '[m']]], "")</f>
        <v>92.509999999999991</v>
      </c>
      <c r="L13" s="54">
        <f>IFERROR(-(WHOLE_STRUCTURE[[#This Row],[D, bottom '[m']]]-WHOLE_STRUCTURE[[#This Row],[D, top '[m']]])/(WHOLE_STRUCTURE[[#This Row],[Bottom '[m']]]-WHOLE_STRUCTURE[[#This Row],[Top '[m']]]),"")</f>
        <v>0</v>
      </c>
      <c r="M13" s="52">
        <f>IFERROR((WHOLE_STRUCTURE[[#This Row],[D, bottom '[m']]]+WHOLE_STRUCTURE[[#This Row],[D, top '[m']]])/(2*WHOLE_STRUCTURE[[#This Row],[t '[mm']]]/1000),"")</f>
        <v>69.565217391304344</v>
      </c>
      <c r="O13" s="55" t="s">
        <v>79</v>
      </c>
      <c r="P13" s="55">
        <v>103.50999999999999</v>
      </c>
      <c r="Q13" s="55">
        <v>70000</v>
      </c>
      <c r="R13" s="55" t="s">
        <v>107</v>
      </c>
      <c r="T13" s="51" t="s">
        <v>118</v>
      </c>
      <c r="U13" s="69">
        <v>3.817219771651136</v>
      </c>
      <c r="V13" s="69">
        <v>86.529348875129429</v>
      </c>
      <c r="W13" s="51" t="s">
        <v>109</v>
      </c>
      <c r="AA13" s="58" t="s">
        <v>147</v>
      </c>
      <c r="AB13" s="58">
        <v>777.53</v>
      </c>
      <c r="AC13" s="58">
        <v>197394400</v>
      </c>
      <c r="AD13" s="60">
        <v>3.4</v>
      </c>
      <c r="AE13" s="60"/>
      <c r="AG13" s="51">
        <v>139</v>
      </c>
      <c r="AH13" s="51">
        <v>4.5999999999999996</v>
      </c>
      <c r="AI13" s="51">
        <v>0</v>
      </c>
      <c r="AK13" s="51">
        <v>20</v>
      </c>
      <c r="AL13" s="51">
        <v>6.5</v>
      </c>
      <c r="AM13" s="51">
        <v>0.9</v>
      </c>
      <c r="AN13" s="51">
        <v>2</v>
      </c>
    </row>
    <row r="14" spans="2:40" x14ac:dyDescent="0.3">
      <c r="B14" s="51">
        <v>2</v>
      </c>
      <c r="C14" s="51" t="s">
        <v>79</v>
      </c>
      <c r="D14" s="51">
        <v>2</v>
      </c>
      <c r="E14" s="51">
        <v>100.50999999999999</v>
      </c>
      <c r="F14" s="51">
        <v>97.31</v>
      </c>
      <c r="G14" s="51">
        <v>8</v>
      </c>
      <c r="H14" s="51">
        <v>8</v>
      </c>
      <c r="I14" s="51">
        <v>115</v>
      </c>
      <c r="J14" s="54">
        <f t="shared" si="0"/>
        <v>71.559788082887124</v>
      </c>
      <c r="K14" s="53">
        <f>IFERROR(WHOLE_STRUCTURE[[#This Row],[Bottom '[m']]]-WHOLE_STRUCTURE[[#This Row],[D, top '[m']]], "")</f>
        <v>89.31</v>
      </c>
      <c r="L14" s="54">
        <f>IFERROR(-(WHOLE_STRUCTURE[[#This Row],[D, bottom '[m']]]-WHOLE_STRUCTURE[[#This Row],[D, top '[m']]])/(WHOLE_STRUCTURE[[#This Row],[Bottom '[m']]]-WHOLE_STRUCTURE[[#This Row],[Top '[m']]]),"")</f>
        <v>0</v>
      </c>
      <c r="M14" s="52">
        <f>IFERROR((WHOLE_STRUCTURE[[#This Row],[D, bottom '[m']]]+WHOLE_STRUCTURE[[#This Row],[D, top '[m']]])/(2*WHOLE_STRUCTURE[[#This Row],[t '[mm']]]/1000),"")</f>
        <v>69.565217391304344</v>
      </c>
      <c r="O14" s="55" t="s">
        <v>79</v>
      </c>
      <c r="P14" s="55">
        <v>102.11</v>
      </c>
      <c r="Q14" s="55">
        <v>9000</v>
      </c>
      <c r="R14" s="55" t="s">
        <v>108</v>
      </c>
      <c r="AG14" s="51">
        <f>IF(ISBLANK(AH14),"",AH13)</f>
        <v>4.5999999999999996</v>
      </c>
      <c r="AH14" s="51">
        <v>-9.6</v>
      </c>
      <c r="AI14" s="51">
        <v>250</v>
      </c>
      <c r="AK14" s="51">
        <f>IF(ISBLANK(AL14),"",AL13)</f>
        <v>6.5</v>
      </c>
      <c r="AL14" s="51">
        <v>-22</v>
      </c>
      <c r="AM14" s="51">
        <v>0.9</v>
      </c>
      <c r="AN14" s="51">
        <v>2</v>
      </c>
    </row>
    <row r="15" spans="2:40" x14ac:dyDescent="0.3">
      <c r="B15" s="51">
        <v>3</v>
      </c>
      <c r="C15" s="51" t="s">
        <v>79</v>
      </c>
      <c r="D15" s="51">
        <v>3</v>
      </c>
      <c r="E15" s="51">
        <v>97.31</v>
      </c>
      <c r="F15" s="51">
        <v>94.11</v>
      </c>
      <c r="G15" s="51">
        <v>8</v>
      </c>
      <c r="H15" s="51">
        <v>8</v>
      </c>
      <c r="I15" s="51">
        <v>125</v>
      </c>
      <c r="J15" s="54">
        <f t="shared" si="0"/>
        <v>77.683732341641672</v>
      </c>
      <c r="K15" s="53">
        <f>IFERROR(WHOLE_STRUCTURE[[#This Row],[Bottom '[m']]]-WHOLE_STRUCTURE[[#This Row],[D, top '[m']]], "")</f>
        <v>86.11</v>
      </c>
      <c r="L15" s="54">
        <f>IFERROR(-(WHOLE_STRUCTURE[[#This Row],[D, bottom '[m']]]-WHOLE_STRUCTURE[[#This Row],[D, top '[m']]])/(WHOLE_STRUCTURE[[#This Row],[Bottom '[m']]]-WHOLE_STRUCTURE[[#This Row],[Top '[m']]]),"")</f>
        <v>0</v>
      </c>
      <c r="M15" s="52">
        <f>IFERROR((WHOLE_STRUCTURE[[#This Row],[D, bottom '[m']]]+WHOLE_STRUCTURE[[#This Row],[D, top '[m']]])/(2*WHOLE_STRUCTURE[[#This Row],[t '[mm']]]/1000),"")</f>
        <v>64</v>
      </c>
      <c r="O15" s="55" t="s">
        <v>79</v>
      </c>
      <c r="P15" s="55">
        <v>98.21</v>
      </c>
      <c r="Q15" s="55">
        <v>100000</v>
      </c>
      <c r="R15" s="55" t="s">
        <v>109</v>
      </c>
      <c r="AG15" s="51">
        <f t="shared" ref="AG15" si="1">IF(ISBLANK(AH15),"",AH14)</f>
        <v>-9.6</v>
      </c>
      <c r="AH15" s="51">
        <v>-22</v>
      </c>
      <c r="AI15" s="51">
        <v>100</v>
      </c>
      <c r="AK15" s="51" t="str">
        <f t="shared" ref="AK15" si="2">IF(ISBLANK(AL15),"",AL14)</f>
        <v/>
      </c>
    </row>
    <row r="16" spans="2:40" x14ac:dyDescent="0.3">
      <c r="B16" s="51">
        <v>4</v>
      </c>
      <c r="C16" s="51" t="s">
        <v>79</v>
      </c>
      <c r="D16" s="51">
        <v>4</v>
      </c>
      <c r="E16" s="51">
        <v>94.11</v>
      </c>
      <c r="F16" s="51">
        <v>90.61</v>
      </c>
      <c r="G16" s="51">
        <v>8</v>
      </c>
      <c r="H16" s="51">
        <v>8.44</v>
      </c>
      <c r="I16" s="51">
        <v>125</v>
      </c>
      <c r="J16" s="54">
        <f t="shared" si="0"/>
        <v>87.340251847998317</v>
      </c>
      <c r="K16" s="53">
        <f>IFERROR(WHOLE_STRUCTURE[[#This Row],[Bottom '[m']]]-WHOLE_STRUCTURE[[#This Row],[D, top '[m']]], "")</f>
        <v>82.61</v>
      </c>
      <c r="L16" s="54">
        <f>IFERROR(-(WHOLE_STRUCTURE[[#This Row],[D, bottom '[m']]]-WHOLE_STRUCTURE[[#This Row],[D, top '[m']]])/(WHOLE_STRUCTURE[[#This Row],[Bottom '[m']]]-WHOLE_STRUCTURE[[#This Row],[Top '[m']]]),"")</f>
        <v>0.12571428571428558</v>
      </c>
      <c r="M16" s="52">
        <f>IFERROR((WHOLE_STRUCTURE[[#This Row],[D, bottom '[m']]]+WHOLE_STRUCTURE[[#This Row],[D, top '[m']]])/(2*WHOLE_STRUCTURE[[#This Row],[t '[mm']]]/1000),"")</f>
        <v>65.759999999999991</v>
      </c>
      <c r="O16" s="55" t="s">
        <v>79</v>
      </c>
      <c r="P16" s="55">
        <v>92.91</v>
      </c>
      <c r="Q16" s="55">
        <v>1</v>
      </c>
      <c r="R16" s="55" t="s">
        <v>110</v>
      </c>
      <c r="T16" s="56" t="s">
        <v>103</v>
      </c>
      <c r="U16" s="57" t="s">
        <v>121</v>
      </c>
      <c r="V16" s="57" t="s">
        <v>120</v>
      </c>
      <c r="W16" s="57" t="s">
        <v>94</v>
      </c>
      <c r="X16" s="57" t="s">
        <v>95</v>
      </c>
      <c r="Y16" s="57" t="s">
        <v>96</v>
      </c>
    </row>
    <row r="17" spans="2:25" x14ac:dyDescent="0.3">
      <c r="B17" s="51">
        <v>5</v>
      </c>
      <c r="C17" s="51" t="s">
        <v>79</v>
      </c>
      <c r="D17" s="51">
        <v>5</v>
      </c>
      <c r="E17" s="51">
        <v>90.61</v>
      </c>
      <c r="F17" s="51">
        <v>87.11</v>
      </c>
      <c r="G17" s="51">
        <v>8.44</v>
      </c>
      <c r="H17" s="51">
        <v>8.8800000000000008</v>
      </c>
      <c r="I17" s="51">
        <v>106</v>
      </c>
      <c r="J17" s="54">
        <f t="shared" si="0"/>
        <v>78.264116137491456</v>
      </c>
      <c r="K17" s="53">
        <f>IFERROR(WHOLE_STRUCTURE[[#This Row],[Bottom '[m']]]-WHOLE_STRUCTURE[[#This Row],[D, top '[m']]], "")</f>
        <v>78.67</v>
      </c>
      <c r="L17" s="54">
        <f>IFERROR(-(WHOLE_STRUCTURE[[#This Row],[D, bottom '[m']]]-WHOLE_STRUCTURE[[#This Row],[D, top '[m']]])/(WHOLE_STRUCTURE[[#This Row],[Bottom '[m']]]-WHOLE_STRUCTURE[[#This Row],[Top '[m']]]),"")</f>
        <v>0.12571428571428608</v>
      </c>
      <c r="M17" s="52">
        <f>IFERROR((WHOLE_STRUCTURE[[#This Row],[D, bottom '[m']]]+WHOLE_STRUCTURE[[#This Row],[D, top '[m']]])/(2*WHOLE_STRUCTURE[[#This Row],[t '[mm']]]/1000),"")</f>
        <v>81.698113207547181</v>
      </c>
      <c r="O17" s="55" t="s">
        <v>79</v>
      </c>
      <c r="P17" s="55">
        <v>54.61</v>
      </c>
      <c r="Q17" s="55">
        <v>1</v>
      </c>
      <c r="R17" s="55" t="s">
        <v>111</v>
      </c>
      <c r="T17" s="58" t="s">
        <v>118</v>
      </c>
      <c r="U17" s="58">
        <v>5.8</v>
      </c>
      <c r="V17" s="58">
        <v>5.5</v>
      </c>
      <c r="W17" s="58">
        <v>8</v>
      </c>
      <c r="X17" s="59">
        <v>8</v>
      </c>
      <c r="Y17" s="60">
        <v>124</v>
      </c>
    </row>
    <row r="18" spans="2:25" x14ac:dyDescent="0.3">
      <c r="B18" s="51">
        <v>6</v>
      </c>
      <c r="C18" s="51" t="s">
        <v>79</v>
      </c>
      <c r="D18" s="51">
        <v>6</v>
      </c>
      <c r="E18" s="51">
        <v>87.11</v>
      </c>
      <c r="F18" s="51">
        <v>83.61</v>
      </c>
      <c r="G18" s="51">
        <v>8.8800000000000008</v>
      </c>
      <c r="H18" s="51">
        <v>9.31</v>
      </c>
      <c r="I18" s="51">
        <v>116</v>
      </c>
      <c r="J18" s="54">
        <f t="shared" si="0"/>
        <v>89.902865547432455</v>
      </c>
      <c r="K18" s="53">
        <f>IFERROR(WHOLE_STRUCTURE[[#This Row],[Bottom '[m']]]-WHOLE_STRUCTURE[[#This Row],[D, top '[m']]], "")</f>
        <v>74.73</v>
      </c>
      <c r="L18" s="54">
        <f>IFERROR(-(WHOLE_STRUCTURE[[#This Row],[D, bottom '[m']]]-WHOLE_STRUCTURE[[#This Row],[D, top '[m']]])/(WHOLE_STRUCTURE[[#This Row],[Bottom '[m']]]-WHOLE_STRUCTURE[[#This Row],[Top '[m']]]),"")</f>
        <v>0.12285714285714278</v>
      </c>
      <c r="M18" s="52">
        <f>IFERROR((WHOLE_STRUCTURE[[#This Row],[D, bottom '[m']]]+WHOLE_STRUCTURE[[#This Row],[D, top '[m']]])/(2*WHOLE_STRUCTURE[[#This Row],[t '[mm']]]/1000),"")</f>
        <v>78.40517241379311</v>
      </c>
      <c r="O18" s="55" t="s">
        <v>101</v>
      </c>
      <c r="P18" s="55">
        <v>17.47</v>
      </c>
      <c r="Q18" s="55">
        <v>30000</v>
      </c>
      <c r="R18" s="55" t="s">
        <v>112</v>
      </c>
      <c r="T18" s="102" t="s">
        <v>118</v>
      </c>
      <c r="U18" s="102">
        <v>5.5</v>
      </c>
      <c r="V18" s="102">
        <v>1.7999999999999998</v>
      </c>
      <c r="W18" s="102">
        <v>8</v>
      </c>
      <c r="X18" s="103">
        <v>8</v>
      </c>
      <c r="Y18" s="102">
        <v>110</v>
      </c>
    </row>
    <row r="19" spans="2:25" x14ac:dyDescent="0.3">
      <c r="B19" s="51">
        <v>7</v>
      </c>
      <c r="C19" s="51" t="s">
        <v>79</v>
      </c>
      <c r="D19" s="51">
        <v>7</v>
      </c>
      <c r="E19" s="51">
        <v>83.61</v>
      </c>
      <c r="F19" s="51">
        <v>80.11</v>
      </c>
      <c r="G19" s="51">
        <v>9.31</v>
      </c>
      <c r="H19" s="51">
        <v>9.75</v>
      </c>
      <c r="I19" s="51">
        <v>103</v>
      </c>
      <c r="J19" s="54">
        <f t="shared" si="0"/>
        <v>83.810475680910201</v>
      </c>
      <c r="K19" s="53">
        <f>IFERROR(WHOLE_STRUCTURE[[#This Row],[Bottom '[m']]]-WHOLE_STRUCTURE[[#This Row],[D, top '[m']]], "")</f>
        <v>70.8</v>
      </c>
      <c r="L19" s="54">
        <f>IFERROR(-(WHOLE_STRUCTURE[[#This Row],[D, bottom '[m']]]-WHOLE_STRUCTURE[[#This Row],[D, top '[m']]])/(WHOLE_STRUCTURE[[#This Row],[Bottom '[m']]]-WHOLE_STRUCTURE[[#This Row],[Top '[m']]]),"")</f>
        <v>0.12571428571428558</v>
      </c>
      <c r="M19" s="52">
        <f>IFERROR((WHOLE_STRUCTURE[[#This Row],[D, bottom '[m']]]+WHOLE_STRUCTURE[[#This Row],[D, top '[m']]])/(2*WHOLE_STRUCTURE[[#This Row],[t '[mm']]]/1000),"")</f>
        <v>92.524271844660205</v>
      </c>
      <c r="O19" s="55" t="s">
        <v>101</v>
      </c>
      <c r="P19" s="55">
        <v>16.7</v>
      </c>
      <c r="Q19" s="55">
        <v>20000</v>
      </c>
      <c r="R19" s="55" t="s">
        <v>113</v>
      </c>
    </row>
    <row r="20" spans="2:25" x14ac:dyDescent="0.3">
      <c r="B20" s="51">
        <v>8</v>
      </c>
      <c r="C20" s="51" t="s">
        <v>79</v>
      </c>
      <c r="D20" s="51">
        <v>8</v>
      </c>
      <c r="E20" s="51">
        <v>80.11</v>
      </c>
      <c r="F20" s="51">
        <v>76.61</v>
      </c>
      <c r="G20" s="51">
        <v>9.75</v>
      </c>
      <c r="H20" s="51">
        <v>10.19</v>
      </c>
      <c r="I20" s="51">
        <v>98</v>
      </c>
      <c r="J20" s="54">
        <f t="shared" si="0"/>
        <v>83.506214395905459</v>
      </c>
      <c r="K20" s="53">
        <f>IFERROR(WHOLE_STRUCTURE[[#This Row],[Bottom '[m']]]-WHOLE_STRUCTURE[[#This Row],[D, top '[m']]], "")</f>
        <v>66.86</v>
      </c>
      <c r="L20" s="54">
        <f>IFERROR(-(WHOLE_STRUCTURE[[#This Row],[D, bottom '[m']]]-WHOLE_STRUCTURE[[#This Row],[D, top '[m']]])/(WHOLE_STRUCTURE[[#This Row],[Bottom '[m']]]-WHOLE_STRUCTURE[[#This Row],[Top '[m']]]),"")</f>
        <v>0.12571428571428558</v>
      </c>
      <c r="M20" s="52">
        <f>IFERROR((WHOLE_STRUCTURE[[#This Row],[D, bottom '[m']]]+WHOLE_STRUCTURE[[#This Row],[D, top '[m']]])/(2*WHOLE_STRUCTURE[[#This Row],[t '[mm']]]/1000),"")</f>
        <v>101.73469387755101</v>
      </c>
      <c r="O20" s="55" t="s">
        <v>101</v>
      </c>
      <c r="P20" s="55">
        <v>16.100000000000001</v>
      </c>
      <c r="Q20" s="55">
        <v>5000</v>
      </c>
      <c r="R20" s="55" t="s">
        <v>104</v>
      </c>
    </row>
    <row r="21" spans="2:25" x14ac:dyDescent="0.3">
      <c r="B21" s="51">
        <v>9</v>
      </c>
      <c r="C21" s="51" t="s">
        <v>79</v>
      </c>
      <c r="D21" s="51">
        <v>9</v>
      </c>
      <c r="E21" s="51">
        <v>76.61</v>
      </c>
      <c r="F21" s="51">
        <v>73.11</v>
      </c>
      <c r="G21" s="51">
        <v>10.19</v>
      </c>
      <c r="H21" s="51">
        <v>10.63</v>
      </c>
      <c r="I21" s="51">
        <v>98</v>
      </c>
      <c r="J21" s="54">
        <f t="shared" si="0"/>
        <v>87.228128327651717</v>
      </c>
      <c r="K21" s="53">
        <f>IFERROR(WHOLE_STRUCTURE[[#This Row],[Bottom '[m']]]-WHOLE_STRUCTURE[[#This Row],[D, top '[m']]], "")</f>
        <v>62.92</v>
      </c>
      <c r="L21" s="54">
        <f>IFERROR(-(WHOLE_STRUCTURE[[#This Row],[D, bottom '[m']]]-WHOLE_STRUCTURE[[#This Row],[D, top '[m']]])/(WHOLE_STRUCTURE[[#This Row],[Bottom '[m']]]-WHOLE_STRUCTURE[[#This Row],[Top '[m']]]),"")</f>
        <v>0.12571428571428608</v>
      </c>
      <c r="M21" s="52">
        <f>IFERROR((WHOLE_STRUCTURE[[#This Row],[D, bottom '[m']]]+WHOLE_STRUCTURE[[#This Row],[D, top '[m']]])/(2*WHOLE_STRUCTURE[[#This Row],[t '[mm']]]/1000),"")</f>
        <v>106.22448979591836</v>
      </c>
      <c r="O21" s="55" t="s">
        <v>101</v>
      </c>
      <c r="P21" s="55">
        <v>10</v>
      </c>
      <c r="Q21" s="55">
        <v>5000</v>
      </c>
      <c r="R21" s="55" t="s">
        <v>114</v>
      </c>
    </row>
    <row r="22" spans="2:25" x14ac:dyDescent="0.3">
      <c r="B22" s="51">
        <v>10</v>
      </c>
      <c r="C22" s="51" t="s">
        <v>79</v>
      </c>
      <c r="D22" s="51">
        <v>10</v>
      </c>
      <c r="E22" s="51">
        <v>73.11</v>
      </c>
      <c r="F22" s="51">
        <v>69.61</v>
      </c>
      <c r="G22" s="51">
        <v>10.63</v>
      </c>
      <c r="H22" s="51">
        <v>11.06</v>
      </c>
      <c r="I22" s="51">
        <v>98</v>
      </c>
      <c r="J22" s="54">
        <f t="shared" si="0"/>
        <v>90.907747782900842</v>
      </c>
      <c r="K22" s="53">
        <f>IFERROR(WHOLE_STRUCTURE[[#This Row],[Bottom '[m']]]-WHOLE_STRUCTURE[[#This Row],[D, top '[m']]], "")</f>
        <v>58.98</v>
      </c>
      <c r="L22" s="54">
        <f>IFERROR(-(WHOLE_STRUCTURE[[#This Row],[D, bottom '[m']]]-WHOLE_STRUCTURE[[#This Row],[D, top '[m']]])/(WHOLE_STRUCTURE[[#This Row],[Bottom '[m']]]-WHOLE_STRUCTURE[[#This Row],[Top '[m']]]),"")</f>
        <v>0.12285714285714278</v>
      </c>
      <c r="M22" s="52">
        <f>IFERROR((WHOLE_STRUCTURE[[#This Row],[D, bottom '[m']]]+WHOLE_STRUCTURE[[#This Row],[D, top '[m']]])/(2*WHOLE_STRUCTURE[[#This Row],[t '[mm']]]/1000),"")</f>
        <v>110.66326530612245</v>
      </c>
      <c r="O22" s="55" t="s">
        <v>70</v>
      </c>
      <c r="P22" s="55">
        <v>5.6</v>
      </c>
      <c r="Q22" s="55">
        <v>70000</v>
      </c>
      <c r="R22" s="55" t="s">
        <v>107</v>
      </c>
    </row>
    <row r="23" spans="2:25" x14ac:dyDescent="0.3">
      <c r="B23" s="51">
        <v>11</v>
      </c>
      <c r="C23" s="51" t="s">
        <v>79</v>
      </c>
      <c r="D23" s="51">
        <v>11</v>
      </c>
      <c r="E23" s="51">
        <v>69.61</v>
      </c>
      <c r="F23" s="51">
        <v>66.11</v>
      </c>
      <c r="G23" s="51">
        <v>11.06</v>
      </c>
      <c r="H23" s="51">
        <v>11.5</v>
      </c>
      <c r="I23" s="51">
        <v>98</v>
      </c>
      <c r="J23" s="54">
        <f t="shared" si="0"/>
        <v>94.587367238149838</v>
      </c>
      <c r="K23" s="53">
        <f>IFERROR(WHOLE_STRUCTURE[[#This Row],[Bottom '[m']]]-WHOLE_STRUCTURE[[#This Row],[D, top '[m']]], "")</f>
        <v>55.05</v>
      </c>
      <c r="L23" s="54">
        <f>IFERROR(-(WHOLE_STRUCTURE[[#This Row],[D, bottom '[m']]]-WHOLE_STRUCTURE[[#This Row],[D, top '[m']]])/(WHOLE_STRUCTURE[[#This Row],[Bottom '[m']]]-WHOLE_STRUCTURE[[#This Row],[Top '[m']]]),"")</f>
        <v>0.12571428571428558</v>
      </c>
      <c r="M23" s="52">
        <f>IFERROR((WHOLE_STRUCTURE[[#This Row],[D, bottom '[m']]]+WHOLE_STRUCTURE[[#This Row],[D, top '[m']]])/(2*WHOLE_STRUCTURE[[#This Row],[t '[mm']]]/1000),"")</f>
        <v>115.10204081632654</v>
      </c>
      <c r="O23" s="55" t="s">
        <v>70</v>
      </c>
      <c r="P23" s="55">
        <v>4.2</v>
      </c>
      <c r="Q23" s="55">
        <v>9000</v>
      </c>
      <c r="R23" s="55" t="s">
        <v>108</v>
      </c>
    </row>
    <row r="24" spans="2:25" x14ac:dyDescent="0.3">
      <c r="B24" s="51">
        <v>12</v>
      </c>
      <c r="C24" s="51" t="s">
        <v>79</v>
      </c>
      <c r="D24" s="51">
        <v>12</v>
      </c>
      <c r="E24" s="51">
        <v>66.11</v>
      </c>
      <c r="F24" s="51">
        <v>62.61</v>
      </c>
      <c r="G24" s="51">
        <v>11.5</v>
      </c>
      <c r="H24" s="51">
        <v>11.5</v>
      </c>
      <c r="I24" s="51">
        <v>98</v>
      </c>
      <c r="J24" s="54">
        <f t="shared" si="0"/>
        <v>96.448324204023237</v>
      </c>
      <c r="K24" s="53">
        <f>IFERROR(WHOLE_STRUCTURE[[#This Row],[Bottom '[m']]]-WHOLE_STRUCTURE[[#This Row],[D, top '[m']]], "")</f>
        <v>51.11</v>
      </c>
      <c r="L24" s="54">
        <f>IFERROR(-(WHOLE_STRUCTURE[[#This Row],[D, bottom '[m']]]-WHOLE_STRUCTURE[[#This Row],[D, top '[m']]])/(WHOLE_STRUCTURE[[#This Row],[Bottom '[m']]]-WHOLE_STRUCTURE[[#This Row],[Top '[m']]]),"")</f>
        <v>0</v>
      </c>
      <c r="M24" s="52">
        <f>IFERROR((WHOLE_STRUCTURE[[#This Row],[D, bottom '[m']]]+WHOLE_STRUCTURE[[#This Row],[D, top '[m']]])/(2*WHOLE_STRUCTURE[[#This Row],[t '[mm']]]/1000),"")</f>
        <v>117.3469387755102</v>
      </c>
      <c r="O24" s="55" t="s">
        <v>101</v>
      </c>
      <c r="P24" s="55">
        <v>2.0999999999999996</v>
      </c>
      <c r="Q24" s="55">
        <v>200</v>
      </c>
      <c r="R24" s="55" t="s">
        <v>115</v>
      </c>
    </row>
    <row r="25" spans="2:25" x14ac:dyDescent="0.3">
      <c r="B25" s="51">
        <v>13</v>
      </c>
      <c r="C25" s="51" t="s">
        <v>79</v>
      </c>
      <c r="D25" s="51">
        <v>13</v>
      </c>
      <c r="E25" s="51">
        <v>62.61</v>
      </c>
      <c r="F25" s="51">
        <v>59.309999999999995</v>
      </c>
      <c r="G25" s="51">
        <v>11.5</v>
      </c>
      <c r="H25" s="51">
        <v>11.5</v>
      </c>
      <c r="I25" s="51">
        <v>100</v>
      </c>
      <c r="J25" s="54">
        <f t="shared" si="0"/>
        <v>92.776571768017746</v>
      </c>
      <c r="K25" s="53">
        <f>IFERROR(WHOLE_STRUCTURE[[#This Row],[Bottom '[m']]]-WHOLE_STRUCTURE[[#This Row],[D, top '[m']]], "")</f>
        <v>47.809999999999995</v>
      </c>
      <c r="L25" s="54">
        <f>IFERROR(-(WHOLE_STRUCTURE[[#This Row],[D, bottom '[m']]]-WHOLE_STRUCTURE[[#This Row],[D, top '[m']]])/(WHOLE_STRUCTURE[[#This Row],[Bottom '[m']]]-WHOLE_STRUCTURE[[#This Row],[Top '[m']]]),"")</f>
        <v>0</v>
      </c>
      <c r="M25" s="52">
        <f>IFERROR((WHOLE_STRUCTURE[[#This Row],[D, bottom '[m']]]+WHOLE_STRUCTURE[[#This Row],[D, top '[m']]])/(2*WHOLE_STRUCTURE[[#This Row],[t '[mm']]]/1000),"")</f>
        <v>115</v>
      </c>
      <c r="O25" s="55" t="s">
        <v>70</v>
      </c>
      <c r="P25" s="55">
        <v>0.3</v>
      </c>
      <c r="Q25" s="55">
        <v>100000</v>
      </c>
      <c r="R25" s="55" t="s">
        <v>109</v>
      </c>
    </row>
    <row r="26" spans="2:25" x14ac:dyDescent="0.3">
      <c r="B26" s="51">
        <v>14</v>
      </c>
      <c r="C26" s="51" t="s">
        <v>79</v>
      </c>
      <c r="D26" s="51">
        <v>14</v>
      </c>
      <c r="E26" s="51">
        <v>59.309999999999995</v>
      </c>
      <c r="F26" s="51">
        <v>56.01</v>
      </c>
      <c r="G26" s="51">
        <v>11.5</v>
      </c>
      <c r="H26" s="51">
        <v>11.5</v>
      </c>
      <c r="I26" s="51">
        <v>98</v>
      </c>
      <c r="J26" s="54">
        <f t="shared" si="0"/>
        <v>90.936991392364675</v>
      </c>
      <c r="K26" s="53">
        <f>IFERROR(WHOLE_STRUCTURE[[#This Row],[Bottom '[m']]]-WHOLE_STRUCTURE[[#This Row],[D, top '[m']]], "")</f>
        <v>44.51</v>
      </c>
      <c r="L26" s="54">
        <f>IFERROR(-(WHOLE_STRUCTURE[[#This Row],[D, bottom '[m']]]-WHOLE_STRUCTURE[[#This Row],[D, top '[m']]])/(WHOLE_STRUCTURE[[#This Row],[Bottom '[m']]]-WHOLE_STRUCTURE[[#This Row],[Top '[m']]]),"")</f>
        <v>0</v>
      </c>
      <c r="M26" s="52">
        <f>IFERROR((WHOLE_STRUCTURE[[#This Row],[D, bottom '[m']]]+WHOLE_STRUCTURE[[#This Row],[D, top '[m']]])/(2*WHOLE_STRUCTURE[[#This Row],[t '[mm']]]/1000),"")</f>
        <v>117.3469387755102</v>
      </c>
      <c r="O26" s="55" t="s">
        <v>70</v>
      </c>
      <c r="P26" s="55">
        <v>-5</v>
      </c>
      <c r="Q26" s="55">
        <v>1</v>
      </c>
      <c r="R26" s="55" t="s">
        <v>110</v>
      </c>
    </row>
    <row r="27" spans="2:25" x14ac:dyDescent="0.3">
      <c r="B27" s="51">
        <v>15</v>
      </c>
      <c r="C27" s="51" t="s">
        <v>79</v>
      </c>
      <c r="D27" s="51">
        <v>15</v>
      </c>
      <c r="E27" s="51">
        <v>56.01</v>
      </c>
      <c r="F27" s="51">
        <v>52.709999999999994</v>
      </c>
      <c r="G27" s="51">
        <v>11.5</v>
      </c>
      <c r="H27" s="51">
        <v>11.5</v>
      </c>
      <c r="I27" s="51">
        <v>95</v>
      </c>
      <c r="J27" s="54">
        <f t="shared" si="0"/>
        <v>88.17640008451977</v>
      </c>
      <c r="K27" s="53">
        <f>IFERROR(WHOLE_STRUCTURE[[#This Row],[Bottom '[m']]]-WHOLE_STRUCTURE[[#This Row],[D, top '[m']]], "")</f>
        <v>41.209999999999994</v>
      </c>
      <c r="L27" s="54">
        <f>IFERROR(-(WHOLE_STRUCTURE[[#This Row],[D, bottom '[m']]]-WHOLE_STRUCTURE[[#This Row],[D, top '[m']]])/(WHOLE_STRUCTURE[[#This Row],[Bottom '[m']]]-WHOLE_STRUCTURE[[#This Row],[Top '[m']]]),"")</f>
        <v>0</v>
      </c>
      <c r="M27" s="52">
        <f>IFERROR((WHOLE_STRUCTURE[[#This Row],[D, bottom '[m']]]+WHOLE_STRUCTURE[[#This Row],[D, top '[m']]])/(2*WHOLE_STRUCTURE[[#This Row],[t '[mm']]]/1000),"")</f>
        <v>121.05263157894737</v>
      </c>
      <c r="O27" s="55" t="s">
        <v>70</v>
      </c>
      <c r="P27" s="55">
        <v>-43.3</v>
      </c>
      <c r="Q27" s="55">
        <v>1</v>
      </c>
      <c r="R27" s="55" t="s">
        <v>111</v>
      </c>
    </row>
    <row r="28" spans="2:25" x14ac:dyDescent="0.3">
      <c r="B28" s="51">
        <v>16</v>
      </c>
      <c r="C28" s="51" t="s">
        <v>79</v>
      </c>
      <c r="D28" s="51">
        <v>16</v>
      </c>
      <c r="E28" s="51">
        <v>52.709999999999994</v>
      </c>
      <c r="F28" s="51">
        <v>49.41</v>
      </c>
      <c r="G28" s="51">
        <v>11.5</v>
      </c>
      <c r="H28" s="51">
        <v>11.5</v>
      </c>
      <c r="I28" s="51">
        <v>95</v>
      </c>
      <c r="J28" s="54">
        <f t="shared" si="0"/>
        <v>88.176400084519571</v>
      </c>
      <c r="K28" s="53">
        <f>IFERROR(WHOLE_STRUCTURE[[#This Row],[Bottom '[m']]]-WHOLE_STRUCTURE[[#This Row],[D, top '[m']]], "")</f>
        <v>37.909999999999997</v>
      </c>
      <c r="L28" s="54">
        <f>IFERROR(-(WHOLE_STRUCTURE[[#This Row],[D, bottom '[m']]]-WHOLE_STRUCTURE[[#This Row],[D, top '[m']]])/(WHOLE_STRUCTURE[[#This Row],[Bottom '[m']]]-WHOLE_STRUCTURE[[#This Row],[Top '[m']]]),"")</f>
        <v>0</v>
      </c>
      <c r="M28" s="52">
        <f>IFERROR((WHOLE_STRUCTURE[[#This Row],[D, bottom '[m']]]+WHOLE_STRUCTURE[[#This Row],[D, top '[m']]])/(2*WHOLE_STRUCTURE[[#This Row],[t '[mm']]]/1000),"")</f>
        <v>121.05263157894737</v>
      </c>
    </row>
    <row r="29" spans="2:25" x14ac:dyDescent="0.3">
      <c r="B29" s="51">
        <v>17</v>
      </c>
      <c r="C29" s="51" t="s">
        <v>79</v>
      </c>
      <c r="D29" s="51">
        <v>17</v>
      </c>
      <c r="E29" s="51">
        <v>49.41</v>
      </c>
      <c r="F29" s="51">
        <v>46.209999999999994</v>
      </c>
      <c r="G29" s="51">
        <v>11.5</v>
      </c>
      <c r="H29" s="51">
        <v>11.5</v>
      </c>
      <c r="I29" s="51">
        <v>95</v>
      </c>
      <c r="J29" s="54">
        <f t="shared" si="0"/>
        <v>85.504387960746399</v>
      </c>
      <c r="K29" s="53">
        <f>IFERROR(WHOLE_STRUCTURE[[#This Row],[Bottom '[m']]]-WHOLE_STRUCTURE[[#This Row],[D, top '[m']]], "")</f>
        <v>34.709999999999994</v>
      </c>
      <c r="L29" s="54">
        <f>IFERROR(-(WHOLE_STRUCTURE[[#This Row],[D, bottom '[m']]]-WHOLE_STRUCTURE[[#This Row],[D, top '[m']]])/(WHOLE_STRUCTURE[[#This Row],[Bottom '[m']]]-WHOLE_STRUCTURE[[#This Row],[Top '[m']]]),"")</f>
        <v>0</v>
      </c>
      <c r="M29" s="52">
        <f>IFERROR((WHOLE_STRUCTURE[[#This Row],[D, bottom '[m']]]+WHOLE_STRUCTURE[[#This Row],[D, top '[m']]])/(2*WHOLE_STRUCTURE[[#This Row],[t '[mm']]]/1000),"")</f>
        <v>121.05263157894737</v>
      </c>
    </row>
    <row r="30" spans="2:25" x14ac:dyDescent="0.3">
      <c r="B30" s="51">
        <v>18</v>
      </c>
      <c r="C30" s="51" t="s">
        <v>79</v>
      </c>
      <c r="D30" s="51">
        <v>18</v>
      </c>
      <c r="E30" s="51">
        <v>46.209999999999994</v>
      </c>
      <c r="F30" s="51">
        <v>42.61</v>
      </c>
      <c r="G30" s="51">
        <v>11.5</v>
      </c>
      <c r="H30" s="51">
        <v>11.5</v>
      </c>
      <c r="I30" s="51">
        <v>93</v>
      </c>
      <c r="J30" s="54">
        <f t="shared" si="0"/>
        <v>94.183845872414466</v>
      </c>
      <c r="K30" s="53">
        <f>IFERROR(WHOLE_STRUCTURE[[#This Row],[Bottom '[m']]]-WHOLE_STRUCTURE[[#This Row],[D, top '[m']]], "")</f>
        <v>31.11</v>
      </c>
      <c r="L30" s="54">
        <f>IFERROR(-(WHOLE_STRUCTURE[[#This Row],[D, bottom '[m']]]-WHOLE_STRUCTURE[[#This Row],[D, top '[m']]])/(WHOLE_STRUCTURE[[#This Row],[Bottom '[m']]]-WHOLE_STRUCTURE[[#This Row],[Top '[m']]]),"")</f>
        <v>0</v>
      </c>
      <c r="M30" s="52">
        <f>IFERROR((WHOLE_STRUCTURE[[#This Row],[D, bottom '[m']]]+WHOLE_STRUCTURE[[#This Row],[D, top '[m']]])/(2*WHOLE_STRUCTURE[[#This Row],[t '[mm']]]/1000),"")</f>
        <v>123.65591397849462</v>
      </c>
    </row>
    <row r="31" spans="2:25" x14ac:dyDescent="0.3">
      <c r="B31" s="51">
        <v>19</v>
      </c>
      <c r="C31" s="51" t="s">
        <v>79</v>
      </c>
      <c r="D31" s="51">
        <v>19</v>
      </c>
      <c r="E31" s="51">
        <v>42.61</v>
      </c>
      <c r="F31" s="51">
        <v>38.61</v>
      </c>
      <c r="G31" s="51">
        <v>11.5</v>
      </c>
      <c r="H31" s="51">
        <v>11.5</v>
      </c>
      <c r="I31" s="51">
        <v>93</v>
      </c>
      <c r="J31" s="54">
        <f t="shared" si="0"/>
        <v>104.64871763601624</v>
      </c>
      <c r="K31" s="53">
        <f>IFERROR(WHOLE_STRUCTURE[[#This Row],[Bottom '[m']]]-WHOLE_STRUCTURE[[#This Row],[D, top '[m']]], "")</f>
        <v>27.11</v>
      </c>
      <c r="L31" s="54">
        <f>IFERROR(-(WHOLE_STRUCTURE[[#This Row],[D, bottom '[m']]]-WHOLE_STRUCTURE[[#This Row],[D, top '[m']]])/(WHOLE_STRUCTURE[[#This Row],[Bottom '[m']]]-WHOLE_STRUCTURE[[#This Row],[Top '[m']]]),"")</f>
        <v>0</v>
      </c>
      <c r="M31" s="52">
        <f>IFERROR((WHOLE_STRUCTURE[[#This Row],[D, bottom '[m']]]+WHOLE_STRUCTURE[[#This Row],[D, top '[m']]])/(2*WHOLE_STRUCTURE[[#This Row],[t '[mm']]]/1000),"")</f>
        <v>123.65591397849462</v>
      </c>
    </row>
    <row r="32" spans="2:25" x14ac:dyDescent="0.3">
      <c r="B32" s="51">
        <v>20</v>
      </c>
      <c r="C32" s="51" t="s">
        <v>79</v>
      </c>
      <c r="D32" s="51">
        <v>20</v>
      </c>
      <c r="E32" s="51">
        <v>38.61</v>
      </c>
      <c r="F32" s="51">
        <v>34.61</v>
      </c>
      <c r="G32" s="51">
        <v>11.5</v>
      </c>
      <c r="H32" s="51">
        <v>11.5</v>
      </c>
      <c r="I32" s="51">
        <v>93</v>
      </c>
      <c r="J32" s="54">
        <f t="shared" si="0"/>
        <v>104.64871763601624</v>
      </c>
      <c r="K32" s="53">
        <f>IFERROR(WHOLE_STRUCTURE[[#This Row],[Bottom '[m']]]-WHOLE_STRUCTURE[[#This Row],[D, top '[m']]], "")</f>
        <v>23.11</v>
      </c>
      <c r="L32" s="54">
        <f>IFERROR(-(WHOLE_STRUCTURE[[#This Row],[D, bottom '[m']]]-WHOLE_STRUCTURE[[#This Row],[D, top '[m']]])/(WHOLE_STRUCTURE[[#This Row],[Bottom '[m']]]-WHOLE_STRUCTURE[[#This Row],[Top '[m']]]),"")</f>
        <v>0</v>
      </c>
      <c r="M32" s="52">
        <f>IFERROR((WHOLE_STRUCTURE[[#This Row],[D, bottom '[m']]]+WHOLE_STRUCTURE[[#This Row],[D, top '[m']]])/(2*WHOLE_STRUCTURE[[#This Row],[t '[mm']]]/1000),"")</f>
        <v>123.65591397849462</v>
      </c>
    </row>
    <row r="33" spans="2:13" x14ac:dyDescent="0.3">
      <c r="B33" s="51">
        <v>21</v>
      </c>
      <c r="C33" s="51" t="s">
        <v>79</v>
      </c>
      <c r="D33" s="51">
        <v>21</v>
      </c>
      <c r="E33" s="51">
        <v>34.61</v>
      </c>
      <c r="F33" s="51">
        <v>30.61</v>
      </c>
      <c r="G33" s="51">
        <v>11.5</v>
      </c>
      <c r="H33" s="51">
        <v>11.5</v>
      </c>
      <c r="I33" s="51">
        <v>93</v>
      </c>
      <c r="J33" s="54">
        <f t="shared" si="0"/>
        <v>104.64871763601624</v>
      </c>
      <c r="K33" s="53">
        <f>IFERROR(WHOLE_STRUCTURE[[#This Row],[Bottom '[m']]]-WHOLE_STRUCTURE[[#This Row],[D, top '[m']]], "")</f>
        <v>19.11</v>
      </c>
      <c r="L33" s="54">
        <f>IFERROR(-(WHOLE_STRUCTURE[[#This Row],[D, bottom '[m']]]-WHOLE_STRUCTURE[[#This Row],[D, top '[m']]])/(WHOLE_STRUCTURE[[#This Row],[Bottom '[m']]]-WHOLE_STRUCTURE[[#This Row],[Top '[m']]]),"")</f>
        <v>0</v>
      </c>
      <c r="M33" s="52">
        <f>IFERROR((WHOLE_STRUCTURE[[#This Row],[D, bottom '[m']]]+WHOLE_STRUCTURE[[#This Row],[D, top '[m']]])/(2*WHOLE_STRUCTURE[[#This Row],[t '[mm']]]/1000),"")</f>
        <v>123.65591397849462</v>
      </c>
    </row>
    <row r="34" spans="2:13" x14ac:dyDescent="0.3">
      <c r="B34" s="51">
        <v>22</v>
      </c>
      <c r="C34" s="51" t="s">
        <v>79</v>
      </c>
      <c r="D34" s="51">
        <v>22</v>
      </c>
      <c r="E34" s="51">
        <v>30.61</v>
      </c>
      <c r="F34" s="51">
        <v>26.909999999999997</v>
      </c>
      <c r="G34" s="51">
        <v>11.5</v>
      </c>
      <c r="H34" s="51">
        <v>11.5</v>
      </c>
      <c r="I34" s="51">
        <v>96</v>
      </c>
      <c r="J34" s="54">
        <f t="shared" si="0"/>
        <v>99.896367220087171</v>
      </c>
      <c r="K34" s="53">
        <f>IFERROR(WHOLE_STRUCTURE[[#This Row],[Bottom '[m']]]-WHOLE_STRUCTURE[[#This Row],[D, top '[m']]], "")</f>
        <v>15.409999999999997</v>
      </c>
      <c r="L34" s="54">
        <f>IFERROR(-(WHOLE_STRUCTURE[[#This Row],[D, bottom '[m']]]-WHOLE_STRUCTURE[[#This Row],[D, top '[m']]])/(WHOLE_STRUCTURE[[#This Row],[Bottom '[m']]]-WHOLE_STRUCTURE[[#This Row],[Top '[m']]]),"")</f>
        <v>0</v>
      </c>
      <c r="M34" s="52">
        <f>IFERROR((WHOLE_STRUCTURE[[#This Row],[D, bottom '[m']]]+WHOLE_STRUCTURE[[#This Row],[D, top '[m']]])/(2*WHOLE_STRUCTURE[[#This Row],[t '[mm']]]/1000),"")</f>
        <v>119.79166666666666</v>
      </c>
    </row>
    <row r="35" spans="2:13" x14ac:dyDescent="0.3">
      <c r="B35" s="51">
        <v>23</v>
      </c>
      <c r="C35" s="51" t="s">
        <v>79</v>
      </c>
      <c r="D35" s="51">
        <v>23</v>
      </c>
      <c r="E35" s="51">
        <v>26.909999999999997</v>
      </c>
      <c r="F35" s="51">
        <v>23.61</v>
      </c>
      <c r="G35" s="51">
        <v>11.5</v>
      </c>
      <c r="H35" s="51">
        <v>11.5</v>
      </c>
      <c r="I35" s="51">
        <v>96</v>
      </c>
      <c r="J35" s="54">
        <f t="shared" si="0"/>
        <v>89.096759953050565</v>
      </c>
      <c r="K35" s="53">
        <f>IFERROR(WHOLE_STRUCTURE[[#This Row],[Bottom '[m']]]-WHOLE_STRUCTURE[[#This Row],[D, top '[m']]], "")</f>
        <v>12.11</v>
      </c>
      <c r="L35" s="54">
        <f>IFERROR(-(WHOLE_STRUCTURE[[#This Row],[D, bottom '[m']]]-WHOLE_STRUCTURE[[#This Row],[D, top '[m']]])/(WHOLE_STRUCTURE[[#This Row],[Bottom '[m']]]-WHOLE_STRUCTURE[[#This Row],[Top '[m']]]),"")</f>
        <v>0</v>
      </c>
      <c r="M35" s="52">
        <f>IFERROR((WHOLE_STRUCTURE[[#This Row],[D, bottom '[m']]]+WHOLE_STRUCTURE[[#This Row],[D, top '[m']]])/(2*WHOLE_STRUCTURE[[#This Row],[t '[mm']]]/1000),"")</f>
        <v>119.79166666666666</v>
      </c>
    </row>
    <row r="36" spans="2:13" x14ac:dyDescent="0.3">
      <c r="B36" s="51">
        <v>24</v>
      </c>
      <c r="C36" s="51" t="s">
        <v>79</v>
      </c>
      <c r="D36" s="51">
        <v>24</v>
      </c>
      <c r="E36" s="51">
        <v>23.61</v>
      </c>
      <c r="F36" s="51">
        <v>20.47</v>
      </c>
      <c r="G36" s="51">
        <v>11.5</v>
      </c>
      <c r="H36" s="51">
        <v>11.5</v>
      </c>
      <c r="I36" s="51">
        <v>100</v>
      </c>
      <c r="J36" s="54">
        <f t="shared" si="0"/>
        <v>88.278313742901631</v>
      </c>
      <c r="K36" s="53">
        <f>IFERROR(WHOLE_STRUCTURE[[#This Row],[Bottom '[m']]]-WHOLE_STRUCTURE[[#This Row],[D, top '[m']]], "")</f>
        <v>8.9699999999999989</v>
      </c>
      <c r="L36" s="54">
        <f>IFERROR(-(WHOLE_STRUCTURE[[#This Row],[D, bottom '[m']]]-WHOLE_STRUCTURE[[#This Row],[D, top '[m']]])/(WHOLE_STRUCTURE[[#This Row],[Bottom '[m']]]-WHOLE_STRUCTURE[[#This Row],[Top '[m']]]),"")</f>
        <v>0</v>
      </c>
      <c r="M36" s="52">
        <f>IFERROR((WHOLE_STRUCTURE[[#This Row],[D, bottom '[m']]]+WHOLE_STRUCTURE[[#This Row],[D, top '[m']]])/(2*WHOLE_STRUCTURE[[#This Row],[t '[mm']]]/1000),"")</f>
        <v>115</v>
      </c>
    </row>
    <row r="37" spans="2:13" x14ac:dyDescent="0.3">
      <c r="B37" s="51">
        <v>25</v>
      </c>
      <c r="C37" s="51" t="s">
        <v>79</v>
      </c>
      <c r="D37" s="51">
        <v>25</v>
      </c>
      <c r="E37" s="51">
        <v>20.47</v>
      </c>
      <c r="F37" s="51">
        <v>17.47</v>
      </c>
      <c r="G37" s="51">
        <v>11.5</v>
      </c>
      <c r="H37" s="51">
        <v>11.5</v>
      </c>
      <c r="I37" s="51">
        <v>105</v>
      </c>
      <c r="J37" s="54">
        <f t="shared" si="0"/>
        <v>88.520613003301008</v>
      </c>
      <c r="K37" s="53">
        <f>IFERROR(WHOLE_STRUCTURE[[#This Row],[Bottom '[m']]]-WHOLE_STRUCTURE[[#This Row],[D, top '[m']]], "")</f>
        <v>5.9699999999999989</v>
      </c>
      <c r="L37" s="54">
        <f>IFERROR(-(WHOLE_STRUCTURE[[#This Row],[D, bottom '[m']]]-WHOLE_STRUCTURE[[#This Row],[D, top '[m']]])/(WHOLE_STRUCTURE[[#This Row],[Bottom '[m']]]-WHOLE_STRUCTURE[[#This Row],[Top '[m']]]),"")</f>
        <v>0</v>
      </c>
      <c r="M37" s="52">
        <f>IFERROR((WHOLE_STRUCTURE[[#This Row],[D, bottom '[m']]]+WHOLE_STRUCTURE[[#This Row],[D, top '[m']]])/(2*WHOLE_STRUCTURE[[#This Row],[t '[mm']]]/1000),"")</f>
        <v>109.52380952380953</v>
      </c>
    </row>
    <row r="38" spans="2:13" x14ac:dyDescent="0.3">
      <c r="B38" s="51">
        <v>26</v>
      </c>
      <c r="C38" s="51" t="s">
        <v>101</v>
      </c>
      <c r="D38" s="51">
        <v>1</v>
      </c>
      <c r="E38" s="51">
        <v>17.47</v>
      </c>
      <c r="F38" s="51">
        <v>13.5</v>
      </c>
      <c r="G38" s="51">
        <v>8</v>
      </c>
      <c r="H38" s="51">
        <v>8</v>
      </c>
      <c r="I38" s="51">
        <v>102</v>
      </c>
      <c r="J38" s="54">
        <f t="shared" si="0"/>
        <v>78.87281429739798</v>
      </c>
      <c r="K38" s="53">
        <f>IFERROR(WHOLE_STRUCTURE[[#This Row],[Bottom '[m']]]-WHOLE_STRUCTURE[[#This Row],[D, top '[m']]], "")</f>
        <v>5.5</v>
      </c>
      <c r="L38" s="54">
        <f>IFERROR(-(WHOLE_STRUCTURE[[#This Row],[D, bottom '[m']]]-WHOLE_STRUCTURE[[#This Row],[D, top '[m']]])/(WHOLE_STRUCTURE[[#This Row],[Bottom '[m']]]-WHOLE_STRUCTURE[[#This Row],[Top '[m']]]),"")</f>
        <v>0</v>
      </c>
      <c r="M38" s="52">
        <f>IFERROR((WHOLE_STRUCTURE[[#This Row],[D, bottom '[m']]]+WHOLE_STRUCTURE[[#This Row],[D, top '[m']]])/(2*WHOLE_STRUCTURE[[#This Row],[t '[mm']]]/1000),"")</f>
        <v>78.431372549019613</v>
      </c>
    </row>
    <row r="39" spans="2:13" x14ac:dyDescent="0.3">
      <c r="B39" s="51">
        <v>27</v>
      </c>
      <c r="C39" s="51" t="s">
        <v>101</v>
      </c>
      <c r="D39" s="51">
        <v>2</v>
      </c>
      <c r="E39" s="51">
        <v>13.5</v>
      </c>
      <c r="F39" s="51">
        <v>9.5</v>
      </c>
      <c r="G39" s="51">
        <v>8</v>
      </c>
      <c r="H39" s="51">
        <v>8</v>
      </c>
      <c r="I39" s="51">
        <v>102</v>
      </c>
      <c r="J39" s="54">
        <f t="shared" si="0"/>
        <v>79.468830526345599</v>
      </c>
      <c r="K39" s="53">
        <f>IFERROR(WHOLE_STRUCTURE[[#This Row],[Bottom '[m']]]-WHOLE_STRUCTURE[[#This Row],[D, top '[m']]], "")</f>
        <v>1.5</v>
      </c>
      <c r="L39" s="54">
        <f>IFERROR(-(WHOLE_STRUCTURE[[#This Row],[D, bottom '[m']]]-WHOLE_STRUCTURE[[#This Row],[D, top '[m']]])/(WHOLE_STRUCTURE[[#This Row],[Bottom '[m']]]-WHOLE_STRUCTURE[[#This Row],[Top '[m']]]),"")</f>
        <v>0</v>
      </c>
      <c r="M39" s="52">
        <f>IFERROR((WHOLE_STRUCTURE[[#This Row],[D, bottom '[m']]]+WHOLE_STRUCTURE[[#This Row],[D, top '[m']]])/(2*WHOLE_STRUCTURE[[#This Row],[t '[mm']]]/1000),"")</f>
        <v>78.431372549019613</v>
      </c>
    </row>
    <row r="40" spans="2:13" x14ac:dyDescent="0.3">
      <c r="B40" s="51">
        <v>28</v>
      </c>
      <c r="C40" s="51" t="s">
        <v>101</v>
      </c>
      <c r="D40" s="51">
        <v>3</v>
      </c>
      <c r="E40" s="51">
        <v>9.5</v>
      </c>
      <c r="F40" s="51">
        <v>5.8</v>
      </c>
      <c r="G40" s="51">
        <v>8</v>
      </c>
      <c r="H40" s="51">
        <v>8</v>
      </c>
      <c r="I40" s="51">
        <v>124</v>
      </c>
      <c r="J40" s="54">
        <f>IF(7850/1000*(1/3)*PI()*ABS(E40-F40)*((G40/2)^2+(G40/2)*(H40/2)+(H40/2)^2-(G40/2-I40/1000)^2-(G40/2-I40/1000)*(H40/2-I40/1000)-(H40/2-I40/1000)^2)=0,"",7850/1000*(1/3)*PI()*ABS(E40-F40)*((G40/2)^2+(G40/2)*(H40/2)+(H40/2)^2-(G40/2-I40/1000)^2-(G40/2-I40/1000)*(H40/2-I40/1000)-(H40/2-I40/1000)^2))</f>
        <v>89.114555693132331</v>
      </c>
      <c r="K40" s="53">
        <f>IFERROR(WHOLE_STRUCTURE[[#This Row],[Bottom '[m']]]-WHOLE_STRUCTURE[[#This Row],[D, top '[m']]], "")</f>
        <v>-2.2000000000000002</v>
      </c>
      <c r="L40" s="54">
        <f>IFERROR(-(WHOLE_STRUCTURE[[#This Row],[D, bottom '[m']]]-WHOLE_STRUCTURE[[#This Row],[D, top '[m']]])/(WHOLE_STRUCTURE[[#This Row],[Bottom '[m']]]-WHOLE_STRUCTURE[[#This Row],[Top '[m']]]),"")</f>
        <v>0</v>
      </c>
      <c r="M40" s="52">
        <f>IFERROR((WHOLE_STRUCTURE[[#This Row],[D, bottom '[m']]]+WHOLE_STRUCTURE[[#This Row],[D, top '[m']]])/(2*WHOLE_STRUCTURE[[#This Row],[t '[mm']]]/1000),"")</f>
        <v>64.516129032258064</v>
      </c>
    </row>
    <row r="41" spans="2:13" x14ac:dyDescent="0.3">
      <c r="B41" s="51">
        <v>29</v>
      </c>
      <c r="C41" s="51" t="s">
        <v>70</v>
      </c>
      <c r="D41" s="51">
        <v>1</v>
      </c>
      <c r="E41" s="51">
        <v>5.8</v>
      </c>
      <c r="F41" s="51">
        <v>2.6</v>
      </c>
      <c r="G41" s="51">
        <v>8</v>
      </c>
      <c r="H41" s="51">
        <v>8</v>
      </c>
      <c r="I41" s="51">
        <v>115</v>
      </c>
      <c r="J41" s="54">
        <f>IF(7850/1000*(1/3)*PI()*ABS(E41-F41)*((G41/2)^2+(G41/2)*(H41/2)+(H41/2)^2-(G41/2-I41/1000)^2-(G41/2-I41/1000)*(H41/2-I41/1000)-(H41/2-I41/1000)^2)=0,"",7850/1000*(1/3)*PI()*ABS(E41-F41)*((G41/2)^2+(G41/2)*(H41/2)+(H41/2)^2-(G41/2-I41/1000)^2-(G41/2-I41/1000)*(H41/2-I41/1000)-(H41/2-I41/1000)^2))</f>
        <v>71.55978808288738</v>
      </c>
      <c r="K41" s="53">
        <f>IFERROR(WHOLE_STRUCTURE[[#This Row],[Bottom '[m']]]-WHOLE_STRUCTURE[[#This Row],[D, top '[m']]], "")</f>
        <v>-5.4</v>
      </c>
      <c r="L41" s="54">
        <f>IFERROR(-(WHOLE_STRUCTURE[[#This Row],[D, bottom '[m']]]-WHOLE_STRUCTURE[[#This Row],[D, top '[m']]])/(WHOLE_STRUCTURE[[#This Row],[Bottom '[m']]]-WHOLE_STRUCTURE[[#This Row],[Top '[m']]]),"")</f>
        <v>0</v>
      </c>
      <c r="M41" s="52">
        <f>IFERROR((WHOLE_STRUCTURE[[#This Row],[D, bottom '[m']]]+WHOLE_STRUCTURE[[#This Row],[D, top '[m']]])/(2*WHOLE_STRUCTURE[[#This Row],[t '[mm']]]/1000),"")</f>
        <v>69.565217391304344</v>
      </c>
    </row>
    <row r="42" spans="2:13" x14ac:dyDescent="0.3">
      <c r="B42" s="51">
        <v>30</v>
      </c>
      <c r="C42" s="51" t="s">
        <v>70</v>
      </c>
      <c r="D42" s="51">
        <v>2</v>
      </c>
      <c r="E42" s="51">
        <v>2.6</v>
      </c>
      <c r="F42" s="51">
        <v>-0.6</v>
      </c>
      <c r="G42" s="51">
        <v>8</v>
      </c>
      <c r="H42" s="51">
        <v>8</v>
      </c>
      <c r="I42" s="51">
        <v>115</v>
      </c>
      <c r="J42" s="54">
        <f>IF(7850/1000*(1/3)*PI()*ABS(E42-F42)*((G42/2)^2+(G42/2)*(H42/2)+(H42/2)^2-(G42/2-I42/1000)^2-(G42/2-I42/1000)*(H42/2-I42/1000)-(H42/2-I42/1000)^2)=0,"",7850/1000*(1/3)*PI()*ABS(E42-F42)*((G42/2)^2+(G42/2)*(H42/2)+(H42/2)^2-(G42/2-I42/1000)^2-(G42/2-I42/1000)*(H42/2-I42/1000)-(H42/2-I42/1000)^2))</f>
        <v>71.55978808288738</v>
      </c>
      <c r="K42" s="53">
        <f>IFERROR(WHOLE_STRUCTURE[[#This Row],[Bottom '[m']]]-WHOLE_STRUCTURE[[#This Row],[D, top '[m']]], "")</f>
        <v>-8.6</v>
      </c>
      <c r="L42" s="54">
        <f>IFERROR(-(WHOLE_STRUCTURE[[#This Row],[D, bottom '[m']]]-WHOLE_STRUCTURE[[#This Row],[D, top '[m']]])/(WHOLE_STRUCTURE[[#This Row],[Bottom '[m']]]-WHOLE_STRUCTURE[[#This Row],[Top '[m']]]),"")</f>
        <v>0</v>
      </c>
      <c r="M42" s="52">
        <f>IFERROR((WHOLE_STRUCTURE[[#This Row],[D, bottom '[m']]]+WHOLE_STRUCTURE[[#This Row],[D, top '[m']]])/(2*WHOLE_STRUCTURE[[#This Row],[t '[mm']]]/1000),"")</f>
        <v>69.565217391304344</v>
      </c>
    </row>
    <row r="43" spans="2:13" x14ac:dyDescent="0.3">
      <c r="B43" s="51">
        <v>31</v>
      </c>
      <c r="C43" s="51" t="s">
        <v>70</v>
      </c>
      <c r="D43" s="51">
        <v>3</v>
      </c>
      <c r="E43" s="51">
        <v>-0.6</v>
      </c>
      <c r="F43" s="51">
        <v>-3.8</v>
      </c>
      <c r="G43" s="51">
        <v>8</v>
      </c>
      <c r="H43" s="51">
        <v>8</v>
      </c>
      <c r="I43" s="51">
        <v>125</v>
      </c>
      <c r="J43" s="54">
        <f>IF(7850/1000*(1/3)*PI()*ABS(E43-F43)*((G43/2)^2+(G43/2)*(H43/2)+(H43/2)^2-(G43/2-I43/1000)^2-(G43/2-I43/1000)*(H43/2-I43/1000)-(H43/2-I43/1000)^2)=0,"",7850/1000*(1/3)*PI()*ABS(E43-F43)*((G43/2)^2+(G43/2)*(H43/2)+(H43/2)^2-(G43/2-I43/1000)^2-(G43/2-I43/1000)*(H43/2-I43/1000)-(H43/2-I43/1000)^2))</f>
        <v>77.683732341641587</v>
      </c>
      <c r="K43" s="53">
        <f>IFERROR(WHOLE_STRUCTURE[[#This Row],[Bottom '[m']]]-WHOLE_STRUCTURE[[#This Row],[D, top '[m']]], "")</f>
        <v>-11.8</v>
      </c>
      <c r="L43" s="54">
        <f>IFERROR(-(WHOLE_STRUCTURE[[#This Row],[D, bottom '[m']]]-WHOLE_STRUCTURE[[#This Row],[D, top '[m']]])/(WHOLE_STRUCTURE[[#This Row],[Bottom '[m']]]-WHOLE_STRUCTURE[[#This Row],[Top '[m']]]),"")</f>
        <v>0</v>
      </c>
      <c r="M43" s="52">
        <f>IFERROR((WHOLE_STRUCTURE[[#This Row],[D, bottom '[m']]]+WHOLE_STRUCTURE[[#This Row],[D, top '[m']]])/(2*WHOLE_STRUCTURE[[#This Row],[t '[mm']]]/1000),"")</f>
        <v>64</v>
      </c>
    </row>
    <row r="44" spans="2:13" x14ac:dyDescent="0.3">
      <c r="B44" s="51">
        <v>32</v>
      </c>
      <c r="C44" s="51" t="s">
        <v>70</v>
      </c>
      <c r="D44" s="51">
        <v>4</v>
      </c>
      <c r="E44" s="51">
        <v>-3.8</v>
      </c>
      <c r="F44" s="51">
        <v>-7.3</v>
      </c>
      <c r="G44" s="51">
        <v>8</v>
      </c>
      <c r="H44" s="51">
        <v>8.44</v>
      </c>
      <c r="I44" s="51">
        <v>125</v>
      </c>
      <c r="J44" s="54">
        <f>IF(7850/1000*(1/3)*PI()*ABS(E44-F44)*((G44/2)^2+(G44/2)*(H44/2)+(H44/2)^2-(G44/2-I44/1000)^2-(G44/2-I44/1000)*(H44/2-I44/1000)-(H44/2-I44/1000)^2)=0,"",7850/1000*(1/3)*PI()*ABS(E44-F44)*((G44/2)^2+(G44/2)*(H44/2)+(H44/2)^2-(G44/2-I44/1000)^2-(G44/2-I44/1000)*(H44/2-I44/1000)-(H44/2-I44/1000)^2))</f>
        <v>87.340251847998317</v>
      </c>
      <c r="K44" s="53">
        <f>IFERROR(WHOLE_STRUCTURE[[#This Row],[Bottom '[m']]]-WHOLE_STRUCTURE[[#This Row],[D, top '[m']]], "")</f>
        <v>-15.3</v>
      </c>
      <c r="L44" s="54">
        <f>IFERROR(-(WHOLE_STRUCTURE[[#This Row],[D, bottom '[m']]]-WHOLE_STRUCTURE[[#This Row],[D, top '[m']]])/(WHOLE_STRUCTURE[[#This Row],[Bottom '[m']]]-WHOLE_STRUCTURE[[#This Row],[Top '[m']]]),"")</f>
        <v>0.12571428571428558</v>
      </c>
      <c r="M44" s="52">
        <f>IFERROR((WHOLE_STRUCTURE[[#This Row],[D, bottom '[m']]]+WHOLE_STRUCTURE[[#This Row],[D, top '[m']]])/(2*WHOLE_STRUCTURE[[#This Row],[t '[mm']]]/1000),"")</f>
        <v>65.759999999999991</v>
      </c>
    </row>
    <row r="45" spans="2:13" x14ac:dyDescent="0.3">
      <c r="B45" s="51">
        <v>33</v>
      </c>
      <c r="C45" s="51" t="s">
        <v>70</v>
      </c>
      <c r="D45" s="51">
        <v>5</v>
      </c>
      <c r="E45" s="51">
        <v>-7.3</v>
      </c>
      <c r="F45" s="51">
        <v>-10.8</v>
      </c>
      <c r="G45" s="51">
        <v>8.44</v>
      </c>
      <c r="H45" s="51">
        <v>8.8800000000000008</v>
      </c>
      <c r="I45" s="51">
        <v>106</v>
      </c>
      <c r="J45" s="54">
        <f>IF(7850/1000*(1/3)*PI()*ABS(E45-F45)*((G45/2)^2+(G45/2)*(H45/2)+(H45/2)^2-(G45/2-I45/1000)^2-(G45/2-I45/1000)*(H45/2-I45/1000)-(H45/2-I45/1000)^2)=0,"",7850/1000*(1/3)*PI()*ABS(E45-F45)*((G45/2)^2+(G45/2)*(H45/2)+(H45/2)^2-(G45/2-I45/1000)^2-(G45/2-I45/1000)*(H45/2-I45/1000)-(H45/2-I45/1000)^2))</f>
        <v>78.26411613749147</v>
      </c>
      <c r="K45" s="53">
        <f>IFERROR(WHOLE_STRUCTURE[[#This Row],[Bottom '[m']]]-WHOLE_STRUCTURE[[#This Row],[D, top '[m']]], "")</f>
        <v>-19.240000000000002</v>
      </c>
      <c r="L45" s="54">
        <f>IFERROR(-(WHOLE_STRUCTURE[[#This Row],[D, bottom '[m']]]-WHOLE_STRUCTURE[[#This Row],[D, top '[m']]])/(WHOLE_STRUCTURE[[#This Row],[Bottom '[m']]]-WHOLE_STRUCTURE[[#This Row],[Top '[m']]]),"")</f>
        <v>0.12571428571428606</v>
      </c>
      <c r="M45" s="52">
        <f>IFERROR((WHOLE_STRUCTURE[[#This Row],[D, bottom '[m']]]+WHOLE_STRUCTURE[[#This Row],[D, top '[m']]])/(2*WHOLE_STRUCTURE[[#This Row],[t '[mm']]]/1000),"")</f>
        <v>81.698113207547181</v>
      </c>
    </row>
    <row r="46" spans="2:13" x14ac:dyDescent="0.3">
      <c r="B46" s="51">
        <v>34</v>
      </c>
      <c r="C46" s="51" t="s">
        <v>70</v>
      </c>
      <c r="D46" s="51">
        <v>6</v>
      </c>
      <c r="E46" s="51">
        <v>-10.8</v>
      </c>
      <c r="F46" s="51">
        <v>-14.3</v>
      </c>
      <c r="G46" s="51">
        <v>8.8800000000000008</v>
      </c>
      <c r="H46" s="51">
        <v>9.31</v>
      </c>
      <c r="I46" s="51">
        <v>116</v>
      </c>
      <c r="J46" s="54">
        <f>IF(7850/1000*(1/3)*PI()*ABS(E46-F46)*((G46/2)^2+(G46/2)*(H46/2)+(H46/2)^2-(G46/2-I46/1000)^2-(G46/2-I46/1000)*(H46/2-I46/1000)-(H46/2-I46/1000)^2)=0,"",7850/1000*(1/3)*PI()*ABS(E46-F46)*((G46/2)^2+(G46/2)*(H46/2)+(H46/2)^2-(G46/2-I46/1000)^2-(G46/2-I46/1000)*(H46/2-I46/1000)-(H46/2-I46/1000)^2))</f>
        <v>89.902865547432455</v>
      </c>
      <c r="K46" s="53">
        <f>IFERROR(WHOLE_STRUCTURE[[#This Row],[Bottom '[m']]]-WHOLE_STRUCTURE[[#This Row],[D, top '[m']]], "")</f>
        <v>-23.18</v>
      </c>
      <c r="L46" s="54">
        <f>IFERROR(-(WHOLE_STRUCTURE[[#This Row],[D, bottom '[m']]]-WHOLE_STRUCTURE[[#This Row],[D, top '[m']]])/(WHOLE_STRUCTURE[[#This Row],[Bottom '[m']]]-WHOLE_STRUCTURE[[#This Row],[Top '[m']]]),"")</f>
        <v>0.12285714285714278</v>
      </c>
      <c r="M46" s="52">
        <f>IFERROR((WHOLE_STRUCTURE[[#This Row],[D, bottom '[m']]]+WHOLE_STRUCTURE[[#This Row],[D, top '[m']]])/(2*WHOLE_STRUCTURE[[#This Row],[t '[mm']]]/1000),"")</f>
        <v>78.40517241379311</v>
      </c>
    </row>
    <row r="47" spans="2:13" x14ac:dyDescent="0.3">
      <c r="B47" s="51">
        <v>35</v>
      </c>
      <c r="C47" s="51" t="s">
        <v>70</v>
      </c>
      <c r="D47" s="51">
        <v>7</v>
      </c>
      <c r="E47" s="51">
        <v>-14.3</v>
      </c>
      <c r="F47" s="51">
        <v>-17.8</v>
      </c>
      <c r="G47" s="51">
        <v>9.31</v>
      </c>
      <c r="H47" s="51">
        <v>9.75</v>
      </c>
      <c r="I47" s="51">
        <v>103</v>
      </c>
      <c r="J47" s="54">
        <f>IF(7850/1000*(1/3)*PI()*ABS(E47-F47)*((G47/2)^2+(G47/2)*(H47/2)+(H47/2)^2-(G47/2-I47/1000)^2-(G47/2-I47/1000)*(H47/2-I47/1000)-(H47/2-I47/1000)^2)=0,"",7850/1000*(1/3)*PI()*ABS(E47-F47)*((G47/2)^2+(G47/2)*(H47/2)+(H47/2)^2-(G47/2-I47/1000)^2-(G47/2-I47/1000)*(H47/2-I47/1000)-(H47/2-I47/1000)^2))</f>
        <v>83.810475680910201</v>
      </c>
      <c r="K47" s="53">
        <f>IFERROR(WHOLE_STRUCTURE[[#This Row],[Bottom '[m']]]-WHOLE_STRUCTURE[[#This Row],[D, top '[m']]], "")</f>
        <v>-27.11</v>
      </c>
      <c r="L47" s="54">
        <f>IFERROR(-(WHOLE_STRUCTURE[[#This Row],[D, bottom '[m']]]-WHOLE_STRUCTURE[[#This Row],[D, top '[m']]])/(WHOLE_STRUCTURE[[#This Row],[Bottom '[m']]]-WHOLE_STRUCTURE[[#This Row],[Top '[m']]]),"")</f>
        <v>0.12571428571428558</v>
      </c>
      <c r="M47" s="52">
        <f>IFERROR((WHOLE_STRUCTURE[[#This Row],[D, bottom '[m']]]+WHOLE_STRUCTURE[[#This Row],[D, top '[m']]])/(2*WHOLE_STRUCTURE[[#This Row],[t '[mm']]]/1000),"")</f>
        <v>92.524271844660205</v>
      </c>
    </row>
    <row r="48" spans="2:13" x14ac:dyDescent="0.3">
      <c r="B48" s="51">
        <v>36</v>
      </c>
      <c r="C48" s="51" t="s">
        <v>70</v>
      </c>
      <c r="D48" s="51">
        <v>8</v>
      </c>
      <c r="E48" s="51">
        <v>-17.8</v>
      </c>
      <c r="F48" s="51">
        <v>-21.3</v>
      </c>
      <c r="G48" s="51">
        <v>9.75</v>
      </c>
      <c r="H48" s="51">
        <v>10.19</v>
      </c>
      <c r="I48" s="51">
        <v>98</v>
      </c>
      <c r="J48" s="54">
        <f>IF(7850/1000*(1/3)*PI()*ABS(E48-F48)*((G48/2)^2+(G48/2)*(H48/2)+(H48/2)^2-(G48/2-I48/1000)^2-(G48/2-I48/1000)*(H48/2-I48/1000)-(H48/2-I48/1000)^2)=0,"",7850/1000*(1/3)*PI()*ABS(E48-F48)*((G48/2)^2+(G48/2)*(H48/2)+(H48/2)^2-(G48/2-I48/1000)^2-(G48/2-I48/1000)*(H48/2-I48/1000)-(H48/2-I48/1000)^2))</f>
        <v>83.506214395905459</v>
      </c>
      <c r="K48" s="53">
        <f>IFERROR(WHOLE_STRUCTURE[[#This Row],[Bottom '[m']]]-WHOLE_STRUCTURE[[#This Row],[D, top '[m']]], "")</f>
        <v>-31.05</v>
      </c>
      <c r="L48" s="54">
        <f>IFERROR(-(WHOLE_STRUCTURE[[#This Row],[D, bottom '[m']]]-WHOLE_STRUCTURE[[#This Row],[D, top '[m']]])/(WHOLE_STRUCTURE[[#This Row],[Bottom '[m']]]-WHOLE_STRUCTURE[[#This Row],[Top '[m']]]),"")</f>
        <v>0.12571428571428558</v>
      </c>
      <c r="M48" s="52">
        <f>IFERROR((WHOLE_STRUCTURE[[#This Row],[D, bottom '[m']]]+WHOLE_STRUCTURE[[#This Row],[D, top '[m']]])/(2*WHOLE_STRUCTURE[[#This Row],[t '[mm']]]/1000),"")</f>
        <v>101.73469387755101</v>
      </c>
    </row>
    <row r="49" spans="2:13" x14ac:dyDescent="0.3">
      <c r="B49" s="51">
        <v>37</v>
      </c>
      <c r="C49" s="51" t="s">
        <v>70</v>
      </c>
      <c r="D49" s="51">
        <v>9</v>
      </c>
      <c r="E49" s="51">
        <v>-21.3</v>
      </c>
      <c r="F49" s="51">
        <v>-24.8</v>
      </c>
      <c r="G49" s="51">
        <v>10.19</v>
      </c>
      <c r="H49" s="51">
        <v>10.63</v>
      </c>
      <c r="I49" s="51">
        <v>98</v>
      </c>
      <c r="J49" s="54">
        <f>IF(7850/1000*(1/3)*PI()*ABS(E49-F49)*((G49/2)^2+(G49/2)*(H49/2)+(H49/2)^2-(G49/2-I49/1000)^2-(G49/2-I49/1000)*(H49/2-I49/1000)-(H49/2-I49/1000)^2)=0,"",7850/1000*(1/3)*PI()*ABS(E49-F49)*((G49/2)^2+(G49/2)*(H49/2)+(H49/2)^2-(G49/2-I49/1000)^2-(G49/2-I49/1000)*(H49/2-I49/1000)-(H49/2-I49/1000)^2))</f>
        <v>87.228128327651717</v>
      </c>
      <c r="K49" s="53">
        <f>IFERROR(WHOLE_STRUCTURE[[#This Row],[Bottom '[m']]]-WHOLE_STRUCTURE[[#This Row],[D, top '[m']]], "")</f>
        <v>-34.99</v>
      </c>
      <c r="L49" s="54">
        <f>IFERROR(-(WHOLE_STRUCTURE[[#This Row],[D, bottom '[m']]]-WHOLE_STRUCTURE[[#This Row],[D, top '[m']]])/(WHOLE_STRUCTURE[[#This Row],[Bottom '[m']]]-WHOLE_STRUCTURE[[#This Row],[Top '[m']]]),"")</f>
        <v>0.12571428571428608</v>
      </c>
      <c r="M49" s="52">
        <f>IFERROR((WHOLE_STRUCTURE[[#This Row],[D, bottom '[m']]]+WHOLE_STRUCTURE[[#This Row],[D, top '[m']]])/(2*WHOLE_STRUCTURE[[#This Row],[t '[mm']]]/1000),"")</f>
        <v>106.22448979591836</v>
      </c>
    </row>
    <row r="50" spans="2:13" x14ac:dyDescent="0.3">
      <c r="B50" s="51">
        <v>38</v>
      </c>
      <c r="C50" s="51" t="s">
        <v>70</v>
      </c>
      <c r="D50" s="51">
        <v>10</v>
      </c>
      <c r="E50" s="51">
        <v>-24.8</v>
      </c>
      <c r="F50" s="51">
        <v>-28.3</v>
      </c>
      <c r="G50" s="51">
        <v>10.63</v>
      </c>
      <c r="H50" s="51">
        <v>11.06</v>
      </c>
      <c r="I50" s="51">
        <v>98</v>
      </c>
      <c r="J50" s="54">
        <f>IF(7850/1000*(1/3)*PI()*ABS(E50-F50)*((G50/2)^2+(G50/2)*(H50/2)+(H50/2)^2-(G50/2-I50/1000)^2-(G50/2-I50/1000)*(H50/2-I50/1000)-(H50/2-I50/1000)^2)=0,"",7850/1000*(1/3)*PI()*ABS(E50-F50)*((G50/2)^2+(G50/2)*(H50/2)+(H50/2)^2-(G50/2-I50/1000)^2-(G50/2-I50/1000)*(H50/2-I50/1000)-(H50/2-I50/1000)^2))</f>
        <v>90.907747782900842</v>
      </c>
      <c r="K50" s="53">
        <f>IFERROR(WHOLE_STRUCTURE[[#This Row],[Bottom '[m']]]-WHOLE_STRUCTURE[[#This Row],[D, top '[m']]], "")</f>
        <v>-38.93</v>
      </c>
      <c r="L50" s="54">
        <f>IFERROR(-(WHOLE_STRUCTURE[[#This Row],[D, bottom '[m']]]-WHOLE_STRUCTURE[[#This Row],[D, top '[m']]])/(WHOLE_STRUCTURE[[#This Row],[Bottom '[m']]]-WHOLE_STRUCTURE[[#This Row],[Top '[m']]]),"")</f>
        <v>0.12285714285714278</v>
      </c>
      <c r="M50" s="52">
        <f>IFERROR((WHOLE_STRUCTURE[[#This Row],[D, bottom '[m']]]+WHOLE_STRUCTURE[[#This Row],[D, top '[m']]])/(2*WHOLE_STRUCTURE[[#This Row],[t '[mm']]]/1000),"")</f>
        <v>110.66326530612245</v>
      </c>
    </row>
    <row r="51" spans="2:13" x14ac:dyDescent="0.3">
      <c r="B51" s="51">
        <v>39</v>
      </c>
      <c r="C51" s="51" t="s">
        <v>70</v>
      </c>
      <c r="D51" s="51">
        <v>11</v>
      </c>
      <c r="E51" s="51">
        <v>-28.3</v>
      </c>
      <c r="F51" s="51">
        <v>-31.8</v>
      </c>
      <c r="G51" s="51">
        <v>11.06</v>
      </c>
      <c r="H51" s="51">
        <v>11.5</v>
      </c>
      <c r="I51" s="51">
        <v>98</v>
      </c>
      <c r="J51" s="54">
        <f>IF(7850/1000*(1/3)*PI()*ABS(E51-F51)*((G51/2)^2+(G51/2)*(H51/2)+(H51/2)^2-(G51/2-I51/1000)^2-(G51/2-I51/1000)*(H51/2-I51/1000)-(H51/2-I51/1000)^2)=0,"",7850/1000*(1/3)*PI()*ABS(E51-F51)*((G51/2)^2+(G51/2)*(H51/2)+(H51/2)^2-(G51/2-I51/1000)^2-(G51/2-I51/1000)*(H51/2-I51/1000)-(H51/2-I51/1000)^2))</f>
        <v>94.587367238149838</v>
      </c>
      <c r="K51" s="53">
        <f>IFERROR(WHOLE_STRUCTURE[[#This Row],[Bottom '[m']]]-WHOLE_STRUCTURE[[#This Row],[D, top '[m']]], "")</f>
        <v>-42.86</v>
      </c>
      <c r="L51" s="54">
        <f>IFERROR(-(WHOLE_STRUCTURE[[#This Row],[D, bottom '[m']]]-WHOLE_STRUCTURE[[#This Row],[D, top '[m']]])/(WHOLE_STRUCTURE[[#This Row],[Bottom '[m']]]-WHOLE_STRUCTURE[[#This Row],[Top '[m']]]),"")</f>
        <v>0.12571428571428558</v>
      </c>
      <c r="M51" s="52">
        <f>IFERROR((WHOLE_STRUCTURE[[#This Row],[D, bottom '[m']]]+WHOLE_STRUCTURE[[#This Row],[D, top '[m']]])/(2*WHOLE_STRUCTURE[[#This Row],[t '[mm']]]/1000),"")</f>
        <v>115.10204081632654</v>
      </c>
    </row>
    <row r="52" spans="2:13" x14ac:dyDescent="0.3">
      <c r="B52" s="51">
        <v>40</v>
      </c>
      <c r="C52" s="51" t="s">
        <v>70</v>
      </c>
      <c r="D52" s="51">
        <v>12</v>
      </c>
      <c r="E52" s="51">
        <v>-31.8</v>
      </c>
      <c r="F52" s="51">
        <v>-35.299999999999997</v>
      </c>
      <c r="G52" s="51">
        <v>11.5</v>
      </c>
      <c r="H52" s="51">
        <v>11.5</v>
      </c>
      <c r="I52" s="51">
        <v>98</v>
      </c>
      <c r="J52" s="54">
        <f>IF(7850/1000*(1/3)*PI()*ABS(E52-F52)*((G52/2)^2+(G52/2)*(H52/2)+(H52/2)^2-(G52/2-I52/1000)^2-(G52/2-I52/1000)*(H52/2-I52/1000)-(H52/2-I52/1000)^2)=0,"",7850/1000*(1/3)*PI()*ABS(E52-F52)*((G52/2)^2+(G52/2)*(H52/2)+(H52/2)^2-(G52/2-I52/1000)^2-(G52/2-I52/1000)*(H52/2-I52/1000)-(H52/2-I52/1000)^2))</f>
        <v>96.448324204023137</v>
      </c>
      <c r="K52" s="53">
        <f>IFERROR(WHOLE_STRUCTURE[[#This Row],[Bottom '[m']]]-WHOLE_STRUCTURE[[#This Row],[D, top '[m']]], "")</f>
        <v>-46.8</v>
      </c>
      <c r="L52" s="54">
        <f>IFERROR(-(WHOLE_STRUCTURE[[#This Row],[D, bottom '[m']]]-WHOLE_STRUCTURE[[#This Row],[D, top '[m']]])/(WHOLE_STRUCTURE[[#This Row],[Bottom '[m']]]-WHOLE_STRUCTURE[[#This Row],[Top '[m']]]),"")</f>
        <v>0</v>
      </c>
      <c r="M52" s="52">
        <f>IFERROR((WHOLE_STRUCTURE[[#This Row],[D, bottom '[m']]]+WHOLE_STRUCTURE[[#This Row],[D, top '[m']]])/(2*WHOLE_STRUCTURE[[#This Row],[t '[mm']]]/1000),"")</f>
        <v>117.3469387755102</v>
      </c>
    </row>
    <row r="53" spans="2:13" x14ac:dyDescent="0.3">
      <c r="B53" s="51">
        <v>41</v>
      </c>
      <c r="C53" s="51" t="s">
        <v>70</v>
      </c>
      <c r="D53" s="51">
        <v>13</v>
      </c>
      <c r="E53" s="51">
        <v>-35.299999999999997</v>
      </c>
      <c r="F53" s="51">
        <v>-38.6</v>
      </c>
      <c r="G53" s="51">
        <v>11.5</v>
      </c>
      <c r="H53" s="51">
        <v>11.5</v>
      </c>
      <c r="I53" s="51">
        <v>100</v>
      </c>
      <c r="J53" s="54">
        <f>IF(7850/1000*(1/3)*PI()*ABS(E53-F53)*((G53/2)^2+(G53/2)*(H53/2)+(H53/2)^2-(G53/2-I53/1000)^2-(G53/2-I53/1000)*(H53/2-I53/1000)-(H53/2-I53/1000)^2)=0,"",7850/1000*(1/3)*PI()*ABS(E53-F53)*((G53/2)^2+(G53/2)*(H53/2)+(H53/2)^2-(G53/2-I53/1000)^2-(G53/2-I53/1000)*(H53/2-I53/1000)-(H53/2-I53/1000)^2))</f>
        <v>92.776571768017746</v>
      </c>
      <c r="K53" s="53">
        <f>IFERROR(WHOLE_STRUCTURE[[#This Row],[Bottom '[m']]]-WHOLE_STRUCTURE[[#This Row],[D, top '[m']]], "")</f>
        <v>-50.1</v>
      </c>
      <c r="L53" s="54">
        <f>IFERROR(-(WHOLE_STRUCTURE[[#This Row],[D, bottom '[m']]]-WHOLE_STRUCTURE[[#This Row],[D, top '[m']]])/(WHOLE_STRUCTURE[[#This Row],[Bottom '[m']]]-WHOLE_STRUCTURE[[#This Row],[Top '[m']]]),"")</f>
        <v>0</v>
      </c>
      <c r="M53" s="52">
        <f>IFERROR((WHOLE_STRUCTURE[[#This Row],[D, bottom '[m']]]+WHOLE_STRUCTURE[[#This Row],[D, top '[m']]])/(2*WHOLE_STRUCTURE[[#This Row],[t '[mm']]]/1000),"")</f>
        <v>115</v>
      </c>
    </row>
    <row r="54" spans="2:13" x14ac:dyDescent="0.3">
      <c r="B54" s="51">
        <v>42</v>
      </c>
      <c r="C54" s="51" t="s">
        <v>70</v>
      </c>
      <c r="D54" s="51">
        <v>14</v>
      </c>
      <c r="E54" s="51">
        <v>-38.6</v>
      </c>
      <c r="F54" s="51">
        <v>-41.9</v>
      </c>
      <c r="G54" s="51">
        <v>11.5</v>
      </c>
      <c r="H54" s="51">
        <v>11.5</v>
      </c>
      <c r="I54" s="51">
        <v>98</v>
      </c>
      <c r="J54" s="54">
        <f>IF(7850/1000*(1/3)*PI()*ABS(E54-F54)*((G54/2)^2+(G54/2)*(H54/2)+(H54/2)^2-(G54/2-I54/1000)^2-(G54/2-I54/1000)*(H54/2-I54/1000)-(H54/2-I54/1000)^2)=0,"",7850/1000*(1/3)*PI()*ABS(E54-F54)*((G54/2)^2+(G54/2)*(H54/2)+(H54/2)^2-(G54/2-I54/1000)^2-(G54/2-I54/1000)*(H54/2-I54/1000)-(H54/2-I54/1000)^2))</f>
        <v>90.936991392364675</v>
      </c>
      <c r="K54" s="53">
        <f>IFERROR(WHOLE_STRUCTURE[[#This Row],[Bottom '[m']]]-WHOLE_STRUCTURE[[#This Row],[D, top '[m']]], "")</f>
        <v>-53.4</v>
      </c>
      <c r="L54" s="54">
        <f>IFERROR(-(WHOLE_STRUCTURE[[#This Row],[D, bottom '[m']]]-WHOLE_STRUCTURE[[#This Row],[D, top '[m']]])/(WHOLE_STRUCTURE[[#This Row],[Bottom '[m']]]-WHOLE_STRUCTURE[[#This Row],[Top '[m']]]),"")</f>
        <v>0</v>
      </c>
      <c r="M54" s="52">
        <f>IFERROR((WHOLE_STRUCTURE[[#This Row],[D, bottom '[m']]]+WHOLE_STRUCTURE[[#This Row],[D, top '[m']]])/(2*WHOLE_STRUCTURE[[#This Row],[t '[mm']]]/1000),"")</f>
        <v>117.3469387755102</v>
      </c>
    </row>
    <row r="55" spans="2:13" x14ac:dyDescent="0.3">
      <c r="B55" s="51">
        <v>43</v>
      </c>
      <c r="C55" s="51" t="s">
        <v>70</v>
      </c>
      <c r="D55" s="51">
        <v>15</v>
      </c>
      <c r="E55" s="51">
        <v>-41.9</v>
      </c>
      <c r="F55" s="51">
        <v>-45.2</v>
      </c>
      <c r="G55" s="51">
        <v>11.5</v>
      </c>
      <c r="H55" s="51">
        <v>11.5</v>
      </c>
      <c r="I55" s="51">
        <v>95</v>
      </c>
      <c r="J55" s="54">
        <f>IF(7850/1000*(1/3)*PI()*ABS(E55-F55)*((G55/2)^2+(G55/2)*(H55/2)+(H55/2)^2-(G55/2-I55/1000)^2-(G55/2-I55/1000)*(H55/2-I55/1000)-(H55/2-I55/1000)^2)=0,"",7850/1000*(1/3)*PI()*ABS(E55-F55)*((G55/2)^2+(G55/2)*(H55/2)+(H55/2)^2-(G55/2-I55/1000)^2-(G55/2-I55/1000)*(H55/2-I55/1000)-(H55/2-I55/1000)^2))</f>
        <v>88.17640008451977</v>
      </c>
      <c r="K55" s="53">
        <f>IFERROR(WHOLE_STRUCTURE[[#This Row],[Bottom '[m']]]-WHOLE_STRUCTURE[[#This Row],[D, top '[m']]], "")</f>
        <v>-56.7</v>
      </c>
      <c r="L55" s="54">
        <f>IFERROR(-(WHOLE_STRUCTURE[[#This Row],[D, bottom '[m']]]-WHOLE_STRUCTURE[[#This Row],[D, top '[m']]])/(WHOLE_STRUCTURE[[#This Row],[Bottom '[m']]]-WHOLE_STRUCTURE[[#This Row],[Top '[m']]]),"")</f>
        <v>0</v>
      </c>
      <c r="M55" s="52">
        <f>IFERROR((WHOLE_STRUCTURE[[#This Row],[D, bottom '[m']]]+WHOLE_STRUCTURE[[#This Row],[D, top '[m']]])/(2*WHOLE_STRUCTURE[[#This Row],[t '[mm']]]/1000),"")</f>
        <v>121.05263157894737</v>
      </c>
    </row>
    <row r="56" spans="2:13" x14ac:dyDescent="0.3">
      <c r="B56" s="51">
        <v>44</v>
      </c>
      <c r="C56" s="51" t="s">
        <v>70</v>
      </c>
      <c r="D56" s="51">
        <v>16</v>
      </c>
      <c r="E56" s="51">
        <v>-45.2</v>
      </c>
      <c r="F56" s="51">
        <v>-48.5</v>
      </c>
      <c r="G56" s="51">
        <v>11.5</v>
      </c>
      <c r="H56" s="51">
        <v>11.5</v>
      </c>
      <c r="I56" s="51">
        <v>95</v>
      </c>
      <c r="J56" s="54">
        <f>IF(7850/1000*(1/3)*PI()*ABS(E56-F56)*((G56/2)^2+(G56/2)*(H56/2)+(H56/2)^2-(G56/2-I56/1000)^2-(G56/2-I56/1000)*(H56/2-I56/1000)-(H56/2-I56/1000)^2)=0,"",7850/1000*(1/3)*PI()*ABS(E56-F56)*((G56/2)^2+(G56/2)*(H56/2)+(H56/2)^2-(G56/2-I56/1000)^2-(G56/2-I56/1000)*(H56/2-I56/1000)-(H56/2-I56/1000)^2))</f>
        <v>88.176400084519571</v>
      </c>
      <c r="K56" s="53">
        <f>IFERROR(WHOLE_STRUCTURE[[#This Row],[Bottom '[m']]]-WHOLE_STRUCTURE[[#This Row],[D, top '[m']]], "")</f>
        <v>-60</v>
      </c>
      <c r="L56" s="54">
        <f>IFERROR(-(WHOLE_STRUCTURE[[#This Row],[D, bottom '[m']]]-WHOLE_STRUCTURE[[#This Row],[D, top '[m']]])/(WHOLE_STRUCTURE[[#This Row],[Bottom '[m']]]-WHOLE_STRUCTURE[[#This Row],[Top '[m']]]),"")</f>
        <v>0</v>
      </c>
      <c r="M56" s="52">
        <f>IFERROR((WHOLE_STRUCTURE[[#This Row],[D, bottom '[m']]]+WHOLE_STRUCTURE[[#This Row],[D, top '[m']]])/(2*WHOLE_STRUCTURE[[#This Row],[t '[mm']]]/1000),"")</f>
        <v>121.05263157894737</v>
      </c>
    </row>
    <row r="57" spans="2:13" x14ac:dyDescent="0.3">
      <c r="B57" s="51">
        <v>45</v>
      </c>
      <c r="C57" s="51" t="s">
        <v>70</v>
      </c>
      <c r="D57" s="51">
        <v>17</v>
      </c>
      <c r="E57" s="51">
        <v>-48.5</v>
      </c>
      <c r="F57" s="51">
        <v>-51.7</v>
      </c>
      <c r="G57" s="51">
        <v>11.5</v>
      </c>
      <c r="H57" s="51">
        <v>11.5</v>
      </c>
      <c r="I57" s="51">
        <v>95</v>
      </c>
      <c r="J57" s="54">
        <f>IF(7850/1000*(1/3)*PI()*ABS(E57-F57)*((G57/2)^2+(G57/2)*(H57/2)+(H57/2)^2-(G57/2-I57/1000)^2-(G57/2-I57/1000)*(H57/2-I57/1000)-(H57/2-I57/1000)^2)=0,"",7850/1000*(1/3)*PI()*ABS(E57-F57)*((G57/2)^2+(G57/2)*(H57/2)+(H57/2)^2-(G57/2-I57/1000)^2-(G57/2-I57/1000)*(H57/2-I57/1000)-(H57/2-I57/1000)^2))</f>
        <v>85.504387960746399</v>
      </c>
      <c r="K57" s="53">
        <f>IFERROR(WHOLE_STRUCTURE[[#This Row],[Bottom '[m']]]-WHOLE_STRUCTURE[[#This Row],[D, top '[m']]], "")</f>
        <v>-63.2</v>
      </c>
      <c r="L57" s="54">
        <f>IFERROR(-(WHOLE_STRUCTURE[[#This Row],[D, bottom '[m']]]-WHOLE_STRUCTURE[[#This Row],[D, top '[m']]])/(WHOLE_STRUCTURE[[#This Row],[Bottom '[m']]]-WHOLE_STRUCTURE[[#This Row],[Top '[m']]]),"")</f>
        <v>0</v>
      </c>
      <c r="M57" s="52">
        <f>IFERROR((WHOLE_STRUCTURE[[#This Row],[D, bottom '[m']]]+WHOLE_STRUCTURE[[#This Row],[D, top '[m']]])/(2*WHOLE_STRUCTURE[[#This Row],[t '[mm']]]/1000),"")</f>
        <v>121.05263157894737</v>
      </c>
    </row>
    <row r="58" spans="2:13" x14ac:dyDescent="0.3">
      <c r="B58" s="51">
        <v>46</v>
      </c>
      <c r="C58" s="51" t="s">
        <v>70</v>
      </c>
      <c r="D58" s="51">
        <v>18</v>
      </c>
      <c r="E58" s="51">
        <v>-51.7</v>
      </c>
      <c r="F58" s="51">
        <v>-55.3</v>
      </c>
      <c r="G58" s="51">
        <v>11.5</v>
      </c>
      <c r="H58" s="51">
        <v>11.5</v>
      </c>
      <c r="I58" s="51">
        <v>93</v>
      </c>
      <c r="J58" s="54">
        <f>IF(7850/1000*(1/3)*PI()*ABS(E58-F58)*((G58/2)^2+(G58/2)*(H58/2)+(H58/2)^2-(G58/2-I58/1000)^2-(G58/2-I58/1000)*(H58/2-I58/1000)-(H58/2-I58/1000)^2)=0,"",7850/1000*(1/3)*PI()*ABS(E58-F58)*((G58/2)^2+(G58/2)*(H58/2)+(H58/2)^2-(G58/2-I58/1000)^2-(G58/2-I58/1000)*(H58/2-I58/1000)-(H58/2-I58/1000)^2))</f>
        <v>94.183845872414466</v>
      </c>
      <c r="K58" s="53">
        <f>IFERROR(WHOLE_STRUCTURE[[#This Row],[Bottom '[m']]]-WHOLE_STRUCTURE[[#This Row],[D, top '[m']]], "")</f>
        <v>-66.8</v>
      </c>
      <c r="L58" s="54">
        <f>IFERROR(-(WHOLE_STRUCTURE[[#This Row],[D, bottom '[m']]]-WHOLE_STRUCTURE[[#This Row],[D, top '[m']]])/(WHOLE_STRUCTURE[[#This Row],[Bottom '[m']]]-WHOLE_STRUCTURE[[#This Row],[Top '[m']]]),"")</f>
        <v>0</v>
      </c>
      <c r="M58" s="52">
        <f>IFERROR((WHOLE_STRUCTURE[[#This Row],[D, bottom '[m']]]+WHOLE_STRUCTURE[[#This Row],[D, top '[m']]])/(2*WHOLE_STRUCTURE[[#This Row],[t '[mm']]]/1000),"")</f>
        <v>123.65591397849462</v>
      </c>
    </row>
    <row r="59" spans="2:13" x14ac:dyDescent="0.3">
      <c r="B59" s="51">
        <v>47</v>
      </c>
      <c r="C59" s="51" t="s">
        <v>70</v>
      </c>
      <c r="D59" s="51">
        <v>19</v>
      </c>
      <c r="E59" s="51">
        <v>-55.3</v>
      </c>
      <c r="F59" s="51">
        <v>-59.3</v>
      </c>
      <c r="G59" s="51">
        <v>11.5</v>
      </c>
      <c r="H59" s="51">
        <v>11.5</v>
      </c>
      <c r="I59" s="51">
        <v>93</v>
      </c>
      <c r="J59" s="54">
        <f>IF(7850/1000*(1/3)*PI()*ABS(E59-F59)*((G59/2)^2+(G59/2)*(H59/2)+(H59/2)^2-(G59/2-I59/1000)^2-(G59/2-I59/1000)*(H59/2-I59/1000)-(H59/2-I59/1000)^2)=0,"",7850/1000*(1/3)*PI()*ABS(E59-F59)*((G59/2)^2+(G59/2)*(H59/2)+(H59/2)^2-(G59/2-I59/1000)^2-(G59/2-I59/1000)*(H59/2-I59/1000)-(H59/2-I59/1000)^2))</f>
        <v>104.64871763601624</v>
      </c>
      <c r="K59" s="53">
        <f>IFERROR(WHOLE_STRUCTURE[[#This Row],[Bottom '[m']]]-WHOLE_STRUCTURE[[#This Row],[D, top '[m']]], "")</f>
        <v>-70.8</v>
      </c>
      <c r="L59" s="54">
        <f>IFERROR(-(WHOLE_STRUCTURE[[#This Row],[D, bottom '[m']]]-WHOLE_STRUCTURE[[#This Row],[D, top '[m']]])/(WHOLE_STRUCTURE[[#This Row],[Bottom '[m']]]-WHOLE_STRUCTURE[[#This Row],[Top '[m']]]),"")</f>
        <v>0</v>
      </c>
      <c r="M59" s="52">
        <f>IFERROR((WHOLE_STRUCTURE[[#This Row],[D, bottom '[m']]]+WHOLE_STRUCTURE[[#This Row],[D, top '[m']]])/(2*WHOLE_STRUCTURE[[#This Row],[t '[mm']]]/1000),"")</f>
        <v>123.65591397849462</v>
      </c>
    </row>
    <row r="60" spans="2:13" x14ac:dyDescent="0.3">
      <c r="B60" s="51">
        <v>48</v>
      </c>
      <c r="C60" s="51" t="s">
        <v>70</v>
      </c>
      <c r="D60" s="51">
        <v>20</v>
      </c>
      <c r="E60" s="51">
        <v>-59.3</v>
      </c>
      <c r="F60" s="51">
        <v>-63.3</v>
      </c>
      <c r="G60" s="51">
        <v>11.5</v>
      </c>
      <c r="H60" s="51">
        <v>11.5</v>
      </c>
      <c r="I60" s="51">
        <v>93</v>
      </c>
      <c r="J60" s="54">
        <f>IF(7850/1000*(1/3)*PI()*ABS(E60-F60)*((G60/2)^2+(G60/2)*(H60/2)+(H60/2)^2-(G60/2-I60/1000)^2-(G60/2-I60/1000)*(H60/2-I60/1000)-(H60/2-I60/1000)^2)=0,"",7850/1000*(1/3)*PI()*ABS(E60-F60)*((G60/2)^2+(G60/2)*(H60/2)+(H60/2)^2-(G60/2-I60/1000)^2-(G60/2-I60/1000)*(H60/2-I60/1000)-(H60/2-I60/1000)^2))</f>
        <v>104.64871763601624</v>
      </c>
      <c r="K60" s="53">
        <f>IFERROR(WHOLE_STRUCTURE[[#This Row],[Bottom '[m']]]-WHOLE_STRUCTURE[[#This Row],[D, top '[m']]], "")</f>
        <v>-74.8</v>
      </c>
      <c r="L60" s="54">
        <f>IFERROR(-(WHOLE_STRUCTURE[[#This Row],[D, bottom '[m']]]-WHOLE_STRUCTURE[[#This Row],[D, top '[m']]])/(WHOLE_STRUCTURE[[#This Row],[Bottom '[m']]]-WHOLE_STRUCTURE[[#This Row],[Top '[m']]]),"")</f>
        <v>0</v>
      </c>
      <c r="M60" s="52">
        <f>IFERROR((WHOLE_STRUCTURE[[#This Row],[D, bottom '[m']]]+WHOLE_STRUCTURE[[#This Row],[D, top '[m']]])/(2*WHOLE_STRUCTURE[[#This Row],[t '[mm']]]/1000),"")</f>
        <v>123.65591397849462</v>
      </c>
    </row>
    <row r="61" spans="2:13" x14ac:dyDescent="0.3">
      <c r="B61" s="51">
        <v>49</v>
      </c>
      <c r="C61" s="51" t="s">
        <v>70</v>
      </c>
      <c r="D61" s="51">
        <v>21</v>
      </c>
      <c r="E61" s="51">
        <v>-63.3</v>
      </c>
      <c r="F61" s="51">
        <v>-67.3</v>
      </c>
      <c r="G61" s="51">
        <v>11.5</v>
      </c>
      <c r="H61" s="51">
        <v>11.5</v>
      </c>
      <c r="I61" s="51">
        <v>93</v>
      </c>
      <c r="J61" s="54">
        <f>IF(7850/1000*(1/3)*PI()*ABS(E61-F61)*((G61/2)^2+(G61/2)*(H61/2)+(H61/2)^2-(G61/2-I61/1000)^2-(G61/2-I61/1000)*(H61/2-I61/1000)-(H61/2-I61/1000)^2)=0,"",7850/1000*(1/3)*PI()*ABS(E61-F61)*((G61/2)^2+(G61/2)*(H61/2)+(H61/2)^2-(G61/2-I61/1000)^2-(G61/2-I61/1000)*(H61/2-I61/1000)-(H61/2-I61/1000)^2))</f>
        <v>104.64871763601624</v>
      </c>
      <c r="K61" s="53">
        <f>IFERROR(WHOLE_STRUCTURE[[#This Row],[Bottom '[m']]]-WHOLE_STRUCTURE[[#This Row],[D, top '[m']]], "")</f>
        <v>-78.8</v>
      </c>
      <c r="L61" s="54">
        <f>IFERROR(-(WHOLE_STRUCTURE[[#This Row],[D, bottom '[m']]]-WHOLE_STRUCTURE[[#This Row],[D, top '[m']]])/(WHOLE_STRUCTURE[[#This Row],[Bottom '[m']]]-WHOLE_STRUCTURE[[#This Row],[Top '[m']]]),"")</f>
        <v>0</v>
      </c>
      <c r="M61" s="52">
        <f>IFERROR((WHOLE_STRUCTURE[[#This Row],[D, bottom '[m']]]+WHOLE_STRUCTURE[[#This Row],[D, top '[m']]])/(2*WHOLE_STRUCTURE[[#This Row],[t '[mm']]]/1000),"")</f>
        <v>123.65591397849462</v>
      </c>
    </row>
    <row r="62" spans="2:13" x14ac:dyDescent="0.3">
      <c r="B62" s="51">
        <v>50</v>
      </c>
      <c r="C62" s="51" t="s">
        <v>70</v>
      </c>
      <c r="D62" s="51">
        <v>22</v>
      </c>
      <c r="E62" s="51">
        <v>-67.3</v>
      </c>
      <c r="F62" s="51">
        <v>-71</v>
      </c>
      <c r="G62" s="51">
        <v>11.5</v>
      </c>
      <c r="H62" s="51">
        <v>11.5</v>
      </c>
      <c r="I62" s="51">
        <v>96</v>
      </c>
      <c r="J62" s="54">
        <f>IF(7850/1000*(1/3)*PI()*ABS(E62-F62)*((G62/2)^2+(G62/2)*(H62/2)+(H62/2)^2-(G62/2-I62/1000)^2-(G62/2-I62/1000)*(H62/2-I62/1000)-(H62/2-I62/1000)^2)=0,"",7850/1000*(1/3)*PI()*ABS(E62-F62)*((G62/2)^2+(G62/2)*(H62/2)+(H62/2)^2-(G62/2-I62/1000)^2-(G62/2-I62/1000)*(H62/2-I62/1000)-(H62/2-I62/1000)^2))</f>
        <v>99.896367220087171</v>
      </c>
      <c r="K62" s="53">
        <f>IFERROR(WHOLE_STRUCTURE[[#This Row],[Bottom '[m']]]-WHOLE_STRUCTURE[[#This Row],[D, top '[m']]], "")</f>
        <v>-82.5</v>
      </c>
      <c r="L62" s="54">
        <f>IFERROR(-(WHOLE_STRUCTURE[[#This Row],[D, bottom '[m']]]-WHOLE_STRUCTURE[[#This Row],[D, top '[m']]])/(WHOLE_STRUCTURE[[#This Row],[Bottom '[m']]]-WHOLE_STRUCTURE[[#This Row],[Top '[m']]]),"")</f>
        <v>0</v>
      </c>
      <c r="M62" s="52">
        <f>IFERROR((WHOLE_STRUCTURE[[#This Row],[D, bottom '[m']]]+WHOLE_STRUCTURE[[#This Row],[D, top '[m']]])/(2*WHOLE_STRUCTURE[[#This Row],[t '[mm']]]/1000),"")</f>
        <v>119.79166666666666</v>
      </c>
    </row>
    <row r="63" spans="2:13" x14ac:dyDescent="0.3">
      <c r="B63" s="51">
        <v>51</v>
      </c>
      <c r="C63" s="51" t="s">
        <v>70</v>
      </c>
      <c r="D63" s="51">
        <v>23</v>
      </c>
      <c r="E63" s="51">
        <v>-71</v>
      </c>
      <c r="F63" s="51">
        <v>-74.3</v>
      </c>
      <c r="G63" s="51">
        <v>11.5</v>
      </c>
      <c r="H63" s="51">
        <v>11.5</v>
      </c>
      <c r="I63" s="51">
        <v>96</v>
      </c>
      <c r="J63" s="54">
        <f>IF(7850/1000*(1/3)*PI()*ABS(E63-F63)*((G63/2)^2+(G63/2)*(H63/2)+(H63/2)^2-(G63/2-I63/1000)^2-(G63/2-I63/1000)*(H63/2-I63/1000)-(H63/2-I63/1000)^2)=0,"",7850/1000*(1/3)*PI()*ABS(E63-F63)*((G63/2)^2+(G63/2)*(H63/2)+(H63/2)^2-(G63/2-I63/1000)^2-(G63/2-I63/1000)*(H63/2-I63/1000)-(H63/2-I63/1000)^2))</f>
        <v>89.096759953050565</v>
      </c>
      <c r="K63" s="54">
        <f>IFERROR(WHOLE_STRUCTURE[[#This Row],[Bottom '[m']]]-WHOLE_STRUCTURE[[#This Row],[D, top '[m']]], "")</f>
        <v>-85.8</v>
      </c>
      <c r="L63" s="54">
        <f>IFERROR(-(WHOLE_STRUCTURE[[#This Row],[D, bottom '[m']]]-WHOLE_STRUCTURE[[#This Row],[D, top '[m']]])/(WHOLE_STRUCTURE[[#This Row],[Bottom '[m']]]-WHOLE_STRUCTURE[[#This Row],[Top '[m']]]),"")</f>
        <v>0</v>
      </c>
      <c r="M63" s="54">
        <f>IFERROR((WHOLE_STRUCTURE[[#This Row],[D, bottom '[m']]]+WHOLE_STRUCTURE[[#This Row],[D, top '[m']]])/(2*WHOLE_STRUCTURE[[#This Row],[t '[mm']]]/1000),"")</f>
        <v>119.79166666666666</v>
      </c>
    </row>
    <row r="64" spans="2:13" x14ac:dyDescent="0.3">
      <c r="B64" s="51">
        <v>52</v>
      </c>
      <c r="C64" s="51" t="s">
        <v>70</v>
      </c>
      <c r="D64" s="51">
        <v>24</v>
      </c>
      <c r="E64" s="51">
        <v>-74.3</v>
      </c>
      <c r="F64" s="51">
        <v>-77.44</v>
      </c>
      <c r="G64" s="51">
        <v>11.5</v>
      </c>
      <c r="H64" s="51">
        <v>11.5</v>
      </c>
      <c r="I64" s="51">
        <v>100</v>
      </c>
      <c r="J64" s="54">
        <f>IF(7850/1000*(1/3)*PI()*ABS(E64-F64)*((G64/2)^2+(G64/2)*(H64/2)+(H64/2)^2-(G64/2-I64/1000)^2-(G64/2-I64/1000)*(H64/2-I64/1000)-(H64/2-I64/1000)^2)=0,"",7850/1000*(1/3)*PI()*ABS(E64-F64)*((G64/2)^2+(G64/2)*(H64/2)+(H64/2)^2-(G64/2-I64/1000)^2-(G64/2-I64/1000)*(H64/2-I64/1000)-(H64/2-I64/1000)^2))</f>
        <v>88.278313742901631</v>
      </c>
      <c r="K64" s="54">
        <f>IFERROR(WHOLE_STRUCTURE[[#This Row],[Bottom '[m']]]-WHOLE_STRUCTURE[[#This Row],[D, top '[m']]], "")</f>
        <v>-88.94</v>
      </c>
      <c r="L64" s="54">
        <f>IFERROR(-(WHOLE_STRUCTURE[[#This Row],[D, bottom '[m']]]-WHOLE_STRUCTURE[[#This Row],[D, top '[m']]])/(WHOLE_STRUCTURE[[#This Row],[Bottom '[m']]]-WHOLE_STRUCTURE[[#This Row],[Top '[m']]]),"")</f>
        <v>0</v>
      </c>
      <c r="M64" s="54">
        <f>IFERROR((WHOLE_STRUCTURE[[#This Row],[D, bottom '[m']]]+WHOLE_STRUCTURE[[#This Row],[D, top '[m']]])/(2*WHOLE_STRUCTURE[[#This Row],[t '[mm']]]/1000),"")</f>
        <v>115</v>
      </c>
    </row>
    <row r="65" spans="2:13" x14ac:dyDescent="0.3">
      <c r="B65" s="51">
        <v>53</v>
      </c>
      <c r="C65" s="51" t="s">
        <v>70</v>
      </c>
      <c r="D65" s="51">
        <v>25</v>
      </c>
      <c r="E65" s="51">
        <v>-77.44</v>
      </c>
      <c r="F65" s="51">
        <v>-80.44</v>
      </c>
      <c r="G65" s="51">
        <v>11.5</v>
      </c>
      <c r="H65" s="51">
        <v>11.5</v>
      </c>
      <c r="I65" s="51">
        <v>105</v>
      </c>
      <c r="J65" s="54">
        <f>IF(7850/1000*(1/3)*PI()*ABS(E65-F65)*((G65/2)^2+(G65/2)*(H65/2)+(H65/2)^2-(G65/2-I65/1000)^2-(G65/2-I65/1000)*(H65/2-I65/1000)-(H65/2-I65/1000)^2)=0,"",7850/1000*(1/3)*PI()*ABS(E65-F65)*((G65/2)^2+(G65/2)*(H65/2)+(H65/2)^2-(G65/2-I65/1000)^2-(G65/2-I65/1000)*(H65/2-I65/1000)-(H65/2-I65/1000)^2))</f>
        <v>88.520613003301008</v>
      </c>
      <c r="K65" s="54">
        <f>IFERROR(WHOLE_STRUCTURE[[#This Row],[Bottom '[m']]]-WHOLE_STRUCTURE[[#This Row],[D, top '[m']]], "")</f>
        <v>-91.94</v>
      </c>
      <c r="L65" s="54">
        <f>IFERROR(-(WHOLE_STRUCTURE[[#This Row],[D, bottom '[m']]]-WHOLE_STRUCTURE[[#This Row],[D, top '[m']]])/(WHOLE_STRUCTURE[[#This Row],[Bottom '[m']]]-WHOLE_STRUCTURE[[#This Row],[Top '[m']]]),"")</f>
        <v>0</v>
      </c>
      <c r="M65" s="54">
        <f>IFERROR((WHOLE_STRUCTURE[[#This Row],[D, bottom '[m']]]+WHOLE_STRUCTURE[[#This Row],[D, top '[m']]])/(2*WHOLE_STRUCTURE[[#This Row],[t '[mm']]]/1000),"")</f>
        <v>109.52380952380953</v>
      </c>
    </row>
    <row r="66" spans="2:13" x14ac:dyDescent="0.3">
      <c r="J66" s="54" t="str">
        <f>IF(7850/1000*(1/3)*PI()*ABS(E66-F66)*((G66/2)^2+(G66/2)*(H66/2)+(H66/2)^2-(G66/2-I66/1000)^2-(G66/2-I66/1000)*(H66/2-I66/1000)-(H66/2-I66/1000)^2)=0,"",7850/1000*(1/3)*PI()*ABS(E66-F66)*((G66/2)^2+(G66/2)*(H66/2)+(H66/2)^2-(G66/2-I66/1000)^2-(G66/2-I66/1000)*(H66/2-I66/1000)-(H66/2-I66/1000)^2))</f>
        <v/>
      </c>
      <c r="K66" s="54" t="str">
        <f>IFERROR(WHOLE_STRUCTURE[[#This Row],[Bottom '[m']]]-WHOLE_STRUCTURE[[#This Row],[D, top '[m']]], "")</f>
        <v/>
      </c>
      <c r="L66" s="54" t="str">
        <f>IFERROR(-(WHOLE_STRUCTURE[[#This Row],[D, bottom '[m']]]-WHOLE_STRUCTURE[[#This Row],[D, top '[m']]])/(WHOLE_STRUCTURE[[#This Row],[Bottom '[m']]]-WHOLE_STRUCTURE[[#This Row],[Top '[m']]]),"")</f>
        <v/>
      </c>
      <c r="M66" s="54" t="str">
        <f>IFERROR((WHOLE_STRUCTURE[[#This Row],[D, bottom '[m']]]+WHOLE_STRUCTURE[[#This Row],[D, top '[m']]])/(2*WHOLE_STRUCTURE[[#This Row],[t '[mm']]]/1000),"")</f>
        <v/>
      </c>
    </row>
    <row r="67" spans="2:13" x14ac:dyDescent="0.3">
      <c r="J67" s="54" t="str">
        <f t="shared" ref="J67:J130" si="3">IF(7850/1000*(1/3)*PI()*ABS(E67-F67)*((G67/2)^2+(G67/2)*(H67/2)+(H67/2)^2-(G67/2-I67/1000)^2-(G67/2-I67/1000)*(H67/2-I67/1000)-(H67/2-I67/1000)^2)=0,"",7850/1000*(1/3)*PI()*ABS(E67-F67)*((G67/2)^2+(G67/2)*(H67/2)+(H67/2)^2-(G67/2-I67/1000)^2-(G67/2-I67/1000)*(H67/2-I67/1000)-(H67/2-I67/1000)^2))</f>
        <v/>
      </c>
      <c r="K67" s="54" t="str">
        <f>IFERROR(WHOLE_STRUCTURE[[#This Row],[Bottom '[m']]]-WHOLE_STRUCTURE[[#This Row],[D, top '[m']]], "")</f>
        <v/>
      </c>
      <c r="L67" s="54" t="str">
        <f>IFERROR(-(WHOLE_STRUCTURE[[#This Row],[D, bottom '[m']]]-WHOLE_STRUCTURE[[#This Row],[D, top '[m']]])/(WHOLE_STRUCTURE[[#This Row],[Bottom '[m']]]-WHOLE_STRUCTURE[[#This Row],[Top '[m']]]),"")</f>
        <v/>
      </c>
      <c r="M67" s="54" t="str">
        <f>IFERROR((WHOLE_STRUCTURE[[#This Row],[D, bottom '[m']]]+WHOLE_STRUCTURE[[#This Row],[D, top '[m']]])/(2*WHOLE_STRUCTURE[[#This Row],[t '[mm']]]/1000),"")</f>
        <v/>
      </c>
    </row>
    <row r="68" spans="2:13" x14ac:dyDescent="0.3">
      <c r="J68" s="54" t="str">
        <f t="shared" si="3"/>
        <v/>
      </c>
      <c r="K68" s="54" t="str">
        <f>IFERROR(WHOLE_STRUCTURE[[#This Row],[Bottom '[m']]]-WHOLE_STRUCTURE[[#This Row],[D, top '[m']]], "")</f>
        <v/>
      </c>
      <c r="L68" s="54" t="str">
        <f>IFERROR(-(WHOLE_STRUCTURE[[#This Row],[D, bottom '[m']]]-WHOLE_STRUCTURE[[#This Row],[D, top '[m']]])/(WHOLE_STRUCTURE[[#This Row],[Bottom '[m']]]-WHOLE_STRUCTURE[[#This Row],[Top '[m']]]),"")</f>
        <v/>
      </c>
      <c r="M68" s="54" t="str">
        <f>IFERROR((WHOLE_STRUCTURE[[#This Row],[D, bottom '[m']]]+WHOLE_STRUCTURE[[#This Row],[D, top '[m']]])/(2*WHOLE_STRUCTURE[[#This Row],[t '[mm']]]/1000),"")</f>
        <v/>
      </c>
    </row>
    <row r="69" spans="2:13" x14ac:dyDescent="0.3">
      <c r="J69" s="54" t="str">
        <f t="shared" si="3"/>
        <v/>
      </c>
      <c r="K69" s="54" t="str">
        <f>IFERROR(WHOLE_STRUCTURE[[#This Row],[Bottom '[m']]]-WHOLE_STRUCTURE[[#This Row],[D, top '[m']]], "")</f>
        <v/>
      </c>
      <c r="L69" s="54" t="str">
        <f>IFERROR(-(WHOLE_STRUCTURE[[#This Row],[D, bottom '[m']]]-WHOLE_STRUCTURE[[#This Row],[D, top '[m']]])/(WHOLE_STRUCTURE[[#This Row],[Bottom '[m']]]-WHOLE_STRUCTURE[[#This Row],[Top '[m']]]),"")</f>
        <v/>
      </c>
      <c r="M69" s="54" t="str">
        <f>IFERROR((WHOLE_STRUCTURE[[#This Row],[D, bottom '[m']]]+WHOLE_STRUCTURE[[#This Row],[D, top '[m']]])/(2*WHOLE_STRUCTURE[[#This Row],[t '[mm']]]/1000),"")</f>
        <v/>
      </c>
    </row>
    <row r="70" spans="2:13" x14ac:dyDescent="0.3">
      <c r="J70" s="54" t="str">
        <f t="shared" si="3"/>
        <v/>
      </c>
      <c r="K70" s="54" t="str">
        <f>IFERROR(WHOLE_STRUCTURE[[#This Row],[Bottom '[m']]]-WHOLE_STRUCTURE[[#This Row],[D, top '[m']]], "")</f>
        <v/>
      </c>
      <c r="L70" s="54" t="str">
        <f>IFERROR(-(WHOLE_STRUCTURE[[#This Row],[D, bottom '[m']]]-WHOLE_STRUCTURE[[#This Row],[D, top '[m']]])/(WHOLE_STRUCTURE[[#This Row],[Bottom '[m']]]-WHOLE_STRUCTURE[[#This Row],[Top '[m']]]),"")</f>
        <v/>
      </c>
      <c r="M70" s="54" t="str">
        <f>IFERROR((WHOLE_STRUCTURE[[#This Row],[D, bottom '[m']]]+WHOLE_STRUCTURE[[#This Row],[D, top '[m']]])/(2*WHOLE_STRUCTURE[[#This Row],[t '[mm']]]/1000),"")</f>
        <v/>
      </c>
    </row>
    <row r="71" spans="2:13" x14ac:dyDescent="0.3">
      <c r="J71" s="54" t="str">
        <f t="shared" si="3"/>
        <v/>
      </c>
      <c r="K71" s="54" t="str">
        <f>IFERROR(WHOLE_STRUCTURE[[#This Row],[Bottom '[m']]]-WHOLE_STRUCTURE[[#This Row],[D, top '[m']]], "")</f>
        <v/>
      </c>
      <c r="L71" s="54" t="str">
        <f>IFERROR(-(WHOLE_STRUCTURE[[#This Row],[D, bottom '[m']]]-WHOLE_STRUCTURE[[#This Row],[D, top '[m']]])/(WHOLE_STRUCTURE[[#This Row],[Bottom '[m']]]-WHOLE_STRUCTURE[[#This Row],[Top '[m']]]),"")</f>
        <v/>
      </c>
      <c r="M71" s="54" t="str">
        <f>IFERROR((WHOLE_STRUCTURE[[#This Row],[D, bottom '[m']]]+WHOLE_STRUCTURE[[#This Row],[D, top '[m']]])/(2*WHOLE_STRUCTURE[[#This Row],[t '[mm']]]/1000),"")</f>
        <v/>
      </c>
    </row>
    <row r="72" spans="2:13" x14ac:dyDescent="0.3">
      <c r="J72" s="54" t="str">
        <f t="shared" si="3"/>
        <v/>
      </c>
      <c r="K72" s="54" t="str">
        <f>IFERROR(WHOLE_STRUCTURE[[#This Row],[Bottom '[m']]]-WHOLE_STRUCTURE[[#This Row],[D, top '[m']]], "")</f>
        <v/>
      </c>
      <c r="L72" s="54" t="str">
        <f>IFERROR(-(WHOLE_STRUCTURE[[#This Row],[D, bottom '[m']]]-WHOLE_STRUCTURE[[#This Row],[D, top '[m']]])/(WHOLE_STRUCTURE[[#This Row],[Bottom '[m']]]-WHOLE_STRUCTURE[[#This Row],[Top '[m']]]),"")</f>
        <v/>
      </c>
      <c r="M72" s="54" t="str">
        <f>IFERROR((WHOLE_STRUCTURE[[#This Row],[D, bottom '[m']]]+WHOLE_STRUCTURE[[#This Row],[D, top '[m']]])/(2*WHOLE_STRUCTURE[[#This Row],[t '[mm']]]/1000),"")</f>
        <v/>
      </c>
    </row>
    <row r="73" spans="2:13" x14ac:dyDescent="0.3">
      <c r="J73" s="54" t="str">
        <f t="shared" si="3"/>
        <v/>
      </c>
      <c r="K73" s="54" t="str">
        <f>IFERROR(WHOLE_STRUCTURE[[#This Row],[Bottom '[m']]]-WHOLE_STRUCTURE[[#This Row],[D, top '[m']]], "")</f>
        <v/>
      </c>
      <c r="L73" s="54" t="str">
        <f>IFERROR(-(WHOLE_STRUCTURE[[#This Row],[D, bottom '[m']]]-WHOLE_STRUCTURE[[#This Row],[D, top '[m']]])/(WHOLE_STRUCTURE[[#This Row],[Bottom '[m']]]-WHOLE_STRUCTURE[[#This Row],[Top '[m']]]),"")</f>
        <v/>
      </c>
      <c r="M73" s="54" t="str">
        <f>IFERROR((WHOLE_STRUCTURE[[#This Row],[D, bottom '[m']]]+WHOLE_STRUCTURE[[#This Row],[D, top '[m']]])/(2*WHOLE_STRUCTURE[[#This Row],[t '[mm']]]/1000),"")</f>
        <v/>
      </c>
    </row>
    <row r="74" spans="2:13" x14ac:dyDescent="0.3">
      <c r="J74" s="54" t="str">
        <f t="shared" si="3"/>
        <v/>
      </c>
      <c r="K74" s="54" t="str">
        <f>IFERROR(WHOLE_STRUCTURE[[#This Row],[Bottom '[m']]]-WHOLE_STRUCTURE[[#This Row],[D, top '[m']]], "")</f>
        <v/>
      </c>
      <c r="L74" s="54" t="str">
        <f>IFERROR(-(WHOLE_STRUCTURE[[#This Row],[D, bottom '[m']]]-WHOLE_STRUCTURE[[#This Row],[D, top '[m']]])/(WHOLE_STRUCTURE[[#This Row],[Bottom '[m']]]-WHOLE_STRUCTURE[[#This Row],[Top '[m']]]),"")</f>
        <v/>
      </c>
      <c r="M74" s="54" t="str">
        <f>IFERROR((WHOLE_STRUCTURE[[#This Row],[D, bottom '[m']]]+WHOLE_STRUCTURE[[#This Row],[D, top '[m']]])/(2*WHOLE_STRUCTURE[[#This Row],[t '[mm']]]/1000),"")</f>
        <v/>
      </c>
    </row>
    <row r="75" spans="2:13" x14ac:dyDescent="0.3">
      <c r="J75" s="54" t="str">
        <f t="shared" si="3"/>
        <v/>
      </c>
      <c r="K75" s="54" t="str">
        <f>IFERROR(WHOLE_STRUCTURE[[#This Row],[Bottom '[m']]]-WHOLE_STRUCTURE[[#This Row],[D, top '[m']]], "")</f>
        <v/>
      </c>
      <c r="L75" s="54" t="str">
        <f>IFERROR(-(WHOLE_STRUCTURE[[#This Row],[D, bottom '[m']]]-WHOLE_STRUCTURE[[#This Row],[D, top '[m']]])/(WHOLE_STRUCTURE[[#This Row],[Bottom '[m']]]-WHOLE_STRUCTURE[[#This Row],[Top '[m']]]),"")</f>
        <v/>
      </c>
      <c r="M75" s="54" t="str">
        <f>IFERROR((WHOLE_STRUCTURE[[#This Row],[D, bottom '[m']]]+WHOLE_STRUCTURE[[#This Row],[D, top '[m']]])/(2*WHOLE_STRUCTURE[[#This Row],[t '[mm']]]/1000),"")</f>
        <v/>
      </c>
    </row>
    <row r="76" spans="2:13" x14ac:dyDescent="0.3">
      <c r="J76" s="54" t="str">
        <f t="shared" si="3"/>
        <v/>
      </c>
      <c r="K76" s="54" t="str">
        <f>IFERROR(WHOLE_STRUCTURE[[#This Row],[Bottom '[m']]]-WHOLE_STRUCTURE[[#This Row],[D, top '[m']]], "")</f>
        <v/>
      </c>
      <c r="L76" s="54" t="str">
        <f>IFERROR(-(WHOLE_STRUCTURE[[#This Row],[D, bottom '[m']]]-WHOLE_STRUCTURE[[#This Row],[D, top '[m']]])/(WHOLE_STRUCTURE[[#This Row],[Bottom '[m']]]-WHOLE_STRUCTURE[[#This Row],[Top '[m']]]),"")</f>
        <v/>
      </c>
      <c r="M76" s="54" t="str">
        <f>IFERROR((WHOLE_STRUCTURE[[#This Row],[D, bottom '[m']]]+WHOLE_STRUCTURE[[#This Row],[D, top '[m']]])/(2*WHOLE_STRUCTURE[[#This Row],[t '[mm']]]/1000),"")</f>
        <v/>
      </c>
    </row>
    <row r="77" spans="2:13" x14ac:dyDescent="0.3">
      <c r="J77" s="54" t="str">
        <f t="shared" si="3"/>
        <v/>
      </c>
      <c r="K77" s="54" t="str">
        <f>IFERROR(WHOLE_STRUCTURE[[#This Row],[Bottom '[m']]]-WHOLE_STRUCTURE[[#This Row],[D, top '[m']]], "")</f>
        <v/>
      </c>
      <c r="L77" s="54" t="str">
        <f>IFERROR(-(WHOLE_STRUCTURE[[#This Row],[D, bottom '[m']]]-WHOLE_STRUCTURE[[#This Row],[D, top '[m']]])/(WHOLE_STRUCTURE[[#This Row],[Bottom '[m']]]-WHOLE_STRUCTURE[[#This Row],[Top '[m']]]),"")</f>
        <v/>
      </c>
      <c r="M77" s="54" t="str">
        <f>IFERROR((WHOLE_STRUCTURE[[#This Row],[D, bottom '[m']]]+WHOLE_STRUCTURE[[#This Row],[D, top '[m']]])/(2*WHOLE_STRUCTURE[[#This Row],[t '[mm']]]/1000),"")</f>
        <v/>
      </c>
    </row>
    <row r="78" spans="2:13" x14ac:dyDescent="0.3">
      <c r="J78" s="54" t="str">
        <f t="shared" si="3"/>
        <v/>
      </c>
      <c r="K78" s="54" t="str">
        <f>IFERROR(WHOLE_STRUCTURE[[#This Row],[Bottom '[m']]]-WHOLE_STRUCTURE[[#This Row],[D, top '[m']]], "")</f>
        <v/>
      </c>
      <c r="L78" s="54" t="str">
        <f>IFERROR(-(WHOLE_STRUCTURE[[#This Row],[D, bottom '[m']]]-WHOLE_STRUCTURE[[#This Row],[D, top '[m']]])/(WHOLE_STRUCTURE[[#This Row],[Bottom '[m']]]-WHOLE_STRUCTURE[[#This Row],[Top '[m']]]),"")</f>
        <v/>
      </c>
      <c r="M78" s="54" t="str">
        <f>IFERROR((WHOLE_STRUCTURE[[#This Row],[D, bottom '[m']]]+WHOLE_STRUCTURE[[#This Row],[D, top '[m']]])/(2*WHOLE_STRUCTURE[[#This Row],[t '[mm']]]/1000),"")</f>
        <v/>
      </c>
    </row>
    <row r="79" spans="2:13" x14ac:dyDescent="0.3">
      <c r="J79" s="54" t="str">
        <f t="shared" si="3"/>
        <v/>
      </c>
      <c r="K79" s="54" t="str">
        <f>IFERROR(WHOLE_STRUCTURE[[#This Row],[Bottom '[m']]]-WHOLE_STRUCTURE[[#This Row],[D, top '[m']]], "")</f>
        <v/>
      </c>
      <c r="L79" s="54" t="str">
        <f>IFERROR(-(WHOLE_STRUCTURE[[#This Row],[D, bottom '[m']]]-WHOLE_STRUCTURE[[#This Row],[D, top '[m']]])/(WHOLE_STRUCTURE[[#This Row],[Bottom '[m']]]-WHOLE_STRUCTURE[[#This Row],[Top '[m']]]),"")</f>
        <v/>
      </c>
      <c r="M79" s="54" t="str">
        <f>IFERROR((WHOLE_STRUCTURE[[#This Row],[D, bottom '[m']]]+WHOLE_STRUCTURE[[#This Row],[D, top '[m']]])/(2*WHOLE_STRUCTURE[[#This Row],[t '[mm']]]/1000),"")</f>
        <v/>
      </c>
    </row>
    <row r="80" spans="2:13" x14ac:dyDescent="0.3">
      <c r="J80" s="54" t="str">
        <f t="shared" si="3"/>
        <v/>
      </c>
      <c r="K80" s="54" t="str">
        <f>IFERROR(WHOLE_STRUCTURE[[#This Row],[Bottom '[m']]]-WHOLE_STRUCTURE[[#This Row],[D, top '[m']]], "")</f>
        <v/>
      </c>
      <c r="L80" s="54" t="str">
        <f>IFERROR(-(WHOLE_STRUCTURE[[#This Row],[D, bottom '[m']]]-WHOLE_STRUCTURE[[#This Row],[D, top '[m']]])/(WHOLE_STRUCTURE[[#This Row],[Bottom '[m']]]-WHOLE_STRUCTURE[[#This Row],[Top '[m']]]),"")</f>
        <v/>
      </c>
      <c r="M80" s="54" t="str">
        <f>IFERROR((WHOLE_STRUCTURE[[#This Row],[D, bottom '[m']]]+WHOLE_STRUCTURE[[#This Row],[D, top '[m']]])/(2*WHOLE_STRUCTURE[[#This Row],[t '[mm']]]/1000),"")</f>
        <v/>
      </c>
    </row>
    <row r="81" spans="10:13" x14ac:dyDescent="0.3">
      <c r="J81" s="54" t="str">
        <f t="shared" si="3"/>
        <v/>
      </c>
      <c r="K81" s="54" t="str">
        <f>IFERROR(WHOLE_STRUCTURE[[#This Row],[Bottom '[m']]]-WHOLE_STRUCTURE[[#This Row],[D, top '[m']]], "")</f>
        <v/>
      </c>
      <c r="L81" s="54" t="str">
        <f>IFERROR(-(WHOLE_STRUCTURE[[#This Row],[D, bottom '[m']]]-WHOLE_STRUCTURE[[#This Row],[D, top '[m']]])/(WHOLE_STRUCTURE[[#This Row],[Bottom '[m']]]-WHOLE_STRUCTURE[[#This Row],[Top '[m']]]),"")</f>
        <v/>
      </c>
      <c r="M81" s="54" t="str">
        <f>IFERROR((WHOLE_STRUCTURE[[#This Row],[D, bottom '[m']]]+WHOLE_STRUCTURE[[#This Row],[D, top '[m']]])/(2*WHOLE_STRUCTURE[[#This Row],[t '[mm']]]/1000),"")</f>
        <v/>
      </c>
    </row>
    <row r="82" spans="10:13" x14ac:dyDescent="0.3">
      <c r="J82" s="54" t="str">
        <f t="shared" si="3"/>
        <v/>
      </c>
      <c r="K82" s="54" t="str">
        <f>IFERROR(WHOLE_STRUCTURE[[#This Row],[Bottom '[m']]]-WHOLE_STRUCTURE[[#This Row],[D, top '[m']]], "")</f>
        <v/>
      </c>
      <c r="L82" s="54" t="str">
        <f>IFERROR(-(WHOLE_STRUCTURE[[#This Row],[D, bottom '[m']]]-WHOLE_STRUCTURE[[#This Row],[D, top '[m']]])/(WHOLE_STRUCTURE[[#This Row],[Bottom '[m']]]-WHOLE_STRUCTURE[[#This Row],[Top '[m']]]),"")</f>
        <v/>
      </c>
      <c r="M82" s="54" t="str">
        <f>IFERROR((WHOLE_STRUCTURE[[#This Row],[D, bottom '[m']]]+WHOLE_STRUCTURE[[#This Row],[D, top '[m']]])/(2*WHOLE_STRUCTURE[[#This Row],[t '[mm']]]/1000),"")</f>
        <v/>
      </c>
    </row>
    <row r="83" spans="10:13" x14ac:dyDescent="0.3">
      <c r="J83" s="54" t="str">
        <f t="shared" si="3"/>
        <v/>
      </c>
      <c r="K83" s="54" t="str">
        <f>IFERROR(WHOLE_STRUCTURE[[#This Row],[Bottom '[m']]]-WHOLE_STRUCTURE[[#This Row],[D, top '[m']]], "")</f>
        <v/>
      </c>
      <c r="L83" s="54" t="str">
        <f>IFERROR(-(WHOLE_STRUCTURE[[#This Row],[D, bottom '[m']]]-WHOLE_STRUCTURE[[#This Row],[D, top '[m']]])/(WHOLE_STRUCTURE[[#This Row],[Bottom '[m']]]-WHOLE_STRUCTURE[[#This Row],[Top '[m']]]),"")</f>
        <v/>
      </c>
      <c r="M83" s="54" t="str">
        <f>IFERROR((WHOLE_STRUCTURE[[#This Row],[D, bottom '[m']]]+WHOLE_STRUCTURE[[#This Row],[D, top '[m']]])/(2*WHOLE_STRUCTURE[[#This Row],[t '[mm']]]/1000),"")</f>
        <v/>
      </c>
    </row>
    <row r="84" spans="10:13" x14ac:dyDescent="0.3">
      <c r="J84" s="54" t="str">
        <f t="shared" si="3"/>
        <v/>
      </c>
      <c r="K84" s="54" t="str">
        <f>IFERROR(WHOLE_STRUCTURE[[#This Row],[Bottom '[m']]]-WHOLE_STRUCTURE[[#This Row],[D, top '[m']]], "")</f>
        <v/>
      </c>
      <c r="L84" s="54" t="str">
        <f>IFERROR(-(WHOLE_STRUCTURE[[#This Row],[D, bottom '[m']]]-WHOLE_STRUCTURE[[#This Row],[D, top '[m']]])/(WHOLE_STRUCTURE[[#This Row],[Bottom '[m']]]-WHOLE_STRUCTURE[[#This Row],[Top '[m']]]),"")</f>
        <v/>
      </c>
      <c r="M84" s="54" t="str">
        <f>IFERROR((WHOLE_STRUCTURE[[#This Row],[D, bottom '[m']]]+WHOLE_STRUCTURE[[#This Row],[D, top '[m']]])/(2*WHOLE_STRUCTURE[[#This Row],[t '[mm']]]/1000),"")</f>
        <v/>
      </c>
    </row>
    <row r="85" spans="10:13" x14ac:dyDescent="0.3">
      <c r="J85" s="54" t="str">
        <f t="shared" si="3"/>
        <v/>
      </c>
      <c r="K85" s="54" t="str">
        <f>IFERROR(WHOLE_STRUCTURE[[#This Row],[Bottom '[m']]]-WHOLE_STRUCTURE[[#This Row],[D, top '[m']]], "")</f>
        <v/>
      </c>
      <c r="L85" s="54" t="str">
        <f>IFERROR(-(WHOLE_STRUCTURE[[#This Row],[D, bottom '[m']]]-WHOLE_STRUCTURE[[#This Row],[D, top '[m']]])/(WHOLE_STRUCTURE[[#This Row],[Bottom '[m']]]-WHOLE_STRUCTURE[[#This Row],[Top '[m']]]),"")</f>
        <v/>
      </c>
      <c r="M85" s="54" t="str">
        <f>IFERROR((WHOLE_STRUCTURE[[#This Row],[D, bottom '[m']]]+WHOLE_STRUCTURE[[#This Row],[D, top '[m']]])/(2*WHOLE_STRUCTURE[[#This Row],[t '[mm']]]/1000),"")</f>
        <v/>
      </c>
    </row>
    <row r="86" spans="10:13" x14ac:dyDescent="0.3">
      <c r="J86" s="54" t="str">
        <f t="shared" si="3"/>
        <v/>
      </c>
      <c r="K86" s="54" t="str">
        <f>IFERROR(WHOLE_STRUCTURE[[#This Row],[Bottom '[m']]]-WHOLE_STRUCTURE[[#This Row],[D, top '[m']]], "")</f>
        <v/>
      </c>
      <c r="L86" s="54" t="str">
        <f>IFERROR(-(WHOLE_STRUCTURE[[#This Row],[D, bottom '[m']]]-WHOLE_STRUCTURE[[#This Row],[D, top '[m']]])/(WHOLE_STRUCTURE[[#This Row],[Bottom '[m']]]-WHOLE_STRUCTURE[[#This Row],[Top '[m']]]),"")</f>
        <v/>
      </c>
      <c r="M86" s="54" t="str">
        <f>IFERROR((WHOLE_STRUCTURE[[#This Row],[D, bottom '[m']]]+WHOLE_STRUCTURE[[#This Row],[D, top '[m']]])/(2*WHOLE_STRUCTURE[[#This Row],[t '[mm']]]/1000),"")</f>
        <v/>
      </c>
    </row>
    <row r="87" spans="10:13" x14ac:dyDescent="0.3">
      <c r="J87" s="54" t="str">
        <f t="shared" si="3"/>
        <v/>
      </c>
      <c r="K87" s="54" t="str">
        <f>IFERROR(WHOLE_STRUCTURE[[#This Row],[Bottom '[m']]]-WHOLE_STRUCTURE[[#This Row],[D, top '[m']]], "")</f>
        <v/>
      </c>
      <c r="L87" s="54" t="str">
        <f>IFERROR(-(WHOLE_STRUCTURE[[#This Row],[D, bottom '[m']]]-WHOLE_STRUCTURE[[#This Row],[D, top '[m']]])/(WHOLE_STRUCTURE[[#This Row],[Bottom '[m']]]-WHOLE_STRUCTURE[[#This Row],[Top '[m']]]),"")</f>
        <v/>
      </c>
      <c r="M87" s="54" t="str">
        <f>IFERROR((WHOLE_STRUCTURE[[#This Row],[D, bottom '[m']]]+WHOLE_STRUCTURE[[#This Row],[D, top '[m']]])/(2*WHOLE_STRUCTURE[[#This Row],[t '[mm']]]/1000),"")</f>
        <v/>
      </c>
    </row>
    <row r="88" spans="10:13" x14ac:dyDescent="0.3">
      <c r="J88" s="54" t="str">
        <f t="shared" si="3"/>
        <v/>
      </c>
      <c r="K88" s="54" t="str">
        <f>IFERROR(WHOLE_STRUCTURE[[#This Row],[Bottom '[m']]]-WHOLE_STRUCTURE[[#This Row],[D, top '[m']]], "")</f>
        <v/>
      </c>
      <c r="L88" s="54" t="str">
        <f>IFERROR(-(WHOLE_STRUCTURE[[#This Row],[D, bottom '[m']]]-WHOLE_STRUCTURE[[#This Row],[D, top '[m']]])/(WHOLE_STRUCTURE[[#This Row],[Bottom '[m']]]-WHOLE_STRUCTURE[[#This Row],[Top '[m']]]),"")</f>
        <v/>
      </c>
      <c r="M88" s="54" t="str">
        <f>IFERROR((WHOLE_STRUCTURE[[#This Row],[D, bottom '[m']]]+WHOLE_STRUCTURE[[#This Row],[D, top '[m']]])/(2*WHOLE_STRUCTURE[[#This Row],[t '[mm']]]/1000),"")</f>
        <v/>
      </c>
    </row>
    <row r="89" spans="10:13" x14ac:dyDescent="0.3">
      <c r="J89" s="54" t="str">
        <f t="shared" si="3"/>
        <v/>
      </c>
      <c r="K89" s="54" t="str">
        <f>IFERROR(WHOLE_STRUCTURE[[#This Row],[Bottom '[m']]]-WHOLE_STRUCTURE[[#This Row],[D, top '[m']]], "")</f>
        <v/>
      </c>
      <c r="L89" s="54" t="str">
        <f>IFERROR(-(WHOLE_STRUCTURE[[#This Row],[D, bottom '[m']]]-WHOLE_STRUCTURE[[#This Row],[D, top '[m']]])/(WHOLE_STRUCTURE[[#This Row],[Bottom '[m']]]-WHOLE_STRUCTURE[[#This Row],[Top '[m']]]),"")</f>
        <v/>
      </c>
      <c r="M89" s="54" t="str">
        <f>IFERROR((WHOLE_STRUCTURE[[#This Row],[D, bottom '[m']]]+WHOLE_STRUCTURE[[#This Row],[D, top '[m']]])/(2*WHOLE_STRUCTURE[[#This Row],[t '[mm']]]/1000),"")</f>
        <v/>
      </c>
    </row>
    <row r="90" spans="10:13" x14ac:dyDescent="0.3">
      <c r="J90" s="54" t="str">
        <f t="shared" si="3"/>
        <v/>
      </c>
      <c r="K90" s="54" t="str">
        <f>IFERROR(WHOLE_STRUCTURE[[#This Row],[Bottom '[m']]]-WHOLE_STRUCTURE[[#This Row],[D, top '[m']]], "")</f>
        <v/>
      </c>
      <c r="L90" s="54" t="str">
        <f>IFERROR(-(WHOLE_STRUCTURE[[#This Row],[D, bottom '[m']]]-WHOLE_STRUCTURE[[#This Row],[D, top '[m']]])/(WHOLE_STRUCTURE[[#This Row],[Bottom '[m']]]-WHOLE_STRUCTURE[[#This Row],[Top '[m']]]),"")</f>
        <v/>
      </c>
      <c r="M90" s="54" t="str">
        <f>IFERROR((WHOLE_STRUCTURE[[#This Row],[D, bottom '[m']]]+WHOLE_STRUCTURE[[#This Row],[D, top '[m']]])/(2*WHOLE_STRUCTURE[[#This Row],[t '[mm']]]/1000),"")</f>
        <v/>
      </c>
    </row>
    <row r="91" spans="10:13" x14ac:dyDescent="0.3">
      <c r="J91" s="54" t="str">
        <f t="shared" si="3"/>
        <v/>
      </c>
      <c r="K91" s="54" t="str">
        <f>IFERROR(WHOLE_STRUCTURE[[#This Row],[Bottom '[m']]]-WHOLE_STRUCTURE[[#This Row],[D, top '[m']]], "")</f>
        <v/>
      </c>
      <c r="L91" s="54" t="str">
        <f>IFERROR(-(WHOLE_STRUCTURE[[#This Row],[D, bottom '[m']]]-WHOLE_STRUCTURE[[#This Row],[D, top '[m']]])/(WHOLE_STRUCTURE[[#This Row],[Bottom '[m']]]-WHOLE_STRUCTURE[[#This Row],[Top '[m']]]),"")</f>
        <v/>
      </c>
      <c r="M91" s="54" t="str">
        <f>IFERROR((WHOLE_STRUCTURE[[#This Row],[D, bottom '[m']]]+WHOLE_STRUCTURE[[#This Row],[D, top '[m']]])/(2*WHOLE_STRUCTURE[[#This Row],[t '[mm']]]/1000),"")</f>
        <v/>
      </c>
    </row>
    <row r="92" spans="10:13" x14ac:dyDescent="0.3">
      <c r="J92" s="54" t="str">
        <f t="shared" si="3"/>
        <v/>
      </c>
      <c r="K92" s="54" t="str">
        <f>IFERROR(WHOLE_STRUCTURE[[#This Row],[Bottom '[m']]]-WHOLE_STRUCTURE[[#This Row],[D, top '[m']]], "")</f>
        <v/>
      </c>
      <c r="L92" s="54" t="str">
        <f>IFERROR(-(WHOLE_STRUCTURE[[#This Row],[D, bottom '[m']]]-WHOLE_STRUCTURE[[#This Row],[D, top '[m']]])/(WHOLE_STRUCTURE[[#This Row],[Bottom '[m']]]-WHOLE_STRUCTURE[[#This Row],[Top '[m']]]),"")</f>
        <v/>
      </c>
      <c r="M92" s="54" t="str">
        <f>IFERROR((WHOLE_STRUCTURE[[#This Row],[D, bottom '[m']]]+WHOLE_STRUCTURE[[#This Row],[D, top '[m']]])/(2*WHOLE_STRUCTURE[[#This Row],[t '[mm']]]/1000),"")</f>
        <v/>
      </c>
    </row>
    <row r="93" spans="10:13" x14ac:dyDescent="0.3">
      <c r="J93" s="54" t="str">
        <f t="shared" si="3"/>
        <v/>
      </c>
      <c r="K93" s="54" t="str">
        <f>IFERROR(WHOLE_STRUCTURE[[#This Row],[Bottom '[m']]]-WHOLE_STRUCTURE[[#This Row],[D, top '[m']]], "")</f>
        <v/>
      </c>
      <c r="L93" s="54" t="str">
        <f>IFERROR(-(WHOLE_STRUCTURE[[#This Row],[D, bottom '[m']]]-WHOLE_STRUCTURE[[#This Row],[D, top '[m']]])/(WHOLE_STRUCTURE[[#This Row],[Bottom '[m']]]-WHOLE_STRUCTURE[[#This Row],[Top '[m']]]),"")</f>
        <v/>
      </c>
      <c r="M93" s="54" t="str">
        <f>IFERROR((WHOLE_STRUCTURE[[#This Row],[D, bottom '[m']]]+WHOLE_STRUCTURE[[#This Row],[D, top '[m']]])/(2*WHOLE_STRUCTURE[[#This Row],[t '[mm']]]/1000),"")</f>
        <v/>
      </c>
    </row>
    <row r="94" spans="10:13" x14ac:dyDescent="0.3">
      <c r="J94" s="54" t="str">
        <f t="shared" si="3"/>
        <v/>
      </c>
      <c r="K94" s="54" t="str">
        <f>IFERROR(WHOLE_STRUCTURE[[#This Row],[Bottom '[m']]]-WHOLE_STRUCTURE[[#This Row],[D, top '[m']]], "")</f>
        <v/>
      </c>
      <c r="L94" s="54" t="str">
        <f>IFERROR(-(WHOLE_STRUCTURE[[#This Row],[D, bottom '[m']]]-WHOLE_STRUCTURE[[#This Row],[D, top '[m']]])/(WHOLE_STRUCTURE[[#This Row],[Bottom '[m']]]-WHOLE_STRUCTURE[[#This Row],[Top '[m']]]),"")</f>
        <v/>
      </c>
      <c r="M94" s="54" t="str">
        <f>IFERROR((WHOLE_STRUCTURE[[#This Row],[D, bottom '[m']]]+WHOLE_STRUCTURE[[#This Row],[D, top '[m']]])/(2*WHOLE_STRUCTURE[[#This Row],[t '[mm']]]/1000),"")</f>
        <v/>
      </c>
    </row>
    <row r="95" spans="10:13" x14ac:dyDescent="0.3">
      <c r="J95" s="54" t="str">
        <f t="shared" si="3"/>
        <v/>
      </c>
      <c r="K95" s="54" t="str">
        <f>IFERROR(WHOLE_STRUCTURE[[#This Row],[Bottom '[m']]]-WHOLE_STRUCTURE[[#This Row],[D, top '[m']]], "")</f>
        <v/>
      </c>
      <c r="L95" s="54" t="str">
        <f>IFERROR(-(WHOLE_STRUCTURE[[#This Row],[D, bottom '[m']]]-WHOLE_STRUCTURE[[#This Row],[D, top '[m']]])/(WHOLE_STRUCTURE[[#This Row],[Bottom '[m']]]-WHOLE_STRUCTURE[[#This Row],[Top '[m']]]),"")</f>
        <v/>
      </c>
      <c r="M95" s="54" t="str">
        <f>IFERROR((WHOLE_STRUCTURE[[#This Row],[D, bottom '[m']]]+WHOLE_STRUCTURE[[#This Row],[D, top '[m']]])/(2*WHOLE_STRUCTURE[[#This Row],[t '[mm']]]/1000),"")</f>
        <v/>
      </c>
    </row>
    <row r="96" spans="10:13" x14ac:dyDescent="0.3">
      <c r="J96" s="54" t="str">
        <f t="shared" si="3"/>
        <v/>
      </c>
      <c r="K96" s="54" t="str">
        <f>IFERROR(WHOLE_STRUCTURE[[#This Row],[Bottom '[m']]]-WHOLE_STRUCTURE[[#This Row],[D, top '[m']]], "")</f>
        <v/>
      </c>
      <c r="L96" s="54" t="str">
        <f>IFERROR(-(WHOLE_STRUCTURE[[#This Row],[D, bottom '[m']]]-WHOLE_STRUCTURE[[#This Row],[D, top '[m']]])/(WHOLE_STRUCTURE[[#This Row],[Bottom '[m']]]-WHOLE_STRUCTURE[[#This Row],[Top '[m']]]),"")</f>
        <v/>
      </c>
      <c r="M96" s="54" t="str">
        <f>IFERROR((WHOLE_STRUCTURE[[#This Row],[D, bottom '[m']]]+WHOLE_STRUCTURE[[#This Row],[D, top '[m']]])/(2*WHOLE_STRUCTURE[[#This Row],[t '[mm']]]/1000),"")</f>
        <v/>
      </c>
    </row>
    <row r="97" spans="10:13" x14ac:dyDescent="0.3">
      <c r="J97" s="54" t="str">
        <f t="shared" si="3"/>
        <v/>
      </c>
      <c r="K97" s="54" t="str">
        <f>IFERROR(WHOLE_STRUCTURE[[#This Row],[Bottom '[m']]]-WHOLE_STRUCTURE[[#This Row],[D, top '[m']]], "")</f>
        <v/>
      </c>
      <c r="L97" s="54" t="str">
        <f>IFERROR(-(WHOLE_STRUCTURE[[#This Row],[D, bottom '[m']]]-WHOLE_STRUCTURE[[#This Row],[D, top '[m']]])/(WHOLE_STRUCTURE[[#This Row],[Bottom '[m']]]-WHOLE_STRUCTURE[[#This Row],[Top '[m']]]),"")</f>
        <v/>
      </c>
      <c r="M97" s="54" t="str">
        <f>IFERROR((WHOLE_STRUCTURE[[#This Row],[D, bottom '[m']]]+WHOLE_STRUCTURE[[#This Row],[D, top '[m']]])/(2*WHOLE_STRUCTURE[[#This Row],[t '[mm']]]/1000),"")</f>
        <v/>
      </c>
    </row>
    <row r="98" spans="10:13" x14ac:dyDescent="0.3">
      <c r="J98" s="54" t="str">
        <f t="shared" si="3"/>
        <v/>
      </c>
      <c r="K98" s="54" t="str">
        <f>IFERROR(WHOLE_STRUCTURE[[#This Row],[Bottom '[m']]]-WHOLE_STRUCTURE[[#This Row],[D, top '[m']]], "")</f>
        <v/>
      </c>
      <c r="L98" s="54" t="str">
        <f>IFERROR(-(WHOLE_STRUCTURE[[#This Row],[D, bottom '[m']]]-WHOLE_STRUCTURE[[#This Row],[D, top '[m']]])/(WHOLE_STRUCTURE[[#This Row],[Bottom '[m']]]-WHOLE_STRUCTURE[[#This Row],[Top '[m']]]),"")</f>
        <v/>
      </c>
      <c r="M98" s="54" t="str">
        <f>IFERROR((WHOLE_STRUCTURE[[#This Row],[D, bottom '[m']]]+WHOLE_STRUCTURE[[#This Row],[D, top '[m']]])/(2*WHOLE_STRUCTURE[[#This Row],[t '[mm']]]/1000),"")</f>
        <v/>
      </c>
    </row>
    <row r="99" spans="10:13" x14ac:dyDescent="0.3">
      <c r="J99" s="54" t="str">
        <f t="shared" si="3"/>
        <v/>
      </c>
      <c r="K99" s="54" t="str">
        <f>IFERROR(WHOLE_STRUCTURE[[#This Row],[Bottom '[m']]]-WHOLE_STRUCTURE[[#This Row],[D, top '[m']]], "")</f>
        <v/>
      </c>
      <c r="L99" s="54" t="str">
        <f>IFERROR(-(WHOLE_STRUCTURE[[#This Row],[D, bottom '[m']]]-WHOLE_STRUCTURE[[#This Row],[D, top '[m']]])/(WHOLE_STRUCTURE[[#This Row],[Bottom '[m']]]-WHOLE_STRUCTURE[[#This Row],[Top '[m']]]),"")</f>
        <v/>
      </c>
      <c r="M99" s="54" t="str">
        <f>IFERROR((WHOLE_STRUCTURE[[#This Row],[D, bottom '[m']]]+WHOLE_STRUCTURE[[#This Row],[D, top '[m']]])/(2*WHOLE_STRUCTURE[[#This Row],[t '[mm']]]/1000),"")</f>
        <v/>
      </c>
    </row>
    <row r="100" spans="10:13" x14ac:dyDescent="0.3">
      <c r="J100" s="54" t="str">
        <f t="shared" si="3"/>
        <v/>
      </c>
      <c r="K100" s="54" t="str">
        <f>IFERROR(WHOLE_STRUCTURE[[#This Row],[Bottom '[m']]]-WHOLE_STRUCTURE[[#This Row],[D, top '[m']]], "")</f>
        <v/>
      </c>
      <c r="L100" s="54" t="str">
        <f>IFERROR(-(WHOLE_STRUCTURE[[#This Row],[D, bottom '[m']]]-WHOLE_STRUCTURE[[#This Row],[D, top '[m']]])/(WHOLE_STRUCTURE[[#This Row],[Bottom '[m']]]-WHOLE_STRUCTURE[[#This Row],[Top '[m']]]),"")</f>
        <v/>
      </c>
      <c r="M100" s="54" t="str">
        <f>IFERROR((WHOLE_STRUCTURE[[#This Row],[D, bottom '[m']]]+WHOLE_STRUCTURE[[#This Row],[D, top '[m']]])/(2*WHOLE_STRUCTURE[[#This Row],[t '[mm']]]/1000),"")</f>
        <v/>
      </c>
    </row>
    <row r="101" spans="10:13" x14ac:dyDescent="0.3">
      <c r="J101" s="54" t="str">
        <f t="shared" si="3"/>
        <v/>
      </c>
      <c r="K101" s="54" t="str">
        <f>IFERROR(WHOLE_STRUCTURE[[#This Row],[Bottom '[m']]]-WHOLE_STRUCTURE[[#This Row],[D, top '[m']]], "")</f>
        <v/>
      </c>
      <c r="L101" s="54" t="str">
        <f>IFERROR(-(WHOLE_STRUCTURE[[#This Row],[D, bottom '[m']]]-WHOLE_STRUCTURE[[#This Row],[D, top '[m']]])/(WHOLE_STRUCTURE[[#This Row],[Bottom '[m']]]-WHOLE_STRUCTURE[[#This Row],[Top '[m']]]),"")</f>
        <v/>
      </c>
      <c r="M101" s="54" t="str">
        <f>IFERROR((WHOLE_STRUCTURE[[#This Row],[D, bottom '[m']]]+WHOLE_STRUCTURE[[#This Row],[D, top '[m']]])/(2*WHOLE_STRUCTURE[[#This Row],[t '[mm']]]/1000),"")</f>
        <v/>
      </c>
    </row>
    <row r="102" spans="10:13" x14ac:dyDescent="0.3">
      <c r="J102" s="54" t="str">
        <f t="shared" si="3"/>
        <v/>
      </c>
      <c r="K102" s="54" t="str">
        <f>IFERROR(WHOLE_STRUCTURE[[#This Row],[Bottom '[m']]]-WHOLE_STRUCTURE[[#This Row],[D, top '[m']]], "")</f>
        <v/>
      </c>
      <c r="L102" s="54" t="str">
        <f>IFERROR(-(WHOLE_STRUCTURE[[#This Row],[D, bottom '[m']]]-WHOLE_STRUCTURE[[#This Row],[D, top '[m']]])/(WHOLE_STRUCTURE[[#This Row],[Bottom '[m']]]-WHOLE_STRUCTURE[[#This Row],[Top '[m']]]),"")</f>
        <v/>
      </c>
      <c r="M102" s="54" t="str">
        <f>IFERROR((WHOLE_STRUCTURE[[#This Row],[D, bottom '[m']]]+WHOLE_STRUCTURE[[#This Row],[D, top '[m']]])/(2*WHOLE_STRUCTURE[[#This Row],[t '[mm']]]/1000),"")</f>
        <v/>
      </c>
    </row>
    <row r="103" spans="10:13" x14ac:dyDescent="0.3">
      <c r="J103" s="54" t="str">
        <f t="shared" si="3"/>
        <v/>
      </c>
      <c r="K103" s="54" t="str">
        <f>IFERROR(WHOLE_STRUCTURE[[#This Row],[Bottom '[m']]]-WHOLE_STRUCTURE[[#This Row],[D, top '[m']]], "")</f>
        <v/>
      </c>
      <c r="L103" s="54" t="str">
        <f>IFERROR(-(WHOLE_STRUCTURE[[#This Row],[D, bottom '[m']]]-WHOLE_STRUCTURE[[#This Row],[D, top '[m']]])/(WHOLE_STRUCTURE[[#This Row],[Bottom '[m']]]-WHOLE_STRUCTURE[[#This Row],[Top '[m']]]),"")</f>
        <v/>
      </c>
      <c r="M103" s="54" t="str">
        <f>IFERROR((WHOLE_STRUCTURE[[#This Row],[D, bottom '[m']]]+WHOLE_STRUCTURE[[#This Row],[D, top '[m']]])/(2*WHOLE_STRUCTURE[[#This Row],[t '[mm']]]/1000),"")</f>
        <v/>
      </c>
    </row>
    <row r="104" spans="10:13" x14ac:dyDescent="0.3">
      <c r="J104" s="54" t="str">
        <f t="shared" si="3"/>
        <v/>
      </c>
      <c r="K104" s="54" t="str">
        <f>IFERROR(WHOLE_STRUCTURE[[#This Row],[Bottom '[m']]]-WHOLE_STRUCTURE[[#This Row],[D, top '[m']]], "")</f>
        <v/>
      </c>
      <c r="L104" s="54" t="str">
        <f>IFERROR(-(WHOLE_STRUCTURE[[#This Row],[D, bottom '[m']]]-WHOLE_STRUCTURE[[#This Row],[D, top '[m']]])/(WHOLE_STRUCTURE[[#This Row],[Bottom '[m']]]-WHOLE_STRUCTURE[[#This Row],[Top '[m']]]),"")</f>
        <v/>
      </c>
      <c r="M104" s="54" t="str">
        <f>IFERROR((WHOLE_STRUCTURE[[#This Row],[D, bottom '[m']]]+WHOLE_STRUCTURE[[#This Row],[D, top '[m']]])/(2*WHOLE_STRUCTURE[[#This Row],[t '[mm']]]/1000),"")</f>
        <v/>
      </c>
    </row>
    <row r="105" spans="10:13" x14ac:dyDescent="0.3">
      <c r="J105" s="54" t="str">
        <f t="shared" si="3"/>
        <v/>
      </c>
      <c r="K105" s="54" t="str">
        <f>IFERROR(WHOLE_STRUCTURE[[#This Row],[Bottom '[m']]]-WHOLE_STRUCTURE[[#This Row],[D, top '[m']]], "")</f>
        <v/>
      </c>
      <c r="L105" s="54" t="str">
        <f>IFERROR(-(WHOLE_STRUCTURE[[#This Row],[D, bottom '[m']]]-WHOLE_STRUCTURE[[#This Row],[D, top '[m']]])/(WHOLE_STRUCTURE[[#This Row],[Bottom '[m']]]-WHOLE_STRUCTURE[[#This Row],[Top '[m']]]),"")</f>
        <v/>
      </c>
      <c r="M105" s="54" t="str">
        <f>IFERROR((WHOLE_STRUCTURE[[#This Row],[D, bottom '[m']]]+WHOLE_STRUCTURE[[#This Row],[D, top '[m']]])/(2*WHOLE_STRUCTURE[[#This Row],[t '[mm']]]/1000),"")</f>
        <v/>
      </c>
    </row>
    <row r="106" spans="10:13" x14ac:dyDescent="0.3">
      <c r="J106" s="54" t="str">
        <f t="shared" si="3"/>
        <v/>
      </c>
      <c r="K106" s="54" t="str">
        <f>IFERROR(WHOLE_STRUCTURE[[#This Row],[Bottom '[m']]]-WHOLE_STRUCTURE[[#This Row],[D, top '[m']]], "")</f>
        <v/>
      </c>
      <c r="L106" s="54" t="str">
        <f>IFERROR(-(WHOLE_STRUCTURE[[#This Row],[D, bottom '[m']]]-WHOLE_STRUCTURE[[#This Row],[D, top '[m']]])/(WHOLE_STRUCTURE[[#This Row],[Bottom '[m']]]-WHOLE_STRUCTURE[[#This Row],[Top '[m']]]),"")</f>
        <v/>
      </c>
      <c r="M106" s="54" t="str">
        <f>IFERROR((WHOLE_STRUCTURE[[#This Row],[D, bottom '[m']]]+WHOLE_STRUCTURE[[#This Row],[D, top '[m']]])/(2*WHOLE_STRUCTURE[[#This Row],[t '[mm']]]/1000),"")</f>
        <v/>
      </c>
    </row>
    <row r="107" spans="10:13" x14ac:dyDescent="0.3">
      <c r="J107" s="54" t="str">
        <f t="shared" si="3"/>
        <v/>
      </c>
      <c r="K107" s="54" t="str">
        <f>IFERROR(WHOLE_STRUCTURE[[#This Row],[Bottom '[m']]]-WHOLE_STRUCTURE[[#This Row],[D, top '[m']]], "")</f>
        <v/>
      </c>
      <c r="L107" s="54" t="str">
        <f>IFERROR(-(WHOLE_STRUCTURE[[#This Row],[D, bottom '[m']]]-WHOLE_STRUCTURE[[#This Row],[D, top '[m']]])/(WHOLE_STRUCTURE[[#This Row],[Bottom '[m']]]-WHOLE_STRUCTURE[[#This Row],[Top '[m']]]),"")</f>
        <v/>
      </c>
      <c r="M107" s="54" t="str">
        <f>IFERROR((WHOLE_STRUCTURE[[#This Row],[D, bottom '[m']]]+WHOLE_STRUCTURE[[#This Row],[D, top '[m']]])/(2*WHOLE_STRUCTURE[[#This Row],[t '[mm']]]/1000),"")</f>
        <v/>
      </c>
    </row>
    <row r="108" spans="10:13" x14ac:dyDescent="0.3">
      <c r="J108" s="54" t="str">
        <f t="shared" si="3"/>
        <v/>
      </c>
      <c r="K108" s="54" t="str">
        <f>IFERROR(WHOLE_STRUCTURE[[#This Row],[Bottom '[m']]]-WHOLE_STRUCTURE[[#This Row],[D, top '[m']]], "")</f>
        <v/>
      </c>
      <c r="L108" s="54" t="str">
        <f>IFERROR(-(WHOLE_STRUCTURE[[#This Row],[D, bottom '[m']]]-WHOLE_STRUCTURE[[#This Row],[D, top '[m']]])/(WHOLE_STRUCTURE[[#This Row],[Bottom '[m']]]-WHOLE_STRUCTURE[[#This Row],[Top '[m']]]),"")</f>
        <v/>
      </c>
      <c r="M108" s="54" t="str">
        <f>IFERROR((WHOLE_STRUCTURE[[#This Row],[D, bottom '[m']]]+WHOLE_STRUCTURE[[#This Row],[D, top '[m']]])/(2*WHOLE_STRUCTURE[[#This Row],[t '[mm']]]/1000),"")</f>
        <v/>
      </c>
    </row>
    <row r="109" spans="10:13" x14ac:dyDescent="0.3">
      <c r="J109" s="54" t="str">
        <f t="shared" si="3"/>
        <v/>
      </c>
      <c r="K109" s="54" t="str">
        <f>IFERROR(WHOLE_STRUCTURE[[#This Row],[Bottom '[m']]]-WHOLE_STRUCTURE[[#This Row],[D, top '[m']]], "")</f>
        <v/>
      </c>
      <c r="L109" s="54" t="str">
        <f>IFERROR(-(WHOLE_STRUCTURE[[#This Row],[D, bottom '[m']]]-WHOLE_STRUCTURE[[#This Row],[D, top '[m']]])/(WHOLE_STRUCTURE[[#This Row],[Bottom '[m']]]-WHOLE_STRUCTURE[[#This Row],[Top '[m']]]),"")</f>
        <v/>
      </c>
      <c r="M109" s="54" t="str">
        <f>IFERROR((WHOLE_STRUCTURE[[#This Row],[D, bottom '[m']]]+WHOLE_STRUCTURE[[#This Row],[D, top '[m']]])/(2*WHOLE_STRUCTURE[[#This Row],[t '[mm']]]/1000),"")</f>
        <v/>
      </c>
    </row>
    <row r="110" spans="10:13" x14ac:dyDescent="0.3">
      <c r="J110" s="54" t="str">
        <f t="shared" si="3"/>
        <v/>
      </c>
      <c r="K110" s="54" t="str">
        <f>IFERROR(WHOLE_STRUCTURE[[#This Row],[Bottom '[m']]]-WHOLE_STRUCTURE[[#This Row],[D, top '[m']]], "")</f>
        <v/>
      </c>
      <c r="L110" s="54" t="str">
        <f>IFERROR(-(WHOLE_STRUCTURE[[#This Row],[D, bottom '[m']]]-WHOLE_STRUCTURE[[#This Row],[D, top '[m']]])/(WHOLE_STRUCTURE[[#This Row],[Bottom '[m']]]-WHOLE_STRUCTURE[[#This Row],[Top '[m']]]),"")</f>
        <v/>
      </c>
      <c r="M110" s="54" t="str">
        <f>IFERROR((WHOLE_STRUCTURE[[#This Row],[D, bottom '[m']]]+WHOLE_STRUCTURE[[#This Row],[D, top '[m']]])/(2*WHOLE_STRUCTURE[[#This Row],[t '[mm']]]/1000),"")</f>
        <v/>
      </c>
    </row>
    <row r="111" spans="10:13" x14ac:dyDescent="0.3">
      <c r="J111" s="54" t="str">
        <f t="shared" si="3"/>
        <v/>
      </c>
      <c r="K111" s="54" t="str">
        <f>IFERROR(WHOLE_STRUCTURE[[#This Row],[Bottom '[m']]]-WHOLE_STRUCTURE[[#This Row],[D, top '[m']]], "")</f>
        <v/>
      </c>
      <c r="L111" s="54" t="str">
        <f>IFERROR(-(WHOLE_STRUCTURE[[#This Row],[D, bottom '[m']]]-WHOLE_STRUCTURE[[#This Row],[D, top '[m']]])/(WHOLE_STRUCTURE[[#This Row],[Bottom '[m']]]-WHOLE_STRUCTURE[[#This Row],[Top '[m']]]),"")</f>
        <v/>
      </c>
      <c r="M111" s="54" t="str">
        <f>IFERROR((WHOLE_STRUCTURE[[#This Row],[D, bottom '[m']]]+WHOLE_STRUCTURE[[#This Row],[D, top '[m']]])/(2*WHOLE_STRUCTURE[[#This Row],[t '[mm']]]/1000),"")</f>
        <v/>
      </c>
    </row>
    <row r="112" spans="10:13" x14ac:dyDescent="0.3">
      <c r="J112" s="54" t="str">
        <f t="shared" si="3"/>
        <v/>
      </c>
      <c r="K112" s="54" t="str">
        <f>IFERROR(WHOLE_STRUCTURE[[#This Row],[Bottom '[m']]]-WHOLE_STRUCTURE[[#This Row],[D, top '[m']]], "")</f>
        <v/>
      </c>
      <c r="L112" s="54" t="str">
        <f>IFERROR(-(WHOLE_STRUCTURE[[#This Row],[D, bottom '[m']]]-WHOLE_STRUCTURE[[#This Row],[D, top '[m']]])/(WHOLE_STRUCTURE[[#This Row],[Bottom '[m']]]-WHOLE_STRUCTURE[[#This Row],[Top '[m']]]),"")</f>
        <v/>
      </c>
      <c r="M112" s="54" t="str">
        <f>IFERROR((WHOLE_STRUCTURE[[#This Row],[D, bottom '[m']]]+WHOLE_STRUCTURE[[#This Row],[D, top '[m']]])/(2*WHOLE_STRUCTURE[[#This Row],[t '[mm']]]/1000),"")</f>
        <v/>
      </c>
    </row>
    <row r="113" spans="10:13" x14ac:dyDescent="0.3">
      <c r="J113" s="54" t="str">
        <f t="shared" si="3"/>
        <v/>
      </c>
      <c r="K113" s="54" t="str">
        <f>IFERROR(WHOLE_STRUCTURE[[#This Row],[Bottom '[m']]]-WHOLE_STRUCTURE[[#This Row],[D, top '[m']]], "")</f>
        <v/>
      </c>
      <c r="L113" s="54" t="str">
        <f>IFERROR(-(WHOLE_STRUCTURE[[#This Row],[D, bottom '[m']]]-WHOLE_STRUCTURE[[#This Row],[D, top '[m']]])/(WHOLE_STRUCTURE[[#This Row],[Bottom '[m']]]-WHOLE_STRUCTURE[[#This Row],[Top '[m']]]),"")</f>
        <v/>
      </c>
      <c r="M113" s="54" t="str">
        <f>IFERROR((WHOLE_STRUCTURE[[#This Row],[D, bottom '[m']]]+WHOLE_STRUCTURE[[#This Row],[D, top '[m']]])/(2*WHOLE_STRUCTURE[[#This Row],[t '[mm']]]/1000),"")</f>
        <v/>
      </c>
    </row>
    <row r="114" spans="10:13" x14ac:dyDescent="0.3">
      <c r="J114" s="54" t="str">
        <f t="shared" si="3"/>
        <v/>
      </c>
      <c r="K114" s="54" t="str">
        <f>IFERROR(WHOLE_STRUCTURE[[#This Row],[Bottom '[m']]]-WHOLE_STRUCTURE[[#This Row],[D, top '[m']]], "")</f>
        <v/>
      </c>
      <c r="L114" s="54" t="str">
        <f>IFERROR(-(WHOLE_STRUCTURE[[#This Row],[D, bottom '[m']]]-WHOLE_STRUCTURE[[#This Row],[D, top '[m']]])/(WHOLE_STRUCTURE[[#This Row],[Bottom '[m']]]-WHOLE_STRUCTURE[[#This Row],[Top '[m']]]),"")</f>
        <v/>
      </c>
      <c r="M114" s="54" t="str">
        <f>IFERROR((WHOLE_STRUCTURE[[#This Row],[D, bottom '[m']]]+WHOLE_STRUCTURE[[#This Row],[D, top '[m']]])/(2*WHOLE_STRUCTURE[[#This Row],[t '[mm']]]/1000),"")</f>
        <v/>
      </c>
    </row>
    <row r="115" spans="10:13" x14ac:dyDescent="0.3">
      <c r="J115" s="54" t="str">
        <f t="shared" si="3"/>
        <v/>
      </c>
      <c r="K115" s="54" t="str">
        <f>IFERROR(WHOLE_STRUCTURE[[#This Row],[Bottom '[m']]]-WHOLE_STRUCTURE[[#This Row],[D, top '[m']]], "")</f>
        <v/>
      </c>
      <c r="L115" s="54" t="str">
        <f>IFERROR(-(WHOLE_STRUCTURE[[#This Row],[D, bottom '[m']]]-WHOLE_STRUCTURE[[#This Row],[D, top '[m']]])/(WHOLE_STRUCTURE[[#This Row],[Bottom '[m']]]-WHOLE_STRUCTURE[[#This Row],[Top '[m']]]),"")</f>
        <v/>
      </c>
      <c r="M115" s="54" t="str">
        <f>IFERROR((WHOLE_STRUCTURE[[#This Row],[D, bottom '[m']]]+WHOLE_STRUCTURE[[#This Row],[D, top '[m']]])/(2*WHOLE_STRUCTURE[[#This Row],[t '[mm']]]/1000),"")</f>
        <v/>
      </c>
    </row>
    <row r="116" spans="10:13" x14ac:dyDescent="0.3">
      <c r="J116" s="54" t="str">
        <f t="shared" si="3"/>
        <v/>
      </c>
      <c r="K116" s="54" t="str">
        <f>IFERROR(WHOLE_STRUCTURE[[#This Row],[Bottom '[m']]]-WHOLE_STRUCTURE[[#This Row],[D, top '[m']]], "")</f>
        <v/>
      </c>
      <c r="L116" s="54" t="str">
        <f>IFERROR(-(WHOLE_STRUCTURE[[#This Row],[D, bottom '[m']]]-WHOLE_STRUCTURE[[#This Row],[D, top '[m']]])/(WHOLE_STRUCTURE[[#This Row],[Bottom '[m']]]-WHOLE_STRUCTURE[[#This Row],[Top '[m']]]),"")</f>
        <v/>
      </c>
      <c r="M116" s="54" t="str">
        <f>IFERROR((WHOLE_STRUCTURE[[#This Row],[D, bottom '[m']]]+WHOLE_STRUCTURE[[#This Row],[D, top '[m']]])/(2*WHOLE_STRUCTURE[[#This Row],[t '[mm']]]/1000),"")</f>
        <v/>
      </c>
    </row>
    <row r="117" spans="10:13" x14ac:dyDescent="0.3">
      <c r="J117" s="54" t="str">
        <f t="shared" si="3"/>
        <v/>
      </c>
      <c r="K117" s="54" t="str">
        <f>IFERROR(WHOLE_STRUCTURE[[#This Row],[Bottom '[m']]]-WHOLE_STRUCTURE[[#This Row],[D, top '[m']]], "")</f>
        <v/>
      </c>
      <c r="L117" s="54" t="str">
        <f>IFERROR(-(WHOLE_STRUCTURE[[#This Row],[D, bottom '[m']]]-WHOLE_STRUCTURE[[#This Row],[D, top '[m']]])/(WHOLE_STRUCTURE[[#This Row],[Bottom '[m']]]-WHOLE_STRUCTURE[[#This Row],[Top '[m']]]),"")</f>
        <v/>
      </c>
      <c r="M117" s="54" t="str">
        <f>IFERROR((WHOLE_STRUCTURE[[#This Row],[D, bottom '[m']]]+WHOLE_STRUCTURE[[#This Row],[D, top '[m']]])/(2*WHOLE_STRUCTURE[[#This Row],[t '[mm']]]/1000),"")</f>
        <v/>
      </c>
    </row>
    <row r="118" spans="10:13" x14ac:dyDescent="0.3">
      <c r="J118" s="54" t="str">
        <f t="shared" si="3"/>
        <v/>
      </c>
      <c r="K118" s="54" t="str">
        <f>IFERROR(WHOLE_STRUCTURE[[#This Row],[Bottom '[m']]]-WHOLE_STRUCTURE[[#This Row],[D, top '[m']]], "")</f>
        <v/>
      </c>
      <c r="L118" s="54" t="str">
        <f>IFERROR(-(WHOLE_STRUCTURE[[#This Row],[D, bottom '[m']]]-WHOLE_STRUCTURE[[#This Row],[D, top '[m']]])/(WHOLE_STRUCTURE[[#This Row],[Bottom '[m']]]-WHOLE_STRUCTURE[[#This Row],[Top '[m']]]),"")</f>
        <v/>
      </c>
      <c r="M118" s="54" t="str">
        <f>IFERROR((WHOLE_STRUCTURE[[#This Row],[D, bottom '[m']]]+WHOLE_STRUCTURE[[#This Row],[D, top '[m']]])/(2*WHOLE_STRUCTURE[[#This Row],[t '[mm']]]/1000),"")</f>
        <v/>
      </c>
    </row>
    <row r="119" spans="10:13" x14ac:dyDescent="0.3">
      <c r="J119" s="54" t="str">
        <f t="shared" si="3"/>
        <v/>
      </c>
      <c r="K119" s="54" t="str">
        <f>IFERROR(WHOLE_STRUCTURE[[#This Row],[Bottom '[m']]]-WHOLE_STRUCTURE[[#This Row],[D, top '[m']]], "")</f>
        <v/>
      </c>
      <c r="L119" s="54" t="str">
        <f>IFERROR(-(WHOLE_STRUCTURE[[#This Row],[D, bottom '[m']]]-WHOLE_STRUCTURE[[#This Row],[D, top '[m']]])/(WHOLE_STRUCTURE[[#This Row],[Bottom '[m']]]-WHOLE_STRUCTURE[[#This Row],[Top '[m']]]),"")</f>
        <v/>
      </c>
      <c r="M119" s="54" t="str">
        <f>IFERROR((WHOLE_STRUCTURE[[#This Row],[D, bottom '[m']]]+WHOLE_STRUCTURE[[#This Row],[D, top '[m']]])/(2*WHOLE_STRUCTURE[[#This Row],[t '[mm']]]/1000),"")</f>
        <v/>
      </c>
    </row>
    <row r="120" spans="10:13" x14ac:dyDescent="0.3">
      <c r="J120" s="54" t="str">
        <f t="shared" si="3"/>
        <v/>
      </c>
      <c r="K120" s="54" t="str">
        <f>IFERROR(WHOLE_STRUCTURE[[#This Row],[Bottom '[m']]]-WHOLE_STRUCTURE[[#This Row],[D, top '[m']]], "")</f>
        <v/>
      </c>
      <c r="L120" s="54" t="str">
        <f>IFERROR(-(WHOLE_STRUCTURE[[#This Row],[D, bottom '[m']]]-WHOLE_STRUCTURE[[#This Row],[D, top '[m']]])/(WHOLE_STRUCTURE[[#This Row],[Bottom '[m']]]-WHOLE_STRUCTURE[[#This Row],[Top '[m']]]),"")</f>
        <v/>
      </c>
      <c r="M120" s="54" t="str">
        <f>IFERROR((WHOLE_STRUCTURE[[#This Row],[D, bottom '[m']]]+WHOLE_STRUCTURE[[#This Row],[D, top '[m']]])/(2*WHOLE_STRUCTURE[[#This Row],[t '[mm']]]/1000),"")</f>
        <v/>
      </c>
    </row>
    <row r="121" spans="10:13" x14ac:dyDescent="0.3">
      <c r="J121" s="54" t="str">
        <f t="shared" si="3"/>
        <v/>
      </c>
      <c r="K121" s="54" t="str">
        <f>IFERROR(WHOLE_STRUCTURE[[#This Row],[Bottom '[m']]]-WHOLE_STRUCTURE[[#This Row],[D, top '[m']]], "")</f>
        <v/>
      </c>
      <c r="L121" s="54" t="str">
        <f>IFERROR(-(WHOLE_STRUCTURE[[#This Row],[D, bottom '[m']]]-WHOLE_STRUCTURE[[#This Row],[D, top '[m']]])/(WHOLE_STRUCTURE[[#This Row],[Bottom '[m']]]-WHOLE_STRUCTURE[[#This Row],[Top '[m']]]),"")</f>
        <v/>
      </c>
      <c r="M121" s="54" t="str">
        <f>IFERROR((WHOLE_STRUCTURE[[#This Row],[D, bottom '[m']]]+WHOLE_STRUCTURE[[#This Row],[D, top '[m']]])/(2*WHOLE_STRUCTURE[[#This Row],[t '[mm']]]/1000),"")</f>
        <v/>
      </c>
    </row>
    <row r="122" spans="10:13" x14ac:dyDescent="0.3">
      <c r="J122" s="54" t="str">
        <f t="shared" si="3"/>
        <v/>
      </c>
      <c r="K122" s="54" t="str">
        <f>IFERROR(WHOLE_STRUCTURE[[#This Row],[Bottom '[m']]]-WHOLE_STRUCTURE[[#This Row],[D, top '[m']]], "")</f>
        <v/>
      </c>
      <c r="L122" s="54" t="str">
        <f>IFERROR(-(WHOLE_STRUCTURE[[#This Row],[D, bottom '[m']]]-WHOLE_STRUCTURE[[#This Row],[D, top '[m']]])/(WHOLE_STRUCTURE[[#This Row],[Bottom '[m']]]-WHOLE_STRUCTURE[[#This Row],[Top '[m']]]),"")</f>
        <v/>
      </c>
      <c r="M122" s="54" t="str">
        <f>IFERROR((WHOLE_STRUCTURE[[#This Row],[D, bottom '[m']]]+WHOLE_STRUCTURE[[#This Row],[D, top '[m']]])/(2*WHOLE_STRUCTURE[[#This Row],[t '[mm']]]/1000),"")</f>
        <v/>
      </c>
    </row>
    <row r="123" spans="10:13" x14ac:dyDescent="0.3">
      <c r="J123" s="54" t="str">
        <f t="shared" si="3"/>
        <v/>
      </c>
      <c r="K123" s="54" t="str">
        <f>IFERROR(WHOLE_STRUCTURE[[#This Row],[Bottom '[m']]]-WHOLE_STRUCTURE[[#This Row],[D, top '[m']]], "")</f>
        <v/>
      </c>
      <c r="L123" s="54" t="str">
        <f>IFERROR(-(WHOLE_STRUCTURE[[#This Row],[D, bottom '[m']]]-WHOLE_STRUCTURE[[#This Row],[D, top '[m']]])/(WHOLE_STRUCTURE[[#This Row],[Bottom '[m']]]-WHOLE_STRUCTURE[[#This Row],[Top '[m']]]),"")</f>
        <v/>
      </c>
      <c r="M123" s="54" t="str">
        <f>IFERROR((WHOLE_STRUCTURE[[#This Row],[D, bottom '[m']]]+WHOLE_STRUCTURE[[#This Row],[D, top '[m']]])/(2*WHOLE_STRUCTURE[[#This Row],[t '[mm']]]/1000),"")</f>
        <v/>
      </c>
    </row>
    <row r="124" spans="10:13" x14ac:dyDescent="0.3">
      <c r="J124" s="54" t="str">
        <f t="shared" si="3"/>
        <v/>
      </c>
      <c r="K124" s="54" t="str">
        <f>IFERROR(WHOLE_STRUCTURE[[#This Row],[Bottom '[m']]]-WHOLE_STRUCTURE[[#This Row],[D, top '[m']]], "")</f>
        <v/>
      </c>
      <c r="L124" s="54" t="str">
        <f>IFERROR(-(WHOLE_STRUCTURE[[#This Row],[D, bottom '[m']]]-WHOLE_STRUCTURE[[#This Row],[D, top '[m']]])/(WHOLE_STRUCTURE[[#This Row],[Bottom '[m']]]-WHOLE_STRUCTURE[[#This Row],[Top '[m']]]),"")</f>
        <v/>
      </c>
      <c r="M124" s="54" t="str">
        <f>IFERROR((WHOLE_STRUCTURE[[#This Row],[D, bottom '[m']]]+WHOLE_STRUCTURE[[#This Row],[D, top '[m']]])/(2*WHOLE_STRUCTURE[[#This Row],[t '[mm']]]/1000),"")</f>
        <v/>
      </c>
    </row>
    <row r="125" spans="10:13" x14ac:dyDescent="0.3">
      <c r="J125" s="54" t="str">
        <f t="shared" si="3"/>
        <v/>
      </c>
      <c r="K125" s="54" t="str">
        <f>IFERROR(WHOLE_STRUCTURE[[#This Row],[Bottom '[m']]]-WHOLE_STRUCTURE[[#This Row],[D, top '[m']]], "")</f>
        <v/>
      </c>
      <c r="L125" s="54" t="str">
        <f>IFERROR(-(WHOLE_STRUCTURE[[#This Row],[D, bottom '[m']]]-WHOLE_STRUCTURE[[#This Row],[D, top '[m']]])/(WHOLE_STRUCTURE[[#This Row],[Bottom '[m']]]-WHOLE_STRUCTURE[[#This Row],[Top '[m']]]),"")</f>
        <v/>
      </c>
      <c r="M125" s="54" t="str">
        <f>IFERROR((WHOLE_STRUCTURE[[#This Row],[D, bottom '[m']]]+WHOLE_STRUCTURE[[#This Row],[D, top '[m']]])/(2*WHOLE_STRUCTURE[[#This Row],[t '[mm']]]/1000),"")</f>
        <v/>
      </c>
    </row>
    <row r="126" spans="10:13" x14ac:dyDescent="0.3">
      <c r="J126" s="54" t="str">
        <f t="shared" si="3"/>
        <v/>
      </c>
      <c r="K126" s="54" t="str">
        <f>IFERROR(WHOLE_STRUCTURE[[#This Row],[Bottom '[m']]]-WHOLE_STRUCTURE[[#This Row],[D, top '[m']]], "")</f>
        <v/>
      </c>
      <c r="L126" s="54" t="str">
        <f>IFERROR(-(WHOLE_STRUCTURE[[#This Row],[D, bottom '[m']]]-WHOLE_STRUCTURE[[#This Row],[D, top '[m']]])/(WHOLE_STRUCTURE[[#This Row],[Bottom '[m']]]-WHOLE_STRUCTURE[[#This Row],[Top '[m']]]),"")</f>
        <v/>
      </c>
      <c r="M126" s="54" t="str">
        <f>IFERROR((WHOLE_STRUCTURE[[#This Row],[D, bottom '[m']]]+WHOLE_STRUCTURE[[#This Row],[D, top '[m']]])/(2*WHOLE_STRUCTURE[[#This Row],[t '[mm']]]/1000),"")</f>
        <v/>
      </c>
    </row>
    <row r="127" spans="10:13" x14ac:dyDescent="0.3">
      <c r="J127" s="54" t="str">
        <f t="shared" si="3"/>
        <v/>
      </c>
      <c r="K127" s="54" t="str">
        <f>IFERROR(WHOLE_STRUCTURE[[#This Row],[Bottom '[m']]]-WHOLE_STRUCTURE[[#This Row],[D, top '[m']]], "")</f>
        <v/>
      </c>
      <c r="L127" s="54" t="str">
        <f>IFERROR(-(WHOLE_STRUCTURE[[#This Row],[D, bottom '[m']]]-WHOLE_STRUCTURE[[#This Row],[D, top '[m']]])/(WHOLE_STRUCTURE[[#This Row],[Bottom '[m']]]-WHOLE_STRUCTURE[[#This Row],[Top '[m']]]),"")</f>
        <v/>
      </c>
      <c r="M127" s="54" t="str">
        <f>IFERROR((WHOLE_STRUCTURE[[#This Row],[D, bottom '[m']]]+WHOLE_STRUCTURE[[#This Row],[D, top '[m']]])/(2*WHOLE_STRUCTURE[[#This Row],[t '[mm']]]/1000),"")</f>
        <v/>
      </c>
    </row>
    <row r="128" spans="10:13" x14ac:dyDescent="0.3">
      <c r="J128" s="54" t="str">
        <f t="shared" si="3"/>
        <v/>
      </c>
      <c r="K128" s="54" t="str">
        <f>IFERROR(WHOLE_STRUCTURE[[#This Row],[Bottom '[m']]]-WHOLE_STRUCTURE[[#This Row],[D, top '[m']]], "")</f>
        <v/>
      </c>
      <c r="L128" s="54" t="str">
        <f>IFERROR(-(WHOLE_STRUCTURE[[#This Row],[D, bottom '[m']]]-WHOLE_STRUCTURE[[#This Row],[D, top '[m']]])/(WHOLE_STRUCTURE[[#This Row],[Bottom '[m']]]-WHOLE_STRUCTURE[[#This Row],[Top '[m']]]),"")</f>
        <v/>
      </c>
      <c r="M128" s="54" t="str">
        <f>IFERROR((WHOLE_STRUCTURE[[#This Row],[D, bottom '[m']]]+WHOLE_STRUCTURE[[#This Row],[D, top '[m']]])/(2*WHOLE_STRUCTURE[[#This Row],[t '[mm']]]/1000),"")</f>
        <v/>
      </c>
    </row>
    <row r="129" spans="10:13" x14ac:dyDescent="0.3">
      <c r="J129" s="54" t="str">
        <f t="shared" si="3"/>
        <v/>
      </c>
      <c r="K129" s="54" t="str">
        <f>IFERROR(WHOLE_STRUCTURE[[#This Row],[Bottom '[m']]]-WHOLE_STRUCTURE[[#This Row],[D, top '[m']]], "")</f>
        <v/>
      </c>
      <c r="L129" s="54" t="str">
        <f>IFERROR(-(WHOLE_STRUCTURE[[#This Row],[D, bottom '[m']]]-WHOLE_STRUCTURE[[#This Row],[D, top '[m']]])/(WHOLE_STRUCTURE[[#This Row],[Bottom '[m']]]-WHOLE_STRUCTURE[[#This Row],[Top '[m']]]),"")</f>
        <v/>
      </c>
      <c r="M129" s="54" t="str">
        <f>IFERROR((WHOLE_STRUCTURE[[#This Row],[D, bottom '[m']]]+WHOLE_STRUCTURE[[#This Row],[D, top '[m']]])/(2*WHOLE_STRUCTURE[[#This Row],[t '[mm']]]/1000),"")</f>
        <v/>
      </c>
    </row>
    <row r="130" spans="10:13" x14ac:dyDescent="0.3">
      <c r="J130" s="54" t="str">
        <f t="shared" si="3"/>
        <v/>
      </c>
      <c r="K130" s="54" t="str">
        <f>IFERROR(WHOLE_STRUCTURE[[#This Row],[Bottom '[m']]]-WHOLE_STRUCTURE[[#This Row],[D, top '[m']]], "")</f>
        <v/>
      </c>
      <c r="L130" s="54" t="str">
        <f>IFERROR(-(WHOLE_STRUCTURE[[#This Row],[D, bottom '[m']]]-WHOLE_STRUCTURE[[#This Row],[D, top '[m']]])/(WHOLE_STRUCTURE[[#This Row],[Bottom '[m']]]-WHOLE_STRUCTURE[[#This Row],[Top '[m']]]),"")</f>
        <v/>
      </c>
      <c r="M130" s="54" t="str">
        <f>IFERROR((WHOLE_STRUCTURE[[#This Row],[D, bottom '[m']]]+WHOLE_STRUCTURE[[#This Row],[D, top '[m']]])/(2*WHOLE_STRUCTURE[[#This Row],[t '[mm']]]/1000),"")</f>
        <v/>
      </c>
    </row>
    <row r="131" spans="10:13" x14ac:dyDescent="0.3">
      <c r="J131" s="54" t="str">
        <f t="shared" ref="J131:J194" si="4">IF(7850/1000*(1/3)*PI()*ABS(E131-F131)*((G131/2)^2+(G131/2)*(H131/2)+(H131/2)^2-(G131/2-I131/1000)^2-(G131/2-I131/1000)*(H131/2-I131/1000)-(H131/2-I131/1000)^2)=0,"",7850/1000*(1/3)*PI()*ABS(E131-F131)*((G131/2)^2+(G131/2)*(H131/2)+(H131/2)^2-(G131/2-I131/1000)^2-(G131/2-I131/1000)*(H131/2-I131/1000)-(H131/2-I131/1000)^2))</f>
        <v/>
      </c>
      <c r="K131" s="54" t="str">
        <f>IFERROR(WHOLE_STRUCTURE[[#This Row],[Bottom '[m']]]-WHOLE_STRUCTURE[[#This Row],[D, top '[m']]], "")</f>
        <v/>
      </c>
      <c r="L131" s="54" t="str">
        <f>IFERROR(-(WHOLE_STRUCTURE[[#This Row],[D, bottom '[m']]]-WHOLE_STRUCTURE[[#This Row],[D, top '[m']]])/(WHOLE_STRUCTURE[[#This Row],[Bottom '[m']]]-WHOLE_STRUCTURE[[#This Row],[Top '[m']]]),"")</f>
        <v/>
      </c>
      <c r="M131" s="54" t="str">
        <f>IFERROR((WHOLE_STRUCTURE[[#This Row],[D, bottom '[m']]]+WHOLE_STRUCTURE[[#This Row],[D, top '[m']]])/(2*WHOLE_STRUCTURE[[#This Row],[t '[mm']]]/1000),"")</f>
        <v/>
      </c>
    </row>
    <row r="132" spans="10:13" x14ac:dyDescent="0.3">
      <c r="J132" s="54" t="str">
        <f t="shared" si="4"/>
        <v/>
      </c>
      <c r="K132" s="54" t="str">
        <f>IFERROR(WHOLE_STRUCTURE[[#This Row],[Bottom '[m']]]-WHOLE_STRUCTURE[[#This Row],[D, top '[m']]], "")</f>
        <v/>
      </c>
      <c r="L132" s="54" t="str">
        <f>IFERROR(-(WHOLE_STRUCTURE[[#This Row],[D, bottom '[m']]]-WHOLE_STRUCTURE[[#This Row],[D, top '[m']]])/(WHOLE_STRUCTURE[[#This Row],[Bottom '[m']]]-WHOLE_STRUCTURE[[#This Row],[Top '[m']]]),"")</f>
        <v/>
      </c>
      <c r="M132" s="54" t="str">
        <f>IFERROR((WHOLE_STRUCTURE[[#This Row],[D, bottom '[m']]]+WHOLE_STRUCTURE[[#This Row],[D, top '[m']]])/(2*WHOLE_STRUCTURE[[#This Row],[t '[mm']]]/1000),"")</f>
        <v/>
      </c>
    </row>
    <row r="133" spans="10:13" x14ac:dyDescent="0.3">
      <c r="J133" s="54" t="str">
        <f t="shared" si="4"/>
        <v/>
      </c>
      <c r="K133" s="54" t="str">
        <f>IFERROR(WHOLE_STRUCTURE[[#This Row],[Bottom '[m']]]-WHOLE_STRUCTURE[[#This Row],[D, top '[m']]], "")</f>
        <v/>
      </c>
      <c r="L133" s="54" t="str">
        <f>IFERROR(-(WHOLE_STRUCTURE[[#This Row],[D, bottom '[m']]]-WHOLE_STRUCTURE[[#This Row],[D, top '[m']]])/(WHOLE_STRUCTURE[[#This Row],[Bottom '[m']]]-WHOLE_STRUCTURE[[#This Row],[Top '[m']]]),"")</f>
        <v/>
      </c>
      <c r="M133" s="54" t="str">
        <f>IFERROR((WHOLE_STRUCTURE[[#This Row],[D, bottom '[m']]]+WHOLE_STRUCTURE[[#This Row],[D, top '[m']]])/(2*WHOLE_STRUCTURE[[#This Row],[t '[mm']]]/1000),"")</f>
        <v/>
      </c>
    </row>
    <row r="134" spans="10:13" x14ac:dyDescent="0.3">
      <c r="J134" s="54" t="str">
        <f t="shared" si="4"/>
        <v/>
      </c>
      <c r="K134" s="54" t="str">
        <f>IFERROR(WHOLE_STRUCTURE[[#This Row],[Bottom '[m']]]-WHOLE_STRUCTURE[[#This Row],[D, top '[m']]], "")</f>
        <v/>
      </c>
      <c r="L134" s="54" t="str">
        <f>IFERROR(-(WHOLE_STRUCTURE[[#This Row],[D, bottom '[m']]]-WHOLE_STRUCTURE[[#This Row],[D, top '[m']]])/(WHOLE_STRUCTURE[[#This Row],[Bottom '[m']]]-WHOLE_STRUCTURE[[#This Row],[Top '[m']]]),"")</f>
        <v/>
      </c>
      <c r="M134" s="54" t="str">
        <f>IFERROR((WHOLE_STRUCTURE[[#This Row],[D, bottom '[m']]]+WHOLE_STRUCTURE[[#This Row],[D, top '[m']]])/(2*WHOLE_STRUCTURE[[#This Row],[t '[mm']]]/1000),"")</f>
        <v/>
      </c>
    </row>
    <row r="135" spans="10:13" x14ac:dyDescent="0.3">
      <c r="J135" s="54" t="str">
        <f t="shared" si="4"/>
        <v/>
      </c>
      <c r="K135" s="54" t="str">
        <f>IFERROR(WHOLE_STRUCTURE[[#This Row],[Bottom '[m']]]-WHOLE_STRUCTURE[[#This Row],[D, top '[m']]], "")</f>
        <v/>
      </c>
      <c r="L135" s="54" t="str">
        <f>IFERROR(-(WHOLE_STRUCTURE[[#This Row],[D, bottom '[m']]]-WHOLE_STRUCTURE[[#This Row],[D, top '[m']]])/(WHOLE_STRUCTURE[[#This Row],[Bottom '[m']]]-WHOLE_STRUCTURE[[#This Row],[Top '[m']]]),"")</f>
        <v/>
      </c>
      <c r="M135" s="54" t="str">
        <f>IFERROR((WHOLE_STRUCTURE[[#This Row],[D, bottom '[m']]]+WHOLE_STRUCTURE[[#This Row],[D, top '[m']]])/(2*WHOLE_STRUCTURE[[#This Row],[t '[mm']]]/1000),"")</f>
        <v/>
      </c>
    </row>
    <row r="136" spans="10:13" x14ac:dyDescent="0.3">
      <c r="J136" s="54" t="str">
        <f t="shared" si="4"/>
        <v/>
      </c>
      <c r="K136" s="54" t="str">
        <f>IFERROR(WHOLE_STRUCTURE[[#This Row],[Bottom '[m']]]-WHOLE_STRUCTURE[[#This Row],[D, top '[m']]], "")</f>
        <v/>
      </c>
      <c r="L136" s="54" t="str">
        <f>IFERROR(-(WHOLE_STRUCTURE[[#This Row],[D, bottom '[m']]]-WHOLE_STRUCTURE[[#This Row],[D, top '[m']]])/(WHOLE_STRUCTURE[[#This Row],[Bottom '[m']]]-WHOLE_STRUCTURE[[#This Row],[Top '[m']]]),"")</f>
        <v/>
      </c>
      <c r="M136" s="54" t="str">
        <f>IFERROR((WHOLE_STRUCTURE[[#This Row],[D, bottom '[m']]]+WHOLE_STRUCTURE[[#This Row],[D, top '[m']]])/(2*WHOLE_STRUCTURE[[#This Row],[t '[mm']]]/1000),"")</f>
        <v/>
      </c>
    </row>
    <row r="137" spans="10:13" x14ac:dyDescent="0.3">
      <c r="J137" s="54" t="str">
        <f t="shared" si="4"/>
        <v/>
      </c>
      <c r="K137" s="54" t="str">
        <f>IFERROR(WHOLE_STRUCTURE[[#This Row],[Bottom '[m']]]-WHOLE_STRUCTURE[[#This Row],[D, top '[m']]], "")</f>
        <v/>
      </c>
      <c r="L137" s="54" t="str">
        <f>IFERROR(-(WHOLE_STRUCTURE[[#This Row],[D, bottom '[m']]]-WHOLE_STRUCTURE[[#This Row],[D, top '[m']]])/(WHOLE_STRUCTURE[[#This Row],[Bottom '[m']]]-WHOLE_STRUCTURE[[#This Row],[Top '[m']]]),"")</f>
        <v/>
      </c>
      <c r="M137" s="54" t="str">
        <f>IFERROR((WHOLE_STRUCTURE[[#This Row],[D, bottom '[m']]]+WHOLE_STRUCTURE[[#This Row],[D, top '[m']]])/(2*WHOLE_STRUCTURE[[#This Row],[t '[mm']]]/1000),"")</f>
        <v/>
      </c>
    </row>
    <row r="138" spans="10:13" x14ac:dyDescent="0.3">
      <c r="J138" s="54" t="str">
        <f t="shared" si="4"/>
        <v/>
      </c>
      <c r="K138" s="54" t="str">
        <f>IFERROR(WHOLE_STRUCTURE[[#This Row],[Bottom '[m']]]-WHOLE_STRUCTURE[[#This Row],[D, top '[m']]], "")</f>
        <v/>
      </c>
      <c r="L138" s="54" t="str">
        <f>IFERROR(-(WHOLE_STRUCTURE[[#This Row],[D, bottom '[m']]]-WHOLE_STRUCTURE[[#This Row],[D, top '[m']]])/(WHOLE_STRUCTURE[[#This Row],[Bottom '[m']]]-WHOLE_STRUCTURE[[#This Row],[Top '[m']]]),"")</f>
        <v/>
      </c>
      <c r="M138" s="54" t="str">
        <f>IFERROR((WHOLE_STRUCTURE[[#This Row],[D, bottom '[m']]]+WHOLE_STRUCTURE[[#This Row],[D, top '[m']]])/(2*WHOLE_STRUCTURE[[#This Row],[t '[mm']]]/1000),"")</f>
        <v/>
      </c>
    </row>
    <row r="139" spans="10:13" x14ac:dyDescent="0.3">
      <c r="J139" s="54" t="str">
        <f t="shared" si="4"/>
        <v/>
      </c>
      <c r="K139" s="54" t="str">
        <f>IFERROR(WHOLE_STRUCTURE[[#This Row],[Bottom '[m']]]-WHOLE_STRUCTURE[[#This Row],[D, top '[m']]], "")</f>
        <v/>
      </c>
      <c r="L139" s="54" t="str">
        <f>IFERROR(-(WHOLE_STRUCTURE[[#This Row],[D, bottom '[m']]]-WHOLE_STRUCTURE[[#This Row],[D, top '[m']]])/(WHOLE_STRUCTURE[[#This Row],[Bottom '[m']]]-WHOLE_STRUCTURE[[#This Row],[Top '[m']]]),"")</f>
        <v/>
      </c>
      <c r="M139" s="54" t="str">
        <f>IFERROR((WHOLE_STRUCTURE[[#This Row],[D, bottom '[m']]]+WHOLE_STRUCTURE[[#This Row],[D, top '[m']]])/(2*WHOLE_STRUCTURE[[#This Row],[t '[mm']]]/1000),"")</f>
        <v/>
      </c>
    </row>
    <row r="140" spans="10:13" x14ac:dyDescent="0.3">
      <c r="J140" s="54" t="str">
        <f t="shared" si="4"/>
        <v/>
      </c>
      <c r="K140" s="54" t="str">
        <f>IFERROR(WHOLE_STRUCTURE[[#This Row],[Bottom '[m']]]-WHOLE_STRUCTURE[[#This Row],[D, top '[m']]], "")</f>
        <v/>
      </c>
      <c r="L140" s="54" t="str">
        <f>IFERROR(-(WHOLE_STRUCTURE[[#This Row],[D, bottom '[m']]]-WHOLE_STRUCTURE[[#This Row],[D, top '[m']]])/(WHOLE_STRUCTURE[[#This Row],[Bottom '[m']]]-WHOLE_STRUCTURE[[#This Row],[Top '[m']]]),"")</f>
        <v/>
      </c>
      <c r="M140" s="54" t="str">
        <f>IFERROR((WHOLE_STRUCTURE[[#This Row],[D, bottom '[m']]]+WHOLE_STRUCTURE[[#This Row],[D, top '[m']]])/(2*WHOLE_STRUCTURE[[#This Row],[t '[mm']]]/1000),"")</f>
        <v/>
      </c>
    </row>
    <row r="141" spans="10:13" x14ac:dyDescent="0.3">
      <c r="J141" s="54" t="str">
        <f t="shared" si="4"/>
        <v/>
      </c>
      <c r="K141" s="54" t="str">
        <f>IFERROR(WHOLE_STRUCTURE[[#This Row],[Bottom '[m']]]-WHOLE_STRUCTURE[[#This Row],[D, top '[m']]], "")</f>
        <v/>
      </c>
      <c r="L141" s="54" t="str">
        <f>IFERROR(-(WHOLE_STRUCTURE[[#This Row],[D, bottom '[m']]]-WHOLE_STRUCTURE[[#This Row],[D, top '[m']]])/(WHOLE_STRUCTURE[[#This Row],[Bottom '[m']]]-WHOLE_STRUCTURE[[#This Row],[Top '[m']]]),"")</f>
        <v/>
      </c>
      <c r="M141" s="54" t="str">
        <f>IFERROR((WHOLE_STRUCTURE[[#This Row],[D, bottom '[m']]]+WHOLE_STRUCTURE[[#This Row],[D, top '[m']]])/(2*WHOLE_STRUCTURE[[#This Row],[t '[mm']]]/1000),"")</f>
        <v/>
      </c>
    </row>
    <row r="142" spans="10:13" x14ac:dyDescent="0.3">
      <c r="J142" s="54" t="str">
        <f t="shared" si="4"/>
        <v/>
      </c>
      <c r="K142" s="54" t="str">
        <f>IFERROR(WHOLE_STRUCTURE[[#This Row],[Bottom '[m']]]-WHOLE_STRUCTURE[[#This Row],[D, top '[m']]], "")</f>
        <v/>
      </c>
      <c r="L142" s="54" t="str">
        <f>IFERROR(-(WHOLE_STRUCTURE[[#This Row],[D, bottom '[m']]]-WHOLE_STRUCTURE[[#This Row],[D, top '[m']]])/(WHOLE_STRUCTURE[[#This Row],[Bottom '[m']]]-WHOLE_STRUCTURE[[#This Row],[Top '[m']]]),"")</f>
        <v/>
      </c>
      <c r="M142" s="54" t="str">
        <f>IFERROR((WHOLE_STRUCTURE[[#This Row],[D, bottom '[m']]]+WHOLE_STRUCTURE[[#This Row],[D, top '[m']]])/(2*WHOLE_STRUCTURE[[#This Row],[t '[mm']]]/1000),"")</f>
        <v/>
      </c>
    </row>
    <row r="143" spans="10:13" x14ac:dyDescent="0.3">
      <c r="J143" s="54" t="str">
        <f t="shared" si="4"/>
        <v/>
      </c>
      <c r="K143" s="54" t="str">
        <f>IFERROR(WHOLE_STRUCTURE[[#This Row],[Bottom '[m']]]-WHOLE_STRUCTURE[[#This Row],[D, top '[m']]], "")</f>
        <v/>
      </c>
      <c r="L143" s="54" t="str">
        <f>IFERROR(-(WHOLE_STRUCTURE[[#This Row],[D, bottom '[m']]]-WHOLE_STRUCTURE[[#This Row],[D, top '[m']]])/(WHOLE_STRUCTURE[[#This Row],[Bottom '[m']]]-WHOLE_STRUCTURE[[#This Row],[Top '[m']]]),"")</f>
        <v/>
      </c>
      <c r="M143" s="54" t="str">
        <f>IFERROR((WHOLE_STRUCTURE[[#This Row],[D, bottom '[m']]]+WHOLE_STRUCTURE[[#This Row],[D, top '[m']]])/(2*WHOLE_STRUCTURE[[#This Row],[t '[mm']]]/1000),"")</f>
        <v/>
      </c>
    </row>
    <row r="144" spans="10:13" x14ac:dyDescent="0.3">
      <c r="J144" s="54" t="str">
        <f t="shared" si="4"/>
        <v/>
      </c>
      <c r="K144" s="54" t="str">
        <f>IFERROR(WHOLE_STRUCTURE[[#This Row],[Bottom '[m']]]-WHOLE_STRUCTURE[[#This Row],[D, top '[m']]], "")</f>
        <v/>
      </c>
      <c r="L144" s="54" t="str">
        <f>IFERROR(-(WHOLE_STRUCTURE[[#This Row],[D, bottom '[m']]]-WHOLE_STRUCTURE[[#This Row],[D, top '[m']]])/(WHOLE_STRUCTURE[[#This Row],[Bottom '[m']]]-WHOLE_STRUCTURE[[#This Row],[Top '[m']]]),"")</f>
        <v/>
      </c>
      <c r="M144" s="54" t="str">
        <f>IFERROR((WHOLE_STRUCTURE[[#This Row],[D, bottom '[m']]]+WHOLE_STRUCTURE[[#This Row],[D, top '[m']]])/(2*WHOLE_STRUCTURE[[#This Row],[t '[mm']]]/1000),"")</f>
        <v/>
      </c>
    </row>
    <row r="145" spans="10:13" x14ac:dyDescent="0.3">
      <c r="J145" s="54" t="str">
        <f t="shared" si="4"/>
        <v/>
      </c>
      <c r="K145" s="54" t="str">
        <f>IFERROR(WHOLE_STRUCTURE[[#This Row],[Bottom '[m']]]-WHOLE_STRUCTURE[[#This Row],[D, top '[m']]], "")</f>
        <v/>
      </c>
      <c r="L145" s="54" t="str">
        <f>IFERROR(-(WHOLE_STRUCTURE[[#This Row],[D, bottom '[m']]]-WHOLE_STRUCTURE[[#This Row],[D, top '[m']]])/(WHOLE_STRUCTURE[[#This Row],[Bottom '[m']]]-WHOLE_STRUCTURE[[#This Row],[Top '[m']]]),"")</f>
        <v/>
      </c>
      <c r="M145" s="54" t="str">
        <f>IFERROR((WHOLE_STRUCTURE[[#This Row],[D, bottom '[m']]]+WHOLE_STRUCTURE[[#This Row],[D, top '[m']]])/(2*WHOLE_STRUCTURE[[#This Row],[t '[mm']]]/1000),"")</f>
        <v/>
      </c>
    </row>
    <row r="146" spans="10:13" x14ac:dyDescent="0.3">
      <c r="J146" s="54" t="str">
        <f t="shared" si="4"/>
        <v/>
      </c>
      <c r="K146" s="54" t="str">
        <f>IFERROR(WHOLE_STRUCTURE[[#This Row],[Bottom '[m']]]-WHOLE_STRUCTURE[[#This Row],[D, top '[m']]], "")</f>
        <v/>
      </c>
      <c r="L146" s="54" t="str">
        <f>IFERROR(-(WHOLE_STRUCTURE[[#This Row],[D, bottom '[m']]]-WHOLE_STRUCTURE[[#This Row],[D, top '[m']]])/(WHOLE_STRUCTURE[[#This Row],[Bottom '[m']]]-WHOLE_STRUCTURE[[#This Row],[Top '[m']]]),"")</f>
        <v/>
      </c>
      <c r="M146" s="54" t="str">
        <f>IFERROR((WHOLE_STRUCTURE[[#This Row],[D, bottom '[m']]]+WHOLE_STRUCTURE[[#This Row],[D, top '[m']]])/(2*WHOLE_STRUCTURE[[#This Row],[t '[mm']]]/1000),"")</f>
        <v/>
      </c>
    </row>
    <row r="147" spans="10:13" x14ac:dyDescent="0.3">
      <c r="J147" s="54" t="str">
        <f t="shared" si="4"/>
        <v/>
      </c>
      <c r="K147" s="54" t="str">
        <f>IFERROR(WHOLE_STRUCTURE[[#This Row],[Bottom '[m']]]-WHOLE_STRUCTURE[[#This Row],[D, top '[m']]], "")</f>
        <v/>
      </c>
      <c r="L147" s="54" t="str">
        <f>IFERROR(-(WHOLE_STRUCTURE[[#This Row],[D, bottom '[m']]]-WHOLE_STRUCTURE[[#This Row],[D, top '[m']]])/(WHOLE_STRUCTURE[[#This Row],[Bottom '[m']]]-WHOLE_STRUCTURE[[#This Row],[Top '[m']]]),"")</f>
        <v/>
      </c>
      <c r="M147" s="54" t="str">
        <f>IFERROR((WHOLE_STRUCTURE[[#This Row],[D, bottom '[m']]]+WHOLE_STRUCTURE[[#This Row],[D, top '[m']]])/(2*WHOLE_STRUCTURE[[#This Row],[t '[mm']]]/1000),"")</f>
        <v/>
      </c>
    </row>
    <row r="148" spans="10:13" x14ac:dyDescent="0.3">
      <c r="J148" s="54" t="str">
        <f t="shared" si="4"/>
        <v/>
      </c>
      <c r="K148" s="54" t="str">
        <f>IFERROR(WHOLE_STRUCTURE[[#This Row],[Bottom '[m']]]-WHOLE_STRUCTURE[[#This Row],[D, top '[m']]], "")</f>
        <v/>
      </c>
      <c r="L148" s="54" t="str">
        <f>IFERROR(-(WHOLE_STRUCTURE[[#This Row],[D, bottom '[m']]]-WHOLE_STRUCTURE[[#This Row],[D, top '[m']]])/(WHOLE_STRUCTURE[[#This Row],[Bottom '[m']]]-WHOLE_STRUCTURE[[#This Row],[Top '[m']]]),"")</f>
        <v/>
      </c>
      <c r="M148" s="54" t="str">
        <f>IFERROR((WHOLE_STRUCTURE[[#This Row],[D, bottom '[m']]]+WHOLE_STRUCTURE[[#This Row],[D, top '[m']]])/(2*WHOLE_STRUCTURE[[#This Row],[t '[mm']]]/1000),"")</f>
        <v/>
      </c>
    </row>
    <row r="149" spans="10:13" x14ac:dyDescent="0.3">
      <c r="J149" s="54" t="str">
        <f t="shared" si="4"/>
        <v/>
      </c>
      <c r="K149" s="54" t="str">
        <f>IFERROR(WHOLE_STRUCTURE[[#This Row],[Bottom '[m']]]-WHOLE_STRUCTURE[[#This Row],[D, top '[m']]], "")</f>
        <v/>
      </c>
      <c r="L149" s="54" t="str">
        <f>IFERROR(-(WHOLE_STRUCTURE[[#This Row],[D, bottom '[m']]]-WHOLE_STRUCTURE[[#This Row],[D, top '[m']]])/(WHOLE_STRUCTURE[[#This Row],[Bottom '[m']]]-WHOLE_STRUCTURE[[#This Row],[Top '[m']]]),"")</f>
        <v/>
      </c>
      <c r="M149" s="54" t="str">
        <f>IFERROR((WHOLE_STRUCTURE[[#This Row],[D, bottom '[m']]]+WHOLE_STRUCTURE[[#This Row],[D, top '[m']]])/(2*WHOLE_STRUCTURE[[#This Row],[t '[mm']]]/1000),"")</f>
        <v/>
      </c>
    </row>
    <row r="150" spans="10:13" x14ac:dyDescent="0.3">
      <c r="J150" s="54" t="str">
        <f t="shared" si="4"/>
        <v/>
      </c>
      <c r="K150" s="54" t="str">
        <f>IFERROR(WHOLE_STRUCTURE[[#This Row],[Bottom '[m']]]-WHOLE_STRUCTURE[[#This Row],[D, top '[m']]], "")</f>
        <v/>
      </c>
      <c r="L150" s="54" t="str">
        <f>IFERROR(-(WHOLE_STRUCTURE[[#This Row],[D, bottom '[m']]]-WHOLE_STRUCTURE[[#This Row],[D, top '[m']]])/(WHOLE_STRUCTURE[[#This Row],[Bottom '[m']]]-WHOLE_STRUCTURE[[#This Row],[Top '[m']]]),"")</f>
        <v/>
      </c>
      <c r="M150" s="54" t="str">
        <f>IFERROR((WHOLE_STRUCTURE[[#This Row],[D, bottom '[m']]]+WHOLE_STRUCTURE[[#This Row],[D, top '[m']]])/(2*WHOLE_STRUCTURE[[#This Row],[t '[mm']]]/1000),"")</f>
        <v/>
      </c>
    </row>
    <row r="151" spans="10:13" x14ac:dyDescent="0.3">
      <c r="J151" s="54" t="str">
        <f t="shared" si="4"/>
        <v/>
      </c>
      <c r="K151" s="54" t="str">
        <f>IFERROR(WHOLE_STRUCTURE[[#This Row],[Bottom '[m']]]-WHOLE_STRUCTURE[[#This Row],[D, top '[m']]], "")</f>
        <v/>
      </c>
      <c r="L151" s="54" t="str">
        <f>IFERROR(-(WHOLE_STRUCTURE[[#This Row],[D, bottom '[m']]]-WHOLE_STRUCTURE[[#This Row],[D, top '[m']]])/(WHOLE_STRUCTURE[[#This Row],[Bottom '[m']]]-WHOLE_STRUCTURE[[#This Row],[Top '[m']]]),"")</f>
        <v/>
      </c>
      <c r="M151" s="54" t="str">
        <f>IFERROR((WHOLE_STRUCTURE[[#This Row],[D, bottom '[m']]]+WHOLE_STRUCTURE[[#This Row],[D, top '[m']]])/(2*WHOLE_STRUCTURE[[#This Row],[t '[mm']]]/1000),"")</f>
        <v/>
      </c>
    </row>
    <row r="152" spans="10:13" x14ac:dyDescent="0.3">
      <c r="J152" s="54" t="str">
        <f t="shared" si="4"/>
        <v/>
      </c>
      <c r="K152" s="54" t="str">
        <f>IFERROR(WHOLE_STRUCTURE[[#This Row],[Bottom '[m']]]-WHOLE_STRUCTURE[[#This Row],[D, top '[m']]], "")</f>
        <v/>
      </c>
      <c r="L152" s="54" t="str">
        <f>IFERROR(-(WHOLE_STRUCTURE[[#This Row],[D, bottom '[m']]]-WHOLE_STRUCTURE[[#This Row],[D, top '[m']]])/(WHOLE_STRUCTURE[[#This Row],[Bottom '[m']]]-WHOLE_STRUCTURE[[#This Row],[Top '[m']]]),"")</f>
        <v/>
      </c>
      <c r="M152" s="54" t="str">
        <f>IFERROR((WHOLE_STRUCTURE[[#This Row],[D, bottom '[m']]]+WHOLE_STRUCTURE[[#This Row],[D, top '[m']]])/(2*WHOLE_STRUCTURE[[#This Row],[t '[mm']]]/1000),"")</f>
        <v/>
      </c>
    </row>
    <row r="153" spans="10:13" x14ac:dyDescent="0.3">
      <c r="J153" s="54" t="str">
        <f t="shared" si="4"/>
        <v/>
      </c>
      <c r="K153" s="54" t="str">
        <f>IFERROR(WHOLE_STRUCTURE[[#This Row],[Bottom '[m']]]-WHOLE_STRUCTURE[[#This Row],[D, top '[m']]], "")</f>
        <v/>
      </c>
      <c r="L153" s="54" t="str">
        <f>IFERROR(-(WHOLE_STRUCTURE[[#This Row],[D, bottom '[m']]]-WHOLE_STRUCTURE[[#This Row],[D, top '[m']]])/(WHOLE_STRUCTURE[[#This Row],[Bottom '[m']]]-WHOLE_STRUCTURE[[#This Row],[Top '[m']]]),"")</f>
        <v/>
      </c>
      <c r="M153" s="54" t="str">
        <f>IFERROR((WHOLE_STRUCTURE[[#This Row],[D, bottom '[m']]]+WHOLE_STRUCTURE[[#This Row],[D, top '[m']]])/(2*WHOLE_STRUCTURE[[#This Row],[t '[mm']]]/1000),"")</f>
        <v/>
      </c>
    </row>
    <row r="154" spans="10:13" x14ac:dyDescent="0.3">
      <c r="J154" s="54" t="str">
        <f t="shared" si="4"/>
        <v/>
      </c>
      <c r="K154" s="54" t="str">
        <f>IFERROR(WHOLE_STRUCTURE[[#This Row],[Bottom '[m']]]-WHOLE_STRUCTURE[[#This Row],[D, top '[m']]], "")</f>
        <v/>
      </c>
      <c r="L154" s="54" t="str">
        <f>IFERROR(-(WHOLE_STRUCTURE[[#This Row],[D, bottom '[m']]]-WHOLE_STRUCTURE[[#This Row],[D, top '[m']]])/(WHOLE_STRUCTURE[[#This Row],[Bottom '[m']]]-WHOLE_STRUCTURE[[#This Row],[Top '[m']]]),"")</f>
        <v/>
      </c>
      <c r="M154" s="54" t="str">
        <f>IFERROR((WHOLE_STRUCTURE[[#This Row],[D, bottom '[m']]]+WHOLE_STRUCTURE[[#This Row],[D, top '[m']]])/(2*WHOLE_STRUCTURE[[#This Row],[t '[mm']]]/1000),"")</f>
        <v/>
      </c>
    </row>
    <row r="155" spans="10:13" x14ac:dyDescent="0.3">
      <c r="J155" s="54" t="str">
        <f t="shared" si="4"/>
        <v/>
      </c>
      <c r="K155" s="54" t="str">
        <f>IFERROR(WHOLE_STRUCTURE[[#This Row],[Bottom '[m']]]-WHOLE_STRUCTURE[[#This Row],[D, top '[m']]], "")</f>
        <v/>
      </c>
      <c r="L155" s="54" t="str">
        <f>IFERROR(-(WHOLE_STRUCTURE[[#This Row],[D, bottom '[m']]]-WHOLE_STRUCTURE[[#This Row],[D, top '[m']]])/(WHOLE_STRUCTURE[[#This Row],[Bottom '[m']]]-WHOLE_STRUCTURE[[#This Row],[Top '[m']]]),"")</f>
        <v/>
      </c>
      <c r="M155" s="54" t="str">
        <f>IFERROR((WHOLE_STRUCTURE[[#This Row],[D, bottom '[m']]]+WHOLE_STRUCTURE[[#This Row],[D, top '[m']]])/(2*WHOLE_STRUCTURE[[#This Row],[t '[mm']]]/1000),"")</f>
        <v/>
      </c>
    </row>
    <row r="156" spans="10:13" x14ac:dyDescent="0.3">
      <c r="J156" s="54" t="str">
        <f t="shared" si="4"/>
        <v/>
      </c>
      <c r="K156" s="54" t="str">
        <f>IFERROR(WHOLE_STRUCTURE[[#This Row],[Bottom '[m']]]-WHOLE_STRUCTURE[[#This Row],[D, top '[m']]], "")</f>
        <v/>
      </c>
      <c r="L156" s="54" t="str">
        <f>IFERROR(-(WHOLE_STRUCTURE[[#This Row],[D, bottom '[m']]]-WHOLE_STRUCTURE[[#This Row],[D, top '[m']]])/(WHOLE_STRUCTURE[[#This Row],[Bottom '[m']]]-WHOLE_STRUCTURE[[#This Row],[Top '[m']]]),"")</f>
        <v/>
      </c>
      <c r="M156" s="54" t="str">
        <f>IFERROR((WHOLE_STRUCTURE[[#This Row],[D, bottom '[m']]]+WHOLE_STRUCTURE[[#This Row],[D, top '[m']]])/(2*WHOLE_STRUCTURE[[#This Row],[t '[mm']]]/1000),"")</f>
        <v/>
      </c>
    </row>
    <row r="157" spans="10:13" x14ac:dyDescent="0.3">
      <c r="J157" s="54" t="str">
        <f t="shared" si="4"/>
        <v/>
      </c>
      <c r="K157" s="54" t="str">
        <f>IFERROR(WHOLE_STRUCTURE[[#This Row],[Bottom '[m']]]-WHOLE_STRUCTURE[[#This Row],[D, top '[m']]], "")</f>
        <v/>
      </c>
      <c r="L157" s="54" t="str">
        <f>IFERROR(-(WHOLE_STRUCTURE[[#This Row],[D, bottom '[m']]]-WHOLE_STRUCTURE[[#This Row],[D, top '[m']]])/(WHOLE_STRUCTURE[[#This Row],[Bottom '[m']]]-WHOLE_STRUCTURE[[#This Row],[Top '[m']]]),"")</f>
        <v/>
      </c>
      <c r="M157" s="54" t="str">
        <f>IFERROR((WHOLE_STRUCTURE[[#This Row],[D, bottom '[m']]]+WHOLE_STRUCTURE[[#This Row],[D, top '[m']]])/(2*WHOLE_STRUCTURE[[#This Row],[t '[mm']]]/1000),"")</f>
        <v/>
      </c>
    </row>
    <row r="158" spans="10:13" x14ac:dyDescent="0.3">
      <c r="J158" s="54" t="str">
        <f t="shared" si="4"/>
        <v/>
      </c>
      <c r="K158" s="54" t="str">
        <f>IFERROR(WHOLE_STRUCTURE[[#This Row],[Bottom '[m']]]-WHOLE_STRUCTURE[[#This Row],[D, top '[m']]], "")</f>
        <v/>
      </c>
      <c r="L158" s="54" t="str">
        <f>IFERROR(-(WHOLE_STRUCTURE[[#This Row],[D, bottom '[m']]]-WHOLE_STRUCTURE[[#This Row],[D, top '[m']]])/(WHOLE_STRUCTURE[[#This Row],[Bottom '[m']]]-WHOLE_STRUCTURE[[#This Row],[Top '[m']]]),"")</f>
        <v/>
      </c>
      <c r="M158" s="54" t="str">
        <f>IFERROR((WHOLE_STRUCTURE[[#This Row],[D, bottom '[m']]]+WHOLE_STRUCTURE[[#This Row],[D, top '[m']]])/(2*WHOLE_STRUCTURE[[#This Row],[t '[mm']]]/1000),"")</f>
        <v/>
      </c>
    </row>
    <row r="159" spans="10:13" x14ac:dyDescent="0.3">
      <c r="J159" s="54" t="str">
        <f t="shared" si="4"/>
        <v/>
      </c>
      <c r="K159" s="54" t="str">
        <f>IFERROR(WHOLE_STRUCTURE[[#This Row],[Bottom '[m']]]-WHOLE_STRUCTURE[[#This Row],[D, top '[m']]], "")</f>
        <v/>
      </c>
      <c r="L159" s="54" t="str">
        <f>IFERROR(-(WHOLE_STRUCTURE[[#This Row],[D, bottom '[m']]]-WHOLE_STRUCTURE[[#This Row],[D, top '[m']]])/(WHOLE_STRUCTURE[[#This Row],[Bottom '[m']]]-WHOLE_STRUCTURE[[#This Row],[Top '[m']]]),"")</f>
        <v/>
      </c>
      <c r="M159" s="54" t="str">
        <f>IFERROR((WHOLE_STRUCTURE[[#This Row],[D, bottom '[m']]]+WHOLE_STRUCTURE[[#This Row],[D, top '[m']]])/(2*WHOLE_STRUCTURE[[#This Row],[t '[mm']]]/1000),"")</f>
        <v/>
      </c>
    </row>
    <row r="160" spans="10:13" x14ac:dyDescent="0.3">
      <c r="J160" s="54" t="str">
        <f t="shared" si="4"/>
        <v/>
      </c>
      <c r="K160" s="54" t="str">
        <f>IFERROR(WHOLE_STRUCTURE[[#This Row],[Bottom '[m']]]-WHOLE_STRUCTURE[[#This Row],[D, top '[m']]], "")</f>
        <v/>
      </c>
      <c r="L160" s="54" t="str">
        <f>IFERROR(-(WHOLE_STRUCTURE[[#This Row],[D, bottom '[m']]]-WHOLE_STRUCTURE[[#This Row],[D, top '[m']]])/(WHOLE_STRUCTURE[[#This Row],[Bottom '[m']]]-WHOLE_STRUCTURE[[#This Row],[Top '[m']]]),"")</f>
        <v/>
      </c>
      <c r="M160" s="54" t="str">
        <f>IFERROR((WHOLE_STRUCTURE[[#This Row],[D, bottom '[m']]]+WHOLE_STRUCTURE[[#This Row],[D, top '[m']]])/(2*WHOLE_STRUCTURE[[#This Row],[t '[mm']]]/1000),"")</f>
        <v/>
      </c>
    </row>
    <row r="161" spans="10:13" x14ac:dyDescent="0.3">
      <c r="J161" s="54" t="str">
        <f t="shared" si="4"/>
        <v/>
      </c>
      <c r="K161" s="54" t="str">
        <f>IFERROR(WHOLE_STRUCTURE[[#This Row],[Bottom '[m']]]-WHOLE_STRUCTURE[[#This Row],[D, top '[m']]], "")</f>
        <v/>
      </c>
      <c r="L161" s="54" t="str">
        <f>IFERROR(-(WHOLE_STRUCTURE[[#This Row],[D, bottom '[m']]]-WHOLE_STRUCTURE[[#This Row],[D, top '[m']]])/(WHOLE_STRUCTURE[[#This Row],[Bottom '[m']]]-WHOLE_STRUCTURE[[#This Row],[Top '[m']]]),"")</f>
        <v/>
      </c>
      <c r="M161" s="54" t="str">
        <f>IFERROR((WHOLE_STRUCTURE[[#This Row],[D, bottom '[m']]]+WHOLE_STRUCTURE[[#This Row],[D, top '[m']]])/(2*WHOLE_STRUCTURE[[#This Row],[t '[mm']]]/1000),"")</f>
        <v/>
      </c>
    </row>
    <row r="162" spans="10:13" x14ac:dyDescent="0.3">
      <c r="J162" s="54" t="str">
        <f t="shared" si="4"/>
        <v/>
      </c>
      <c r="K162" s="54" t="str">
        <f>IFERROR(WHOLE_STRUCTURE[[#This Row],[Bottom '[m']]]-WHOLE_STRUCTURE[[#This Row],[D, top '[m']]], "")</f>
        <v/>
      </c>
      <c r="L162" s="54" t="str">
        <f>IFERROR(-(WHOLE_STRUCTURE[[#This Row],[D, bottom '[m']]]-WHOLE_STRUCTURE[[#This Row],[D, top '[m']]])/(WHOLE_STRUCTURE[[#This Row],[Bottom '[m']]]-WHOLE_STRUCTURE[[#This Row],[Top '[m']]]),"")</f>
        <v/>
      </c>
      <c r="M162" s="54" t="str">
        <f>IFERROR((WHOLE_STRUCTURE[[#This Row],[D, bottom '[m']]]+WHOLE_STRUCTURE[[#This Row],[D, top '[m']]])/(2*WHOLE_STRUCTURE[[#This Row],[t '[mm']]]/1000),"")</f>
        <v/>
      </c>
    </row>
    <row r="163" spans="10:13" x14ac:dyDescent="0.3">
      <c r="J163" s="54" t="str">
        <f t="shared" si="4"/>
        <v/>
      </c>
      <c r="K163" s="54" t="str">
        <f>IFERROR(WHOLE_STRUCTURE[[#This Row],[Bottom '[m']]]-WHOLE_STRUCTURE[[#This Row],[D, top '[m']]], "")</f>
        <v/>
      </c>
      <c r="L163" s="54" t="str">
        <f>IFERROR(-(WHOLE_STRUCTURE[[#This Row],[D, bottom '[m']]]-WHOLE_STRUCTURE[[#This Row],[D, top '[m']]])/(WHOLE_STRUCTURE[[#This Row],[Bottom '[m']]]-WHOLE_STRUCTURE[[#This Row],[Top '[m']]]),"")</f>
        <v/>
      </c>
      <c r="M163" s="54" t="str">
        <f>IFERROR((WHOLE_STRUCTURE[[#This Row],[D, bottom '[m']]]+WHOLE_STRUCTURE[[#This Row],[D, top '[m']]])/(2*WHOLE_STRUCTURE[[#This Row],[t '[mm']]]/1000),"")</f>
        <v/>
      </c>
    </row>
    <row r="164" spans="10:13" x14ac:dyDescent="0.3">
      <c r="J164" s="54" t="str">
        <f t="shared" si="4"/>
        <v/>
      </c>
      <c r="K164" s="54" t="str">
        <f>IFERROR(WHOLE_STRUCTURE[[#This Row],[Bottom '[m']]]-WHOLE_STRUCTURE[[#This Row],[D, top '[m']]], "")</f>
        <v/>
      </c>
      <c r="L164" s="54" t="str">
        <f>IFERROR(-(WHOLE_STRUCTURE[[#This Row],[D, bottom '[m']]]-WHOLE_STRUCTURE[[#This Row],[D, top '[m']]])/(WHOLE_STRUCTURE[[#This Row],[Bottom '[m']]]-WHOLE_STRUCTURE[[#This Row],[Top '[m']]]),"")</f>
        <v/>
      </c>
      <c r="M164" s="54" t="str">
        <f>IFERROR((WHOLE_STRUCTURE[[#This Row],[D, bottom '[m']]]+WHOLE_STRUCTURE[[#This Row],[D, top '[m']]])/(2*WHOLE_STRUCTURE[[#This Row],[t '[mm']]]/1000),"")</f>
        <v/>
      </c>
    </row>
    <row r="165" spans="10:13" x14ac:dyDescent="0.3">
      <c r="J165" s="54" t="str">
        <f t="shared" si="4"/>
        <v/>
      </c>
      <c r="K165" s="54" t="str">
        <f>IFERROR(WHOLE_STRUCTURE[[#This Row],[Bottom '[m']]]-WHOLE_STRUCTURE[[#This Row],[D, top '[m']]], "")</f>
        <v/>
      </c>
      <c r="L165" s="54" t="str">
        <f>IFERROR(-(WHOLE_STRUCTURE[[#This Row],[D, bottom '[m']]]-WHOLE_STRUCTURE[[#This Row],[D, top '[m']]])/(WHOLE_STRUCTURE[[#This Row],[Bottom '[m']]]-WHOLE_STRUCTURE[[#This Row],[Top '[m']]]),"")</f>
        <v/>
      </c>
      <c r="M165" s="54" t="str">
        <f>IFERROR((WHOLE_STRUCTURE[[#This Row],[D, bottom '[m']]]+WHOLE_STRUCTURE[[#This Row],[D, top '[m']]])/(2*WHOLE_STRUCTURE[[#This Row],[t '[mm']]]/1000),"")</f>
        <v/>
      </c>
    </row>
    <row r="166" spans="10:13" x14ac:dyDescent="0.3">
      <c r="J166" s="54" t="str">
        <f t="shared" si="4"/>
        <v/>
      </c>
      <c r="K166" s="54" t="str">
        <f>IFERROR(WHOLE_STRUCTURE[[#This Row],[Bottom '[m']]]-WHOLE_STRUCTURE[[#This Row],[D, top '[m']]], "")</f>
        <v/>
      </c>
      <c r="L166" s="54" t="str">
        <f>IFERROR(-(WHOLE_STRUCTURE[[#This Row],[D, bottom '[m']]]-WHOLE_STRUCTURE[[#This Row],[D, top '[m']]])/(WHOLE_STRUCTURE[[#This Row],[Bottom '[m']]]-WHOLE_STRUCTURE[[#This Row],[Top '[m']]]),"")</f>
        <v/>
      </c>
      <c r="M166" s="54" t="str">
        <f>IFERROR((WHOLE_STRUCTURE[[#This Row],[D, bottom '[m']]]+WHOLE_STRUCTURE[[#This Row],[D, top '[m']]])/(2*WHOLE_STRUCTURE[[#This Row],[t '[mm']]]/1000),"")</f>
        <v/>
      </c>
    </row>
    <row r="167" spans="10:13" x14ac:dyDescent="0.3">
      <c r="J167" s="54" t="str">
        <f t="shared" si="4"/>
        <v/>
      </c>
      <c r="K167" s="54" t="str">
        <f>IFERROR(WHOLE_STRUCTURE[[#This Row],[Bottom '[m']]]-WHOLE_STRUCTURE[[#This Row],[D, top '[m']]], "")</f>
        <v/>
      </c>
      <c r="L167" s="54" t="str">
        <f>IFERROR(-(WHOLE_STRUCTURE[[#This Row],[D, bottom '[m']]]-WHOLE_STRUCTURE[[#This Row],[D, top '[m']]])/(WHOLE_STRUCTURE[[#This Row],[Bottom '[m']]]-WHOLE_STRUCTURE[[#This Row],[Top '[m']]]),"")</f>
        <v/>
      </c>
      <c r="M167" s="54" t="str">
        <f>IFERROR((WHOLE_STRUCTURE[[#This Row],[D, bottom '[m']]]+WHOLE_STRUCTURE[[#This Row],[D, top '[m']]])/(2*WHOLE_STRUCTURE[[#This Row],[t '[mm']]]/1000),"")</f>
        <v/>
      </c>
    </row>
    <row r="168" spans="10:13" x14ac:dyDescent="0.3">
      <c r="J168" s="54" t="str">
        <f t="shared" si="4"/>
        <v/>
      </c>
      <c r="K168" s="54" t="str">
        <f>IFERROR(WHOLE_STRUCTURE[[#This Row],[Bottom '[m']]]-WHOLE_STRUCTURE[[#This Row],[D, top '[m']]], "")</f>
        <v/>
      </c>
      <c r="L168" s="54" t="str">
        <f>IFERROR(-(WHOLE_STRUCTURE[[#This Row],[D, bottom '[m']]]-WHOLE_STRUCTURE[[#This Row],[D, top '[m']]])/(WHOLE_STRUCTURE[[#This Row],[Bottom '[m']]]-WHOLE_STRUCTURE[[#This Row],[Top '[m']]]),"")</f>
        <v/>
      </c>
      <c r="M168" s="54" t="str">
        <f>IFERROR((WHOLE_STRUCTURE[[#This Row],[D, bottom '[m']]]+WHOLE_STRUCTURE[[#This Row],[D, top '[m']]])/(2*WHOLE_STRUCTURE[[#This Row],[t '[mm']]]/1000),"")</f>
        <v/>
      </c>
    </row>
    <row r="169" spans="10:13" x14ac:dyDescent="0.3">
      <c r="J169" s="54" t="str">
        <f t="shared" si="4"/>
        <v/>
      </c>
      <c r="K169" s="54" t="str">
        <f>IFERROR(WHOLE_STRUCTURE[[#This Row],[Bottom '[m']]]-WHOLE_STRUCTURE[[#This Row],[D, top '[m']]], "")</f>
        <v/>
      </c>
      <c r="L169" s="54" t="str">
        <f>IFERROR(-(WHOLE_STRUCTURE[[#This Row],[D, bottom '[m']]]-WHOLE_STRUCTURE[[#This Row],[D, top '[m']]])/(WHOLE_STRUCTURE[[#This Row],[Bottom '[m']]]-WHOLE_STRUCTURE[[#This Row],[Top '[m']]]),"")</f>
        <v/>
      </c>
      <c r="M169" s="54" t="str">
        <f>IFERROR((WHOLE_STRUCTURE[[#This Row],[D, bottom '[m']]]+WHOLE_STRUCTURE[[#This Row],[D, top '[m']]])/(2*WHOLE_STRUCTURE[[#This Row],[t '[mm']]]/1000),"")</f>
        <v/>
      </c>
    </row>
    <row r="170" spans="10:13" x14ac:dyDescent="0.3">
      <c r="J170" s="54" t="str">
        <f t="shared" si="4"/>
        <v/>
      </c>
      <c r="K170" s="54" t="str">
        <f>IFERROR(WHOLE_STRUCTURE[[#This Row],[Bottom '[m']]]-WHOLE_STRUCTURE[[#This Row],[D, top '[m']]], "")</f>
        <v/>
      </c>
      <c r="L170" s="54" t="str">
        <f>IFERROR(-(WHOLE_STRUCTURE[[#This Row],[D, bottom '[m']]]-WHOLE_STRUCTURE[[#This Row],[D, top '[m']]])/(WHOLE_STRUCTURE[[#This Row],[Bottom '[m']]]-WHOLE_STRUCTURE[[#This Row],[Top '[m']]]),"")</f>
        <v/>
      </c>
      <c r="M170" s="54" t="str">
        <f>IFERROR((WHOLE_STRUCTURE[[#This Row],[D, bottom '[m']]]+WHOLE_STRUCTURE[[#This Row],[D, top '[m']]])/(2*WHOLE_STRUCTURE[[#This Row],[t '[mm']]]/1000),"")</f>
        <v/>
      </c>
    </row>
    <row r="171" spans="10:13" x14ac:dyDescent="0.3">
      <c r="J171" s="54" t="str">
        <f t="shared" si="4"/>
        <v/>
      </c>
      <c r="K171" s="54" t="str">
        <f>IFERROR(WHOLE_STRUCTURE[[#This Row],[Bottom '[m']]]-WHOLE_STRUCTURE[[#This Row],[D, top '[m']]], "")</f>
        <v/>
      </c>
      <c r="L171" s="54" t="str">
        <f>IFERROR(-(WHOLE_STRUCTURE[[#This Row],[D, bottom '[m']]]-WHOLE_STRUCTURE[[#This Row],[D, top '[m']]])/(WHOLE_STRUCTURE[[#This Row],[Bottom '[m']]]-WHOLE_STRUCTURE[[#This Row],[Top '[m']]]),"")</f>
        <v/>
      </c>
      <c r="M171" s="54" t="str">
        <f>IFERROR((WHOLE_STRUCTURE[[#This Row],[D, bottom '[m']]]+WHOLE_STRUCTURE[[#This Row],[D, top '[m']]])/(2*WHOLE_STRUCTURE[[#This Row],[t '[mm']]]/1000),"")</f>
        <v/>
      </c>
    </row>
    <row r="172" spans="10:13" x14ac:dyDescent="0.3">
      <c r="J172" s="54" t="str">
        <f t="shared" si="4"/>
        <v/>
      </c>
      <c r="K172" s="54" t="str">
        <f>IFERROR(WHOLE_STRUCTURE[[#This Row],[Bottom '[m']]]-WHOLE_STRUCTURE[[#This Row],[D, top '[m']]], "")</f>
        <v/>
      </c>
      <c r="L172" s="54" t="str">
        <f>IFERROR(-(WHOLE_STRUCTURE[[#This Row],[D, bottom '[m']]]-WHOLE_STRUCTURE[[#This Row],[D, top '[m']]])/(WHOLE_STRUCTURE[[#This Row],[Bottom '[m']]]-WHOLE_STRUCTURE[[#This Row],[Top '[m']]]),"")</f>
        <v/>
      </c>
      <c r="M172" s="54" t="str">
        <f>IFERROR((WHOLE_STRUCTURE[[#This Row],[D, bottom '[m']]]+WHOLE_STRUCTURE[[#This Row],[D, top '[m']]])/(2*WHOLE_STRUCTURE[[#This Row],[t '[mm']]]/1000),"")</f>
        <v/>
      </c>
    </row>
    <row r="173" spans="10:13" x14ac:dyDescent="0.3">
      <c r="J173" s="54" t="str">
        <f t="shared" si="4"/>
        <v/>
      </c>
      <c r="K173" s="54" t="str">
        <f>IFERROR(WHOLE_STRUCTURE[[#This Row],[Bottom '[m']]]-WHOLE_STRUCTURE[[#This Row],[D, top '[m']]], "")</f>
        <v/>
      </c>
      <c r="L173" s="54" t="str">
        <f>IFERROR(-(WHOLE_STRUCTURE[[#This Row],[D, bottom '[m']]]-WHOLE_STRUCTURE[[#This Row],[D, top '[m']]])/(WHOLE_STRUCTURE[[#This Row],[Bottom '[m']]]-WHOLE_STRUCTURE[[#This Row],[Top '[m']]]),"")</f>
        <v/>
      </c>
      <c r="M173" s="54" t="str">
        <f>IFERROR((WHOLE_STRUCTURE[[#This Row],[D, bottom '[m']]]+WHOLE_STRUCTURE[[#This Row],[D, top '[m']]])/(2*WHOLE_STRUCTURE[[#This Row],[t '[mm']]]/1000),"")</f>
        <v/>
      </c>
    </row>
    <row r="174" spans="10:13" x14ac:dyDescent="0.3">
      <c r="J174" s="54" t="str">
        <f t="shared" si="4"/>
        <v/>
      </c>
      <c r="K174" s="54" t="str">
        <f>IFERROR(WHOLE_STRUCTURE[[#This Row],[Bottom '[m']]]-WHOLE_STRUCTURE[[#This Row],[D, top '[m']]], "")</f>
        <v/>
      </c>
      <c r="L174" s="54" t="str">
        <f>IFERROR(-(WHOLE_STRUCTURE[[#This Row],[D, bottom '[m']]]-WHOLE_STRUCTURE[[#This Row],[D, top '[m']]])/(WHOLE_STRUCTURE[[#This Row],[Bottom '[m']]]-WHOLE_STRUCTURE[[#This Row],[Top '[m']]]),"")</f>
        <v/>
      </c>
      <c r="M174" s="54" t="str">
        <f>IFERROR((WHOLE_STRUCTURE[[#This Row],[D, bottom '[m']]]+WHOLE_STRUCTURE[[#This Row],[D, top '[m']]])/(2*WHOLE_STRUCTURE[[#This Row],[t '[mm']]]/1000),"")</f>
        <v/>
      </c>
    </row>
    <row r="175" spans="10:13" x14ac:dyDescent="0.3">
      <c r="J175" s="54" t="str">
        <f t="shared" si="4"/>
        <v/>
      </c>
      <c r="K175" s="54" t="str">
        <f>IFERROR(WHOLE_STRUCTURE[[#This Row],[Bottom '[m']]]-WHOLE_STRUCTURE[[#This Row],[D, top '[m']]], "")</f>
        <v/>
      </c>
      <c r="L175" s="54" t="str">
        <f>IFERROR(-(WHOLE_STRUCTURE[[#This Row],[D, bottom '[m']]]-WHOLE_STRUCTURE[[#This Row],[D, top '[m']]])/(WHOLE_STRUCTURE[[#This Row],[Bottom '[m']]]-WHOLE_STRUCTURE[[#This Row],[Top '[m']]]),"")</f>
        <v/>
      </c>
      <c r="M175" s="54" t="str">
        <f>IFERROR((WHOLE_STRUCTURE[[#This Row],[D, bottom '[m']]]+WHOLE_STRUCTURE[[#This Row],[D, top '[m']]])/(2*WHOLE_STRUCTURE[[#This Row],[t '[mm']]]/1000),"")</f>
        <v/>
      </c>
    </row>
    <row r="176" spans="10:13" x14ac:dyDescent="0.3">
      <c r="J176" s="54" t="str">
        <f t="shared" si="4"/>
        <v/>
      </c>
      <c r="K176" s="54" t="str">
        <f>IFERROR(WHOLE_STRUCTURE[[#This Row],[Bottom '[m']]]-WHOLE_STRUCTURE[[#This Row],[D, top '[m']]], "")</f>
        <v/>
      </c>
      <c r="L176" s="54" t="str">
        <f>IFERROR(-(WHOLE_STRUCTURE[[#This Row],[D, bottom '[m']]]-WHOLE_STRUCTURE[[#This Row],[D, top '[m']]])/(WHOLE_STRUCTURE[[#This Row],[Bottom '[m']]]-WHOLE_STRUCTURE[[#This Row],[Top '[m']]]),"")</f>
        <v/>
      </c>
      <c r="M176" s="54" t="str">
        <f>IFERROR((WHOLE_STRUCTURE[[#This Row],[D, bottom '[m']]]+WHOLE_STRUCTURE[[#This Row],[D, top '[m']]])/(2*WHOLE_STRUCTURE[[#This Row],[t '[mm']]]/1000),"")</f>
        <v/>
      </c>
    </row>
    <row r="177" spans="10:13" x14ac:dyDescent="0.3">
      <c r="J177" s="54" t="str">
        <f t="shared" si="4"/>
        <v/>
      </c>
      <c r="K177" s="54" t="str">
        <f>IFERROR(WHOLE_STRUCTURE[[#This Row],[Bottom '[m']]]-WHOLE_STRUCTURE[[#This Row],[D, top '[m']]], "")</f>
        <v/>
      </c>
      <c r="L177" s="54" t="str">
        <f>IFERROR(-(WHOLE_STRUCTURE[[#This Row],[D, bottom '[m']]]-WHOLE_STRUCTURE[[#This Row],[D, top '[m']]])/(WHOLE_STRUCTURE[[#This Row],[Bottom '[m']]]-WHOLE_STRUCTURE[[#This Row],[Top '[m']]]),"")</f>
        <v/>
      </c>
      <c r="M177" s="54" t="str">
        <f>IFERROR((WHOLE_STRUCTURE[[#This Row],[D, bottom '[m']]]+WHOLE_STRUCTURE[[#This Row],[D, top '[m']]])/(2*WHOLE_STRUCTURE[[#This Row],[t '[mm']]]/1000),"")</f>
        <v/>
      </c>
    </row>
    <row r="178" spans="10:13" x14ac:dyDescent="0.3">
      <c r="J178" s="54" t="str">
        <f t="shared" si="4"/>
        <v/>
      </c>
      <c r="K178" s="54" t="str">
        <f>IFERROR(WHOLE_STRUCTURE[[#This Row],[Bottom '[m']]]-WHOLE_STRUCTURE[[#This Row],[D, top '[m']]], "")</f>
        <v/>
      </c>
      <c r="L178" s="54" t="str">
        <f>IFERROR(-(WHOLE_STRUCTURE[[#This Row],[D, bottom '[m']]]-WHOLE_STRUCTURE[[#This Row],[D, top '[m']]])/(WHOLE_STRUCTURE[[#This Row],[Bottom '[m']]]-WHOLE_STRUCTURE[[#This Row],[Top '[m']]]),"")</f>
        <v/>
      </c>
      <c r="M178" s="54" t="str">
        <f>IFERROR((WHOLE_STRUCTURE[[#This Row],[D, bottom '[m']]]+WHOLE_STRUCTURE[[#This Row],[D, top '[m']]])/(2*WHOLE_STRUCTURE[[#This Row],[t '[mm']]]/1000),"")</f>
        <v/>
      </c>
    </row>
    <row r="179" spans="10:13" x14ac:dyDescent="0.3">
      <c r="J179" s="54" t="str">
        <f t="shared" si="4"/>
        <v/>
      </c>
      <c r="K179" s="54" t="str">
        <f>IFERROR(WHOLE_STRUCTURE[[#This Row],[Bottom '[m']]]-WHOLE_STRUCTURE[[#This Row],[D, top '[m']]], "")</f>
        <v/>
      </c>
      <c r="L179" s="54" t="str">
        <f>IFERROR(-(WHOLE_STRUCTURE[[#This Row],[D, bottom '[m']]]-WHOLE_STRUCTURE[[#This Row],[D, top '[m']]])/(WHOLE_STRUCTURE[[#This Row],[Bottom '[m']]]-WHOLE_STRUCTURE[[#This Row],[Top '[m']]]),"")</f>
        <v/>
      </c>
      <c r="M179" s="54" t="str">
        <f>IFERROR((WHOLE_STRUCTURE[[#This Row],[D, bottom '[m']]]+WHOLE_STRUCTURE[[#This Row],[D, top '[m']]])/(2*WHOLE_STRUCTURE[[#This Row],[t '[mm']]]/1000),"")</f>
        <v/>
      </c>
    </row>
    <row r="180" spans="10:13" x14ac:dyDescent="0.3">
      <c r="J180" s="54" t="str">
        <f t="shared" si="4"/>
        <v/>
      </c>
      <c r="K180" s="54" t="str">
        <f>IFERROR(WHOLE_STRUCTURE[[#This Row],[Bottom '[m']]]-WHOLE_STRUCTURE[[#This Row],[D, top '[m']]], "")</f>
        <v/>
      </c>
      <c r="L180" s="54" t="str">
        <f>IFERROR(-(WHOLE_STRUCTURE[[#This Row],[D, bottom '[m']]]-WHOLE_STRUCTURE[[#This Row],[D, top '[m']]])/(WHOLE_STRUCTURE[[#This Row],[Bottom '[m']]]-WHOLE_STRUCTURE[[#This Row],[Top '[m']]]),"")</f>
        <v/>
      </c>
      <c r="M180" s="54" t="str">
        <f>IFERROR((WHOLE_STRUCTURE[[#This Row],[D, bottom '[m']]]+WHOLE_STRUCTURE[[#This Row],[D, top '[m']]])/(2*WHOLE_STRUCTURE[[#This Row],[t '[mm']]]/1000),"")</f>
        <v/>
      </c>
    </row>
    <row r="181" spans="10:13" x14ac:dyDescent="0.3">
      <c r="J181" s="54" t="str">
        <f t="shared" si="4"/>
        <v/>
      </c>
      <c r="K181" s="54" t="str">
        <f>IFERROR(WHOLE_STRUCTURE[[#This Row],[Bottom '[m']]]-WHOLE_STRUCTURE[[#This Row],[D, top '[m']]], "")</f>
        <v/>
      </c>
      <c r="L181" s="54" t="str">
        <f>IFERROR(-(WHOLE_STRUCTURE[[#This Row],[D, bottom '[m']]]-WHOLE_STRUCTURE[[#This Row],[D, top '[m']]])/(WHOLE_STRUCTURE[[#This Row],[Bottom '[m']]]-WHOLE_STRUCTURE[[#This Row],[Top '[m']]]),"")</f>
        <v/>
      </c>
      <c r="M181" s="54" t="str">
        <f>IFERROR((WHOLE_STRUCTURE[[#This Row],[D, bottom '[m']]]+WHOLE_STRUCTURE[[#This Row],[D, top '[m']]])/(2*WHOLE_STRUCTURE[[#This Row],[t '[mm']]]/1000),"")</f>
        <v/>
      </c>
    </row>
    <row r="182" spans="10:13" x14ac:dyDescent="0.3">
      <c r="J182" s="54" t="str">
        <f t="shared" si="4"/>
        <v/>
      </c>
      <c r="K182" s="54" t="str">
        <f>IFERROR(WHOLE_STRUCTURE[[#This Row],[Bottom '[m']]]-WHOLE_STRUCTURE[[#This Row],[D, top '[m']]], "")</f>
        <v/>
      </c>
      <c r="L182" s="54" t="str">
        <f>IFERROR(-(WHOLE_STRUCTURE[[#This Row],[D, bottom '[m']]]-WHOLE_STRUCTURE[[#This Row],[D, top '[m']]])/(WHOLE_STRUCTURE[[#This Row],[Bottom '[m']]]-WHOLE_STRUCTURE[[#This Row],[Top '[m']]]),"")</f>
        <v/>
      </c>
      <c r="M182" s="54" t="str">
        <f>IFERROR((WHOLE_STRUCTURE[[#This Row],[D, bottom '[m']]]+WHOLE_STRUCTURE[[#This Row],[D, top '[m']]])/(2*WHOLE_STRUCTURE[[#This Row],[t '[mm']]]/1000),"")</f>
        <v/>
      </c>
    </row>
    <row r="183" spans="10:13" x14ac:dyDescent="0.3">
      <c r="J183" s="54" t="str">
        <f t="shared" si="4"/>
        <v/>
      </c>
      <c r="K183" s="54" t="str">
        <f>IFERROR(WHOLE_STRUCTURE[[#This Row],[Bottom '[m']]]-WHOLE_STRUCTURE[[#This Row],[D, top '[m']]], "")</f>
        <v/>
      </c>
      <c r="L183" s="54" t="str">
        <f>IFERROR(-(WHOLE_STRUCTURE[[#This Row],[D, bottom '[m']]]-WHOLE_STRUCTURE[[#This Row],[D, top '[m']]])/(WHOLE_STRUCTURE[[#This Row],[Bottom '[m']]]-WHOLE_STRUCTURE[[#This Row],[Top '[m']]]),"")</f>
        <v/>
      </c>
      <c r="M183" s="54" t="str">
        <f>IFERROR((WHOLE_STRUCTURE[[#This Row],[D, bottom '[m']]]+WHOLE_STRUCTURE[[#This Row],[D, top '[m']]])/(2*WHOLE_STRUCTURE[[#This Row],[t '[mm']]]/1000),"")</f>
        <v/>
      </c>
    </row>
    <row r="184" spans="10:13" x14ac:dyDescent="0.3">
      <c r="J184" s="54" t="str">
        <f t="shared" si="4"/>
        <v/>
      </c>
      <c r="K184" s="54" t="str">
        <f>IFERROR(WHOLE_STRUCTURE[[#This Row],[Bottom '[m']]]-WHOLE_STRUCTURE[[#This Row],[D, top '[m']]], "")</f>
        <v/>
      </c>
      <c r="L184" s="54" t="str">
        <f>IFERROR(-(WHOLE_STRUCTURE[[#This Row],[D, bottom '[m']]]-WHOLE_STRUCTURE[[#This Row],[D, top '[m']]])/(WHOLE_STRUCTURE[[#This Row],[Bottom '[m']]]-WHOLE_STRUCTURE[[#This Row],[Top '[m']]]),"")</f>
        <v/>
      </c>
      <c r="M184" s="54" t="str">
        <f>IFERROR((WHOLE_STRUCTURE[[#This Row],[D, bottom '[m']]]+WHOLE_STRUCTURE[[#This Row],[D, top '[m']]])/(2*WHOLE_STRUCTURE[[#This Row],[t '[mm']]]/1000),"")</f>
        <v/>
      </c>
    </row>
    <row r="185" spans="10:13" x14ac:dyDescent="0.3">
      <c r="J185" s="54" t="str">
        <f t="shared" si="4"/>
        <v/>
      </c>
      <c r="K185" s="54" t="str">
        <f>IFERROR(WHOLE_STRUCTURE[[#This Row],[Bottom '[m']]]-WHOLE_STRUCTURE[[#This Row],[D, top '[m']]], "")</f>
        <v/>
      </c>
      <c r="L185" s="54" t="str">
        <f>IFERROR(-(WHOLE_STRUCTURE[[#This Row],[D, bottom '[m']]]-WHOLE_STRUCTURE[[#This Row],[D, top '[m']]])/(WHOLE_STRUCTURE[[#This Row],[Bottom '[m']]]-WHOLE_STRUCTURE[[#This Row],[Top '[m']]]),"")</f>
        <v/>
      </c>
      <c r="M185" s="54" t="str">
        <f>IFERROR((WHOLE_STRUCTURE[[#This Row],[D, bottom '[m']]]+WHOLE_STRUCTURE[[#This Row],[D, top '[m']]])/(2*WHOLE_STRUCTURE[[#This Row],[t '[mm']]]/1000),"")</f>
        <v/>
      </c>
    </row>
    <row r="186" spans="10:13" x14ac:dyDescent="0.3">
      <c r="J186" s="54" t="str">
        <f t="shared" si="4"/>
        <v/>
      </c>
      <c r="K186" s="54" t="str">
        <f>IFERROR(WHOLE_STRUCTURE[[#This Row],[Bottom '[m']]]-WHOLE_STRUCTURE[[#This Row],[D, top '[m']]], "")</f>
        <v/>
      </c>
      <c r="L186" s="54" t="str">
        <f>IFERROR(-(WHOLE_STRUCTURE[[#This Row],[D, bottom '[m']]]-WHOLE_STRUCTURE[[#This Row],[D, top '[m']]])/(WHOLE_STRUCTURE[[#This Row],[Bottom '[m']]]-WHOLE_STRUCTURE[[#This Row],[Top '[m']]]),"")</f>
        <v/>
      </c>
      <c r="M186" s="54" t="str">
        <f>IFERROR((WHOLE_STRUCTURE[[#This Row],[D, bottom '[m']]]+WHOLE_STRUCTURE[[#This Row],[D, top '[m']]])/(2*WHOLE_STRUCTURE[[#This Row],[t '[mm']]]/1000),"")</f>
        <v/>
      </c>
    </row>
    <row r="187" spans="10:13" x14ac:dyDescent="0.3">
      <c r="J187" s="54" t="str">
        <f t="shared" si="4"/>
        <v/>
      </c>
      <c r="K187" s="54" t="str">
        <f>IFERROR(WHOLE_STRUCTURE[[#This Row],[Bottom '[m']]]-WHOLE_STRUCTURE[[#This Row],[D, top '[m']]], "")</f>
        <v/>
      </c>
      <c r="L187" s="54" t="str">
        <f>IFERROR(-(WHOLE_STRUCTURE[[#This Row],[D, bottom '[m']]]-WHOLE_STRUCTURE[[#This Row],[D, top '[m']]])/(WHOLE_STRUCTURE[[#This Row],[Bottom '[m']]]-WHOLE_STRUCTURE[[#This Row],[Top '[m']]]),"")</f>
        <v/>
      </c>
      <c r="M187" s="54" t="str">
        <f>IFERROR((WHOLE_STRUCTURE[[#This Row],[D, bottom '[m']]]+WHOLE_STRUCTURE[[#This Row],[D, top '[m']]])/(2*WHOLE_STRUCTURE[[#This Row],[t '[mm']]]/1000),"")</f>
        <v/>
      </c>
    </row>
    <row r="188" spans="10:13" x14ac:dyDescent="0.3">
      <c r="J188" s="54" t="str">
        <f t="shared" si="4"/>
        <v/>
      </c>
      <c r="K188" s="54" t="str">
        <f>IFERROR(WHOLE_STRUCTURE[[#This Row],[Bottom '[m']]]-WHOLE_STRUCTURE[[#This Row],[D, top '[m']]], "")</f>
        <v/>
      </c>
      <c r="L188" s="54" t="str">
        <f>IFERROR(-(WHOLE_STRUCTURE[[#This Row],[D, bottom '[m']]]-WHOLE_STRUCTURE[[#This Row],[D, top '[m']]])/(WHOLE_STRUCTURE[[#This Row],[Bottom '[m']]]-WHOLE_STRUCTURE[[#This Row],[Top '[m']]]),"")</f>
        <v/>
      </c>
      <c r="M188" s="54" t="str">
        <f>IFERROR((WHOLE_STRUCTURE[[#This Row],[D, bottom '[m']]]+WHOLE_STRUCTURE[[#This Row],[D, top '[m']]])/(2*WHOLE_STRUCTURE[[#This Row],[t '[mm']]]/1000),"")</f>
        <v/>
      </c>
    </row>
    <row r="189" spans="10:13" x14ac:dyDescent="0.3">
      <c r="J189" s="54" t="str">
        <f t="shared" si="4"/>
        <v/>
      </c>
      <c r="K189" s="54" t="str">
        <f>IFERROR(WHOLE_STRUCTURE[[#This Row],[Bottom '[m']]]-WHOLE_STRUCTURE[[#This Row],[D, top '[m']]], "")</f>
        <v/>
      </c>
      <c r="L189" s="54" t="str">
        <f>IFERROR(-(WHOLE_STRUCTURE[[#This Row],[D, bottom '[m']]]-WHOLE_STRUCTURE[[#This Row],[D, top '[m']]])/(WHOLE_STRUCTURE[[#This Row],[Bottom '[m']]]-WHOLE_STRUCTURE[[#This Row],[Top '[m']]]),"")</f>
        <v/>
      </c>
      <c r="M189" s="54" t="str">
        <f>IFERROR((WHOLE_STRUCTURE[[#This Row],[D, bottom '[m']]]+WHOLE_STRUCTURE[[#This Row],[D, top '[m']]])/(2*WHOLE_STRUCTURE[[#This Row],[t '[mm']]]/1000),"")</f>
        <v/>
      </c>
    </row>
    <row r="190" spans="10:13" x14ac:dyDescent="0.3">
      <c r="J190" s="54" t="str">
        <f t="shared" si="4"/>
        <v/>
      </c>
      <c r="K190" s="54" t="str">
        <f>IFERROR(WHOLE_STRUCTURE[[#This Row],[Bottom '[m']]]-WHOLE_STRUCTURE[[#This Row],[D, top '[m']]], "")</f>
        <v/>
      </c>
      <c r="L190" s="54" t="str">
        <f>IFERROR(-(WHOLE_STRUCTURE[[#This Row],[D, bottom '[m']]]-WHOLE_STRUCTURE[[#This Row],[D, top '[m']]])/(WHOLE_STRUCTURE[[#This Row],[Bottom '[m']]]-WHOLE_STRUCTURE[[#This Row],[Top '[m']]]),"")</f>
        <v/>
      </c>
      <c r="M190" s="54" t="str">
        <f>IFERROR((WHOLE_STRUCTURE[[#This Row],[D, bottom '[m']]]+WHOLE_STRUCTURE[[#This Row],[D, top '[m']]])/(2*WHOLE_STRUCTURE[[#This Row],[t '[mm']]]/1000),"")</f>
        <v/>
      </c>
    </row>
    <row r="191" spans="10:13" x14ac:dyDescent="0.3">
      <c r="J191" s="54" t="str">
        <f t="shared" si="4"/>
        <v/>
      </c>
      <c r="K191" s="54" t="str">
        <f>IFERROR(WHOLE_STRUCTURE[[#This Row],[Bottom '[m']]]-WHOLE_STRUCTURE[[#This Row],[D, top '[m']]], "")</f>
        <v/>
      </c>
      <c r="L191" s="54" t="str">
        <f>IFERROR(-(WHOLE_STRUCTURE[[#This Row],[D, bottom '[m']]]-WHOLE_STRUCTURE[[#This Row],[D, top '[m']]])/(WHOLE_STRUCTURE[[#This Row],[Bottom '[m']]]-WHOLE_STRUCTURE[[#This Row],[Top '[m']]]),"")</f>
        <v/>
      </c>
      <c r="M191" s="54" t="str">
        <f>IFERROR((WHOLE_STRUCTURE[[#This Row],[D, bottom '[m']]]+WHOLE_STRUCTURE[[#This Row],[D, top '[m']]])/(2*WHOLE_STRUCTURE[[#This Row],[t '[mm']]]/1000),"")</f>
        <v/>
      </c>
    </row>
    <row r="192" spans="10:13" x14ac:dyDescent="0.3">
      <c r="J192" s="54" t="str">
        <f t="shared" si="4"/>
        <v/>
      </c>
      <c r="K192" s="54" t="str">
        <f>IFERROR(WHOLE_STRUCTURE[[#This Row],[Bottom '[m']]]-WHOLE_STRUCTURE[[#This Row],[D, top '[m']]], "")</f>
        <v/>
      </c>
      <c r="L192" s="54" t="str">
        <f>IFERROR(-(WHOLE_STRUCTURE[[#This Row],[D, bottom '[m']]]-WHOLE_STRUCTURE[[#This Row],[D, top '[m']]])/(WHOLE_STRUCTURE[[#This Row],[Bottom '[m']]]-WHOLE_STRUCTURE[[#This Row],[Top '[m']]]),"")</f>
        <v/>
      </c>
      <c r="M192" s="54" t="str">
        <f>IFERROR((WHOLE_STRUCTURE[[#This Row],[D, bottom '[m']]]+WHOLE_STRUCTURE[[#This Row],[D, top '[m']]])/(2*WHOLE_STRUCTURE[[#This Row],[t '[mm']]]/1000),"")</f>
        <v/>
      </c>
    </row>
    <row r="193" spans="10:13" x14ac:dyDescent="0.3">
      <c r="J193" s="54" t="str">
        <f t="shared" si="4"/>
        <v/>
      </c>
      <c r="K193" s="54" t="str">
        <f>IFERROR(WHOLE_STRUCTURE[[#This Row],[Bottom '[m']]]-WHOLE_STRUCTURE[[#This Row],[D, top '[m']]], "")</f>
        <v/>
      </c>
      <c r="L193" s="54" t="str">
        <f>IFERROR(-(WHOLE_STRUCTURE[[#This Row],[D, bottom '[m']]]-WHOLE_STRUCTURE[[#This Row],[D, top '[m']]])/(WHOLE_STRUCTURE[[#This Row],[Bottom '[m']]]-WHOLE_STRUCTURE[[#This Row],[Top '[m']]]),"")</f>
        <v/>
      </c>
      <c r="M193" s="54" t="str">
        <f>IFERROR((WHOLE_STRUCTURE[[#This Row],[D, bottom '[m']]]+WHOLE_STRUCTURE[[#This Row],[D, top '[m']]])/(2*WHOLE_STRUCTURE[[#This Row],[t '[mm']]]/1000),"")</f>
        <v/>
      </c>
    </row>
    <row r="194" spans="10:13" x14ac:dyDescent="0.3">
      <c r="J194" s="54" t="str">
        <f t="shared" si="4"/>
        <v/>
      </c>
      <c r="K194" s="54" t="str">
        <f>IFERROR(WHOLE_STRUCTURE[[#This Row],[Bottom '[m']]]-WHOLE_STRUCTURE[[#This Row],[D, top '[m']]], "")</f>
        <v/>
      </c>
      <c r="L194" s="54" t="str">
        <f>IFERROR(-(WHOLE_STRUCTURE[[#This Row],[D, bottom '[m']]]-WHOLE_STRUCTURE[[#This Row],[D, top '[m']]])/(WHOLE_STRUCTURE[[#This Row],[Bottom '[m']]]-WHOLE_STRUCTURE[[#This Row],[Top '[m']]]),"")</f>
        <v/>
      </c>
      <c r="M194" s="54" t="str">
        <f>IFERROR((WHOLE_STRUCTURE[[#This Row],[D, bottom '[m']]]+WHOLE_STRUCTURE[[#This Row],[D, top '[m']]])/(2*WHOLE_STRUCTURE[[#This Row],[t '[mm']]]/1000),"")</f>
        <v/>
      </c>
    </row>
    <row r="195" spans="10:13" x14ac:dyDescent="0.3">
      <c r="J195" s="54" t="str">
        <f t="shared" ref="J195:J258" si="5">IF(7850/1000*(1/3)*PI()*ABS(E195-F195)*((G195/2)^2+(G195/2)*(H195/2)+(H195/2)^2-(G195/2-I195/1000)^2-(G195/2-I195/1000)*(H195/2-I195/1000)-(H195/2-I195/1000)^2)=0,"",7850/1000*(1/3)*PI()*ABS(E195-F195)*((G195/2)^2+(G195/2)*(H195/2)+(H195/2)^2-(G195/2-I195/1000)^2-(G195/2-I195/1000)*(H195/2-I195/1000)-(H195/2-I195/1000)^2))</f>
        <v/>
      </c>
      <c r="K195" s="54" t="str">
        <f>IFERROR(WHOLE_STRUCTURE[[#This Row],[Bottom '[m']]]-WHOLE_STRUCTURE[[#This Row],[D, top '[m']]], "")</f>
        <v/>
      </c>
      <c r="L195" s="54" t="str">
        <f>IFERROR(-(WHOLE_STRUCTURE[[#This Row],[D, bottom '[m']]]-WHOLE_STRUCTURE[[#This Row],[D, top '[m']]])/(WHOLE_STRUCTURE[[#This Row],[Bottom '[m']]]-WHOLE_STRUCTURE[[#This Row],[Top '[m']]]),"")</f>
        <v/>
      </c>
      <c r="M195" s="54" t="str">
        <f>IFERROR((WHOLE_STRUCTURE[[#This Row],[D, bottom '[m']]]+WHOLE_STRUCTURE[[#This Row],[D, top '[m']]])/(2*WHOLE_STRUCTURE[[#This Row],[t '[mm']]]/1000),"")</f>
        <v/>
      </c>
    </row>
    <row r="196" spans="10:13" x14ac:dyDescent="0.3">
      <c r="J196" s="54" t="str">
        <f t="shared" si="5"/>
        <v/>
      </c>
      <c r="K196" s="54" t="str">
        <f>IFERROR(WHOLE_STRUCTURE[[#This Row],[Bottom '[m']]]-WHOLE_STRUCTURE[[#This Row],[D, top '[m']]], "")</f>
        <v/>
      </c>
      <c r="L196" s="54" t="str">
        <f>IFERROR(-(WHOLE_STRUCTURE[[#This Row],[D, bottom '[m']]]-WHOLE_STRUCTURE[[#This Row],[D, top '[m']]])/(WHOLE_STRUCTURE[[#This Row],[Bottom '[m']]]-WHOLE_STRUCTURE[[#This Row],[Top '[m']]]),"")</f>
        <v/>
      </c>
      <c r="M196" s="54" t="str">
        <f>IFERROR((WHOLE_STRUCTURE[[#This Row],[D, bottom '[m']]]+WHOLE_STRUCTURE[[#This Row],[D, top '[m']]])/(2*WHOLE_STRUCTURE[[#This Row],[t '[mm']]]/1000),"")</f>
        <v/>
      </c>
    </row>
    <row r="197" spans="10:13" x14ac:dyDescent="0.3">
      <c r="J197" s="54" t="str">
        <f t="shared" si="5"/>
        <v/>
      </c>
      <c r="K197" s="54" t="str">
        <f>IFERROR(WHOLE_STRUCTURE[[#This Row],[Bottom '[m']]]-WHOLE_STRUCTURE[[#This Row],[D, top '[m']]], "")</f>
        <v/>
      </c>
      <c r="L197" s="54" t="str">
        <f>IFERROR(-(WHOLE_STRUCTURE[[#This Row],[D, bottom '[m']]]-WHOLE_STRUCTURE[[#This Row],[D, top '[m']]])/(WHOLE_STRUCTURE[[#This Row],[Bottom '[m']]]-WHOLE_STRUCTURE[[#This Row],[Top '[m']]]),"")</f>
        <v/>
      </c>
      <c r="M197" s="54" t="str">
        <f>IFERROR((WHOLE_STRUCTURE[[#This Row],[D, bottom '[m']]]+WHOLE_STRUCTURE[[#This Row],[D, top '[m']]])/(2*WHOLE_STRUCTURE[[#This Row],[t '[mm']]]/1000),"")</f>
        <v/>
      </c>
    </row>
    <row r="198" spans="10:13" x14ac:dyDescent="0.3">
      <c r="J198" s="54" t="str">
        <f t="shared" si="5"/>
        <v/>
      </c>
      <c r="K198" s="54" t="str">
        <f>IFERROR(WHOLE_STRUCTURE[[#This Row],[Bottom '[m']]]-WHOLE_STRUCTURE[[#This Row],[D, top '[m']]], "")</f>
        <v/>
      </c>
      <c r="L198" s="54" t="str">
        <f>IFERROR(-(WHOLE_STRUCTURE[[#This Row],[D, bottom '[m']]]-WHOLE_STRUCTURE[[#This Row],[D, top '[m']]])/(WHOLE_STRUCTURE[[#This Row],[Bottom '[m']]]-WHOLE_STRUCTURE[[#This Row],[Top '[m']]]),"")</f>
        <v/>
      </c>
      <c r="M198" s="54" t="str">
        <f>IFERROR((WHOLE_STRUCTURE[[#This Row],[D, bottom '[m']]]+WHOLE_STRUCTURE[[#This Row],[D, top '[m']]])/(2*WHOLE_STRUCTURE[[#This Row],[t '[mm']]]/1000),"")</f>
        <v/>
      </c>
    </row>
    <row r="199" spans="10:13" x14ac:dyDescent="0.3">
      <c r="J199" s="54" t="str">
        <f t="shared" si="5"/>
        <v/>
      </c>
      <c r="K199" s="54" t="str">
        <f>IFERROR(WHOLE_STRUCTURE[[#This Row],[Bottom '[m']]]-WHOLE_STRUCTURE[[#This Row],[D, top '[m']]], "")</f>
        <v/>
      </c>
      <c r="L199" s="54" t="str">
        <f>IFERROR(-(WHOLE_STRUCTURE[[#This Row],[D, bottom '[m']]]-WHOLE_STRUCTURE[[#This Row],[D, top '[m']]])/(WHOLE_STRUCTURE[[#This Row],[Bottom '[m']]]-WHOLE_STRUCTURE[[#This Row],[Top '[m']]]),"")</f>
        <v/>
      </c>
      <c r="M199" s="54" t="str">
        <f>IFERROR((WHOLE_STRUCTURE[[#This Row],[D, bottom '[m']]]+WHOLE_STRUCTURE[[#This Row],[D, top '[m']]])/(2*WHOLE_STRUCTURE[[#This Row],[t '[mm']]]/1000),"")</f>
        <v/>
      </c>
    </row>
    <row r="200" spans="10:13" x14ac:dyDescent="0.3">
      <c r="J200" s="54" t="str">
        <f t="shared" si="5"/>
        <v/>
      </c>
      <c r="K200" s="54" t="str">
        <f>IFERROR(WHOLE_STRUCTURE[[#This Row],[Bottom '[m']]]-WHOLE_STRUCTURE[[#This Row],[D, top '[m']]], "")</f>
        <v/>
      </c>
      <c r="L200" s="54" t="str">
        <f>IFERROR(-(WHOLE_STRUCTURE[[#This Row],[D, bottom '[m']]]-WHOLE_STRUCTURE[[#This Row],[D, top '[m']]])/(WHOLE_STRUCTURE[[#This Row],[Bottom '[m']]]-WHOLE_STRUCTURE[[#This Row],[Top '[m']]]),"")</f>
        <v/>
      </c>
      <c r="M200" s="54" t="str">
        <f>IFERROR((WHOLE_STRUCTURE[[#This Row],[D, bottom '[m']]]+WHOLE_STRUCTURE[[#This Row],[D, top '[m']]])/(2*WHOLE_STRUCTURE[[#This Row],[t '[mm']]]/1000),"")</f>
        <v/>
      </c>
    </row>
    <row r="201" spans="10:13" x14ac:dyDescent="0.3">
      <c r="J201" s="54" t="str">
        <f t="shared" si="5"/>
        <v/>
      </c>
      <c r="K201" s="54" t="str">
        <f>IFERROR(WHOLE_STRUCTURE[[#This Row],[Bottom '[m']]]-WHOLE_STRUCTURE[[#This Row],[D, top '[m']]], "")</f>
        <v/>
      </c>
      <c r="L201" s="54" t="str">
        <f>IFERROR(-(WHOLE_STRUCTURE[[#This Row],[D, bottom '[m']]]-WHOLE_STRUCTURE[[#This Row],[D, top '[m']]])/(WHOLE_STRUCTURE[[#This Row],[Bottom '[m']]]-WHOLE_STRUCTURE[[#This Row],[Top '[m']]]),"")</f>
        <v/>
      </c>
      <c r="M201" s="54" t="str">
        <f>IFERROR((WHOLE_STRUCTURE[[#This Row],[D, bottom '[m']]]+WHOLE_STRUCTURE[[#This Row],[D, top '[m']]])/(2*WHOLE_STRUCTURE[[#This Row],[t '[mm']]]/1000),"")</f>
        <v/>
      </c>
    </row>
    <row r="202" spans="10:13" x14ac:dyDescent="0.3">
      <c r="J202" s="54" t="str">
        <f t="shared" si="5"/>
        <v/>
      </c>
      <c r="K202" s="54" t="str">
        <f>IFERROR(WHOLE_STRUCTURE[[#This Row],[Bottom '[m']]]-WHOLE_STRUCTURE[[#This Row],[D, top '[m']]], "")</f>
        <v/>
      </c>
      <c r="L202" s="54" t="str">
        <f>IFERROR(-(WHOLE_STRUCTURE[[#This Row],[D, bottom '[m']]]-WHOLE_STRUCTURE[[#This Row],[D, top '[m']]])/(WHOLE_STRUCTURE[[#This Row],[Bottom '[m']]]-WHOLE_STRUCTURE[[#This Row],[Top '[m']]]),"")</f>
        <v/>
      </c>
      <c r="M202" s="54" t="str">
        <f>IFERROR((WHOLE_STRUCTURE[[#This Row],[D, bottom '[m']]]+WHOLE_STRUCTURE[[#This Row],[D, top '[m']]])/(2*WHOLE_STRUCTURE[[#This Row],[t '[mm']]]/1000),"")</f>
        <v/>
      </c>
    </row>
    <row r="203" spans="10:13" x14ac:dyDescent="0.3">
      <c r="J203" s="54" t="str">
        <f t="shared" si="5"/>
        <v/>
      </c>
      <c r="K203" s="54" t="str">
        <f>IFERROR(WHOLE_STRUCTURE[[#This Row],[Bottom '[m']]]-WHOLE_STRUCTURE[[#This Row],[D, top '[m']]], "")</f>
        <v/>
      </c>
      <c r="L203" s="54" t="str">
        <f>IFERROR(-(WHOLE_STRUCTURE[[#This Row],[D, bottom '[m']]]-WHOLE_STRUCTURE[[#This Row],[D, top '[m']]])/(WHOLE_STRUCTURE[[#This Row],[Bottom '[m']]]-WHOLE_STRUCTURE[[#This Row],[Top '[m']]]),"")</f>
        <v/>
      </c>
      <c r="M203" s="54" t="str">
        <f>IFERROR((WHOLE_STRUCTURE[[#This Row],[D, bottom '[m']]]+WHOLE_STRUCTURE[[#This Row],[D, top '[m']]])/(2*WHOLE_STRUCTURE[[#This Row],[t '[mm']]]/1000),"")</f>
        <v/>
      </c>
    </row>
    <row r="204" spans="10:13" x14ac:dyDescent="0.3">
      <c r="J204" s="54" t="str">
        <f t="shared" si="5"/>
        <v/>
      </c>
      <c r="K204" s="54" t="str">
        <f>IFERROR(WHOLE_STRUCTURE[[#This Row],[Bottom '[m']]]-WHOLE_STRUCTURE[[#This Row],[D, top '[m']]], "")</f>
        <v/>
      </c>
      <c r="L204" s="54" t="str">
        <f>IFERROR(-(WHOLE_STRUCTURE[[#This Row],[D, bottom '[m']]]-WHOLE_STRUCTURE[[#This Row],[D, top '[m']]])/(WHOLE_STRUCTURE[[#This Row],[Bottom '[m']]]-WHOLE_STRUCTURE[[#This Row],[Top '[m']]]),"")</f>
        <v/>
      </c>
      <c r="M204" s="54" t="str">
        <f>IFERROR((WHOLE_STRUCTURE[[#This Row],[D, bottom '[m']]]+WHOLE_STRUCTURE[[#This Row],[D, top '[m']]])/(2*WHOLE_STRUCTURE[[#This Row],[t '[mm']]]/1000),"")</f>
        <v/>
      </c>
    </row>
    <row r="205" spans="10:13" x14ac:dyDescent="0.3">
      <c r="J205" s="54" t="str">
        <f t="shared" si="5"/>
        <v/>
      </c>
      <c r="K205" s="54" t="str">
        <f>IFERROR(WHOLE_STRUCTURE[[#This Row],[Bottom '[m']]]-WHOLE_STRUCTURE[[#This Row],[D, top '[m']]], "")</f>
        <v/>
      </c>
      <c r="L205" s="54" t="str">
        <f>IFERROR(-(WHOLE_STRUCTURE[[#This Row],[D, bottom '[m']]]-WHOLE_STRUCTURE[[#This Row],[D, top '[m']]])/(WHOLE_STRUCTURE[[#This Row],[Bottom '[m']]]-WHOLE_STRUCTURE[[#This Row],[Top '[m']]]),"")</f>
        <v/>
      </c>
      <c r="M205" s="54" t="str">
        <f>IFERROR((WHOLE_STRUCTURE[[#This Row],[D, bottom '[m']]]+WHOLE_STRUCTURE[[#This Row],[D, top '[m']]])/(2*WHOLE_STRUCTURE[[#This Row],[t '[mm']]]/1000),"")</f>
        <v/>
      </c>
    </row>
    <row r="206" spans="10:13" x14ac:dyDescent="0.3">
      <c r="J206" s="54" t="str">
        <f t="shared" si="5"/>
        <v/>
      </c>
      <c r="K206" s="54" t="str">
        <f>IFERROR(WHOLE_STRUCTURE[[#This Row],[Bottom '[m']]]-WHOLE_STRUCTURE[[#This Row],[D, top '[m']]], "")</f>
        <v/>
      </c>
      <c r="L206" s="54" t="str">
        <f>IFERROR(-(WHOLE_STRUCTURE[[#This Row],[D, bottom '[m']]]-WHOLE_STRUCTURE[[#This Row],[D, top '[m']]])/(WHOLE_STRUCTURE[[#This Row],[Bottom '[m']]]-WHOLE_STRUCTURE[[#This Row],[Top '[m']]]),"")</f>
        <v/>
      </c>
      <c r="M206" s="54" t="str">
        <f>IFERROR((WHOLE_STRUCTURE[[#This Row],[D, bottom '[m']]]+WHOLE_STRUCTURE[[#This Row],[D, top '[m']]])/(2*WHOLE_STRUCTURE[[#This Row],[t '[mm']]]/1000),"")</f>
        <v/>
      </c>
    </row>
    <row r="207" spans="10:13" x14ac:dyDescent="0.3">
      <c r="J207" s="54" t="str">
        <f t="shared" si="5"/>
        <v/>
      </c>
      <c r="K207" s="54" t="str">
        <f>IFERROR(WHOLE_STRUCTURE[[#This Row],[Bottom '[m']]]-WHOLE_STRUCTURE[[#This Row],[D, top '[m']]], "")</f>
        <v/>
      </c>
      <c r="L207" s="54" t="str">
        <f>IFERROR(-(WHOLE_STRUCTURE[[#This Row],[D, bottom '[m']]]-WHOLE_STRUCTURE[[#This Row],[D, top '[m']]])/(WHOLE_STRUCTURE[[#This Row],[Bottom '[m']]]-WHOLE_STRUCTURE[[#This Row],[Top '[m']]]),"")</f>
        <v/>
      </c>
      <c r="M207" s="54" t="str">
        <f>IFERROR((WHOLE_STRUCTURE[[#This Row],[D, bottom '[m']]]+WHOLE_STRUCTURE[[#This Row],[D, top '[m']]])/(2*WHOLE_STRUCTURE[[#This Row],[t '[mm']]]/1000),"")</f>
        <v/>
      </c>
    </row>
    <row r="208" spans="10:13" x14ac:dyDescent="0.3">
      <c r="J208" s="54" t="str">
        <f t="shared" si="5"/>
        <v/>
      </c>
      <c r="K208" s="54" t="str">
        <f>IFERROR(WHOLE_STRUCTURE[[#This Row],[Bottom '[m']]]-WHOLE_STRUCTURE[[#This Row],[D, top '[m']]], "")</f>
        <v/>
      </c>
      <c r="L208" s="54" t="str">
        <f>IFERROR(-(WHOLE_STRUCTURE[[#This Row],[D, bottom '[m']]]-WHOLE_STRUCTURE[[#This Row],[D, top '[m']]])/(WHOLE_STRUCTURE[[#This Row],[Bottom '[m']]]-WHOLE_STRUCTURE[[#This Row],[Top '[m']]]),"")</f>
        <v/>
      </c>
      <c r="M208" s="54" t="str">
        <f>IFERROR((WHOLE_STRUCTURE[[#This Row],[D, bottom '[m']]]+WHOLE_STRUCTURE[[#This Row],[D, top '[m']]])/(2*WHOLE_STRUCTURE[[#This Row],[t '[mm']]]/1000),"")</f>
        <v/>
      </c>
    </row>
    <row r="209" spans="10:13" x14ac:dyDescent="0.3">
      <c r="J209" s="54" t="str">
        <f t="shared" si="5"/>
        <v/>
      </c>
      <c r="K209" s="54" t="str">
        <f>IFERROR(WHOLE_STRUCTURE[[#This Row],[Bottom '[m']]]-WHOLE_STRUCTURE[[#This Row],[D, top '[m']]], "")</f>
        <v/>
      </c>
      <c r="L209" s="54" t="str">
        <f>IFERROR(-(WHOLE_STRUCTURE[[#This Row],[D, bottom '[m']]]-WHOLE_STRUCTURE[[#This Row],[D, top '[m']]])/(WHOLE_STRUCTURE[[#This Row],[Bottom '[m']]]-WHOLE_STRUCTURE[[#This Row],[Top '[m']]]),"")</f>
        <v/>
      </c>
      <c r="M209" s="54" t="str">
        <f>IFERROR((WHOLE_STRUCTURE[[#This Row],[D, bottom '[m']]]+WHOLE_STRUCTURE[[#This Row],[D, top '[m']]])/(2*WHOLE_STRUCTURE[[#This Row],[t '[mm']]]/1000),"")</f>
        <v/>
      </c>
    </row>
    <row r="210" spans="10:13" x14ac:dyDescent="0.3">
      <c r="J210" s="54" t="str">
        <f t="shared" si="5"/>
        <v/>
      </c>
      <c r="K210" s="54" t="str">
        <f>IFERROR(WHOLE_STRUCTURE[[#This Row],[Bottom '[m']]]-WHOLE_STRUCTURE[[#This Row],[D, top '[m']]], "")</f>
        <v/>
      </c>
      <c r="L210" s="54" t="str">
        <f>IFERROR(-(WHOLE_STRUCTURE[[#This Row],[D, bottom '[m']]]-WHOLE_STRUCTURE[[#This Row],[D, top '[m']]])/(WHOLE_STRUCTURE[[#This Row],[Bottom '[m']]]-WHOLE_STRUCTURE[[#This Row],[Top '[m']]]),"")</f>
        <v/>
      </c>
      <c r="M210" s="54" t="str">
        <f>IFERROR((WHOLE_STRUCTURE[[#This Row],[D, bottom '[m']]]+WHOLE_STRUCTURE[[#This Row],[D, top '[m']]])/(2*WHOLE_STRUCTURE[[#This Row],[t '[mm']]]/1000),"")</f>
        <v/>
      </c>
    </row>
    <row r="211" spans="10:13" x14ac:dyDescent="0.3">
      <c r="J211" s="54" t="str">
        <f t="shared" si="5"/>
        <v/>
      </c>
      <c r="K211" s="54" t="str">
        <f>IFERROR(WHOLE_STRUCTURE[[#This Row],[Bottom '[m']]]-WHOLE_STRUCTURE[[#This Row],[D, top '[m']]], "")</f>
        <v/>
      </c>
      <c r="L211" s="54" t="str">
        <f>IFERROR(-(WHOLE_STRUCTURE[[#This Row],[D, bottom '[m']]]-WHOLE_STRUCTURE[[#This Row],[D, top '[m']]])/(WHOLE_STRUCTURE[[#This Row],[Bottom '[m']]]-WHOLE_STRUCTURE[[#This Row],[Top '[m']]]),"")</f>
        <v/>
      </c>
      <c r="M211" s="54" t="str">
        <f>IFERROR((WHOLE_STRUCTURE[[#This Row],[D, bottom '[m']]]+WHOLE_STRUCTURE[[#This Row],[D, top '[m']]])/(2*WHOLE_STRUCTURE[[#This Row],[t '[mm']]]/1000),"")</f>
        <v/>
      </c>
    </row>
    <row r="212" spans="10:13" x14ac:dyDescent="0.3">
      <c r="J212" s="54" t="str">
        <f t="shared" si="5"/>
        <v/>
      </c>
      <c r="K212" s="54" t="str">
        <f>IFERROR(WHOLE_STRUCTURE[[#This Row],[Bottom '[m']]]-WHOLE_STRUCTURE[[#This Row],[D, top '[m']]], "")</f>
        <v/>
      </c>
      <c r="L212" s="54" t="str">
        <f>IFERROR(-(WHOLE_STRUCTURE[[#This Row],[D, bottom '[m']]]-WHOLE_STRUCTURE[[#This Row],[D, top '[m']]])/(WHOLE_STRUCTURE[[#This Row],[Bottom '[m']]]-WHOLE_STRUCTURE[[#This Row],[Top '[m']]]),"")</f>
        <v/>
      </c>
      <c r="M212" s="54" t="str">
        <f>IFERROR((WHOLE_STRUCTURE[[#This Row],[D, bottom '[m']]]+WHOLE_STRUCTURE[[#This Row],[D, top '[m']]])/(2*WHOLE_STRUCTURE[[#This Row],[t '[mm']]]/1000),"")</f>
        <v/>
      </c>
    </row>
    <row r="213" spans="10:13" x14ac:dyDescent="0.3">
      <c r="J213" s="54" t="str">
        <f t="shared" si="5"/>
        <v/>
      </c>
      <c r="K213" s="54" t="str">
        <f>IFERROR(WHOLE_STRUCTURE[[#This Row],[Bottom '[m']]]-WHOLE_STRUCTURE[[#This Row],[D, top '[m']]], "")</f>
        <v/>
      </c>
      <c r="L213" s="54" t="str">
        <f>IFERROR(-(WHOLE_STRUCTURE[[#This Row],[D, bottom '[m']]]-WHOLE_STRUCTURE[[#This Row],[D, top '[m']]])/(WHOLE_STRUCTURE[[#This Row],[Bottom '[m']]]-WHOLE_STRUCTURE[[#This Row],[Top '[m']]]),"")</f>
        <v/>
      </c>
      <c r="M213" s="54" t="str">
        <f>IFERROR((WHOLE_STRUCTURE[[#This Row],[D, bottom '[m']]]+WHOLE_STRUCTURE[[#This Row],[D, top '[m']]])/(2*WHOLE_STRUCTURE[[#This Row],[t '[mm']]]/1000),"")</f>
        <v/>
      </c>
    </row>
    <row r="214" spans="10:13" x14ac:dyDescent="0.3">
      <c r="J214" s="54" t="str">
        <f t="shared" si="5"/>
        <v/>
      </c>
      <c r="K214" s="54" t="str">
        <f>IFERROR(WHOLE_STRUCTURE[[#This Row],[Bottom '[m']]]-WHOLE_STRUCTURE[[#This Row],[D, top '[m']]], "")</f>
        <v/>
      </c>
      <c r="L214" s="54" t="str">
        <f>IFERROR(-(WHOLE_STRUCTURE[[#This Row],[D, bottom '[m']]]-WHOLE_STRUCTURE[[#This Row],[D, top '[m']]])/(WHOLE_STRUCTURE[[#This Row],[Bottom '[m']]]-WHOLE_STRUCTURE[[#This Row],[Top '[m']]]),"")</f>
        <v/>
      </c>
      <c r="M214" s="54" t="str">
        <f>IFERROR((WHOLE_STRUCTURE[[#This Row],[D, bottom '[m']]]+WHOLE_STRUCTURE[[#This Row],[D, top '[m']]])/(2*WHOLE_STRUCTURE[[#This Row],[t '[mm']]]/1000),"")</f>
        <v/>
      </c>
    </row>
    <row r="215" spans="10:13" x14ac:dyDescent="0.3">
      <c r="J215" s="54" t="str">
        <f t="shared" si="5"/>
        <v/>
      </c>
      <c r="K215" s="54" t="str">
        <f>IFERROR(WHOLE_STRUCTURE[[#This Row],[Bottom '[m']]]-WHOLE_STRUCTURE[[#This Row],[D, top '[m']]], "")</f>
        <v/>
      </c>
      <c r="L215" s="54" t="str">
        <f>IFERROR(-(WHOLE_STRUCTURE[[#This Row],[D, bottom '[m']]]-WHOLE_STRUCTURE[[#This Row],[D, top '[m']]])/(WHOLE_STRUCTURE[[#This Row],[Bottom '[m']]]-WHOLE_STRUCTURE[[#This Row],[Top '[m']]]),"")</f>
        <v/>
      </c>
      <c r="M215" s="54" t="str">
        <f>IFERROR((WHOLE_STRUCTURE[[#This Row],[D, bottom '[m']]]+WHOLE_STRUCTURE[[#This Row],[D, top '[m']]])/(2*WHOLE_STRUCTURE[[#This Row],[t '[mm']]]/1000),"")</f>
        <v/>
      </c>
    </row>
    <row r="216" spans="10:13" x14ac:dyDescent="0.3">
      <c r="J216" s="54" t="str">
        <f t="shared" si="5"/>
        <v/>
      </c>
      <c r="K216" s="54" t="str">
        <f>IFERROR(WHOLE_STRUCTURE[[#This Row],[Bottom '[m']]]-WHOLE_STRUCTURE[[#This Row],[D, top '[m']]], "")</f>
        <v/>
      </c>
      <c r="L216" s="54" t="str">
        <f>IFERROR(-(WHOLE_STRUCTURE[[#This Row],[D, bottom '[m']]]-WHOLE_STRUCTURE[[#This Row],[D, top '[m']]])/(WHOLE_STRUCTURE[[#This Row],[Bottom '[m']]]-WHOLE_STRUCTURE[[#This Row],[Top '[m']]]),"")</f>
        <v/>
      </c>
      <c r="M216" s="54" t="str">
        <f>IFERROR((WHOLE_STRUCTURE[[#This Row],[D, bottom '[m']]]+WHOLE_STRUCTURE[[#This Row],[D, top '[m']]])/(2*WHOLE_STRUCTURE[[#This Row],[t '[mm']]]/1000),"")</f>
        <v/>
      </c>
    </row>
    <row r="217" spans="10:13" x14ac:dyDescent="0.3">
      <c r="J217" s="54" t="str">
        <f t="shared" si="5"/>
        <v/>
      </c>
      <c r="K217" s="54" t="str">
        <f>IFERROR(WHOLE_STRUCTURE[[#This Row],[Bottom '[m']]]-WHOLE_STRUCTURE[[#This Row],[D, top '[m']]], "")</f>
        <v/>
      </c>
      <c r="L217" s="54" t="str">
        <f>IFERROR(-(WHOLE_STRUCTURE[[#This Row],[D, bottom '[m']]]-WHOLE_STRUCTURE[[#This Row],[D, top '[m']]])/(WHOLE_STRUCTURE[[#This Row],[Bottom '[m']]]-WHOLE_STRUCTURE[[#This Row],[Top '[m']]]),"")</f>
        <v/>
      </c>
      <c r="M217" s="54" t="str">
        <f>IFERROR((WHOLE_STRUCTURE[[#This Row],[D, bottom '[m']]]+WHOLE_STRUCTURE[[#This Row],[D, top '[m']]])/(2*WHOLE_STRUCTURE[[#This Row],[t '[mm']]]/1000),"")</f>
        <v/>
      </c>
    </row>
    <row r="218" spans="10:13" x14ac:dyDescent="0.3">
      <c r="J218" s="54" t="str">
        <f t="shared" si="5"/>
        <v/>
      </c>
      <c r="K218" s="54" t="str">
        <f>IFERROR(WHOLE_STRUCTURE[[#This Row],[Bottom '[m']]]-WHOLE_STRUCTURE[[#This Row],[D, top '[m']]], "")</f>
        <v/>
      </c>
      <c r="L218" s="54" t="str">
        <f>IFERROR(-(WHOLE_STRUCTURE[[#This Row],[D, bottom '[m']]]-WHOLE_STRUCTURE[[#This Row],[D, top '[m']]])/(WHOLE_STRUCTURE[[#This Row],[Bottom '[m']]]-WHOLE_STRUCTURE[[#This Row],[Top '[m']]]),"")</f>
        <v/>
      </c>
      <c r="M218" s="54" t="str">
        <f>IFERROR((WHOLE_STRUCTURE[[#This Row],[D, bottom '[m']]]+WHOLE_STRUCTURE[[#This Row],[D, top '[m']]])/(2*WHOLE_STRUCTURE[[#This Row],[t '[mm']]]/1000),"")</f>
        <v/>
      </c>
    </row>
    <row r="219" spans="10:13" x14ac:dyDescent="0.3">
      <c r="J219" s="54" t="str">
        <f t="shared" si="5"/>
        <v/>
      </c>
      <c r="K219" s="54" t="str">
        <f>IFERROR(WHOLE_STRUCTURE[[#This Row],[Bottom '[m']]]-WHOLE_STRUCTURE[[#This Row],[D, top '[m']]], "")</f>
        <v/>
      </c>
      <c r="L219" s="54" t="str">
        <f>IFERROR(-(WHOLE_STRUCTURE[[#This Row],[D, bottom '[m']]]-WHOLE_STRUCTURE[[#This Row],[D, top '[m']]])/(WHOLE_STRUCTURE[[#This Row],[Bottom '[m']]]-WHOLE_STRUCTURE[[#This Row],[Top '[m']]]),"")</f>
        <v/>
      </c>
      <c r="M219" s="54" t="str">
        <f>IFERROR((WHOLE_STRUCTURE[[#This Row],[D, bottom '[m']]]+WHOLE_STRUCTURE[[#This Row],[D, top '[m']]])/(2*WHOLE_STRUCTURE[[#This Row],[t '[mm']]]/1000),"")</f>
        <v/>
      </c>
    </row>
    <row r="220" spans="10:13" x14ac:dyDescent="0.3">
      <c r="J220" s="54" t="str">
        <f t="shared" si="5"/>
        <v/>
      </c>
      <c r="K220" s="54" t="str">
        <f>IFERROR(WHOLE_STRUCTURE[[#This Row],[Bottom '[m']]]-WHOLE_STRUCTURE[[#This Row],[D, top '[m']]], "")</f>
        <v/>
      </c>
      <c r="L220" s="54" t="str">
        <f>IFERROR(-(WHOLE_STRUCTURE[[#This Row],[D, bottom '[m']]]-WHOLE_STRUCTURE[[#This Row],[D, top '[m']]])/(WHOLE_STRUCTURE[[#This Row],[Bottom '[m']]]-WHOLE_STRUCTURE[[#This Row],[Top '[m']]]),"")</f>
        <v/>
      </c>
      <c r="M220" s="54" t="str">
        <f>IFERROR((WHOLE_STRUCTURE[[#This Row],[D, bottom '[m']]]+WHOLE_STRUCTURE[[#This Row],[D, top '[m']]])/(2*WHOLE_STRUCTURE[[#This Row],[t '[mm']]]/1000),"")</f>
        <v/>
      </c>
    </row>
    <row r="221" spans="10:13" x14ac:dyDescent="0.3">
      <c r="J221" s="54" t="str">
        <f t="shared" si="5"/>
        <v/>
      </c>
      <c r="K221" s="54" t="str">
        <f>IFERROR(WHOLE_STRUCTURE[[#This Row],[Bottom '[m']]]-WHOLE_STRUCTURE[[#This Row],[D, top '[m']]], "")</f>
        <v/>
      </c>
      <c r="L221" s="54" t="str">
        <f>IFERROR(-(WHOLE_STRUCTURE[[#This Row],[D, bottom '[m']]]-WHOLE_STRUCTURE[[#This Row],[D, top '[m']]])/(WHOLE_STRUCTURE[[#This Row],[Bottom '[m']]]-WHOLE_STRUCTURE[[#This Row],[Top '[m']]]),"")</f>
        <v/>
      </c>
      <c r="M221" s="54" t="str">
        <f>IFERROR((WHOLE_STRUCTURE[[#This Row],[D, bottom '[m']]]+WHOLE_STRUCTURE[[#This Row],[D, top '[m']]])/(2*WHOLE_STRUCTURE[[#This Row],[t '[mm']]]/1000),"")</f>
        <v/>
      </c>
    </row>
    <row r="222" spans="10:13" x14ac:dyDescent="0.3">
      <c r="J222" s="54" t="str">
        <f t="shared" si="5"/>
        <v/>
      </c>
      <c r="K222" s="54" t="str">
        <f>IFERROR(WHOLE_STRUCTURE[[#This Row],[Bottom '[m']]]-WHOLE_STRUCTURE[[#This Row],[D, top '[m']]], "")</f>
        <v/>
      </c>
      <c r="L222" s="54" t="str">
        <f>IFERROR(-(WHOLE_STRUCTURE[[#This Row],[D, bottom '[m']]]-WHOLE_STRUCTURE[[#This Row],[D, top '[m']]])/(WHOLE_STRUCTURE[[#This Row],[Bottom '[m']]]-WHOLE_STRUCTURE[[#This Row],[Top '[m']]]),"")</f>
        <v/>
      </c>
      <c r="M222" s="54" t="str">
        <f>IFERROR((WHOLE_STRUCTURE[[#This Row],[D, bottom '[m']]]+WHOLE_STRUCTURE[[#This Row],[D, top '[m']]])/(2*WHOLE_STRUCTURE[[#This Row],[t '[mm']]]/1000),"")</f>
        <v/>
      </c>
    </row>
    <row r="223" spans="10:13" x14ac:dyDescent="0.3">
      <c r="J223" s="54" t="str">
        <f t="shared" si="5"/>
        <v/>
      </c>
      <c r="K223" s="54" t="str">
        <f>IFERROR(WHOLE_STRUCTURE[[#This Row],[Bottom '[m']]]-WHOLE_STRUCTURE[[#This Row],[D, top '[m']]], "")</f>
        <v/>
      </c>
      <c r="L223" s="54" t="str">
        <f>IFERROR(-(WHOLE_STRUCTURE[[#This Row],[D, bottom '[m']]]-WHOLE_STRUCTURE[[#This Row],[D, top '[m']]])/(WHOLE_STRUCTURE[[#This Row],[Bottom '[m']]]-WHOLE_STRUCTURE[[#This Row],[Top '[m']]]),"")</f>
        <v/>
      </c>
      <c r="M223" s="54" t="str">
        <f>IFERROR((WHOLE_STRUCTURE[[#This Row],[D, bottom '[m']]]+WHOLE_STRUCTURE[[#This Row],[D, top '[m']]])/(2*WHOLE_STRUCTURE[[#This Row],[t '[mm']]]/1000),"")</f>
        <v/>
      </c>
    </row>
    <row r="224" spans="10:13" x14ac:dyDescent="0.3">
      <c r="J224" s="54" t="str">
        <f t="shared" si="5"/>
        <v/>
      </c>
      <c r="K224" s="54" t="str">
        <f>IFERROR(WHOLE_STRUCTURE[[#This Row],[Bottom '[m']]]-WHOLE_STRUCTURE[[#This Row],[D, top '[m']]], "")</f>
        <v/>
      </c>
      <c r="L224" s="54" t="str">
        <f>IFERROR(-(WHOLE_STRUCTURE[[#This Row],[D, bottom '[m']]]-WHOLE_STRUCTURE[[#This Row],[D, top '[m']]])/(WHOLE_STRUCTURE[[#This Row],[Bottom '[m']]]-WHOLE_STRUCTURE[[#This Row],[Top '[m']]]),"")</f>
        <v/>
      </c>
      <c r="M224" s="54" t="str">
        <f>IFERROR((WHOLE_STRUCTURE[[#This Row],[D, bottom '[m']]]+WHOLE_STRUCTURE[[#This Row],[D, top '[m']]])/(2*WHOLE_STRUCTURE[[#This Row],[t '[mm']]]/1000),"")</f>
        <v/>
      </c>
    </row>
    <row r="225" spans="10:13" x14ac:dyDescent="0.3">
      <c r="J225" s="54" t="str">
        <f t="shared" si="5"/>
        <v/>
      </c>
      <c r="K225" s="54" t="str">
        <f>IFERROR(WHOLE_STRUCTURE[[#This Row],[Bottom '[m']]]-WHOLE_STRUCTURE[[#This Row],[D, top '[m']]], "")</f>
        <v/>
      </c>
      <c r="L225" s="54" t="str">
        <f>IFERROR(-(WHOLE_STRUCTURE[[#This Row],[D, bottom '[m']]]-WHOLE_STRUCTURE[[#This Row],[D, top '[m']]])/(WHOLE_STRUCTURE[[#This Row],[Bottom '[m']]]-WHOLE_STRUCTURE[[#This Row],[Top '[m']]]),"")</f>
        <v/>
      </c>
      <c r="M225" s="54" t="str">
        <f>IFERROR((WHOLE_STRUCTURE[[#This Row],[D, bottom '[m']]]+WHOLE_STRUCTURE[[#This Row],[D, top '[m']]])/(2*WHOLE_STRUCTURE[[#This Row],[t '[mm']]]/1000),"")</f>
        <v/>
      </c>
    </row>
    <row r="226" spans="10:13" x14ac:dyDescent="0.3">
      <c r="J226" s="54" t="str">
        <f t="shared" si="5"/>
        <v/>
      </c>
      <c r="K226" s="54" t="str">
        <f>IFERROR(WHOLE_STRUCTURE[[#This Row],[Bottom '[m']]]-WHOLE_STRUCTURE[[#This Row],[D, top '[m']]], "")</f>
        <v/>
      </c>
      <c r="L226" s="54" t="str">
        <f>IFERROR(-(WHOLE_STRUCTURE[[#This Row],[D, bottom '[m']]]-WHOLE_STRUCTURE[[#This Row],[D, top '[m']]])/(WHOLE_STRUCTURE[[#This Row],[Bottom '[m']]]-WHOLE_STRUCTURE[[#This Row],[Top '[m']]]),"")</f>
        <v/>
      </c>
      <c r="M226" s="54" t="str">
        <f>IFERROR((WHOLE_STRUCTURE[[#This Row],[D, bottom '[m']]]+WHOLE_STRUCTURE[[#This Row],[D, top '[m']]])/(2*WHOLE_STRUCTURE[[#This Row],[t '[mm']]]/1000),"")</f>
        <v/>
      </c>
    </row>
    <row r="227" spans="10:13" x14ac:dyDescent="0.3">
      <c r="J227" s="54" t="str">
        <f t="shared" si="5"/>
        <v/>
      </c>
      <c r="K227" s="54" t="str">
        <f>IFERROR(WHOLE_STRUCTURE[[#This Row],[Bottom '[m']]]-WHOLE_STRUCTURE[[#This Row],[D, top '[m']]], "")</f>
        <v/>
      </c>
      <c r="L227" s="54" t="str">
        <f>IFERROR(-(WHOLE_STRUCTURE[[#This Row],[D, bottom '[m']]]-WHOLE_STRUCTURE[[#This Row],[D, top '[m']]])/(WHOLE_STRUCTURE[[#This Row],[Bottom '[m']]]-WHOLE_STRUCTURE[[#This Row],[Top '[m']]]),"")</f>
        <v/>
      </c>
      <c r="M227" s="54" t="str">
        <f>IFERROR((WHOLE_STRUCTURE[[#This Row],[D, bottom '[m']]]+WHOLE_STRUCTURE[[#This Row],[D, top '[m']]])/(2*WHOLE_STRUCTURE[[#This Row],[t '[mm']]]/1000),"")</f>
        <v/>
      </c>
    </row>
    <row r="228" spans="10:13" x14ac:dyDescent="0.3">
      <c r="J228" s="54" t="str">
        <f t="shared" si="5"/>
        <v/>
      </c>
      <c r="K228" s="54" t="str">
        <f>IFERROR(WHOLE_STRUCTURE[[#This Row],[Bottom '[m']]]-WHOLE_STRUCTURE[[#This Row],[D, top '[m']]], "")</f>
        <v/>
      </c>
      <c r="L228" s="54" t="str">
        <f>IFERROR(-(WHOLE_STRUCTURE[[#This Row],[D, bottom '[m']]]-WHOLE_STRUCTURE[[#This Row],[D, top '[m']]])/(WHOLE_STRUCTURE[[#This Row],[Bottom '[m']]]-WHOLE_STRUCTURE[[#This Row],[Top '[m']]]),"")</f>
        <v/>
      </c>
      <c r="M228" s="54" t="str">
        <f>IFERROR((WHOLE_STRUCTURE[[#This Row],[D, bottom '[m']]]+WHOLE_STRUCTURE[[#This Row],[D, top '[m']]])/(2*WHOLE_STRUCTURE[[#This Row],[t '[mm']]]/1000),"")</f>
        <v/>
      </c>
    </row>
    <row r="229" spans="10:13" x14ac:dyDescent="0.3">
      <c r="J229" s="54" t="str">
        <f t="shared" si="5"/>
        <v/>
      </c>
      <c r="K229" s="54" t="str">
        <f>IFERROR(WHOLE_STRUCTURE[[#This Row],[Bottom '[m']]]-WHOLE_STRUCTURE[[#This Row],[D, top '[m']]], "")</f>
        <v/>
      </c>
      <c r="L229" s="54" t="str">
        <f>IFERROR(-(WHOLE_STRUCTURE[[#This Row],[D, bottom '[m']]]-WHOLE_STRUCTURE[[#This Row],[D, top '[m']]])/(WHOLE_STRUCTURE[[#This Row],[Bottom '[m']]]-WHOLE_STRUCTURE[[#This Row],[Top '[m']]]),"")</f>
        <v/>
      </c>
      <c r="M229" s="54" t="str">
        <f>IFERROR((WHOLE_STRUCTURE[[#This Row],[D, bottom '[m']]]+WHOLE_STRUCTURE[[#This Row],[D, top '[m']]])/(2*WHOLE_STRUCTURE[[#This Row],[t '[mm']]]/1000),"")</f>
        <v/>
      </c>
    </row>
    <row r="230" spans="10:13" x14ac:dyDescent="0.3">
      <c r="J230" s="54" t="str">
        <f t="shared" si="5"/>
        <v/>
      </c>
      <c r="K230" s="54" t="str">
        <f>IFERROR(WHOLE_STRUCTURE[[#This Row],[Bottom '[m']]]-WHOLE_STRUCTURE[[#This Row],[D, top '[m']]], "")</f>
        <v/>
      </c>
      <c r="L230" s="54" t="str">
        <f>IFERROR(-(WHOLE_STRUCTURE[[#This Row],[D, bottom '[m']]]-WHOLE_STRUCTURE[[#This Row],[D, top '[m']]])/(WHOLE_STRUCTURE[[#This Row],[Bottom '[m']]]-WHOLE_STRUCTURE[[#This Row],[Top '[m']]]),"")</f>
        <v/>
      </c>
      <c r="M230" s="54" t="str">
        <f>IFERROR((WHOLE_STRUCTURE[[#This Row],[D, bottom '[m']]]+WHOLE_STRUCTURE[[#This Row],[D, top '[m']]])/(2*WHOLE_STRUCTURE[[#This Row],[t '[mm']]]/1000),"")</f>
        <v/>
      </c>
    </row>
    <row r="231" spans="10:13" x14ac:dyDescent="0.3">
      <c r="J231" s="54" t="str">
        <f t="shared" si="5"/>
        <v/>
      </c>
      <c r="K231" s="54" t="str">
        <f>IFERROR(WHOLE_STRUCTURE[[#This Row],[Bottom '[m']]]-WHOLE_STRUCTURE[[#This Row],[D, top '[m']]], "")</f>
        <v/>
      </c>
      <c r="L231" s="54" t="str">
        <f>IFERROR(-(WHOLE_STRUCTURE[[#This Row],[D, bottom '[m']]]-WHOLE_STRUCTURE[[#This Row],[D, top '[m']]])/(WHOLE_STRUCTURE[[#This Row],[Bottom '[m']]]-WHOLE_STRUCTURE[[#This Row],[Top '[m']]]),"")</f>
        <v/>
      </c>
      <c r="M231" s="54" t="str">
        <f>IFERROR((WHOLE_STRUCTURE[[#This Row],[D, bottom '[m']]]+WHOLE_STRUCTURE[[#This Row],[D, top '[m']]])/(2*WHOLE_STRUCTURE[[#This Row],[t '[mm']]]/1000),"")</f>
        <v/>
      </c>
    </row>
    <row r="232" spans="10:13" x14ac:dyDescent="0.3">
      <c r="J232" s="54" t="str">
        <f t="shared" si="5"/>
        <v/>
      </c>
      <c r="K232" s="54" t="str">
        <f>IFERROR(WHOLE_STRUCTURE[[#This Row],[Bottom '[m']]]-WHOLE_STRUCTURE[[#This Row],[D, top '[m']]], "")</f>
        <v/>
      </c>
      <c r="L232" s="54" t="str">
        <f>IFERROR(-(WHOLE_STRUCTURE[[#This Row],[D, bottom '[m']]]-WHOLE_STRUCTURE[[#This Row],[D, top '[m']]])/(WHOLE_STRUCTURE[[#This Row],[Bottom '[m']]]-WHOLE_STRUCTURE[[#This Row],[Top '[m']]]),"")</f>
        <v/>
      </c>
      <c r="M232" s="54" t="str">
        <f>IFERROR((WHOLE_STRUCTURE[[#This Row],[D, bottom '[m']]]+WHOLE_STRUCTURE[[#This Row],[D, top '[m']]])/(2*WHOLE_STRUCTURE[[#This Row],[t '[mm']]]/1000),"")</f>
        <v/>
      </c>
    </row>
    <row r="233" spans="10:13" x14ac:dyDescent="0.3">
      <c r="J233" s="54" t="str">
        <f t="shared" si="5"/>
        <v/>
      </c>
      <c r="K233" s="54" t="str">
        <f>IFERROR(WHOLE_STRUCTURE[[#This Row],[Bottom '[m']]]-WHOLE_STRUCTURE[[#This Row],[D, top '[m']]], "")</f>
        <v/>
      </c>
      <c r="L233" s="54" t="str">
        <f>IFERROR(-(WHOLE_STRUCTURE[[#This Row],[D, bottom '[m']]]-WHOLE_STRUCTURE[[#This Row],[D, top '[m']]])/(WHOLE_STRUCTURE[[#This Row],[Bottom '[m']]]-WHOLE_STRUCTURE[[#This Row],[Top '[m']]]),"")</f>
        <v/>
      </c>
      <c r="M233" s="54" t="str">
        <f>IFERROR((WHOLE_STRUCTURE[[#This Row],[D, bottom '[m']]]+WHOLE_STRUCTURE[[#This Row],[D, top '[m']]])/(2*WHOLE_STRUCTURE[[#This Row],[t '[mm']]]/1000),"")</f>
        <v/>
      </c>
    </row>
    <row r="234" spans="10:13" x14ac:dyDescent="0.3">
      <c r="J234" s="54" t="str">
        <f t="shared" si="5"/>
        <v/>
      </c>
      <c r="K234" s="54" t="str">
        <f>IFERROR(WHOLE_STRUCTURE[[#This Row],[Bottom '[m']]]-WHOLE_STRUCTURE[[#This Row],[D, top '[m']]], "")</f>
        <v/>
      </c>
      <c r="L234" s="54" t="str">
        <f>IFERROR(-(WHOLE_STRUCTURE[[#This Row],[D, bottom '[m']]]-WHOLE_STRUCTURE[[#This Row],[D, top '[m']]])/(WHOLE_STRUCTURE[[#This Row],[Bottom '[m']]]-WHOLE_STRUCTURE[[#This Row],[Top '[m']]]),"")</f>
        <v/>
      </c>
      <c r="M234" s="54" t="str">
        <f>IFERROR((WHOLE_STRUCTURE[[#This Row],[D, bottom '[m']]]+WHOLE_STRUCTURE[[#This Row],[D, top '[m']]])/(2*WHOLE_STRUCTURE[[#This Row],[t '[mm']]]/1000),"")</f>
        <v/>
      </c>
    </row>
    <row r="235" spans="10:13" x14ac:dyDescent="0.3">
      <c r="J235" s="54" t="str">
        <f t="shared" si="5"/>
        <v/>
      </c>
      <c r="K235" s="54" t="str">
        <f>IFERROR(WHOLE_STRUCTURE[[#This Row],[Bottom '[m']]]-WHOLE_STRUCTURE[[#This Row],[D, top '[m']]], "")</f>
        <v/>
      </c>
      <c r="L235" s="54" t="str">
        <f>IFERROR(-(WHOLE_STRUCTURE[[#This Row],[D, bottom '[m']]]-WHOLE_STRUCTURE[[#This Row],[D, top '[m']]])/(WHOLE_STRUCTURE[[#This Row],[Bottom '[m']]]-WHOLE_STRUCTURE[[#This Row],[Top '[m']]]),"")</f>
        <v/>
      </c>
      <c r="M235" s="54" t="str">
        <f>IFERROR((WHOLE_STRUCTURE[[#This Row],[D, bottom '[m']]]+WHOLE_STRUCTURE[[#This Row],[D, top '[m']]])/(2*WHOLE_STRUCTURE[[#This Row],[t '[mm']]]/1000),"")</f>
        <v/>
      </c>
    </row>
    <row r="236" spans="10:13" x14ac:dyDescent="0.3">
      <c r="J236" s="54" t="str">
        <f t="shared" si="5"/>
        <v/>
      </c>
      <c r="K236" s="54" t="str">
        <f>IFERROR(WHOLE_STRUCTURE[[#This Row],[Bottom '[m']]]-WHOLE_STRUCTURE[[#This Row],[D, top '[m']]], "")</f>
        <v/>
      </c>
      <c r="L236" s="54" t="str">
        <f>IFERROR(-(WHOLE_STRUCTURE[[#This Row],[D, bottom '[m']]]-WHOLE_STRUCTURE[[#This Row],[D, top '[m']]])/(WHOLE_STRUCTURE[[#This Row],[Bottom '[m']]]-WHOLE_STRUCTURE[[#This Row],[Top '[m']]]),"")</f>
        <v/>
      </c>
      <c r="M236" s="54" t="str">
        <f>IFERROR((WHOLE_STRUCTURE[[#This Row],[D, bottom '[m']]]+WHOLE_STRUCTURE[[#This Row],[D, top '[m']]])/(2*WHOLE_STRUCTURE[[#This Row],[t '[mm']]]/1000),"")</f>
        <v/>
      </c>
    </row>
    <row r="237" spans="10:13" x14ac:dyDescent="0.3">
      <c r="J237" s="54" t="str">
        <f t="shared" si="5"/>
        <v/>
      </c>
      <c r="K237" s="54" t="str">
        <f>IFERROR(WHOLE_STRUCTURE[[#This Row],[Bottom '[m']]]-WHOLE_STRUCTURE[[#This Row],[D, top '[m']]], "")</f>
        <v/>
      </c>
      <c r="L237" s="54" t="str">
        <f>IFERROR(-(WHOLE_STRUCTURE[[#This Row],[D, bottom '[m']]]-WHOLE_STRUCTURE[[#This Row],[D, top '[m']]])/(WHOLE_STRUCTURE[[#This Row],[Bottom '[m']]]-WHOLE_STRUCTURE[[#This Row],[Top '[m']]]),"")</f>
        <v/>
      </c>
      <c r="M237" s="54" t="str">
        <f>IFERROR((WHOLE_STRUCTURE[[#This Row],[D, bottom '[m']]]+WHOLE_STRUCTURE[[#This Row],[D, top '[m']]])/(2*WHOLE_STRUCTURE[[#This Row],[t '[mm']]]/1000),"")</f>
        <v/>
      </c>
    </row>
    <row r="238" spans="10:13" x14ac:dyDescent="0.3">
      <c r="J238" s="54" t="str">
        <f t="shared" si="5"/>
        <v/>
      </c>
      <c r="K238" s="54" t="str">
        <f>IFERROR(WHOLE_STRUCTURE[[#This Row],[Bottom '[m']]]-WHOLE_STRUCTURE[[#This Row],[D, top '[m']]], "")</f>
        <v/>
      </c>
      <c r="L238" s="54" t="str">
        <f>IFERROR(-(WHOLE_STRUCTURE[[#This Row],[D, bottom '[m']]]-WHOLE_STRUCTURE[[#This Row],[D, top '[m']]])/(WHOLE_STRUCTURE[[#This Row],[Bottom '[m']]]-WHOLE_STRUCTURE[[#This Row],[Top '[m']]]),"")</f>
        <v/>
      </c>
      <c r="M238" s="54" t="str">
        <f>IFERROR((WHOLE_STRUCTURE[[#This Row],[D, bottom '[m']]]+WHOLE_STRUCTURE[[#This Row],[D, top '[m']]])/(2*WHOLE_STRUCTURE[[#This Row],[t '[mm']]]/1000),"")</f>
        <v/>
      </c>
    </row>
    <row r="239" spans="10:13" x14ac:dyDescent="0.3">
      <c r="J239" s="54" t="str">
        <f t="shared" si="5"/>
        <v/>
      </c>
      <c r="K239" s="54" t="str">
        <f>IFERROR(WHOLE_STRUCTURE[[#This Row],[Bottom '[m']]]-WHOLE_STRUCTURE[[#This Row],[D, top '[m']]], "")</f>
        <v/>
      </c>
      <c r="L239" s="54" t="str">
        <f>IFERROR(-(WHOLE_STRUCTURE[[#This Row],[D, bottom '[m']]]-WHOLE_STRUCTURE[[#This Row],[D, top '[m']]])/(WHOLE_STRUCTURE[[#This Row],[Bottom '[m']]]-WHOLE_STRUCTURE[[#This Row],[Top '[m']]]),"")</f>
        <v/>
      </c>
      <c r="M239" s="54" t="str">
        <f>IFERROR((WHOLE_STRUCTURE[[#This Row],[D, bottom '[m']]]+WHOLE_STRUCTURE[[#This Row],[D, top '[m']]])/(2*WHOLE_STRUCTURE[[#This Row],[t '[mm']]]/1000),"")</f>
        <v/>
      </c>
    </row>
    <row r="240" spans="10:13" x14ac:dyDescent="0.3">
      <c r="J240" s="54" t="str">
        <f t="shared" si="5"/>
        <v/>
      </c>
      <c r="K240" s="54" t="str">
        <f>IFERROR(WHOLE_STRUCTURE[[#This Row],[Bottom '[m']]]-WHOLE_STRUCTURE[[#This Row],[D, top '[m']]], "")</f>
        <v/>
      </c>
      <c r="L240" s="54" t="str">
        <f>IFERROR(-(WHOLE_STRUCTURE[[#This Row],[D, bottom '[m']]]-WHOLE_STRUCTURE[[#This Row],[D, top '[m']]])/(WHOLE_STRUCTURE[[#This Row],[Bottom '[m']]]-WHOLE_STRUCTURE[[#This Row],[Top '[m']]]),"")</f>
        <v/>
      </c>
      <c r="M240" s="54" t="str">
        <f>IFERROR((WHOLE_STRUCTURE[[#This Row],[D, bottom '[m']]]+WHOLE_STRUCTURE[[#This Row],[D, top '[m']]])/(2*WHOLE_STRUCTURE[[#This Row],[t '[mm']]]/1000),"")</f>
        <v/>
      </c>
    </row>
    <row r="241" spans="10:13" x14ac:dyDescent="0.3">
      <c r="J241" s="54" t="str">
        <f t="shared" si="5"/>
        <v/>
      </c>
      <c r="K241" s="54" t="str">
        <f>IFERROR(WHOLE_STRUCTURE[[#This Row],[Bottom '[m']]]-WHOLE_STRUCTURE[[#This Row],[D, top '[m']]], "")</f>
        <v/>
      </c>
      <c r="L241" s="54" t="str">
        <f>IFERROR(-(WHOLE_STRUCTURE[[#This Row],[D, bottom '[m']]]-WHOLE_STRUCTURE[[#This Row],[D, top '[m']]])/(WHOLE_STRUCTURE[[#This Row],[Bottom '[m']]]-WHOLE_STRUCTURE[[#This Row],[Top '[m']]]),"")</f>
        <v/>
      </c>
      <c r="M241" s="54" t="str">
        <f>IFERROR((WHOLE_STRUCTURE[[#This Row],[D, bottom '[m']]]+WHOLE_STRUCTURE[[#This Row],[D, top '[m']]])/(2*WHOLE_STRUCTURE[[#This Row],[t '[mm']]]/1000),"")</f>
        <v/>
      </c>
    </row>
    <row r="242" spans="10:13" x14ac:dyDescent="0.3">
      <c r="J242" s="54" t="str">
        <f t="shared" si="5"/>
        <v/>
      </c>
      <c r="K242" s="54" t="str">
        <f>IFERROR(WHOLE_STRUCTURE[[#This Row],[Bottom '[m']]]-WHOLE_STRUCTURE[[#This Row],[D, top '[m']]], "")</f>
        <v/>
      </c>
      <c r="L242" s="54" t="str">
        <f>IFERROR(-(WHOLE_STRUCTURE[[#This Row],[D, bottom '[m']]]-WHOLE_STRUCTURE[[#This Row],[D, top '[m']]])/(WHOLE_STRUCTURE[[#This Row],[Bottom '[m']]]-WHOLE_STRUCTURE[[#This Row],[Top '[m']]]),"")</f>
        <v/>
      </c>
      <c r="M242" s="54" t="str">
        <f>IFERROR((WHOLE_STRUCTURE[[#This Row],[D, bottom '[m']]]+WHOLE_STRUCTURE[[#This Row],[D, top '[m']]])/(2*WHOLE_STRUCTURE[[#This Row],[t '[mm']]]/1000),"")</f>
        <v/>
      </c>
    </row>
    <row r="243" spans="10:13" x14ac:dyDescent="0.3">
      <c r="J243" s="54" t="str">
        <f t="shared" si="5"/>
        <v/>
      </c>
      <c r="K243" s="54" t="str">
        <f>IFERROR(WHOLE_STRUCTURE[[#This Row],[Bottom '[m']]]-WHOLE_STRUCTURE[[#This Row],[D, top '[m']]], "")</f>
        <v/>
      </c>
      <c r="L243" s="54" t="str">
        <f>IFERROR(-(WHOLE_STRUCTURE[[#This Row],[D, bottom '[m']]]-WHOLE_STRUCTURE[[#This Row],[D, top '[m']]])/(WHOLE_STRUCTURE[[#This Row],[Bottom '[m']]]-WHOLE_STRUCTURE[[#This Row],[Top '[m']]]),"")</f>
        <v/>
      </c>
      <c r="M243" s="54" t="str">
        <f>IFERROR((WHOLE_STRUCTURE[[#This Row],[D, bottom '[m']]]+WHOLE_STRUCTURE[[#This Row],[D, top '[m']]])/(2*WHOLE_STRUCTURE[[#This Row],[t '[mm']]]/1000),"")</f>
        <v/>
      </c>
    </row>
    <row r="244" spans="10:13" x14ac:dyDescent="0.3">
      <c r="J244" s="54" t="str">
        <f t="shared" si="5"/>
        <v/>
      </c>
      <c r="K244" s="54" t="str">
        <f>IFERROR(WHOLE_STRUCTURE[[#This Row],[Bottom '[m']]]-WHOLE_STRUCTURE[[#This Row],[D, top '[m']]], "")</f>
        <v/>
      </c>
      <c r="L244" s="54" t="str">
        <f>IFERROR(-(WHOLE_STRUCTURE[[#This Row],[D, bottom '[m']]]-WHOLE_STRUCTURE[[#This Row],[D, top '[m']]])/(WHOLE_STRUCTURE[[#This Row],[Bottom '[m']]]-WHOLE_STRUCTURE[[#This Row],[Top '[m']]]),"")</f>
        <v/>
      </c>
      <c r="M244" s="54" t="str">
        <f>IFERROR((WHOLE_STRUCTURE[[#This Row],[D, bottom '[m']]]+WHOLE_STRUCTURE[[#This Row],[D, top '[m']]])/(2*WHOLE_STRUCTURE[[#This Row],[t '[mm']]]/1000),"")</f>
        <v/>
      </c>
    </row>
    <row r="245" spans="10:13" x14ac:dyDescent="0.3">
      <c r="J245" s="54" t="str">
        <f t="shared" si="5"/>
        <v/>
      </c>
      <c r="K245" s="54" t="str">
        <f>IFERROR(WHOLE_STRUCTURE[[#This Row],[Bottom '[m']]]-WHOLE_STRUCTURE[[#This Row],[D, top '[m']]], "")</f>
        <v/>
      </c>
      <c r="L245" s="54" t="str">
        <f>IFERROR(-(WHOLE_STRUCTURE[[#This Row],[D, bottom '[m']]]-WHOLE_STRUCTURE[[#This Row],[D, top '[m']]])/(WHOLE_STRUCTURE[[#This Row],[Bottom '[m']]]-WHOLE_STRUCTURE[[#This Row],[Top '[m']]]),"")</f>
        <v/>
      </c>
      <c r="M245" s="54" t="str">
        <f>IFERROR((WHOLE_STRUCTURE[[#This Row],[D, bottom '[m']]]+WHOLE_STRUCTURE[[#This Row],[D, top '[m']]])/(2*WHOLE_STRUCTURE[[#This Row],[t '[mm']]]/1000),"")</f>
        <v/>
      </c>
    </row>
    <row r="246" spans="10:13" x14ac:dyDescent="0.3">
      <c r="J246" s="54" t="str">
        <f t="shared" si="5"/>
        <v/>
      </c>
      <c r="K246" s="54" t="str">
        <f>IFERROR(WHOLE_STRUCTURE[[#This Row],[Bottom '[m']]]-WHOLE_STRUCTURE[[#This Row],[D, top '[m']]], "")</f>
        <v/>
      </c>
      <c r="L246" s="54" t="str">
        <f>IFERROR(-(WHOLE_STRUCTURE[[#This Row],[D, bottom '[m']]]-WHOLE_STRUCTURE[[#This Row],[D, top '[m']]])/(WHOLE_STRUCTURE[[#This Row],[Bottom '[m']]]-WHOLE_STRUCTURE[[#This Row],[Top '[m']]]),"")</f>
        <v/>
      </c>
      <c r="M246" s="54" t="str">
        <f>IFERROR((WHOLE_STRUCTURE[[#This Row],[D, bottom '[m']]]+WHOLE_STRUCTURE[[#This Row],[D, top '[m']]])/(2*WHOLE_STRUCTURE[[#This Row],[t '[mm']]]/1000),"")</f>
        <v/>
      </c>
    </row>
    <row r="247" spans="10:13" x14ac:dyDescent="0.3">
      <c r="J247" s="54" t="str">
        <f t="shared" si="5"/>
        <v/>
      </c>
      <c r="K247" s="54" t="str">
        <f>IFERROR(WHOLE_STRUCTURE[[#This Row],[Bottom '[m']]]-WHOLE_STRUCTURE[[#This Row],[D, top '[m']]], "")</f>
        <v/>
      </c>
      <c r="L247" s="54" t="str">
        <f>IFERROR(-(WHOLE_STRUCTURE[[#This Row],[D, bottom '[m']]]-WHOLE_STRUCTURE[[#This Row],[D, top '[m']]])/(WHOLE_STRUCTURE[[#This Row],[Bottom '[m']]]-WHOLE_STRUCTURE[[#This Row],[Top '[m']]]),"")</f>
        <v/>
      </c>
      <c r="M247" s="54" t="str">
        <f>IFERROR((WHOLE_STRUCTURE[[#This Row],[D, bottom '[m']]]+WHOLE_STRUCTURE[[#This Row],[D, top '[m']]])/(2*WHOLE_STRUCTURE[[#This Row],[t '[mm']]]/1000),"")</f>
        <v/>
      </c>
    </row>
    <row r="248" spans="10:13" x14ac:dyDescent="0.3">
      <c r="J248" s="54" t="str">
        <f t="shared" si="5"/>
        <v/>
      </c>
      <c r="K248" s="54" t="str">
        <f>IFERROR(WHOLE_STRUCTURE[[#This Row],[Bottom '[m']]]-WHOLE_STRUCTURE[[#This Row],[D, top '[m']]], "")</f>
        <v/>
      </c>
      <c r="L248" s="54" t="str">
        <f>IFERROR(-(WHOLE_STRUCTURE[[#This Row],[D, bottom '[m']]]-WHOLE_STRUCTURE[[#This Row],[D, top '[m']]])/(WHOLE_STRUCTURE[[#This Row],[Bottom '[m']]]-WHOLE_STRUCTURE[[#This Row],[Top '[m']]]),"")</f>
        <v/>
      </c>
      <c r="M248" s="54" t="str">
        <f>IFERROR((WHOLE_STRUCTURE[[#This Row],[D, bottom '[m']]]+WHOLE_STRUCTURE[[#This Row],[D, top '[m']]])/(2*WHOLE_STRUCTURE[[#This Row],[t '[mm']]]/1000),"")</f>
        <v/>
      </c>
    </row>
    <row r="249" spans="10:13" x14ac:dyDescent="0.3">
      <c r="J249" s="54" t="str">
        <f t="shared" si="5"/>
        <v/>
      </c>
      <c r="K249" s="54" t="str">
        <f>IFERROR(WHOLE_STRUCTURE[[#This Row],[Bottom '[m']]]-WHOLE_STRUCTURE[[#This Row],[D, top '[m']]], "")</f>
        <v/>
      </c>
      <c r="L249" s="54" t="str">
        <f>IFERROR(-(WHOLE_STRUCTURE[[#This Row],[D, bottom '[m']]]-WHOLE_STRUCTURE[[#This Row],[D, top '[m']]])/(WHOLE_STRUCTURE[[#This Row],[Bottom '[m']]]-WHOLE_STRUCTURE[[#This Row],[Top '[m']]]),"")</f>
        <v/>
      </c>
      <c r="M249" s="54" t="str">
        <f>IFERROR((WHOLE_STRUCTURE[[#This Row],[D, bottom '[m']]]+WHOLE_STRUCTURE[[#This Row],[D, top '[m']]])/(2*WHOLE_STRUCTURE[[#This Row],[t '[mm']]]/1000),"")</f>
        <v/>
      </c>
    </row>
    <row r="250" spans="10:13" x14ac:dyDescent="0.3">
      <c r="J250" s="54" t="str">
        <f t="shared" si="5"/>
        <v/>
      </c>
      <c r="K250" s="54" t="str">
        <f>IFERROR(WHOLE_STRUCTURE[[#This Row],[Bottom '[m']]]-WHOLE_STRUCTURE[[#This Row],[D, top '[m']]], "")</f>
        <v/>
      </c>
      <c r="L250" s="54" t="str">
        <f>IFERROR(-(WHOLE_STRUCTURE[[#This Row],[D, bottom '[m']]]-WHOLE_STRUCTURE[[#This Row],[D, top '[m']]])/(WHOLE_STRUCTURE[[#This Row],[Bottom '[m']]]-WHOLE_STRUCTURE[[#This Row],[Top '[m']]]),"")</f>
        <v/>
      </c>
      <c r="M250" s="54" t="str">
        <f>IFERROR((WHOLE_STRUCTURE[[#This Row],[D, bottom '[m']]]+WHOLE_STRUCTURE[[#This Row],[D, top '[m']]])/(2*WHOLE_STRUCTURE[[#This Row],[t '[mm']]]/1000),"")</f>
        <v/>
      </c>
    </row>
    <row r="251" spans="10:13" x14ac:dyDescent="0.3">
      <c r="J251" s="54" t="str">
        <f t="shared" si="5"/>
        <v/>
      </c>
      <c r="K251" s="54" t="str">
        <f>IFERROR(WHOLE_STRUCTURE[[#This Row],[Bottom '[m']]]-WHOLE_STRUCTURE[[#This Row],[D, top '[m']]], "")</f>
        <v/>
      </c>
      <c r="L251" s="54" t="str">
        <f>IFERROR(-(WHOLE_STRUCTURE[[#This Row],[D, bottom '[m']]]-WHOLE_STRUCTURE[[#This Row],[D, top '[m']]])/(WHOLE_STRUCTURE[[#This Row],[Bottom '[m']]]-WHOLE_STRUCTURE[[#This Row],[Top '[m']]]),"")</f>
        <v/>
      </c>
      <c r="M251" s="54" t="str">
        <f>IFERROR((WHOLE_STRUCTURE[[#This Row],[D, bottom '[m']]]+WHOLE_STRUCTURE[[#This Row],[D, top '[m']]])/(2*WHOLE_STRUCTURE[[#This Row],[t '[mm']]]/1000),"")</f>
        <v/>
      </c>
    </row>
    <row r="252" spans="10:13" x14ac:dyDescent="0.3">
      <c r="J252" s="54" t="str">
        <f t="shared" si="5"/>
        <v/>
      </c>
      <c r="K252" s="54" t="str">
        <f>IFERROR(WHOLE_STRUCTURE[[#This Row],[Bottom '[m']]]-WHOLE_STRUCTURE[[#This Row],[D, top '[m']]], "")</f>
        <v/>
      </c>
      <c r="L252" s="54" t="str">
        <f>IFERROR(-(WHOLE_STRUCTURE[[#This Row],[D, bottom '[m']]]-WHOLE_STRUCTURE[[#This Row],[D, top '[m']]])/(WHOLE_STRUCTURE[[#This Row],[Bottom '[m']]]-WHOLE_STRUCTURE[[#This Row],[Top '[m']]]),"")</f>
        <v/>
      </c>
      <c r="M252" s="54" t="str">
        <f>IFERROR((WHOLE_STRUCTURE[[#This Row],[D, bottom '[m']]]+WHOLE_STRUCTURE[[#This Row],[D, top '[m']]])/(2*WHOLE_STRUCTURE[[#This Row],[t '[mm']]]/1000),"")</f>
        <v/>
      </c>
    </row>
    <row r="253" spans="10:13" x14ac:dyDescent="0.3">
      <c r="J253" s="54" t="str">
        <f t="shared" si="5"/>
        <v/>
      </c>
      <c r="K253" s="54" t="str">
        <f>IFERROR(WHOLE_STRUCTURE[[#This Row],[Bottom '[m']]]-WHOLE_STRUCTURE[[#This Row],[D, top '[m']]], "")</f>
        <v/>
      </c>
      <c r="L253" s="54" t="str">
        <f>IFERROR(-(WHOLE_STRUCTURE[[#This Row],[D, bottom '[m']]]-WHOLE_STRUCTURE[[#This Row],[D, top '[m']]])/(WHOLE_STRUCTURE[[#This Row],[Bottom '[m']]]-WHOLE_STRUCTURE[[#This Row],[Top '[m']]]),"")</f>
        <v/>
      </c>
      <c r="M253" s="54" t="str">
        <f>IFERROR((WHOLE_STRUCTURE[[#This Row],[D, bottom '[m']]]+WHOLE_STRUCTURE[[#This Row],[D, top '[m']]])/(2*WHOLE_STRUCTURE[[#This Row],[t '[mm']]]/1000),"")</f>
        <v/>
      </c>
    </row>
    <row r="254" spans="10:13" x14ac:dyDescent="0.3">
      <c r="J254" s="54" t="str">
        <f t="shared" si="5"/>
        <v/>
      </c>
      <c r="K254" s="54" t="str">
        <f>IFERROR(WHOLE_STRUCTURE[[#This Row],[Bottom '[m']]]-WHOLE_STRUCTURE[[#This Row],[D, top '[m']]], "")</f>
        <v/>
      </c>
      <c r="L254" s="54" t="str">
        <f>IFERROR(-(WHOLE_STRUCTURE[[#This Row],[D, bottom '[m']]]-WHOLE_STRUCTURE[[#This Row],[D, top '[m']]])/(WHOLE_STRUCTURE[[#This Row],[Bottom '[m']]]-WHOLE_STRUCTURE[[#This Row],[Top '[m']]]),"")</f>
        <v/>
      </c>
      <c r="M254" s="54" t="str">
        <f>IFERROR((WHOLE_STRUCTURE[[#This Row],[D, bottom '[m']]]+WHOLE_STRUCTURE[[#This Row],[D, top '[m']]])/(2*WHOLE_STRUCTURE[[#This Row],[t '[mm']]]/1000),"")</f>
        <v/>
      </c>
    </row>
    <row r="255" spans="10:13" x14ac:dyDescent="0.3">
      <c r="J255" s="54" t="str">
        <f t="shared" si="5"/>
        <v/>
      </c>
      <c r="K255" s="54" t="str">
        <f>IFERROR(WHOLE_STRUCTURE[[#This Row],[Bottom '[m']]]-WHOLE_STRUCTURE[[#This Row],[D, top '[m']]], "")</f>
        <v/>
      </c>
      <c r="L255" s="54" t="str">
        <f>IFERROR(-(WHOLE_STRUCTURE[[#This Row],[D, bottom '[m']]]-WHOLE_STRUCTURE[[#This Row],[D, top '[m']]])/(WHOLE_STRUCTURE[[#This Row],[Bottom '[m']]]-WHOLE_STRUCTURE[[#This Row],[Top '[m']]]),"")</f>
        <v/>
      </c>
      <c r="M255" s="54" t="str">
        <f>IFERROR((WHOLE_STRUCTURE[[#This Row],[D, bottom '[m']]]+WHOLE_STRUCTURE[[#This Row],[D, top '[m']]])/(2*WHOLE_STRUCTURE[[#This Row],[t '[mm']]]/1000),"")</f>
        <v/>
      </c>
    </row>
    <row r="256" spans="10:13" x14ac:dyDescent="0.3">
      <c r="J256" s="54" t="str">
        <f t="shared" si="5"/>
        <v/>
      </c>
      <c r="K256" s="54" t="str">
        <f>IFERROR(WHOLE_STRUCTURE[[#This Row],[Bottom '[m']]]-WHOLE_STRUCTURE[[#This Row],[D, top '[m']]], "")</f>
        <v/>
      </c>
      <c r="L256" s="54" t="str">
        <f>IFERROR(-(WHOLE_STRUCTURE[[#This Row],[D, bottom '[m']]]-WHOLE_STRUCTURE[[#This Row],[D, top '[m']]])/(WHOLE_STRUCTURE[[#This Row],[Bottom '[m']]]-WHOLE_STRUCTURE[[#This Row],[Top '[m']]]),"")</f>
        <v/>
      </c>
      <c r="M256" s="54" t="str">
        <f>IFERROR((WHOLE_STRUCTURE[[#This Row],[D, bottom '[m']]]+WHOLE_STRUCTURE[[#This Row],[D, top '[m']]])/(2*WHOLE_STRUCTURE[[#This Row],[t '[mm']]]/1000),"")</f>
        <v/>
      </c>
    </row>
    <row r="257" spans="10:13" x14ac:dyDescent="0.3">
      <c r="J257" s="54" t="str">
        <f t="shared" si="5"/>
        <v/>
      </c>
      <c r="K257" s="54" t="str">
        <f>IFERROR(WHOLE_STRUCTURE[[#This Row],[Bottom '[m']]]-WHOLE_STRUCTURE[[#This Row],[D, top '[m']]], "")</f>
        <v/>
      </c>
      <c r="L257" s="54" t="str">
        <f>IFERROR(-(WHOLE_STRUCTURE[[#This Row],[D, bottom '[m']]]-WHOLE_STRUCTURE[[#This Row],[D, top '[m']]])/(WHOLE_STRUCTURE[[#This Row],[Bottom '[m']]]-WHOLE_STRUCTURE[[#This Row],[Top '[m']]]),"")</f>
        <v/>
      </c>
      <c r="M257" s="54" t="str">
        <f>IFERROR((WHOLE_STRUCTURE[[#This Row],[D, bottom '[m']]]+WHOLE_STRUCTURE[[#This Row],[D, top '[m']]])/(2*WHOLE_STRUCTURE[[#This Row],[t '[mm']]]/1000),"")</f>
        <v/>
      </c>
    </row>
    <row r="258" spans="10:13" x14ac:dyDescent="0.3">
      <c r="J258" s="54" t="str">
        <f t="shared" si="5"/>
        <v/>
      </c>
      <c r="K258" s="54" t="str">
        <f>IFERROR(WHOLE_STRUCTURE[[#This Row],[Bottom '[m']]]-WHOLE_STRUCTURE[[#This Row],[D, top '[m']]], "")</f>
        <v/>
      </c>
      <c r="L258" s="54" t="str">
        <f>IFERROR(-(WHOLE_STRUCTURE[[#This Row],[D, bottom '[m']]]-WHOLE_STRUCTURE[[#This Row],[D, top '[m']]])/(WHOLE_STRUCTURE[[#This Row],[Bottom '[m']]]-WHOLE_STRUCTURE[[#This Row],[Top '[m']]]),"")</f>
        <v/>
      </c>
      <c r="M258" s="54" t="str">
        <f>IFERROR((WHOLE_STRUCTURE[[#This Row],[D, bottom '[m']]]+WHOLE_STRUCTURE[[#This Row],[D, top '[m']]])/(2*WHOLE_STRUCTURE[[#This Row],[t '[mm']]]/1000),"")</f>
        <v/>
      </c>
    </row>
    <row r="259" spans="10:13" x14ac:dyDescent="0.3">
      <c r="J259" s="54" t="str">
        <f t="shared" ref="J259:J322" si="6">IF(7850/1000*(1/3)*PI()*ABS(E259-F259)*((G259/2)^2+(G259/2)*(H259/2)+(H259/2)^2-(G259/2-I259/1000)^2-(G259/2-I259/1000)*(H259/2-I259/1000)-(H259/2-I259/1000)^2)=0,"",7850/1000*(1/3)*PI()*ABS(E259-F259)*((G259/2)^2+(G259/2)*(H259/2)+(H259/2)^2-(G259/2-I259/1000)^2-(G259/2-I259/1000)*(H259/2-I259/1000)-(H259/2-I259/1000)^2))</f>
        <v/>
      </c>
      <c r="K259" s="54" t="str">
        <f>IFERROR(WHOLE_STRUCTURE[[#This Row],[Bottom '[m']]]-WHOLE_STRUCTURE[[#This Row],[D, top '[m']]], "")</f>
        <v/>
      </c>
      <c r="L259" s="54" t="str">
        <f>IFERROR(-(WHOLE_STRUCTURE[[#This Row],[D, bottom '[m']]]-WHOLE_STRUCTURE[[#This Row],[D, top '[m']]])/(WHOLE_STRUCTURE[[#This Row],[Bottom '[m']]]-WHOLE_STRUCTURE[[#This Row],[Top '[m']]]),"")</f>
        <v/>
      </c>
      <c r="M259" s="54" t="str">
        <f>IFERROR((WHOLE_STRUCTURE[[#This Row],[D, bottom '[m']]]+WHOLE_STRUCTURE[[#This Row],[D, top '[m']]])/(2*WHOLE_STRUCTURE[[#This Row],[t '[mm']]]/1000),"")</f>
        <v/>
      </c>
    </row>
    <row r="260" spans="10:13" x14ac:dyDescent="0.3">
      <c r="J260" s="54" t="str">
        <f t="shared" si="6"/>
        <v/>
      </c>
      <c r="K260" s="54" t="str">
        <f>IFERROR(WHOLE_STRUCTURE[[#This Row],[Bottom '[m']]]-WHOLE_STRUCTURE[[#This Row],[D, top '[m']]], "")</f>
        <v/>
      </c>
      <c r="L260" s="54" t="str">
        <f>IFERROR(-(WHOLE_STRUCTURE[[#This Row],[D, bottom '[m']]]-WHOLE_STRUCTURE[[#This Row],[D, top '[m']]])/(WHOLE_STRUCTURE[[#This Row],[Bottom '[m']]]-WHOLE_STRUCTURE[[#This Row],[Top '[m']]]),"")</f>
        <v/>
      </c>
      <c r="M260" s="54" t="str">
        <f>IFERROR((WHOLE_STRUCTURE[[#This Row],[D, bottom '[m']]]+WHOLE_STRUCTURE[[#This Row],[D, top '[m']]])/(2*WHOLE_STRUCTURE[[#This Row],[t '[mm']]]/1000),"")</f>
        <v/>
      </c>
    </row>
    <row r="261" spans="10:13" x14ac:dyDescent="0.3">
      <c r="J261" s="54" t="str">
        <f t="shared" si="6"/>
        <v/>
      </c>
      <c r="K261" s="54" t="str">
        <f>IFERROR(WHOLE_STRUCTURE[[#This Row],[Bottom '[m']]]-WHOLE_STRUCTURE[[#This Row],[D, top '[m']]], "")</f>
        <v/>
      </c>
      <c r="L261" s="54" t="str">
        <f>IFERROR(-(WHOLE_STRUCTURE[[#This Row],[D, bottom '[m']]]-WHOLE_STRUCTURE[[#This Row],[D, top '[m']]])/(WHOLE_STRUCTURE[[#This Row],[Bottom '[m']]]-WHOLE_STRUCTURE[[#This Row],[Top '[m']]]),"")</f>
        <v/>
      </c>
      <c r="M261" s="54" t="str">
        <f>IFERROR((WHOLE_STRUCTURE[[#This Row],[D, bottom '[m']]]+WHOLE_STRUCTURE[[#This Row],[D, top '[m']]])/(2*WHOLE_STRUCTURE[[#This Row],[t '[mm']]]/1000),"")</f>
        <v/>
      </c>
    </row>
    <row r="262" spans="10:13" x14ac:dyDescent="0.3">
      <c r="J262" s="54" t="str">
        <f t="shared" si="6"/>
        <v/>
      </c>
      <c r="K262" s="54" t="str">
        <f>IFERROR(WHOLE_STRUCTURE[[#This Row],[Bottom '[m']]]-WHOLE_STRUCTURE[[#This Row],[D, top '[m']]], "")</f>
        <v/>
      </c>
      <c r="L262" s="54" t="str">
        <f>IFERROR(-(WHOLE_STRUCTURE[[#This Row],[D, bottom '[m']]]-WHOLE_STRUCTURE[[#This Row],[D, top '[m']]])/(WHOLE_STRUCTURE[[#This Row],[Bottom '[m']]]-WHOLE_STRUCTURE[[#This Row],[Top '[m']]]),"")</f>
        <v/>
      </c>
      <c r="M262" s="54" t="str">
        <f>IFERROR((WHOLE_STRUCTURE[[#This Row],[D, bottom '[m']]]+WHOLE_STRUCTURE[[#This Row],[D, top '[m']]])/(2*WHOLE_STRUCTURE[[#This Row],[t '[mm']]]/1000),"")</f>
        <v/>
      </c>
    </row>
    <row r="263" spans="10:13" x14ac:dyDescent="0.3">
      <c r="J263" s="54" t="str">
        <f t="shared" si="6"/>
        <v/>
      </c>
      <c r="K263" s="54" t="str">
        <f>IFERROR(WHOLE_STRUCTURE[[#This Row],[Bottom '[m']]]-WHOLE_STRUCTURE[[#This Row],[D, top '[m']]], "")</f>
        <v/>
      </c>
      <c r="L263" s="54" t="str">
        <f>IFERROR(-(WHOLE_STRUCTURE[[#This Row],[D, bottom '[m']]]-WHOLE_STRUCTURE[[#This Row],[D, top '[m']]])/(WHOLE_STRUCTURE[[#This Row],[Bottom '[m']]]-WHOLE_STRUCTURE[[#This Row],[Top '[m']]]),"")</f>
        <v/>
      </c>
      <c r="M263" s="54" t="str">
        <f>IFERROR((WHOLE_STRUCTURE[[#This Row],[D, bottom '[m']]]+WHOLE_STRUCTURE[[#This Row],[D, top '[m']]])/(2*WHOLE_STRUCTURE[[#This Row],[t '[mm']]]/1000),"")</f>
        <v/>
      </c>
    </row>
    <row r="264" spans="10:13" x14ac:dyDescent="0.3">
      <c r="J264" s="54" t="str">
        <f t="shared" si="6"/>
        <v/>
      </c>
      <c r="K264" s="54" t="str">
        <f>IFERROR(WHOLE_STRUCTURE[[#This Row],[Bottom '[m']]]-WHOLE_STRUCTURE[[#This Row],[D, top '[m']]], "")</f>
        <v/>
      </c>
      <c r="L264" s="54" t="str">
        <f>IFERROR(-(WHOLE_STRUCTURE[[#This Row],[D, bottom '[m']]]-WHOLE_STRUCTURE[[#This Row],[D, top '[m']]])/(WHOLE_STRUCTURE[[#This Row],[Bottom '[m']]]-WHOLE_STRUCTURE[[#This Row],[Top '[m']]]),"")</f>
        <v/>
      </c>
      <c r="M264" s="54" t="str">
        <f>IFERROR((WHOLE_STRUCTURE[[#This Row],[D, bottom '[m']]]+WHOLE_STRUCTURE[[#This Row],[D, top '[m']]])/(2*WHOLE_STRUCTURE[[#This Row],[t '[mm']]]/1000),"")</f>
        <v/>
      </c>
    </row>
    <row r="265" spans="10:13" x14ac:dyDescent="0.3">
      <c r="J265" s="54" t="str">
        <f t="shared" si="6"/>
        <v/>
      </c>
      <c r="K265" s="54" t="str">
        <f>IFERROR(WHOLE_STRUCTURE[[#This Row],[Bottom '[m']]]-WHOLE_STRUCTURE[[#This Row],[D, top '[m']]], "")</f>
        <v/>
      </c>
      <c r="L265" s="54" t="str">
        <f>IFERROR(-(WHOLE_STRUCTURE[[#This Row],[D, bottom '[m']]]-WHOLE_STRUCTURE[[#This Row],[D, top '[m']]])/(WHOLE_STRUCTURE[[#This Row],[Bottom '[m']]]-WHOLE_STRUCTURE[[#This Row],[Top '[m']]]),"")</f>
        <v/>
      </c>
      <c r="M265" s="54" t="str">
        <f>IFERROR((WHOLE_STRUCTURE[[#This Row],[D, bottom '[m']]]+WHOLE_STRUCTURE[[#This Row],[D, top '[m']]])/(2*WHOLE_STRUCTURE[[#This Row],[t '[mm']]]/1000),"")</f>
        <v/>
      </c>
    </row>
    <row r="266" spans="10:13" x14ac:dyDescent="0.3">
      <c r="J266" s="54" t="str">
        <f t="shared" si="6"/>
        <v/>
      </c>
      <c r="K266" s="54" t="str">
        <f>IFERROR(WHOLE_STRUCTURE[[#This Row],[Bottom '[m']]]-WHOLE_STRUCTURE[[#This Row],[D, top '[m']]], "")</f>
        <v/>
      </c>
      <c r="L266" s="54" t="str">
        <f>IFERROR(-(WHOLE_STRUCTURE[[#This Row],[D, bottom '[m']]]-WHOLE_STRUCTURE[[#This Row],[D, top '[m']]])/(WHOLE_STRUCTURE[[#This Row],[Bottom '[m']]]-WHOLE_STRUCTURE[[#This Row],[Top '[m']]]),"")</f>
        <v/>
      </c>
      <c r="M266" s="54" t="str">
        <f>IFERROR((WHOLE_STRUCTURE[[#This Row],[D, bottom '[m']]]+WHOLE_STRUCTURE[[#This Row],[D, top '[m']]])/(2*WHOLE_STRUCTURE[[#This Row],[t '[mm']]]/1000),"")</f>
        <v/>
      </c>
    </row>
    <row r="267" spans="10:13" x14ac:dyDescent="0.3">
      <c r="J267" s="54" t="str">
        <f t="shared" si="6"/>
        <v/>
      </c>
      <c r="K267" s="54" t="str">
        <f>IFERROR(WHOLE_STRUCTURE[[#This Row],[Bottom '[m']]]-WHOLE_STRUCTURE[[#This Row],[D, top '[m']]], "")</f>
        <v/>
      </c>
      <c r="L267" s="54" t="str">
        <f>IFERROR(-(WHOLE_STRUCTURE[[#This Row],[D, bottom '[m']]]-WHOLE_STRUCTURE[[#This Row],[D, top '[m']]])/(WHOLE_STRUCTURE[[#This Row],[Bottom '[m']]]-WHOLE_STRUCTURE[[#This Row],[Top '[m']]]),"")</f>
        <v/>
      </c>
      <c r="M267" s="54" t="str">
        <f>IFERROR((WHOLE_STRUCTURE[[#This Row],[D, bottom '[m']]]+WHOLE_STRUCTURE[[#This Row],[D, top '[m']]])/(2*WHOLE_STRUCTURE[[#This Row],[t '[mm']]]/1000),"")</f>
        <v/>
      </c>
    </row>
    <row r="268" spans="10:13" x14ac:dyDescent="0.3">
      <c r="J268" s="54" t="str">
        <f t="shared" si="6"/>
        <v/>
      </c>
      <c r="K268" s="54" t="str">
        <f>IFERROR(WHOLE_STRUCTURE[[#This Row],[Bottom '[m']]]-WHOLE_STRUCTURE[[#This Row],[D, top '[m']]], "")</f>
        <v/>
      </c>
      <c r="L268" s="54" t="str">
        <f>IFERROR(-(WHOLE_STRUCTURE[[#This Row],[D, bottom '[m']]]-WHOLE_STRUCTURE[[#This Row],[D, top '[m']]])/(WHOLE_STRUCTURE[[#This Row],[Bottom '[m']]]-WHOLE_STRUCTURE[[#This Row],[Top '[m']]]),"")</f>
        <v/>
      </c>
      <c r="M268" s="54" t="str">
        <f>IFERROR((WHOLE_STRUCTURE[[#This Row],[D, bottom '[m']]]+WHOLE_STRUCTURE[[#This Row],[D, top '[m']]])/(2*WHOLE_STRUCTURE[[#This Row],[t '[mm']]]/1000),"")</f>
        <v/>
      </c>
    </row>
    <row r="269" spans="10:13" x14ac:dyDescent="0.3">
      <c r="J269" s="54" t="str">
        <f t="shared" si="6"/>
        <v/>
      </c>
      <c r="K269" s="54" t="str">
        <f>IFERROR(WHOLE_STRUCTURE[[#This Row],[Bottom '[m']]]-WHOLE_STRUCTURE[[#This Row],[D, top '[m']]], "")</f>
        <v/>
      </c>
      <c r="L269" s="54" t="str">
        <f>IFERROR(-(WHOLE_STRUCTURE[[#This Row],[D, bottom '[m']]]-WHOLE_STRUCTURE[[#This Row],[D, top '[m']]])/(WHOLE_STRUCTURE[[#This Row],[Bottom '[m']]]-WHOLE_STRUCTURE[[#This Row],[Top '[m']]]),"")</f>
        <v/>
      </c>
      <c r="M269" s="54" t="str">
        <f>IFERROR((WHOLE_STRUCTURE[[#This Row],[D, bottom '[m']]]+WHOLE_STRUCTURE[[#This Row],[D, top '[m']]])/(2*WHOLE_STRUCTURE[[#This Row],[t '[mm']]]/1000),"")</f>
        <v/>
      </c>
    </row>
    <row r="270" spans="10:13" x14ac:dyDescent="0.3">
      <c r="J270" s="54" t="str">
        <f t="shared" si="6"/>
        <v/>
      </c>
      <c r="K270" s="54" t="str">
        <f>IFERROR(WHOLE_STRUCTURE[[#This Row],[Bottom '[m']]]-WHOLE_STRUCTURE[[#This Row],[D, top '[m']]], "")</f>
        <v/>
      </c>
      <c r="L270" s="54" t="str">
        <f>IFERROR(-(WHOLE_STRUCTURE[[#This Row],[D, bottom '[m']]]-WHOLE_STRUCTURE[[#This Row],[D, top '[m']]])/(WHOLE_STRUCTURE[[#This Row],[Bottom '[m']]]-WHOLE_STRUCTURE[[#This Row],[Top '[m']]]),"")</f>
        <v/>
      </c>
      <c r="M270" s="54" t="str">
        <f>IFERROR((WHOLE_STRUCTURE[[#This Row],[D, bottom '[m']]]+WHOLE_STRUCTURE[[#This Row],[D, top '[m']]])/(2*WHOLE_STRUCTURE[[#This Row],[t '[mm']]]/1000),"")</f>
        <v/>
      </c>
    </row>
    <row r="271" spans="10:13" x14ac:dyDescent="0.3">
      <c r="J271" s="54" t="str">
        <f t="shared" si="6"/>
        <v/>
      </c>
      <c r="K271" s="54" t="str">
        <f>IFERROR(WHOLE_STRUCTURE[[#This Row],[Bottom '[m']]]-WHOLE_STRUCTURE[[#This Row],[D, top '[m']]], "")</f>
        <v/>
      </c>
      <c r="L271" s="54" t="str">
        <f>IFERROR(-(WHOLE_STRUCTURE[[#This Row],[D, bottom '[m']]]-WHOLE_STRUCTURE[[#This Row],[D, top '[m']]])/(WHOLE_STRUCTURE[[#This Row],[Bottom '[m']]]-WHOLE_STRUCTURE[[#This Row],[Top '[m']]]),"")</f>
        <v/>
      </c>
      <c r="M271" s="54" t="str">
        <f>IFERROR((WHOLE_STRUCTURE[[#This Row],[D, bottom '[m']]]+WHOLE_STRUCTURE[[#This Row],[D, top '[m']]])/(2*WHOLE_STRUCTURE[[#This Row],[t '[mm']]]/1000),"")</f>
        <v/>
      </c>
    </row>
    <row r="272" spans="10:13" x14ac:dyDescent="0.3">
      <c r="J272" s="54" t="str">
        <f t="shared" si="6"/>
        <v/>
      </c>
      <c r="K272" s="54" t="str">
        <f>IFERROR(WHOLE_STRUCTURE[[#This Row],[Bottom '[m']]]-WHOLE_STRUCTURE[[#This Row],[D, top '[m']]], "")</f>
        <v/>
      </c>
      <c r="L272" s="54" t="str">
        <f>IFERROR(-(WHOLE_STRUCTURE[[#This Row],[D, bottom '[m']]]-WHOLE_STRUCTURE[[#This Row],[D, top '[m']]])/(WHOLE_STRUCTURE[[#This Row],[Bottom '[m']]]-WHOLE_STRUCTURE[[#This Row],[Top '[m']]]),"")</f>
        <v/>
      </c>
      <c r="M272" s="54" t="str">
        <f>IFERROR((WHOLE_STRUCTURE[[#This Row],[D, bottom '[m']]]+WHOLE_STRUCTURE[[#This Row],[D, top '[m']]])/(2*WHOLE_STRUCTURE[[#This Row],[t '[mm']]]/1000),"")</f>
        <v/>
      </c>
    </row>
    <row r="273" spans="10:13" x14ac:dyDescent="0.3">
      <c r="J273" s="54" t="str">
        <f t="shared" si="6"/>
        <v/>
      </c>
      <c r="K273" s="54" t="str">
        <f>IFERROR(WHOLE_STRUCTURE[[#This Row],[Bottom '[m']]]-WHOLE_STRUCTURE[[#This Row],[D, top '[m']]], "")</f>
        <v/>
      </c>
      <c r="L273" s="54" t="str">
        <f>IFERROR(-(WHOLE_STRUCTURE[[#This Row],[D, bottom '[m']]]-WHOLE_STRUCTURE[[#This Row],[D, top '[m']]])/(WHOLE_STRUCTURE[[#This Row],[Bottom '[m']]]-WHOLE_STRUCTURE[[#This Row],[Top '[m']]]),"")</f>
        <v/>
      </c>
      <c r="M273" s="54" t="str">
        <f>IFERROR((WHOLE_STRUCTURE[[#This Row],[D, bottom '[m']]]+WHOLE_STRUCTURE[[#This Row],[D, top '[m']]])/(2*WHOLE_STRUCTURE[[#This Row],[t '[mm']]]/1000),"")</f>
        <v/>
      </c>
    </row>
    <row r="274" spans="10:13" x14ac:dyDescent="0.3">
      <c r="J274" s="54" t="str">
        <f t="shared" si="6"/>
        <v/>
      </c>
      <c r="K274" s="54" t="str">
        <f>IFERROR(WHOLE_STRUCTURE[[#This Row],[Bottom '[m']]]-WHOLE_STRUCTURE[[#This Row],[D, top '[m']]], "")</f>
        <v/>
      </c>
      <c r="L274" s="54" t="str">
        <f>IFERROR(-(WHOLE_STRUCTURE[[#This Row],[D, bottom '[m']]]-WHOLE_STRUCTURE[[#This Row],[D, top '[m']]])/(WHOLE_STRUCTURE[[#This Row],[Bottom '[m']]]-WHOLE_STRUCTURE[[#This Row],[Top '[m']]]),"")</f>
        <v/>
      </c>
      <c r="M274" s="54" t="str">
        <f>IFERROR((WHOLE_STRUCTURE[[#This Row],[D, bottom '[m']]]+WHOLE_STRUCTURE[[#This Row],[D, top '[m']]])/(2*WHOLE_STRUCTURE[[#This Row],[t '[mm']]]/1000),"")</f>
        <v/>
      </c>
    </row>
    <row r="275" spans="10:13" x14ac:dyDescent="0.3">
      <c r="J275" s="54" t="str">
        <f t="shared" si="6"/>
        <v/>
      </c>
      <c r="K275" s="54" t="str">
        <f>IFERROR(WHOLE_STRUCTURE[[#This Row],[Bottom '[m']]]-WHOLE_STRUCTURE[[#This Row],[D, top '[m']]], "")</f>
        <v/>
      </c>
      <c r="L275" s="54" t="str">
        <f>IFERROR(-(WHOLE_STRUCTURE[[#This Row],[D, bottom '[m']]]-WHOLE_STRUCTURE[[#This Row],[D, top '[m']]])/(WHOLE_STRUCTURE[[#This Row],[Bottom '[m']]]-WHOLE_STRUCTURE[[#This Row],[Top '[m']]]),"")</f>
        <v/>
      </c>
      <c r="M275" s="54" t="str">
        <f>IFERROR((WHOLE_STRUCTURE[[#This Row],[D, bottom '[m']]]+WHOLE_STRUCTURE[[#This Row],[D, top '[m']]])/(2*WHOLE_STRUCTURE[[#This Row],[t '[mm']]]/1000),"")</f>
        <v/>
      </c>
    </row>
    <row r="276" spans="10:13" x14ac:dyDescent="0.3">
      <c r="J276" s="54" t="str">
        <f t="shared" si="6"/>
        <v/>
      </c>
      <c r="K276" s="54" t="str">
        <f>IFERROR(WHOLE_STRUCTURE[[#This Row],[Bottom '[m']]]-WHOLE_STRUCTURE[[#This Row],[D, top '[m']]], "")</f>
        <v/>
      </c>
      <c r="L276" s="54" t="str">
        <f>IFERROR(-(WHOLE_STRUCTURE[[#This Row],[D, bottom '[m']]]-WHOLE_STRUCTURE[[#This Row],[D, top '[m']]])/(WHOLE_STRUCTURE[[#This Row],[Bottom '[m']]]-WHOLE_STRUCTURE[[#This Row],[Top '[m']]]),"")</f>
        <v/>
      </c>
      <c r="M276" s="54" t="str">
        <f>IFERROR((WHOLE_STRUCTURE[[#This Row],[D, bottom '[m']]]+WHOLE_STRUCTURE[[#This Row],[D, top '[m']]])/(2*WHOLE_STRUCTURE[[#This Row],[t '[mm']]]/1000),"")</f>
        <v/>
      </c>
    </row>
    <row r="277" spans="10:13" x14ac:dyDescent="0.3">
      <c r="J277" s="54" t="str">
        <f t="shared" si="6"/>
        <v/>
      </c>
      <c r="K277" s="54" t="str">
        <f>IFERROR(WHOLE_STRUCTURE[[#This Row],[Bottom '[m']]]-WHOLE_STRUCTURE[[#This Row],[D, top '[m']]], "")</f>
        <v/>
      </c>
      <c r="L277" s="54" t="str">
        <f>IFERROR(-(WHOLE_STRUCTURE[[#This Row],[D, bottom '[m']]]-WHOLE_STRUCTURE[[#This Row],[D, top '[m']]])/(WHOLE_STRUCTURE[[#This Row],[Bottom '[m']]]-WHOLE_STRUCTURE[[#This Row],[Top '[m']]]),"")</f>
        <v/>
      </c>
      <c r="M277" s="54" t="str">
        <f>IFERROR((WHOLE_STRUCTURE[[#This Row],[D, bottom '[m']]]+WHOLE_STRUCTURE[[#This Row],[D, top '[m']]])/(2*WHOLE_STRUCTURE[[#This Row],[t '[mm']]]/1000),"")</f>
        <v/>
      </c>
    </row>
    <row r="278" spans="10:13" x14ac:dyDescent="0.3">
      <c r="J278" s="54" t="str">
        <f t="shared" si="6"/>
        <v/>
      </c>
      <c r="K278" s="54" t="str">
        <f>IFERROR(WHOLE_STRUCTURE[[#This Row],[Bottom '[m']]]-WHOLE_STRUCTURE[[#This Row],[D, top '[m']]], "")</f>
        <v/>
      </c>
      <c r="L278" s="54" t="str">
        <f>IFERROR(-(WHOLE_STRUCTURE[[#This Row],[D, bottom '[m']]]-WHOLE_STRUCTURE[[#This Row],[D, top '[m']]])/(WHOLE_STRUCTURE[[#This Row],[Bottom '[m']]]-WHOLE_STRUCTURE[[#This Row],[Top '[m']]]),"")</f>
        <v/>
      </c>
      <c r="M278" s="54" t="str">
        <f>IFERROR((WHOLE_STRUCTURE[[#This Row],[D, bottom '[m']]]+WHOLE_STRUCTURE[[#This Row],[D, top '[m']]])/(2*WHOLE_STRUCTURE[[#This Row],[t '[mm']]]/1000),"")</f>
        <v/>
      </c>
    </row>
    <row r="279" spans="10:13" x14ac:dyDescent="0.3">
      <c r="J279" s="54" t="str">
        <f t="shared" si="6"/>
        <v/>
      </c>
      <c r="K279" s="54" t="str">
        <f>IFERROR(WHOLE_STRUCTURE[[#This Row],[Bottom '[m']]]-WHOLE_STRUCTURE[[#This Row],[D, top '[m']]], "")</f>
        <v/>
      </c>
      <c r="L279" s="54" t="str">
        <f>IFERROR(-(WHOLE_STRUCTURE[[#This Row],[D, bottom '[m']]]-WHOLE_STRUCTURE[[#This Row],[D, top '[m']]])/(WHOLE_STRUCTURE[[#This Row],[Bottom '[m']]]-WHOLE_STRUCTURE[[#This Row],[Top '[m']]]),"")</f>
        <v/>
      </c>
      <c r="M279" s="54" t="str">
        <f>IFERROR((WHOLE_STRUCTURE[[#This Row],[D, bottom '[m']]]+WHOLE_STRUCTURE[[#This Row],[D, top '[m']]])/(2*WHOLE_STRUCTURE[[#This Row],[t '[mm']]]/1000),"")</f>
        <v/>
      </c>
    </row>
    <row r="280" spans="10:13" x14ac:dyDescent="0.3">
      <c r="J280" s="54" t="str">
        <f t="shared" si="6"/>
        <v/>
      </c>
      <c r="K280" s="54" t="str">
        <f>IFERROR(WHOLE_STRUCTURE[[#This Row],[Bottom '[m']]]-WHOLE_STRUCTURE[[#This Row],[D, top '[m']]], "")</f>
        <v/>
      </c>
      <c r="L280" s="54" t="str">
        <f>IFERROR(-(WHOLE_STRUCTURE[[#This Row],[D, bottom '[m']]]-WHOLE_STRUCTURE[[#This Row],[D, top '[m']]])/(WHOLE_STRUCTURE[[#This Row],[Bottom '[m']]]-WHOLE_STRUCTURE[[#This Row],[Top '[m']]]),"")</f>
        <v/>
      </c>
      <c r="M280" s="54" t="str">
        <f>IFERROR((WHOLE_STRUCTURE[[#This Row],[D, bottom '[m']]]+WHOLE_STRUCTURE[[#This Row],[D, top '[m']]])/(2*WHOLE_STRUCTURE[[#This Row],[t '[mm']]]/1000),"")</f>
        <v/>
      </c>
    </row>
    <row r="281" spans="10:13" x14ac:dyDescent="0.3">
      <c r="J281" s="54" t="str">
        <f t="shared" si="6"/>
        <v/>
      </c>
      <c r="K281" s="54" t="str">
        <f>IFERROR(WHOLE_STRUCTURE[[#This Row],[Bottom '[m']]]-WHOLE_STRUCTURE[[#This Row],[D, top '[m']]], "")</f>
        <v/>
      </c>
      <c r="L281" s="54" t="str">
        <f>IFERROR(-(WHOLE_STRUCTURE[[#This Row],[D, bottom '[m']]]-WHOLE_STRUCTURE[[#This Row],[D, top '[m']]])/(WHOLE_STRUCTURE[[#This Row],[Bottom '[m']]]-WHOLE_STRUCTURE[[#This Row],[Top '[m']]]),"")</f>
        <v/>
      </c>
      <c r="M281" s="54" t="str">
        <f>IFERROR((WHOLE_STRUCTURE[[#This Row],[D, bottom '[m']]]+WHOLE_STRUCTURE[[#This Row],[D, top '[m']]])/(2*WHOLE_STRUCTURE[[#This Row],[t '[mm']]]/1000),"")</f>
        <v/>
      </c>
    </row>
    <row r="282" spans="10:13" x14ac:dyDescent="0.3">
      <c r="J282" s="54" t="str">
        <f t="shared" si="6"/>
        <v/>
      </c>
      <c r="K282" s="54" t="str">
        <f>IFERROR(WHOLE_STRUCTURE[[#This Row],[Bottom '[m']]]-WHOLE_STRUCTURE[[#This Row],[D, top '[m']]], "")</f>
        <v/>
      </c>
      <c r="L282" s="54" t="str">
        <f>IFERROR(-(WHOLE_STRUCTURE[[#This Row],[D, bottom '[m']]]-WHOLE_STRUCTURE[[#This Row],[D, top '[m']]])/(WHOLE_STRUCTURE[[#This Row],[Bottom '[m']]]-WHOLE_STRUCTURE[[#This Row],[Top '[m']]]),"")</f>
        <v/>
      </c>
      <c r="M282" s="54" t="str">
        <f>IFERROR((WHOLE_STRUCTURE[[#This Row],[D, bottom '[m']]]+WHOLE_STRUCTURE[[#This Row],[D, top '[m']]])/(2*WHOLE_STRUCTURE[[#This Row],[t '[mm']]]/1000),"")</f>
        <v/>
      </c>
    </row>
    <row r="283" spans="10:13" x14ac:dyDescent="0.3">
      <c r="J283" s="54" t="str">
        <f t="shared" si="6"/>
        <v/>
      </c>
      <c r="K283" s="54" t="str">
        <f>IFERROR(WHOLE_STRUCTURE[[#This Row],[Bottom '[m']]]-WHOLE_STRUCTURE[[#This Row],[D, top '[m']]], "")</f>
        <v/>
      </c>
      <c r="L283" s="54" t="str">
        <f>IFERROR(-(WHOLE_STRUCTURE[[#This Row],[D, bottom '[m']]]-WHOLE_STRUCTURE[[#This Row],[D, top '[m']]])/(WHOLE_STRUCTURE[[#This Row],[Bottom '[m']]]-WHOLE_STRUCTURE[[#This Row],[Top '[m']]]),"")</f>
        <v/>
      </c>
      <c r="M283" s="54" t="str">
        <f>IFERROR((WHOLE_STRUCTURE[[#This Row],[D, bottom '[m']]]+WHOLE_STRUCTURE[[#This Row],[D, top '[m']]])/(2*WHOLE_STRUCTURE[[#This Row],[t '[mm']]]/1000),"")</f>
        <v/>
      </c>
    </row>
    <row r="284" spans="10:13" x14ac:dyDescent="0.3">
      <c r="J284" s="54" t="str">
        <f t="shared" si="6"/>
        <v/>
      </c>
      <c r="K284" s="54" t="str">
        <f>IFERROR(WHOLE_STRUCTURE[[#This Row],[Bottom '[m']]]-WHOLE_STRUCTURE[[#This Row],[D, top '[m']]], "")</f>
        <v/>
      </c>
      <c r="L284" s="54" t="str">
        <f>IFERROR(-(WHOLE_STRUCTURE[[#This Row],[D, bottom '[m']]]-WHOLE_STRUCTURE[[#This Row],[D, top '[m']]])/(WHOLE_STRUCTURE[[#This Row],[Bottom '[m']]]-WHOLE_STRUCTURE[[#This Row],[Top '[m']]]),"")</f>
        <v/>
      </c>
      <c r="M284" s="54" t="str">
        <f>IFERROR((WHOLE_STRUCTURE[[#This Row],[D, bottom '[m']]]+WHOLE_STRUCTURE[[#This Row],[D, top '[m']]])/(2*WHOLE_STRUCTURE[[#This Row],[t '[mm']]]/1000),"")</f>
        <v/>
      </c>
    </row>
    <row r="285" spans="10:13" x14ac:dyDescent="0.3">
      <c r="J285" s="54" t="str">
        <f t="shared" si="6"/>
        <v/>
      </c>
      <c r="K285" s="54" t="str">
        <f>IFERROR(WHOLE_STRUCTURE[[#This Row],[Bottom '[m']]]-WHOLE_STRUCTURE[[#This Row],[D, top '[m']]], "")</f>
        <v/>
      </c>
      <c r="L285" s="54" t="str">
        <f>IFERROR(-(WHOLE_STRUCTURE[[#This Row],[D, bottom '[m']]]-WHOLE_STRUCTURE[[#This Row],[D, top '[m']]])/(WHOLE_STRUCTURE[[#This Row],[Bottom '[m']]]-WHOLE_STRUCTURE[[#This Row],[Top '[m']]]),"")</f>
        <v/>
      </c>
      <c r="M285" s="54" t="str">
        <f>IFERROR((WHOLE_STRUCTURE[[#This Row],[D, bottom '[m']]]+WHOLE_STRUCTURE[[#This Row],[D, top '[m']]])/(2*WHOLE_STRUCTURE[[#This Row],[t '[mm']]]/1000),"")</f>
        <v/>
      </c>
    </row>
    <row r="286" spans="10:13" x14ac:dyDescent="0.3">
      <c r="J286" s="54" t="str">
        <f t="shared" si="6"/>
        <v/>
      </c>
      <c r="K286" s="54" t="str">
        <f>IFERROR(WHOLE_STRUCTURE[[#This Row],[Bottom '[m']]]-WHOLE_STRUCTURE[[#This Row],[D, top '[m']]], "")</f>
        <v/>
      </c>
      <c r="L286" s="54" t="str">
        <f>IFERROR(-(WHOLE_STRUCTURE[[#This Row],[D, bottom '[m']]]-WHOLE_STRUCTURE[[#This Row],[D, top '[m']]])/(WHOLE_STRUCTURE[[#This Row],[Bottom '[m']]]-WHOLE_STRUCTURE[[#This Row],[Top '[m']]]),"")</f>
        <v/>
      </c>
      <c r="M286" s="54" t="str">
        <f>IFERROR((WHOLE_STRUCTURE[[#This Row],[D, bottom '[m']]]+WHOLE_STRUCTURE[[#This Row],[D, top '[m']]])/(2*WHOLE_STRUCTURE[[#This Row],[t '[mm']]]/1000),"")</f>
        <v/>
      </c>
    </row>
    <row r="287" spans="10:13" x14ac:dyDescent="0.3">
      <c r="J287" s="54" t="str">
        <f t="shared" si="6"/>
        <v/>
      </c>
      <c r="K287" s="54" t="str">
        <f>IFERROR(WHOLE_STRUCTURE[[#This Row],[Bottom '[m']]]-WHOLE_STRUCTURE[[#This Row],[D, top '[m']]], "")</f>
        <v/>
      </c>
      <c r="L287" s="54" t="str">
        <f>IFERROR(-(WHOLE_STRUCTURE[[#This Row],[D, bottom '[m']]]-WHOLE_STRUCTURE[[#This Row],[D, top '[m']]])/(WHOLE_STRUCTURE[[#This Row],[Bottom '[m']]]-WHOLE_STRUCTURE[[#This Row],[Top '[m']]]),"")</f>
        <v/>
      </c>
      <c r="M287" s="54" t="str">
        <f>IFERROR((WHOLE_STRUCTURE[[#This Row],[D, bottom '[m']]]+WHOLE_STRUCTURE[[#This Row],[D, top '[m']]])/(2*WHOLE_STRUCTURE[[#This Row],[t '[mm']]]/1000),"")</f>
        <v/>
      </c>
    </row>
    <row r="288" spans="10:13" x14ac:dyDescent="0.3">
      <c r="J288" s="54" t="str">
        <f t="shared" si="6"/>
        <v/>
      </c>
      <c r="K288" s="54" t="str">
        <f>IFERROR(WHOLE_STRUCTURE[[#This Row],[Bottom '[m']]]-WHOLE_STRUCTURE[[#This Row],[D, top '[m']]], "")</f>
        <v/>
      </c>
      <c r="L288" s="54" t="str">
        <f>IFERROR(-(WHOLE_STRUCTURE[[#This Row],[D, bottom '[m']]]-WHOLE_STRUCTURE[[#This Row],[D, top '[m']]])/(WHOLE_STRUCTURE[[#This Row],[Bottom '[m']]]-WHOLE_STRUCTURE[[#This Row],[Top '[m']]]),"")</f>
        <v/>
      </c>
      <c r="M288" s="54" t="str">
        <f>IFERROR((WHOLE_STRUCTURE[[#This Row],[D, bottom '[m']]]+WHOLE_STRUCTURE[[#This Row],[D, top '[m']]])/(2*WHOLE_STRUCTURE[[#This Row],[t '[mm']]]/1000),"")</f>
        <v/>
      </c>
    </row>
    <row r="289" spans="10:13" x14ac:dyDescent="0.3">
      <c r="J289" s="54" t="str">
        <f t="shared" si="6"/>
        <v/>
      </c>
      <c r="K289" s="54" t="str">
        <f>IFERROR(WHOLE_STRUCTURE[[#This Row],[Bottom '[m']]]-WHOLE_STRUCTURE[[#This Row],[D, top '[m']]], "")</f>
        <v/>
      </c>
      <c r="L289" s="54" t="str">
        <f>IFERROR(-(WHOLE_STRUCTURE[[#This Row],[D, bottom '[m']]]-WHOLE_STRUCTURE[[#This Row],[D, top '[m']]])/(WHOLE_STRUCTURE[[#This Row],[Bottom '[m']]]-WHOLE_STRUCTURE[[#This Row],[Top '[m']]]),"")</f>
        <v/>
      </c>
      <c r="M289" s="54" t="str">
        <f>IFERROR((WHOLE_STRUCTURE[[#This Row],[D, bottom '[m']]]+WHOLE_STRUCTURE[[#This Row],[D, top '[m']]])/(2*WHOLE_STRUCTURE[[#This Row],[t '[mm']]]/1000),"")</f>
        <v/>
      </c>
    </row>
    <row r="290" spans="10:13" x14ac:dyDescent="0.3">
      <c r="J290" s="54" t="str">
        <f t="shared" si="6"/>
        <v/>
      </c>
      <c r="K290" s="54" t="str">
        <f>IFERROR(WHOLE_STRUCTURE[[#This Row],[Bottom '[m']]]-WHOLE_STRUCTURE[[#This Row],[D, top '[m']]], "")</f>
        <v/>
      </c>
      <c r="L290" s="54" t="str">
        <f>IFERROR(-(WHOLE_STRUCTURE[[#This Row],[D, bottom '[m']]]-WHOLE_STRUCTURE[[#This Row],[D, top '[m']]])/(WHOLE_STRUCTURE[[#This Row],[Bottom '[m']]]-WHOLE_STRUCTURE[[#This Row],[Top '[m']]]),"")</f>
        <v/>
      </c>
      <c r="M290" s="54" t="str">
        <f>IFERROR((WHOLE_STRUCTURE[[#This Row],[D, bottom '[m']]]+WHOLE_STRUCTURE[[#This Row],[D, top '[m']]])/(2*WHOLE_STRUCTURE[[#This Row],[t '[mm']]]/1000),"")</f>
        <v/>
      </c>
    </row>
    <row r="291" spans="10:13" x14ac:dyDescent="0.3">
      <c r="J291" s="54" t="str">
        <f t="shared" si="6"/>
        <v/>
      </c>
      <c r="K291" s="54" t="str">
        <f>IFERROR(WHOLE_STRUCTURE[[#This Row],[Bottom '[m']]]-WHOLE_STRUCTURE[[#This Row],[D, top '[m']]], "")</f>
        <v/>
      </c>
      <c r="L291" s="54" t="str">
        <f>IFERROR(-(WHOLE_STRUCTURE[[#This Row],[D, bottom '[m']]]-WHOLE_STRUCTURE[[#This Row],[D, top '[m']]])/(WHOLE_STRUCTURE[[#This Row],[Bottom '[m']]]-WHOLE_STRUCTURE[[#This Row],[Top '[m']]]),"")</f>
        <v/>
      </c>
      <c r="M291" s="54" t="str">
        <f>IFERROR((WHOLE_STRUCTURE[[#This Row],[D, bottom '[m']]]+WHOLE_STRUCTURE[[#This Row],[D, top '[m']]])/(2*WHOLE_STRUCTURE[[#This Row],[t '[mm']]]/1000),"")</f>
        <v/>
      </c>
    </row>
    <row r="292" spans="10:13" x14ac:dyDescent="0.3">
      <c r="J292" s="54" t="str">
        <f t="shared" si="6"/>
        <v/>
      </c>
      <c r="K292" s="54" t="str">
        <f>IFERROR(WHOLE_STRUCTURE[[#This Row],[Bottom '[m']]]-WHOLE_STRUCTURE[[#This Row],[D, top '[m']]], "")</f>
        <v/>
      </c>
      <c r="L292" s="54" t="str">
        <f>IFERROR(-(WHOLE_STRUCTURE[[#This Row],[D, bottom '[m']]]-WHOLE_STRUCTURE[[#This Row],[D, top '[m']]])/(WHOLE_STRUCTURE[[#This Row],[Bottom '[m']]]-WHOLE_STRUCTURE[[#This Row],[Top '[m']]]),"")</f>
        <v/>
      </c>
      <c r="M292" s="54" t="str">
        <f>IFERROR((WHOLE_STRUCTURE[[#This Row],[D, bottom '[m']]]+WHOLE_STRUCTURE[[#This Row],[D, top '[m']]])/(2*WHOLE_STRUCTURE[[#This Row],[t '[mm']]]/1000),"")</f>
        <v/>
      </c>
    </row>
    <row r="293" spans="10:13" x14ac:dyDescent="0.3">
      <c r="J293" s="54" t="str">
        <f t="shared" si="6"/>
        <v/>
      </c>
      <c r="K293" s="54" t="str">
        <f>IFERROR(WHOLE_STRUCTURE[[#This Row],[Bottom '[m']]]-WHOLE_STRUCTURE[[#This Row],[D, top '[m']]], "")</f>
        <v/>
      </c>
      <c r="L293" s="54" t="str">
        <f>IFERROR(-(WHOLE_STRUCTURE[[#This Row],[D, bottom '[m']]]-WHOLE_STRUCTURE[[#This Row],[D, top '[m']]])/(WHOLE_STRUCTURE[[#This Row],[Bottom '[m']]]-WHOLE_STRUCTURE[[#This Row],[Top '[m']]]),"")</f>
        <v/>
      </c>
      <c r="M293" s="54" t="str">
        <f>IFERROR((WHOLE_STRUCTURE[[#This Row],[D, bottom '[m']]]+WHOLE_STRUCTURE[[#This Row],[D, top '[m']]])/(2*WHOLE_STRUCTURE[[#This Row],[t '[mm']]]/1000),"")</f>
        <v/>
      </c>
    </row>
    <row r="294" spans="10:13" x14ac:dyDescent="0.3">
      <c r="J294" s="54" t="str">
        <f t="shared" si="6"/>
        <v/>
      </c>
      <c r="K294" s="54" t="str">
        <f>IFERROR(WHOLE_STRUCTURE[[#This Row],[Bottom '[m']]]-WHOLE_STRUCTURE[[#This Row],[D, top '[m']]], "")</f>
        <v/>
      </c>
      <c r="L294" s="54" t="str">
        <f>IFERROR(-(WHOLE_STRUCTURE[[#This Row],[D, bottom '[m']]]-WHOLE_STRUCTURE[[#This Row],[D, top '[m']]])/(WHOLE_STRUCTURE[[#This Row],[Bottom '[m']]]-WHOLE_STRUCTURE[[#This Row],[Top '[m']]]),"")</f>
        <v/>
      </c>
      <c r="M294" s="54" t="str">
        <f>IFERROR((WHOLE_STRUCTURE[[#This Row],[D, bottom '[m']]]+WHOLE_STRUCTURE[[#This Row],[D, top '[m']]])/(2*WHOLE_STRUCTURE[[#This Row],[t '[mm']]]/1000),"")</f>
        <v/>
      </c>
    </row>
    <row r="295" spans="10:13" x14ac:dyDescent="0.3">
      <c r="J295" s="54" t="str">
        <f t="shared" si="6"/>
        <v/>
      </c>
      <c r="K295" s="54" t="str">
        <f>IFERROR(WHOLE_STRUCTURE[[#This Row],[Bottom '[m']]]-WHOLE_STRUCTURE[[#This Row],[D, top '[m']]], "")</f>
        <v/>
      </c>
      <c r="L295" s="54" t="str">
        <f>IFERROR(-(WHOLE_STRUCTURE[[#This Row],[D, bottom '[m']]]-WHOLE_STRUCTURE[[#This Row],[D, top '[m']]])/(WHOLE_STRUCTURE[[#This Row],[Bottom '[m']]]-WHOLE_STRUCTURE[[#This Row],[Top '[m']]]),"")</f>
        <v/>
      </c>
      <c r="M295" s="54" t="str">
        <f>IFERROR((WHOLE_STRUCTURE[[#This Row],[D, bottom '[m']]]+WHOLE_STRUCTURE[[#This Row],[D, top '[m']]])/(2*WHOLE_STRUCTURE[[#This Row],[t '[mm']]]/1000),"")</f>
        <v/>
      </c>
    </row>
    <row r="296" spans="10:13" x14ac:dyDescent="0.3">
      <c r="J296" s="54" t="str">
        <f t="shared" si="6"/>
        <v/>
      </c>
      <c r="K296" s="54" t="str">
        <f>IFERROR(WHOLE_STRUCTURE[[#This Row],[Bottom '[m']]]-WHOLE_STRUCTURE[[#This Row],[D, top '[m']]], "")</f>
        <v/>
      </c>
      <c r="L296" s="54" t="str">
        <f>IFERROR(-(WHOLE_STRUCTURE[[#This Row],[D, bottom '[m']]]-WHOLE_STRUCTURE[[#This Row],[D, top '[m']]])/(WHOLE_STRUCTURE[[#This Row],[Bottom '[m']]]-WHOLE_STRUCTURE[[#This Row],[Top '[m']]]),"")</f>
        <v/>
      </c>
      <c r="M296" s="54" t="str">
        <f>IFERROR((WHOLE_STRUCTURE[[#This Row],[D, bottom '[m']]]+WHOLE_STRUCTURE[[#This Row],[D, top '[m']]])/(2*WHOLE_STRUCTURE[[#This Row],[t '[mm']]]/1000),"")</f>
        <v/>
      </c>
    </row>
    <row r="297" spans="10:13" x14ac:dyDescent="0.3">
      <c r="J297" s="54" t="str">
        <f t="shared" si="6"/>
        <v/>
      </c>
      <c r="K297" s="54" t="str">
        <f>IFERROR(WHOLE_STRUCTURE[[#This Row],[Bottom '[m']]]-WHOLE_STRUCTURE[[#This Row],[D, top '[m']]], "")</f>
        <v/>
      </c>
      <c r="L297" s="54" t="str">
        <f>IFERROR(-(WHOLE_STRUCTURE[[#This Row],[D, bottom '[m']]]-WHOLE_STRUCTURE[[#This Row],[D, top '[m']]])/(WHOLE_STRUCTURE[[#This Row],[Bottom '[m']]]-WHOLE_STRUCTURE[[#This Row],[Top '[m']]]),"")</f>
        <v/>
      </c>
      <c r="M297" s="54" t="str">
        <f>IFERROR((WHOLE_STRUCTURE[[#This Row],[D, bottom '[m']]]+WHOLE_STRUCTURE[[#This Row],[D, top '[m']]])/(2*WHOLE_STRUCTURE[[#This Row],[t '[mm']]]/1000),"")</f>
        <v/>
      </c>
    </row>
    <row r="298" spans="10:13" x14ac:dyDescent="0.3">
      <c r="J298" s="54" t="str">
        <f t="shared" si="6"/>
        <v/>
      </c>
      <c r="K298" s="54" t="str">
        <f>IFERROR(WHOLE_STRUCTURE[[#This Row],[Bottom '[m']]]-WHOLE_STRUCTURE[[#This Row],[D, top '[m']]], "")</f>
        <v/>
      </c>
      <c r="L298" s="54" t="str">
        <f>IFERROR(-(WHOLE_STRUCTURE[[#This Row],[D, bottom '[m']]]-WHOLE_STRUCTURE[[#This Row],[D, top '[m']]])/(WHOLE_STRUCTURE[[#This Row],[Bottom '[m']]]-WHOLE_STRUCTURE[[#This Row],[Top '[m']]]),"")</f>
        <v/>
      </c>
      <c r="M298" s="54" t="str">
        <f>IFERROR((WHOLE_STRUCTURE[[#This Row],[D, bottom '[m']]]+WHOLE_STRUCTURE[[#This Row],[D, top '[m']]])/(2*WHOLE_STRUCTURE[[#This Row],[t '[mm']]]/1000),"")</f>
        <v/>
      </c>
    </row>
    <row r="299" spans="10:13" x14ac:dyDescent="0.3">
      <c r="J299" s="54" t="str">
        <f t="shared" si="6"/>
        <v/>
      </c>
      <c r="K299" s="54" t="str">
        <f>IFERROR(WHOLE_STRUCTURE[[#This Row],[Bottom '[m']]]-WHOLE_STRUCTURE[[#This Row],[D, top '[m']]], "")</f>
        <v/>
      </c>
      <c r="L299" s="54" t="str">
        <f>IFERROR(-(WHOLE_STRUCTURE[[#This Row],[D, bottom '[m']]]-WHOLE_STRUCTURE[[#This Row],[D, top '[m']]])/(WHOLE_STRUCTURE[[#This Row],[Bottom '[m']]]-WHOLE_STRUCTURE[[#This Row],[Top '[m']]]),"")</f>
        <v/>
      </c>
      <c r="M299" s="54" t="str">
        <f>IFERROR((WHOLE_STRUCTURE[[#This Row],[D, bottom '[m']]]+WHOLE_STRUCTURE[[#This Row],[D, top '[m']]])/(2*WHOLE_STRUCTURE[[#This Row],[t '[mm']]]/1000),"")</f>
        <v/>
      </c>
    </row>
    <row r="300" spans="10:13" x14ac:dyDescent="0.3">
      <c r="J300" s="54" t="str">
        <f t="shared" si="6"/>
        <v/>
      </c>
      <c r="K300" s="54" t="str">
        <f>IFERROR(WHOLE_STRUCTURE[[#This Row],[Bottom '[m']]]-WHOLE_STRUCTURE[[#This Row],[D, top '[m']]], "")</f>
        <v/>
      </c>
      <c r="L300" s="54" t="str">
        <f>IFERROR(-(WHOLE_STRUCTURE[[#This Row],[D, bottom '[m']]]-WHOLE_STRUCTURE[[#This Row],[D, top '[m']]])/(WHOLE_STRUCTURE[[#This Row],[Bottom '[m']]]-WHOLE_STRUCTURE[[#This Row],[Top '[m']]]),"")</f>
        <v/>
      </c>
      <c r="M300" s="54" t="str">
        <f>IFERROR((WHOLE_STRUCTURE[[#This Row],[D, bottom '[m']]]+WHOLE_STRUCTURE[[#This Row],[D, top '[m']]])/(2*WHOLE_STRUCTURE[[#This Row],[t '[mm']]]/1000),"")</f>
        <v/>
      </c>
    </row>
    <row r="301" spans="10:13" x14ac:dyDescent="0.3">
      <c r="J301" s="54" t="str">
        <f t="shared" si="6"/>
        <v/>
      </c>
      <c r="K301" s="54" t="str">
        <f>IFERROR(WHOLE_STRUCTURE[[#This Row],[Bottom '[m']]]-WHOLE_STRUCTURE[[#This Row],[D, top '[m']]], "")</f>
        <v/>
      </c>
      <c r="L301" s="54" t="str">
        <f>IFERROR(-(WHOLE_STRUCTURE[[#This Row],[D, bottom '[m']]]-WHOLE_STRUCTURE[[#This Row],[D, top '[m']]])/(WHOLE_STRUCTURE[[#This Row],[Bottom '[m']]]-WHOLE_STRUCTURE[[#This Row],[Top '[m']]]),"")</f>
        <v/>
      </c>
      <c r="M301" s="54" t="str">
        <f>IFERROR((WHOLE_STRUCTURE[[#This Row],[D, bottom '[m']]]+WHOLE_STRUCTURE[[#This Row],[D, top '[m']]])/(2*WHOLE_STRUCTURE[[#This Row],[t '[mm']]]/1000),"")</f>
        <v/>
      </c>
    </row>
    <row r="302" spans="10:13" x14ac:dyDescent="0.3">
      <c r="J302" s="54" t="str">
        <f t="shared" si="6"/>
        <v/>
      </c>
      <c r="K302" s="54" t="str">
        <f>IFERROR(WHOLE_STRUCTURE[[#This Row],[Bottom '[m']]]-WHOLE_STRUCTURE[[#This Row],[D, top '[m']]], "")</f>
        <v/>
      </c>
      <c r="L302" s="54" t="str">
        <f>IFERROR(-(WHOLE_STRUCTURE[[#This Row],[D, bottom '[m']]]-WHOLE_STRUCTURE[[#This Row],[D, top '[m']]])/(WHOLE_STRUCTURE[[#This Row],[Bottom '[m']]]-WHOLE_STRUCTURE[[#This Row],[Top '[m']]]),"")</f>
        <v/>
      </c>
      <c r="M302" s="54" t="str">
        <f>IFERROR((WHOLE_STRUCTURE[[#This Row],[D, bottom '[m']]]+WHOLE_STRUCTURE[[#This Row],[D, top '[m']]])/(2*WHOLE_STRUCTURE[[#This Row],[t '[mm']]]/1000),"")</f>
        <v/>
      </c>
    </row>
    <row r="303" spans="10:13" x14ac:dyDescent="0.3">
      <c r="J303" s="54" t="str">
        <f t="shared" si="6"/>
        <v/>
      </c>
      <c r="K303" s="54" t="str">
        <f>IFERROR(WHOLE_STRUCTURE[[#This Row],[Bottom '[m']]]-WHOLE_STRUCTURE[[#This Row],[D, top '[m']]], "")</f>
        <v/>
      </c>
      <c r="L303" s="54" t="str">
        <f>IFERROR(-(WHOLE_STRUCTURE[[#This Row],[D, bottom '[m']]]-WHOLE_STRUCTURE[[#This Row],[D, top '[m']]])/(WHOLE_STRUCTURE[[#This Row],[Bottom '[m']]]-WHOLE_STRUCTURE[[#This Row],[Top '[m']]]),"")</f>
        <v/>
      </c>
      <c r="M303" s="54" t="str">
        <f>IFERROR((WHOLE_STRUCTURE[[#This Row],[D, bottom '[m']]]+WHOLE_STRUCTURE[[#This Row],[D, top '[m']]])/(2*WHOLE_STRUCTURE[[#This Row],[t '[mm']]]/1000),"")</f>
        <v/>
      </c>
    </row>
    <row r="304" spans="10:13" x14ac:dyDescent="0.3">
      <c r="J304" s="54" t="str">
        <f t="shared" si="6"/>
        <v/>
      </c>
      <c r="K304" s="54" t="str">
        <f>IFERROR(WHOLE_STRUCTURE[[#This Row],[Bottom '[m']]]-WHOLE_STRUCTURE[[#This Row],[D, top '[m']]], "")</f>
        <v/>
      </c>
      <c r="L304" s="54" t="str">
        <f>IFERROR(-(WHOLE_STRUCTURE[[#This Row],[D, bottom '[m']]]-WHOLE_STRUCTURE[[#This Row],[D, top '[m']]])/(WHOLE_STRUCTURE[[#This Row],[Bottom '[m']]]-WHOLE_STRUCTURE[[#This Row],[Top '[m']]]),"")</f>
        <v/>
      </c>
      <c r="M304" s="54" t="str">
        <f>IFERROR((WHOLE_STRUCTURE[[#This Row],[D, bottom '[m']]]+WHOLE_STRUCTURE[[#This Row],[D, top '[m']]])/(2*WHOLE_STRUCTURE[[#This Row],[t '[mm']]]/1000),"")</f>
        <v/>
      </c>
    </row>
    <row r="305" spans="10:13" x14ac:dyDescent="0.3">
      <c r="J305" s="54" t="str">
        <f t="shared" si="6"/>
        <v/>
      </c>
      <c r="K305" s="54" t="str">
        <f>IFERROR(WHOLE_STRUCTURE[[#This Row],[Bottom '[m']]]-WHOLE_STRUCTURE[[#This Row],[D, top '[m']]], "")</f>
        <v/>
      </c>
      <c r="L305" s="54" t="str">
        <f>IFERROR(-(WHOLE_STRUCTURE[[#This Row],[D, bottom '[m']]]-WHOLE_STRUCTURE[[#This Row],[D, top '[m']]])/(WHOLE_STRUCTURE[[#This Row],[Bottom '[m']]]-WHOLE_STRUCTURE[[#This Row],[Top '[m']]]),"")</f>
        <v/>
      </c>
      <c r="M305" s="54" t="str">
        <f>IFERROR((WHOLE_STRUCTURE[[#This Row],[D, bottom '[m']]]+WHOLE_STRUCTURE[[#This Row],[D, top '[m']]])/(2*WHOLE_STRUCTURE[[#This Row],[t '[mm']]]/1000),"")</f>
        <v/>
      </c>
    </row>
    <row r="306" spans="10:13" x14ac:dyDescent="0.3">
      <c r="J306" s="54" t="str">
        <f t="shared" si="6"/>
        <v/>
      </c>
      <c r="K306" s="54" t="str">
        <f>IFERROR(WHOLE_STRUCTURE[[#This Row],[Bottom '[m']]]-WHOLE_STRUCTURE[[#This Row],[D, top '[m']]], "")</f>
        <v/>
      </c>
      <c r="L306" s="54" t="str">
        <f>IFERROR(-(WHOLE_STRUCTURE[[#This Row],[D, bottom '[m']]]-WHOLE_STRUCTURE[[#This Row],[D, top '[m']]])/(WHOLE_STRUCTURE[[#This Row],[Bottom '[m']]]-WHOLE_STRUCTURE[[#This Row],[Top '[m']]]),"")</f>
        <v/>
      </c>
      <c r="M306" s="54" t="str">
        <f>IFERROR((WHOLE_STRUCTURE[[#This Row],[D, bottom '[m']]]+WHOLE_STRUCTURE[[#This Row],[D, top '[m']]])/(2*WHOLE_STRUCTURE[[#This Row],[t '[mm']]]/1000),"")</f>
        <v/>
      </c>
    </row>
    <row r="307" spans="10:13" x14ac:dyDescent="0.3">
      <c r="J307" s="54" t="str">
        <f t="shared" si="6"/>
        <v/>
      </c>
      <c r="K307" s="54" t="str">
        <f>IFERROR(WHOLE_STRUCTURE[[#This Row],[Bottom '[m']]]-WHOLE_STRUCTURE[[#This Row],[D, top '[m']]], "")</f>
        <v/>
      </c>
      <c r="L307" s="54" t="str">
        <f>IFERROR(-(WHOLE_STRUCTURE[[#This Row],[D, bottom '[m']]]-WHOLE_STRUCTURE[[#This Row],[D, top '[m']]])/(WHOLE_STRUCTURE[[#This Row],[Bottom '[m']]]-WHOLE_STRUCTURE[[#This Row],[Top '[m']]]),"")</f>
        <v/>
      </c>
      <c r="M307" s="54" t="str">
        <f>IFERROR((WHOLE_STRUCTURE[[#This Row],[D, bottom '[m']]]+WHOLE_STRUCTURE[[#This Row],[D, top '[m']]])/(2*WHOLE_STRUCTURE[[#This Row],[t '[mm']]]/1000),"")</f>
        <v/>
      </c>
    </row>
    <row r="308" spans="10:13" x14ac:dyDescent="0.3">
      <c r="J308" s="54" t="str">
        <f t="shared" si="6"/>
        <v/>
      </c>
      <c r="K308" s="54" t="str">
        <f>IFERROR(WHOLE_STRUCTURE[[#This Row],[Bottom '[m']]]-WHOLE_STRUCTURE[[#This Row],[D, top '[m']]], "")</f>
        <v/>
      </c>
      <c r="L308" s="54" t="str">
        <f>IFERROR(-(WHOLE_STRUCTURE[[#This Row],[D, bottom '[m']]]-WHOLE_STRUCTURE[[#This Row],[D, top '[m']]])/(WHOLE_STRUCTURE[[#This Row],[Bottom '[m']]]-WHOLE_STRUCTURE[[#This Row],[Top '[m']]]),"")</f>
        <v/>
      </c>
      <c r="M308" s="54" t="str">
        <f>IFERROR((WHOLE_STRUCTURE[[#This Row],[D, bottom '[m']]]+WHOLE_STRUCTURE[[#This Row],[D, top '[m']]])/(2*WHOLE_STRUCTURE[[#This Row],[t '[mm']]]/1000),"")</f>
        <v/>
      </c>
    </row>
    <row r="309" spans="10:13" x14ac:dyDescent="0.3">
      <c r="J309" s="54" t="str">
        <f t="shared" si="6"/>
        <v/>
      </c>
      <c r="K309" s="54" t="str">
        <f>IFERROR(WHOLE_STRUCTURE[[#This Row],[Bottom '[m']]]-WHOLE_STRUCTURE[[#This Row],[D, top '[m']]], "")</f>
        <v/>
      </c>
      <c r="L309" s="54" t="str">
        <f>IFERROR(-(WHOLE_STRUCTURE[[#This Row],[D, bottom '[m']]]-WHOLE_STRUCTURE[[#This Row],[D, top '[m']]])/(WHOLE_STRUCTURE[[#This Row],[Bottom '[m']]]-WHOLE_STRUCTURE[[#This Row],[Top '[m']]]),"")</f>
        <v/>
      </c>
      <c r="M309" s="54" t="str">
        <f>IFERROR((WHOLE_STRUCTURE[[#This Row],[D, bottom '[m']]]+WHOLE_STRUCTURE[[#This Row],[D, top '[m']]])/(2*WHOLE_STRUCTURE[[#This Row],[t '[mm']]]/1000),"")</f>
        <v/>
      </c>
    </row>
    <row r="310" spans="10:13" x14ac:dyDescent="0.3">
      <c r="J310" s="54" t="str">
        <f t="shared" si="6"/>
        <v/>
      </c>
      <c r="K310" s="54" t="str">
        <f>IFERROR(WHOLE_STRUCTURE[[#This Row],[Bottom '[m']]]-WHOLE_STRUCTURE[[#This Row],[D, top '[m']]], "")</f>
        <v/>
      </c>
      <c r="L310" s="54" t="str">
        <f>IFERROR(-(WHOLE_STRUCTURE[[#This Row],[D, bottom '[m']]]-WHOLE_STRUCTURE[[#This Row],[D, top '[m']]])/(WHOLE_STRUCTURE[[#This Row],[Bottom '[m']]]-WHOLE_STRUCTURE[[#This Row],[Top '[m']]]),"")</f>
        <v/>
      </c>
      <c r="M310" s="54" t="str">
        <f>IFERROR((WHOLE_STRUCTURE[[#This Row],[D, bottom '[m']]]+WHOLE_STRUCTURE[[#This Row],[D, top '[m']]])/(2*WHOLE_STRUCTURE[[#This Row],[t '[mm']]]/1000),"")</f>
        <v/>
      </c>
    </row>
    <row r="311" spans="10:13" x14ac:dyDescent="0.3">
      <c r="J311" s="54" t="str">
        <f t="shared" si="6"/>
        <v/>
      </c>
      <c r="K311" s="54" t="str">
        <f>IFERROR(WHOLE_STRUCTURE[[#This Row],[Bottom '[m']]]-WHOLE_STRUCTURE[[#This Row],[D, top '[m']]], "")</f>
        <v/>
      </c>
      <c r="L311" s="54" t="str">
        <f>IFERROR(-(WHOLE_STRUCTURE[[#This Row],[D, bottom '[m']]]-WHOLE_STRUCTURE[[#This Row],[D, top '[m']]])/(WHOLE_STRUCTURE[[#This Row],[Bottom '[m']]]-WHOLE_STRUCTURE[[#This Row],[Top '[m']]]),"")</f>
        <v/>
      </c>
      <c r="M311" s="54" t="str">
        <f>IFERROR((WHOLE_STRUCTURE[[#This Row],[D, bottom '[m']]]+WHOLE_STRUCTURE[[#This Row],[D, top '[m']]])/(2*WHOLE_STRUCTURE[[#This Row],[t '[mm']]]/1000),"")</f>
        <v/>
      </c>
    </row>
    <row r="312" spans="10:13" x14ac:dyDescent="0.3">
      <c r="J312" s="54" t="str">
        <f t="shared" si="6"/>
        <v/>
      </c>
      <c r="K312" s="54" t="str">
        <f>IFERROR(WHOLE_STRUCTURE[[#This Row],[Bottom '[m']]]-WHOLE_STRUCTURE[[#This Row],[D, top '[m']]], "")</f>
        <v/>
      </c>
      <c r="L312" s="54" t="str">
        <f>IFERROR(-(WHOLE_STRUCTURE[[#This Row],[D, bottom '[m']]]-WHOLE_STRUCTURE[[#This Row],[D, top '[m']]])/(WHOLE_STRUCTURE[[#This Row],[Bottom '[m']]]-WHOLE_STRUCTURE[[#This Row],[Top '[m']]]),"")</f>
        <v/>
      </c>
      <c r="M312" s="54" t="str">
        <f>IFERROR((WHOLE_STRUCTURE[[#This Row],[D, bottom '[m']]]+WHOLE_STRUCTURE[[#This Row],[D, top '[m']]])/(2*WHOLE_STRUCTURE[[#This Row],[t '[mm']]]/1000),"")</f>
        <v/>
      </c>
    </row>
    <row r="313" spans="10:13" x14ac:dyDescent="0.3">
      <c r="J313" s="54" t="str">
        <f t="shared" si="6"/>
        <v/>
      </c>
      <c r="K313" s="54" t="str">
        <f>IFERROR(WHOLE_STRUCTURE[[#This Row],[Bottom '[m']]]-WHOLE_STRUCTURE[[#This Row],[D, top '[m']]], "")</f>
        <v/>
      </c>
      <c r="L313" s="54" t="str">
        <f>IFERROR(-(WHOLE_STRUCTURE[[#This Row],[D, bottom '[m']]]-WHOLE_STRUCTURE[[#This Row],[D, top '[m']]])/(WHOLE_STRUCTURE[[#This Row],[Bottom '[m']]]-WHOLE_STRUCTURE[[#This Row],[Top '[m']]]),"")</f>
        <v/>
      </c>
      <c r="M313" s="54" t="str">
        <f>IFERROR((WHOLE_STRUCTURE[[#This Row],[D, bottom '[m']]]+WHOLE_STRUCTURE[[#This Row],[D, top '[m']]])/(2*WHOLE_STRUCTURE[[#This Row],[t '[mm']]]/1000),"")</f>
        <v/>
      </c>
    </row>
    <row r="314" spans="10:13" x14ac:dyDescent="0.3">
      <c r="J314" s="54" t="str">
        <f t="shared" si="6"/>
        <v/>
      </c>
      <c r="K314" s="54" t="str">
        <f>IFERROR(WHOLE_STRUCTURE[[#This Row],[Bottom '[m']]]-WHOLE_STRUCTURE[[#This Row],[D, top '[m']]], "")</f>
        <v/>
      </c>
      <c r="L314" s="54" t="str">
        <f>IFERROR(-(WHOLE_STRUCTURE[[#This Row],[D, bottom '[m']]]-WHOLE_STRUCTURE[[#This Row],[D, top '[m']]])/(WHOLE_STRUCTURE[[#This Row],[Bottom '[m']]]-WHOLE_STRUCTURE[[#This Row],[Top '[m']]]),"")</f>
        <v/>
      </c>
      <c r="M314" s="54" t="str">
        <f>IFERROR((WHOLE_STRUCTURE[[#This Row],[D, bottom '[m']]]+WHOLE_STRUCTURE[[#This Row],[D, top '[m']]])/(2*WHOLE_STRUCTURE[[#This Row],[t '[mm']]]/1000),"")</f>
        <v/>
      </c>
    </row>
    <row r="315" spans="10:13" x14ac:dyDescent="0.3">
      <c r="J315" s="54" t="str">
        <f t="shared" si="6"/>
        <v/>
      </c>
      <c r="K315" s="54" t="str">
        <f>IFERROR(WHOLE_STRUCTURE[[#This Row],[Bottom '[m']]]-WHOLE_STRUCTURE[[#This Row],[D, top '[m']]], "")</f>
        <v/>
      </c>
      <c r="L315" s="54" t="str">
        <f>IFERROR(-(WHOLE_STRUCTURE[[#This Row],[D, bottom '[m']]]-WHOLE_STRUCTURE[[#This Row],[D, top '[m']]])/(WHOLE_STRUCTURE[[#This Row],[Bottom '[m']]]-WHOLE_STRUCTURE[[#This Row],[Top '[m']]]),"")</f>
        <v/>
      </c>
      <c r="M315" s="54" t="str">
        <f>IFERROR((WHOLE_STRUCTURE[[#This Row],[D, bottom '[m']]]+WHOLE_STRUCTURE[[#This Row],[D, top '[m']]])/(2*WHOLE_STRUCTURE[[#This Row],[t '[mm']]]/1000),"")</f>
        <v/>
      </c>
    </row>
    <row r="316" spans="10:13" x14ac:dyDescent="0.3">
      <c r="J316" s="54" t="str">
        <f t="shared" si="6"/>
        <v/>
      </c>
      <c r="K316" s="54" t="str">
        <f>IFERROR(WHOLE_STRUCTURE[[#This Row],[Bottom '[m']]]-WHOLE_STRUCTURE[[#This Row],[D, top '[m']]], "")</f>
        <v/>
      </c>
      <c r="L316" s="54" t="str">
        <f>IFERROR(-(WHOLE_STRUCTURE[[#This Row],[D, bottom '[m']]]-WHOLE_STRUCTURE[[#This Row],[D, top '[m']]])/(WHOLE_STRUCTURE[[#This Row],[Bottom '[m']]]-WHOLE_STRUCTURE[[#This Row],[Top '[m']]]),"")</f>
        <v/>
      </c>
      <c r="M316" s="54" t="str">
        <f>IFERROR((WHOLE_STRUCTURE[[#This Row],[D, bottom '[m']]]+WHOLE_STRUCTURE[[#This Row],[D, top '[m']]])/(2*WHOLE_STRUCTURE[[#This Row],[t '[mm']]]/1000),"")</f>
        <v/>
      </c>
    </row>
    <row r="317" spans="10:13" x14ac:dyDescent="0.3">
      <c r="J317" s="54" t="str">
        <f t="shared" si="6"/>
        <v/>
      </c>
      <c r="K317" s="54" t="str">
        <f>IFERROR(WHOLE_STRUCTURE[[#This Row],[Bottom '[m']]]-WHOLE_STRUCTURE[[#This Row],[D, top '[m']]], "")</f>
        <v/>
      </c>
      <c r="L317" s="54" t="str">
        <f>IFERROR(-(WHOLE_STRUCTURE[[#This Row],[D, bottom '[m']]]-WHOLE_STRUCTURE[[#This Row],[D, top '[m']]])/(WHOLE_STRUCTURE[[#This Row],[Bottom '[m']]]-WHOLE_STRUCTURE[[#This Row],[Top '[m']]]),"")</f>
        <v/>
      </c>
      <c r="M317" s="54" t="str">
        <f>IFERROR((WHOLE_STRUCTURE[[#This Row],[D, bottom '[m']]]+WHOLE_STRUCTURE[[#This Row],[D, top '[m']]])/(2*WHOLE_STRUCTURE[[#This Row],[t '[mm']]]/1000),"")</f>
        <v/>
      </c>
    </row>
    <row r="318" spans="10:13" x14ac:dyDescent="0.3">
      <c r="J318" s="54" t="str">
        <f t="shared" si="6"/>
        <v/>
      </c>
      <c r="K318" s="54" t="str">
        <f>IFERROR(WHOLE_STRUCTURE[[#This Row],[Bottom '[m']]]-WHOLE_STRUCTURE[[#This Row],[D, top '[m']]], "")</f>
        <v/>
      </c>
      <c r="L318" s="54" t="str">
        <f>IFERROR(-(WHOLE_STRUCTURE[[#This Row],[D, bottom '[m']]]-WHOLE_STRUCTURE[[#This Row],[D, top '[m']]])/(WHOLE_STRUCTURE[[#This Row],[Bottom '[m']]]-WHOLE_STRUCTURE[[#This Row],[Top '[m']]]),"")</f>
        <v/>
      </c>
      <c r="M318" s="54" t="str">
        <f>IFERROR((WHOLE_STRUCTURE[[#This Row],[D, bottom '[m']]]+WHOLE_STRUCTURE[[#This Row],[D, top '[m']]])/(2*WHOLE_STRUCTURE[[#This Row],[t '[mm']]]/1000),"")</f>
        <v/>
      </c>
    </row>
    <row r="319" spans="10:13" x14ac:dyDescent="0.3">
      <c r="J319" s="54" t="str">
        <f t="shared" si="6"/>
        <v/>
      </c>
      <c r="K319" s="54" t="str">
        <f>IFERROR(WHOLE_STRUCTURE[[#This Row],[Bottom '[m']]]-WHOLE_STRUCTURE[[#This Row],[D, top '[m']]], "")</f>
        <v/>
      </c>
      <c r="L319" s="54" t="str">
        <f>IFERROR(-(WHOLE_STRUCTURE[[#This Row],[D, bottom '[m']]]-WHOLE_STRUCTURE[[#This Row],[D, top '[m']]])/(WHOLE_STRUCTURE[[#This Row],[Bottom '[m']]]-WHOLE_STRUCTURE[[#This Row],[Top '[m']]]),"")</f>
        <v/>
      </c>
      <c r="M319" s="54" t="str">
        <f>IFERROR((WHOLE_STRUCTURE[[#This Row],[D, bottom '[m']]]+WHOLE_STRUCTURE[[#This Row],[D, top '[m']]])/(2*WHOLE_STRUCTURE[[#This Row],[t '[mm']]]/1000),"")</f>
        <v/>
      </c>
    </row>
    <row r="320" spans="10:13" x14ac:dyDescent="0.3">
      <c r="J320" s="54" t="str">
        <f t="shared" si="6"/>
        <v/>
      </c>
      <c r="K320" s="54" t="str">
        <f>IFERROR(WHOLE_STRUCTURE[[#This Row],[Bottom '[m']]]-WHOLE_STRUCTURE[[#This Row],[D, top '[m']]], "")</f>
        <v/>
      </c>
      <c r="L320" s="54" t="str">
        <f>IFERROR(-(WHOLE_STRUCTURE[[#This Row],[D, bottom '[m']]]-WHOLE_STRUCTURE[[#This Row],[D, top '[m']]])/(WHOLE_STRUCTURE[[#This Row],[Bottom '[m']]]-WHOLE_STRUCTURE[[#This Row],[Top '[m']]]),"")</f>
        <v/>
      </c>
      <c r="M320" s="54" t="str">
        <f>IFERROR((WHOLE_STRUCTURE[[#This Row],[D, bottom '[m']]]+WHOLE_STRUCTURE[[#This Row],[D, top '[m']]])/(2*WHOLE_STRUCTURE[[#This Row],[t '[mm']]]/1000),"")</f>
        <v/>
      </c>
    </row>
    <row r="321" spans="10:13" x14ac:dyDescent="0.3">
      <c r="J321" s="54" t="str">
        <f t="shared" si="6"/>
        <v/>
      </c>
      <c r="K321" s="54" t="str">
        <f>IFERROR(WHOLE_STRUCTURE[[#This Row],[Bottom '[m']]]-WHOLE_STRUCTURE[[#This Row],[D, top '[m']]], "")</f>
        <v/>
      </c>
      <c r="L321" s="54" t="str">
        <f>IFERROR(-(WHOLE_STRUCTURE[[#This Row],[D, bottom '[m']]]-WHOLE_STRUCTURE[[#This Row],[D, top '[m']]])/(WHOLE_STRUCTURE[[#This Row],[Bottom '[m']]]-WHOLE_STRUCTURE[[#This Row],[Top '[m']]]),"")</f>
        <v/>
      </c>
      <c r="M321" s="54" t="str">
        <f>IFERROR((WHOLE_STRUCTURE[[#This Row],[D, bottom '[m']]]+WHOLE_STRUCTURE[[#This Row],[D, top '[m']]])/(2*WHOLE_STRUCTURE[[#This Row],[t '[mm']]]/1000),"")</f>
        <v/>
      </c>
    </row>
    <row r="322" spans="10:13" x14ac:dyDescent="0.3">
      <c r="J322" s="54" t="str">
        <f t="shared" si="6"/>
        <v/>
      </c>
      <c r="K322" s="54" t="str">
        <f>IFERROR(WHOLE_STRUCTURE[[#This Row],[Bottom '[m']]]-WHOLE_STRUCTURE[[#This Row],[D, top '[m']]], "")</f>
        <v/>
      </c>
      <c r="L322" s="54" t="str">
        <f>IFERROR(-(WHOLE_STRUCTURE[[#This Row],[D, bottom '[m']]]-WHOLE_STRUCTURE[[#This Row],[D, top '[m']]])/(WHOLE_STRUCTURE[[#This Row],[Bottom '[m']]]-WHOLE_STRUCTURE[[#This Row],[Top '[m']]]),"")</f>
        <v/>
      </c>
      <c r="M322" s="54" t="str">
        <f>IFERROR((WHOLE_STRUCTURE[[#This Row],[D, bottom '[m']]]+WHOLE_STRUCTURE[[#This Row],[D, top '[m']]])/(2*WHOLE_STRUCTURE[[#This Row],[t '[mm']]]/1000),"")</f>
        <v/>
      </c>
    </row>
    <row r="323" spans="10:13" x14ac:dyDescent="0.3">
      <c r="J323" s="54" t="str">
        <f t="shared" ref="J323:J386" si="7">IF(7850/1000*(1/3)*PI()*ABS(E323-F323)*((G323/2)^2+(G323/2)*(H323/2)+(H323/2)^2-(G323/2-I323/1000)^2-(G323/2-I323/1000)*(H323/2-I323/1000)-(H323/2-I323/1000)^2)=0,"",7850/1000*(1/3)*PI()*ABS(E323-F323)*((G323/2)^2+(G323/2)*(H323/2)+(H323/2)^2-(G323/2-I323/1000)^2-(G323/2-I323/1000)*(H323/2-I323/1000)-(H323/2-I323/1000)^2))</f>
        <v/>
      </c>
      <c r="K323" s="54" t="str">
        <f>IFERROR(WHOLE_STRUCTURE[[#This Row],[Bottom '[m']]]-WHOLE_STRUCTURE[[#This Row],[D, top '[m']]], "")</f>
        <v/>
      </c>
      <c r="L323" s="54" t="str">
        <f>IFERROR(-(WHOLE_STRUCTURE[[#This Row],[D, bottom '[m']]]-WHOLE_STRUCTURE[[#This Row],[D, top '[m']]])/(WHOLE_STRUCTURE[[#This Row],[Bottom '[m']]]-WHOLE_STRUCTURE[[#This Row],[Top '[m']]]),"")</f>
        <v/>
      </c>
      <c r="M323" s="54" t="str">
        <f>IFERROR((WHOLE_STRUCTURE[[#This Row],[D, bottom '[m']]]+WHOLE_STRUCTURE[[#This Row],[D, top '[m']]])/(2*WHOLE_STRUCTURE[[#This Row],[t '[mm']]]/1000),"")</f>
        <v/>
      </c>
    </row>
    <row r="324" spans="10:13" x14ac:dyDescent="0.3">
      <c r="J324" s="54" t="str">
        <f t="shared" si="7"/>
        <v/>
      </c>
      <c r="K324" s="54" t="str">
        <f>IFERROR(WHOLE_STRUCTURE[[#This Row],[Bottom '[m']]]-WHOLE_STRUCTURE[[#This Row],[D, top '[m']]], "")</f>
        <v/>
      </c>
      <c r="L324" s="54" t="str">
        <f>IFERROR(-(WHOLE_STRUCTURE[[#This Row],[D, bottom '[m']]]-WHOLE_STRUCTURE[[#This Row],[D, top '[m']]])/(WHOLE_STRUCTURE[[#This Row],[Bottom '[m']]]-WHOLE_STRUCTURE[[#This Row],[Top '[m']]]),"")</f>
        <v/>
      </c>
      <c r="M324" s="54" t="str">
        <f>IFERROR((WHOLE_STRUCTURE[[#This Row],[D, bottom '[m']]]+WHOLE_STRUCTURE[[#This Row],[D, top '[m']]])/(2*WHOLE_STRUCTURE[[#This Row],[t '[mm']]]/1000),"")</f>
        <v/>
      </c>
    </row>
    <row r="325" spans="10:13" x14ac:dyDescent="0.3">
      <c r="J325" s="54" t="str">
        <f t="shared" si="7"/>
        <v/>
      </c>
      <c r="K325" s="54" t="str">
        <f>IFERROR(WHOLE_STRUCTURE[[#This Row],[Bottom '[m']]]-WHOLE_STRUCTURE[[#This Row],[D, top '[m']]], "")</f>
        <v/>
      </c>
      <c r="L325" s="54" t="str">
        <f>IFERROR(-(WHOLE_STRUCTURE[[#This Row],[D, bottom '[m']]]-WHOLE_STRUCTURE[[#This Row],[D, top '[m']]])/(WHOLE_STRUCTURE[[#This Row],[Bottom '[m']]]-WHOLE_STRUCTURE[[#This Row],[Top '[m']]]),"")</f>
        <v/>
      </c>
      <c r="M325" s="54" t="str">
        <f>IFERROR((WHOLE_STRUCTURE[[#This Row],[D, bottom '[m']]]+WHOLE_STRUCTURE[[#This Row],[D, top '[m']]])/(2*WHOLE_STRUCTURE[[#This Row],[t '[mm']]]/1000),"")</f>
        <v/>
      </c>
    </row>
    <row r="326" spans="10:13" x14ac:dyDescent="0.3">
      <c r="J326" s="54" t="str">
        <f t="shared" si="7"/>
        <v/>
      </c>
      <c r="K326" s="54" t="str">
        <f>IFERROR(WHOLE_STRUCTURE[[#This Row],[Bottom '[m']]]-WHOLE_STRUCTURE[[#This Row],[D, top '[m']]], "")</f>
        <v/>
      </c>
      <c r="L326" s="54" t="str">
        <f>IFERROR(-(WHOLE_STRUCTURE[[#This Row],[D, bottom '[m']]]-WHOLE_STRUCTURE[[#This Row],[D, top '[m']]])/(WHOLE_STRUCTURE[[#This Row],[Bottom '[m']]]-WHOLE_STRUCTURE[[#This Row],[Top '[m']]]),"")</f>
        <v/>
      </c>
      <c r="M326" s="54" t="str">
        <f>IFERROR((WHOLE_STRUCTURE[[#This Row],[D, bottom '[m']]]+WHOLE_STRUCTURE[[#This Row],[D, top '[m']]])/(2*WHOLE_STRUCTURE[[#This Row],[t '[mm']]]/1000),"")</f>
        <v/>
      </c>
    </row>
    <row r="327" spans="10:13" x14ac:dyDescent="0.3">
      <c r="J327" s="54" t="str">
        <f t="shared" si="7"/>
        <v/>
      </c>
      <c r="K327" s="54" t="str">
        <f>IFERROR(WHOLE_STRUCTURE[[#This Row],[Bottom '[m']]]-WHOLE_STRUCTURE[[#This Row],[D, top '[m']]], "")</f>
        <v/>
      </c>
      <c r="L327" s="54" t="str">
        <f>IFERROR(-(WHOLE_STRUCTURE[[#This Row],[D, bottom '[m']]]-WHOLE_STRUCTURE[[#This Row],[D, top '[m']]])/(WHOLE_STRUCTURE[[#This Row],[Bottom '[m']]]-WHOLE_STRUCTURE[[#This Row],[Top '[m']]]),"")</f>
        <v/>
      </c>
      <c r="M327" s="54" t="str">
        <f>IFERROR((WHOLE_STRUCTURE[[#This Row],[D, bottom '[m']]]+WHOLE_STRUCTURE[[#This Row],[D, top '[m']]])/(2*WHOLE_STRUCTURE[[#This Row],[t '[mm']]]/1000),"")</f>
        <v/>
      </c>
    </row>
    <row r="328" spans="10:13" x14ac:dyDescent="0.3">
      <c r="J328" s="54" t="str">
        <f t="shared" si="7"/>
        <v/>
      </c>
      <c r="K328" s="54" t="str">
        <f>IFERROR(WHOLE_STRUCTURE[[#This Row],[Bottom '[m']]]-WHOLE_STRUCTURE[[#This Row],[D, top '[m']]], "")</f>
        <v/>
      </c>
      <c r="L328" s="54" t="str">
        <f>IFERROR(-(WHOLE_STRUCTURE[[#This Row],[D, bottom '[m']]]-WHOLE_STRUCTURE[[#This Row],[D, top '[m']]])/(WHOLE_STRUCTURE[[#This Row],[Bottom '[m']]]-WHOLE_STRUCTURE[[#This Row],[Top '[m']]]),"")</f>
        <v/>
      </c>
      <c r="M328" s="54" t="str">
        <f>IFERROR((WHOLE_STRUCTURE[[#This Row],[D, bottom '[m']]]+WHOLE_STRUCTURE[[#This Row],[D, top '[m']]])/(2*WHOLE_STRUCTURE[[#This Row],[t '[mm']]]/1000),"")</f>
        <v/>
      </c>
    </row>
    <row r="329" spans="10:13" x14ac:dyDescent="0.3">
      <c r="J329" s="54" t="str">
        <f t="shared" si="7"/>
        <v/>
      </c>
      <c r="K329" s="54" t="str">
        <f>IFERROR(WHOLE_STRUCTURE[[#This Row],[Bottom '[m']]]-WHOLE_STRUCTURE[[#This Row],[D, top '[m']]], "")</f>
        <v/>
      </c>
      <c r="L329" s="54" t="str">
        <f>IFERROR(-(WHOLE_STRUCTURE[[#This Row],[D, bottom '[m']]]-WHOLE_STRUCTURE[[#This Row],[D, top '[m']]])/(WHOLE_STRUCTURE[[#This Row],[Bottom '[m']]]-WHOLE_STRUCTURE[[#This Row],[Top '[m']]]),"")</f>
        <v/>
      </c>
      <c r="M329" s="54" t="str">
        <f>IFERROR((WHOLE_STRUCTURE[[#This Row],[D, bottom '[m']]]+WHOLE_STRUCTURE[[#This Row],[D, top '[m']]])/(2*WHOLE_STRUCTURE[[#This Row],[t '[mm']]]/1000),"")</f>
        <v/>
      </c>
    </row>
    <row r="330" spans="10:13" x14ac:dyDescent="0.3">
      <c r="J330" s="54" t="str">
        <f t="shared" si="7"/>
        <v/>
      </c>
      <c r="K330" s="54" t="str">
        <f>IFERROR(WHOLE_STRUCTURE[[#This Row],[Bottom '[m']]]-WHOLE_STRUCTURE[[#This Row],[D, top '[m']]], "")</f>
        <v/>
      </c>
      <c r="L330" s="54" t="str">
        <f>IFERROR(-(WHOLE_STRUCTURE[[#This Row],[D, bottom '[m']]]-WHOLE_STRUCTURE[[#This Row],[D, top '[m']]])/(WHOLE_STRUCTURE[[#This Row],[Bottom '[m']]]-WHOLE_STRUCTURE[[#This Row],[Top '[m']]]),"")</f>
        <v/>
      </c>
      <c r="M330" s="54" t="str">
        <f>IFERROR((WHOLE_STRUCTURE[[#This Row],[D, bottom '[m']]]+WHOLE_STRUCTURE[[#This Row],[D, top '[m']]])/(2*WHOLE_STRUCTURE[[#This Row],[t '[mm']]]/1000),"")</f>
        <v/>
      </c>
    </row>
    <row r="331" spans="10:13" x14ac:dyDescent="0.3">
      <c r="J331" s="54" t="str">
        <f t="shared" si="7"/>
        <v/>
      </c>
      <c r="K331" s="54" t="str">
        <f>IFERROR(WHOLE_STRUCTURE[[#This Row],[Bottom '[m']]]-WHOLE_STRUCTURE[[#This Row],[D, top '[m']]], "")</f>
        <v/>
      </c>
      <c r="L331" s="54" t="str">
        <f>IFERROR(-(WHOLE_STRUCTURE[[#This Row],[D, bottom '[m']]]-WHOLE_STRUCTURE[[#This Row],[D, top '[m']]])/(WHOLE_STRUCTURE[[#This Row],[Bottom '[m']]]-WHOLE_STRUCTURE[[#This Row],[Top '[m']]]),"")</f>
        <v/>
      </c>
      <c r="M331" s="54" t="str">
        <f>IFERROR((WHOLE_STRUCTURE[[#This Row],[D, bottom '[m']]]+WHOLE_STRUCTURE[[#This Row],[D, top '[m']]])/(2*WHOLE_STRUCTURE[[#This Row],[t '[mm']]]/1000),"")</f>
        <v/>
      </c>
    </row>
    <row r="332" spans="10:13" x14ac:dyDescent="0.3">
      <c r="J332" s="54" t="str">
        <f t="shared" si="7"/>
        <v/>
      </c>
      <c r="K332" s="54" t="str">
        <f>IFERROR(WHOLE_STRUCTURE[[#This Row],[Bottom '[m']]]-WHOLE_STRUCTURE[[#This Row],[D, top '[m']]], "")</f>
        <v/>
      </c>
      <c r="L332" s="54" t="str">
        <f>IFERROR(-(WHOLE_STRUCTURE[[#This Row],[D, bottom '[m']]]-WHOLE_STRUCTURE[[#This Row],[D, top '[m']]])/(WHOLE_STRUCTURE[[#This Row],[Bottom '[m']]]-WHOLE_STRUCTURE[[#This Row],[Top '[m']]]),"")</f>
        <v/>
      </c>
      <c r="M332" s="54" t="str">
        <f>IFERROR((WHOLE_STRUCTURE[[#This Row],[D, bottom '[m']]]+WHOLE_STRUCTURE[[#This Row],[D, top '[m']]])/(2*WHOLE_STRUCTURE[[#This Row],[t '[mm']]]/1000),"")</f>
        <v/>
      </c>
    </row>
    <row r="333" spans="10:13" x14ac:dyDescent="0.3">
      <c r="J333" s="54" t="str">
        <f t="shared" si="7"/>
        <v/>
      </c>
      <c r="K333" s="54" t="str">
        <f>IFERROR(WHOLE_STRUCTURE[[#This Row],[Bottom '[m']]]-WHOLE_STRUCTURE[[#This Row],[D, top '[m']]], "")</f>
        <v/>
      </c>
      <c r="L333" s="54" t="str">
        <f>IFERROR(-(WHOLE_STRUCTURE[[#This Row],[D, bottom '[m']]]-WHOLE_STRUCTURE[[#This Row],[D, top '[m']]])/(WHOLE_STRUCTURE[[#This Row],[Bottom '[m']]]-WHOLE_STRUCTURE[[#This Row],[Top '[m']]]),"")</f>
        <v/>
      </c>
      <c r="M333" s="54" t="str">
        <f>IFERROR((WHOLE_STRUCTURE[[#This Row],[D, bottom '[m']]]+WHOLE_STRUCTURE[[#This Row],[D, top '[m']]])/(2*WHOLE_STRUCTURE[[#This Row],[t '[mm']]]/1000),"")</f>
        <v/>
      </c>
    </row>
    <row r="334" spans="10:13" x14ac:dyDescent="0.3">
      <c r="J334" s="54" t="str">
        <f t="shared" si="7"/>
        <v/>
      </c>
      <c r="K334" s="54" t="str">
        <f>IFERROR(WHOLE_STRUCTURE[[#This Row],[Bottom '[m']]]-WHOLE_STRUCTURE[[#This Row],[D, top '[m']]], "")</f>
        <v/>
      </c>
      <c r="L334" s="54" t="str">
        <f>IFERROR(-(WHOLE_STRUCTURE[[#This Row],[D, bottom '[m']]]-WHOLE_STRUCTURE[[#This Row],[D, top '[m']]])/(WHOLE_STRUCTURE[[#This Row],[Bottom '[m']]]-WHOLE_STRUCTURE[[#This Row],[Top '[m']]]),"")</f>
        <v/>
      </c>
      <c r="M334" s="54" t="str">
        <f>IFERROR((WHOLE_STRUCTURE[[#This Row],[D, bottom '[m']]]+WHOLE_STRUCTURE[[#This Row],[D, top '[m']]])/(2*WHOLE_STRUCTURE[[#This Row],[t '[mm']]]/1000),"")</f>
        <v/>
      </c>
    </row>
    <row r="335" spans="10:13" x14ac:dyDescent="0.3">
      <c r="J335" s="54" t="str">
        <f t="shared" si="7"/>
        <v/>
      </c>
      <c r="K335" s="54" t="str">
        <f>IFERROR(WHOLE_STRUCTURE[[#This Row],[Bottom '[m']]]-WHOLE_STRUCTURE[[#This Row],[D, top '[m']]], "")</f>
        <v/>
      </c>
      <c r="L335" s="54" t="str">
        <f>IFERROR(-(WHOLE_STRUCTURE[[#This Row],[D, bottom '[m']]]-WHOLE_STRUCTURE[[#This Row],[D, top '[m']]])/(WHOLE_STRUCTURE[[#This Row],[Bottom '[m']]]-WHOLE_STRUCTURE[[#This Row],[Top '[m']]]),"")</f>
        <v/>
      </c>
      <c r="M335" s="54" t="str">
        <f>IFERROR((WHOLE_STRUCTURE[[#This Row],[D, bottom '[m']]]+WHOLE_STRUCTURE[[#This Row],[D, top '[m']]])/(2*WHOLE_STRUCTURE[[#This Row],[t '[mm']]]/1000),"")</f>
        <v/>
      </c>
    </row>
    <row r="336" spans="10:13" x14ac:dyDescent="0.3">
      <c r="J336" s="54" t="str">
        <f t="shared" si="7"/>
        <v/>
      </c>
      <c r="K336" s="54" t="str">
        <f>IFERROR(WHOLE_STRUCTURE[[#This Row],[Bottom '[m']]]-WHOLE_STRUCTURE[[#This Row],[D, top '[m']]], "")</f>
        <v/>
      </c>
      <c r="L336" s="54" t="str">
        <f>IFERROR(-(WHOLE_STRUCTURE[[#This Row],[D, bottom '[m']]]-WHOLE_STRUCTURE[[#This Row],[D, top '[m']]])/(WHOLE_STRUCTURE[[#This Row],[Bottom '[m']]]-WHOLE_STRUCTURE[[#This Row],[Top '[m']]]),"")</f>
        <v/>
      </c>
      <c r="M336" s="54" t="str">
        <f>IFERROR((WHOLE_STRUCTURE[[#This Row],[D, bottom '[m']]]+WHOLE_STRUCTURE[[#This Row],[D, top '[m']]])/(2*WHOLE_STRUCTURE[[#This Row],[t '[mm']]]/1000),"")</f>
        <v/>
      </c>
    </row>
    <row r="337" spans="10:13" x14ac:dyDescent="0.3">
      <c r="J337" s="54" t="str">
        <f t="shared" si="7"/>
        <v/>
      </c>
      <c r="K337" s="54" t="str">
        <f>IFERROR(WHOLE_STRUCTURE[[#This Row],[Bottom '[m']]]-WHOLE_STRUCTURE[[#This Row],[D, top '[m']]], "")</f>
        <v/>
      </c>
      <c r="L337" s="54" t="str">
        <f>IFERROR(-(WHOLE_STRUCTURE[[#This Row],[D, bottom '[m']]]-WHOLE_STRUCTURE[[#This Row],[D, top '[m']]])/(WHOLE_STRUCTURE[[#This Row],[Bottom '[m']]]-WHOLE_STRUCTURE[[#This Row],[Top '[m']]]),"")</f>
        <v/>
      </c>
      <c r="M337" s="54" t="str">
        <f>IFERROR((WHOLE_STRUCTURE[[#This Row],[D, bottom '[m']]]+WHOLE_STRUCTURE[[#This Row],[D, top '[m']]])/(2*WHOLE_STRUCTURE[[#This Row],[t '[mm']]]/1000),"")</f>
        <v/>
      </c>
    </row>
    <row r="338" spans="10:13" x14ac:dyDescent="0.3">
      <c r="J338" s="54" t="str">
        <f t="shared" si="7"/>
        <v/>
      </c>
      <c r="K338" s="54" t="str">
        <f>IFERROR(WHOLE_STRUCTURE[[#This Row],[Bottom '[m']]]-WHOLE_STRUCTURE[[#This Row],[D, top '[m']]], "")</f>
        <v/>
      </c>
      <c r="L338" s="54" t="str">
        <f>IFERROR(-(WHOLE_STRUCTURE[[#This Row],[D, bottom '[m']]]-WHOLE_STRUCTURE[[#This Row],[D, top '[m']]])/(WHOLE_STRUCTURE[[#This Row],[Bottom '[m']]]-WHOLE_STRUCTURE[[#This Row],[Top '[m']]]),"")</f>
        <v/>
      </c>
      <c r="M338" s="54" t="str">
        <f>IFERROR((WHOLE_STRUCTURE[[#This Row],[D, bottom '[m']]]+WHOLE_STRUCTURE[[#This Row],[D, top '[m']]])/(2*WHOLE_STRUCTURE[[#This Row],[t '[mm']]]/1000),"")</f>
        <v/>
      </c>
    </row>
    <row r="339" spans="10:13" x14ac:dyDescent="0.3">
      <c r="J339" s="54" t="str">
        <f t="shared" si="7"/>
        <v/>
      </c>
      <c r="K339" s="54" t="str">
        <f>IFERROR(WHOLE_STRUCTURE[[#This Row],[Bottom '[m']]]-WHOLE_STRUCTURE[[#This Row],[D, top '[m']]], "")</f>
        <v/>
      </c>
      <c r="L339" s="54" t="str">
        <f>IFERROR(-(WHOLE_STRUCTURE[[#This Row],[D, bottom '[m']]]-WHOLE_STRUCTURE[[#This Row],[D, top '[m']]])/(WHOLE_STRUCTURE[[#This Row],[Bottom '[m']]]-WHOLE_STRUCTURE[[#This Row],[Top '[m']]]),"")</f>
        <v/>
      </c>
      <c r="M339" s="54" t="str">
        <f>IFERROR((WHOLE_STRUCTURE[[#This Row],[D, bottom '[m']]]+WHOLE_STRUCTURE[[#This Row],[D, top '[m']]])/(2*WHOLE_STRUCTURE[[#This Row],[t '[mm']]]/1000),"")</f>
        <v/>
      </c>
    </row>
    <row r="340" spans="10:13" x14ac:dyDescent="0.3">
      <c r="J340" s="54" t="str">
        <f t="shared" si="7"/>
        <v/>
      </c>
      <c r="K340" s="54" t="str">
        <f>IFERROR(WHOLE_STRUCTURE[[#This Row],[Bottom '[m']]]-WHOLE_STRUCTURE[[#This Row],[D, top '[m']]], "")</f>
        <v/>
      </c>
      <c r="L340" s="54" t="str">
        <f>IFERROR(-(WHOLE_STRUCTURE[[#This Row],[D, bottom '[m']]]-WHOLE_STRUCTURE[[#This Row],[D, top '[m']]])/(WHOLE_STRUCTURE[[#This Row],[Bottom '[m']]]-WHOLE_STRUCTURE[[#This Row],[Top '[m']]]),"")</f>
        <v/>
      </c>
      <c r="M340" s="54" t="str">
        <f>IFERROR((WHOLE_STRUCTURE[[#This Row],[D, bottom '[m']]]+WHOLE_STRUCTURE[[#This Row],[D, top '[m']]])/(2*WHOLE_STRUCTURE[[#This Row],[t '[mm']]]/1000),"")</f>
        <v/>
      </c>
    </row>
    <row r="341" spans="10:13" x14ac:dyDescent="0.3">
      <c r="J341" s="54" t="str">
        <f t="shared" si="7"/>
        <v/>
      </c>
      <c r="K341" s="54" t="str">
        <f>IFERROR(WHOLE_STRUCTURE[[#This Row],[Bottom '[m']]]-WHOLE_STRUCTURE[[#This Row],[D, top '[m']]], "")</f>
        <v/>
      </c>
      <c r="L341" s="54" t="str">
        <f>IFERROR(-(WHOLE_STRUCTURE[[#This Row],[D, bottom '[m']]]-WHOLE_STRUCTURE[[#This Row],[D, top '[m']]])/(WHOLE_STRUCTURE[[#This Row],[Bottom '[m']]]-WHOLE_STRUCTURE[[#This Row],[Top '[m']]]),"")</f>
        <v/>
      </c>
      <c r="M341" s="54" t="str">
        <f>IFERROR((WHOLE_STRUCTURE[[#This Row],[D, bottom '[m']]]+WHOLE_STRUCTURE[[#This Row],[D, top '[m']]])/(2*WHOLE_STRUCTURE[[#This Row],[t '[mm']]]/1000),"")</f>
        <v/>
      </c>
    </row>
    <row r="342" spans="10:13" x14ac:dyDescent="0.3">
      <c r="J342" s="54" t="str">
        <f t="shared" si="7"/>
        <v/>
      </c>
      <c r="K342" s="54" t="str">
        <f>IFERROR(WHOLE_STRUCTURE[[#This Row],[Bottom '[m']]]-WHOLE_STRUCTURE[[#This Row],[D, top '[m']]], "")</f>
        <v/>
      </c>
      <c r="L342" s="54" t="str">
        <f>IFERROR(-(WHOLE_STRUCTURE[[#This Row],[D, bottom '[m']]]-WHOLE_STRUCTURE[[#This Row],[D, top '[m']]])/(WHOLE_STRUCTURE[[#This Row],[Bottom '[m']]]-WHOLE_STRUCTURE[[#This Row],[Top '[m']]]),"")</f>
        <v/>
      </c>
      <c r="M342" s="54" t="str">
        <f>IFERROR((WHOLE_STRUCTURE[[#This Row],[D, bottom '[m']]]+WHOLE_STRUCTURE[[#This Row],[D, top '[m']]])/(2*WHOLE_STRUCTURE[[#This Row],[t '[mm']]]/1000),"")</f>
        <v/>
      </c>
    </row>
    <row r="343" spans="10:13" x14ac:dyDescent="0.3">
      <c r="J343" s="54" t="str">
        <f t="shared" si="7"/>
        <v/>
      </c>
      <c r="K343" s="54" t="str">
        <f>IFERROR(WHOLE_STRUCTURE[[#This Row],[Bottom '[m']]]-WHOLE_STRUCTURE[[#This Row],[D, top '[m']]], "")</f>
        <v/>
      </c>
      <c r="L343" s="54" t="str">
        <f>IFERROR(-(WHOLE_STRUCTURE[[#This Row],[D, bottom '[m']]]-WHOLE_STRUCTURE[[#This Row],[D, top '[m']]])/(WHOLE_STRUCTURE[[#This Row],[Bottom '[m']]]-WHOLE_STRUCTURE[[#This Row],[Top '[m']]]),"")</f>
        <v/>
      </c>
      <c r="M343" s="54" t="str">
        <f>IFERROR((WHOLE_STRUCTURE[[#This Row],[D, bottom '[m']]]+WHOLE_STRUCTURE[[#This Row],[D, top '[m']]])/(2*WHOLE_STRUCTURE[[#This Row],[t '[mm']]]/1000),"")</f>
        <v/>
      </c>
    </row>
    <row r="344" spans="10:13" x14ac:dyDescent="0.3">
      <c r="J344" s="54" t="str">
        <f t="shared" si="7"/>
        <v/>
      </c>
      <c r="K344" s="54" t="str">
        <f>IFERROR(WHOLE_STRUCTURE[[#This Row],[Bottom '[m']]]-WHOLE_STRUCTURE[[#This Row],[D, top '[m']]], "")</f>
        <v/>
      </c>
      <c r="L344" s="54" t="str">
        <f>IFERROR(-(WHOLE_STRUCTURE[[#This Row],[D, bottom '[m']]]-WHOLE_STRUCTURE[[#This Row],[D, top '[m']]])/(WHOLE_STRUCTURE[[#This Row],[Bottom '[m']]]-WHOLE_STRUCTURE[[#This Row],[Top '[m']]]),"")</f>
        <v/>
      </c>
      <c r="M344" s="54" t="str">
        <f>IFERROR((WHOLE_STRUCTURE[[#This Row],[D, bottom '[m']]]+WHOLE_STRUCTURE[[#This Row],[D, top '[m']]])/(2*WHOLE_STRUCTURE[[#This Row],[t '[mm']]]/1000),"")</f>
        <v/>
      </c>
    </row>
    <row r="345" spans="10:13" x14ac:dyDescent="0.3">
      <c r="J345" s="54" t="str">
        <f t="shared" si="7"/>
        <v/>
      </c>
      <c r="K345" s="54" t="str">
        <f>IFERROR(WHOLE_STRUCTURE[[#This Row],[Bottom '[m']]]-WHOLE_STRUCTURE[[#This Row],[D, top '[m']]], "")</f>
        <v/>
      </c>
      <c r="L345" s="54" t="str">
        <f>IFERROR(-(WHOLE_STRUCTURE[[#This Row],[D, bottom '[m']]]-WHOLE_STRUCTURE[[#This Row],[D, top '[m']]])/(WHOLE_STRUCTURE[[#This Row],[Bottom '[m']]]-WHOLE_STRUCTURE[[#This Row],[Top '[m']]]),"")</f>
        <v/>
      </c>
      <c r="M345" s="54" t="str">
        <f>IFERROR((WHOLE_STRUCTURE[[#This Row],[D, bottom '[m']]]+WHOLE_STRUCTURE[[#This Row],[D, top '[m']]])/(2*WHOLE_STRUCTURE[[#This Row],[t '[mm']]]/1000),"")</f>
        <v/>
      </c>
    </row>
    <row r="346" spans="10:13" x14ac:dyDescent="0.3">
      <c r="J346" s="54" t="str">
        <f t="shared" si="7"/>
        <v/>
      </c>
      <c r="K346" s="54" t="str">
        <f>IFERROR(WHOLE_STRUCTURE[[#This Row],[Bottom '[m']]]-WHOLE_STRUCTURE[[#This Row],[D, top '[m']]], "")</f>
        <v/>
      </c>
      <c r="L346" s="54" t="str">
        <f>IFERROR(-(WHOLE_STRUCTURE[[#This Row],[D, bottom '[m']]]-WHOLE_STRUCTURE[[#This Row],[D, top '[m']]])/(WHOLE_STRUCTURE[[#This Row],[Bottom '[m']]]-WHOLE_STRUCTURE[[#This Row],[Top '[m']]]),"")</f>
        <v/>
      </c>
      <c r="M346" s="54" t="str">
        <f>IFERROR((WHOLE_STRUCTURE[[#This Row],[D, bottom '[m']]]+WHOLE_STRUCTURE[[#This Row],[D, top '[m']]])/(2*WHOLE_STRUCTURE[[#This Row],[t '[mm']]]/1000),"")</f>
        <v/>
      </c>
    </row>
    <row r="347" spans="10:13" x14ac:dyDescent="0.3">
      <c r="J347" s="54" t="str">
        <f t="shared" si="7"/>
        <v/>
      </c>
      <c r="K347" s="54" t="str">
        <f>IFERROR(WHOLE_STRUCTURE[[#This Row],[Bottom '[m']]]-WHOLE_STRUCTURE[[#This Row],[D, top '[m']]], "")</f>
        <v/>
      </c>
      <c r="L347" s="54" t="str">
        <f>IFERROR(-(WHOLE_STRUCTURE[[#This Row],[D, bottom '[m']]]-WHOLE_STRUCTURE[[#This Row],[D, top '[m']]])/(WHOLE_STRUCTURE[[#This Row],[Bottom '[m']]]-WHOLE_STRUCTURE[[#This Row],[Top '[m']]]),"")</f>
        <v/>
      </c>
      <c r="M347" s="54" t="str">
        <f>IFERROR((WHOLE_STRUCTURE[[#This Row],[D, bottom '[m']]]+WHOLE_STRUCTURE[[#This Row],[D, top '[m']]])/(2*WHOLE_STRUCTURE[[#This Row],[t '[mm']]]/1000),"")</f>
        <v/>
      </c>
    </row>
    <row r="348" spans="10:13" x14ac:dyDescent="0.3">
      <c r="J348" s="54" t="str">
        <f t="shared" si="7"/>
        <v/>
      </c>
      <c r="K348" s="54" t="str">
        <f>IFERROR(WHOLE_STRUCTURE[[#This Row],[Bottom '[m']]]-WHOLE_STRUCTURE[[#This Row],[D, top '[m']]], "")</f>
        <v/>
      </c>
      <c r="L348" s="54" t="str">
        <f>IFERROR(-(WHOLE_STRUCTURE[[#This Row],[D, bottom '[m']]]-WHOLE_STRUCTURE[[#This Row],[D, top '[m']]])/(WHOLE_STRUCTURE[[#This Row],[Bottom '[m']]]-WHOLE_STRUCTURE[[#This Row],[Top '[m']]]),"")</f>
        <v/>
      </c>
      <c r="M348" s="54" t="str">
        <f>IFERROR((WHOLE_STRUCTURE[[#This Row],[D, bottom '[m']]]+WHOLE_STRUCTURE[[#This Row],[D, top '[m']]])/(2*WHOLE_STRUCTURE[[#This Row],[t '[mm']]]/1000),"")</f>
        <v/>
      </c>
    </row>
    <row r="349" spans="10:13" x14ac:dyDescent="0.3">
      <c r="J349" s="54" t="str">
        <f t="shared" si="7"/>
        <v/>
      </c>
      <c r="K349" s="54" t="str">
        <f>IFERROR(WHOLE_STRUCTURE[[#This Row],[Bottom '[m']]]-WHOLE_STRUCTURE[[#This Row],[D, top '[m']]], "")</f>
        <v/>
      </c>
      <c r="L349" s="54" t="str">
        <f>IFERROR(-(WHOLE_STRUCTURE[[#This Row],[D, bottom '[m']]]-WHOLE_STRUCTURE[[#This Row],[D, top '[m']]])/(WHOLE_STRUCTURE[[#This Row],[Bottom '[m']]]-WHOLE_STRUCTURE[[#This Row],[Top '[m']]]),"")</f>
        <v/>
      </c>
      <c r="M349" s="54" t="str">
        <f>IFERROR((WHOLE_STRUCTURE[[#This Row],[D, bottom '[m']]]+WHOLE_STRUCTURE[[#This Row],[D, top '[m']]])/(2*WHOLE_STRUCTURE[[#This Row],[t '[mm']]]/1000),"")</f>
        <v/>
      </c>
    </row>
    <row r="350" spans="10:13" x14ac:dyDescent="0.3">
      <c r="J350" s="54" t="str">
        <f t="shared" si="7"/>
        <v/>
      </c>
      <c r="K350" s="54" t="str">
        <f>IFERROR(WHOLE_STRUCTURE[[#This Row],[Bottom '[m']]]-WHOLE_STRUCTURE[[#This Row],[D, top '[m']]], "")</f>
        <v/>
      </c>
      <c r="L350" s="54" t="str">
        <f>IFERROR(-(WHOLE_STRUCTURE[[#This Row],[D, bottom '[m']]]-WHOLE_STRUCTURE[[#This Row],[D, top '[m']]])/(WHOLE_STRUCTURE[[#This Row],[Bottom '[m']]]-WHOLE_STRUCTURE[[#This Row],[Top '[m']]]),"")</f>
        <v/>
      </c>
      <c r="M350" s="54" t="str">
        <f>IFERROR((WHOLE_STRUCTURE[[#This Row],[D, bottom '[m']]]+WHOLE_STRUCTURE[[#This Row],[D, top '[m']]])/(2*WHOLE_STRUCTURE[[#This Row],[t '[mm']]]/1000),"")</f>
        <v/>
      </c>
    </row>
    <row r="351" spans="10:13" x14ac:dyDescent="0.3">
      <c r="J351" s="54" t="str">
        <f t="shared" si="7"/>
        <v/>
      </c>
      <c r="K351" s="54" t="str">
        <f>IFERROR(WHOLE_STRUCTURE[[#This Row],[Bottom '[m']]]-WHOLE_STRUCTURE[[#This Row],[D, top '[m']]], "")</f>
        <v/>
      </c>
      <c r="L351" s="54" t="str">
        <f>IFERROR(-(WHOLE_STRUCTURE[[#This Row],[D, bottom '[m']]]-WHOLE_STRUCTURE[[#This Row],[D, top '[m']]])/(WHOLE_STRUCTURE[[#This Row],[Bottom '[m']]]-WHOLE_STRUCTURE[[#This Row],[Top '[m']]]),"")</f>
        <v/>
      </c>
      <c r="M351" s="54" t="str">
        <f>IFERROR((WHOLE_STRUCTURE[[#This Row],[D, bottom '[m']]]+WHOLE_STRUCTURE[[#This Row],[D, top '[m']]])/(2*WHOLE_STRUCTURE[[#This Row],[t '[mm']]]/1000),"")</f>
        <v/>
      </c>
    </row>
    <row r="352" spans="10:13" x14ac:dyDescent="0.3">
      <c r="J352" s="54" t="str">
        <f t="shared" si="7"/>
        <v/>
      </c>
      <c r="K352" s="54" t="str">
        <f>IFERROR(WHOLE_STRUCTURE[[#This Row],[Bottom '[m']]]-WHOLE_STRUCTURE[[#This Row],[D, top '[m']]], "")</f>
        <v/>
      </c>
      <c r="L352" s="54" t="str">
        <f>IFERROR(-(WHOLE_STRUCTURE[[#This Row],[D, bottom '[m']]]-WHOLE_STRUCTURE[[#This Row],[D, top '[m']]])/(WHOLE_STRUCTURE[[#This Row],[Bottom '[m']]]-WHOLE_STRUCTURE[[#This Row],[Top '[m']]]),"")</f>
        <v/>
      </c>
      <c r="M352" s="54" t="str">
        <f>IFERROR((WHOLE_STRUCTURE[[#This Row],[D, bottom '[m']]]+WHOLE_STRUCTURE[[#This Row],[D, top '[m']]])/(2*WHOLE_STRUCTURE[[#This Row],[t '[mm']]]/1000),"")</f>
        <v/>
      </c>
    </row>
    <row r="353" spans="10:13" x14ac:dyDescent="0.3">
      <c r="J353" s="54" t="str">
        <f t="shared" si="7"/>
        <v/>
      </c>
      <c r="K353" s="54" t="str">
        <f>IFERROR(WHOLE_STRUCTURE[[#This Row],[Bottom '[m']]]-WHOLE_STRUCTURE[[#This Row],[D, top '[m']]], "")</f>
        <v/>
      </c>
      <c r="L353" s="54" t="str">
        <f>IFERROR(-(WHOLE_STRUCTURE[[#This Row],[D, bottom '[m']]]-WHOLE_STRUCTURE[[#This Row],[D, top '[m']]])/(WHOLE_STRUCTURE[[#This Row],[Bottom '[m']]]-WHOLE_STRUCTURE[[#This Row],[Top '[m']]]),"")</f>
        <v/>
      </c>
      <c r="M353" s="54" t="str">
        <f>IFERROR((WHOLE_STRUCTURE[[#This Row],[D, bottom '[m']]]+WHOLE_STRUCTURE[[#This Row],[D, top '[m']]])/(2*WHOLE_STRUCTURE[[#This Row],[t '[mm']]]/1000),"")</f>
        <v/>
      </c>
    </row>
    <row r="354" spans="10:13" x14ac:dyDescent="0.3">
      <c r="J354" s="54" t="str">
        <f t="shared" si="7"/>
        <v/>
      </c>
      <c r="K354" s="54" t="str">
        <f>IFERROR(WHOLE_STRUCTURE[[#This Row],[Bottom '[m']]]-WHOLE_STRUCTURE[[#This Row],[D, top '[m']]], "")</f>
        <v/>
      </c>
      <c r="L354" s="54" t="str">
        <f>IFERROR(-(WHOLE_STRUCTURE[[#This Row],[D, bottom '[m']]]-WHOLE_STRUCTURE[[#This Row],[D, top '[m']]])/(WHOLE_STRUCTURE[[#This Row],[Bottom '[m']]]-WHOLE_STRUCTURE[[#This Row],[Top '[m']]]),"")</f>
        <v/>
      </c>
      <c r="M354" s="54" t="str">
        <f>IFERROR((WHOLE_STRUCTURE[[#This Row],[D, bottom '[m']]]+WHOLE_STRUCTURE[[#This Row],[D, top '[m']]])/(2*WHOLE_STRUCTURE[[#This Row],[t '[mm']]]/1000),"")</f>
        <v/>
      </c>
    </row>
    <row r="355" spans="10:13" x14ac:dyDescent="0.3">
      <c r="J355" s="54" t="str">
        <f t="shared" si="7"/>
        <v/>
      </c>
      <c r="K355" s="54" t="str">
        <f>IFERROR(WHOLE_STRUCTURE[[#This Row],[Bottom '[m']]]-WHOLE_STRUCTURE[[#This Row],[D, top '[m']]], "")</f>
        <v/>
      </c>
      <c r="L355" s="54" t="str">
        <f>IFERROR(-(WHOLE_STRUCTURE[[#This Row],[D, bottom '[m']]]-WHOLE_STRUCTURE[[#This Row],[D, top '[m']]])/(WHOLE_STRUCTURE[[#This Row],[Bottom '[m']]]-WHOLE_STRUCTURE[[#This Row],[Top '[m']]]),"")</f>
        <v/>
      </c>
      <c r="M355" s="54" t="str">
        <f>IFERROR((WHOLE_STRUCTURE[[#This Row],[D, bottom '[m']]]+WHOLE_STRUCTURE[[#This Row],[D, top '[m']]])/(2*WHOLE_STRUCTURE[[#This Row],[t '[mm']]]/1000),"")</f>
        <v/>
      </c>
    </row>
    <row r="356" spans="10:13" x14ac:dyDescent="0.3">
      <c r="J356" s="54" t="str">
        <f t="shared" si="7"/>
        <v/>
      </c>
      <c r="K356" s="54" t="str">
        <f>IFERROR(WHOLE_STRUCTURE[[#This Row],[Bottom '[m']]]-WHOLE_STRUCTURE[[#This Row],[D, top '[m']]], "")</f>
        <v/>
      </c>
      <c r="L356" s="54" t="str">
        <f>IFERROR(-(WHOLE_STRUCTURE[[#This Row],[D, bottom '[m']]]-WHOLE_STRUCTURE[[#This Row],[D, top '[m']]])/(WHOLE_STRUCTURE[[#This Row],[Bottom '[m']]]-WHOLE_STRUCTURE[[#This Row],[Top '[m']]]),"")</f>
        <v/>
      </c>
      <c r="M356" s="54" t="str">
        <f>IFERROR((WHOLE_STRUCTURE[[#This Row],[D, bottom '[m']]]+WHOLE_STRUCTURE[[#This Row],[D, top '[m']]])/(2*WHOLE_STRUCTURE[[#This Row],[t '[mm']]]/1000),"")</f>
        <v/>
      </c>
    </row>
    <row r="357" spans="10:13" x14ac:dyDescent="0.3">
      <c r="J357" s="54" t="str">
        <f t="shared" si="7"/>
        <v/>
      </c>
      <c r="K357" s="54" t="str">
        <f>IFERROR(WHOLE_STRUCTURE[[#This Row],[Bottom '[m']]]-WHOLE_STRUCTURE[[#This Row],[D, top '[m']]], "")</f>
        <v/>
      </c>
      <c r="L357" s="54" t="str">
        <f>IFERROR(-(WHOLE_STRUCTURE[[#This Row],[D, bottom '[m']]]-WHOLE_STRUCTURE[[#This Row],[D, top '[m']]])/(WHOLE_STRUCTURE[[#This Row],[Bottom '[m']]]-WHOLE_STRUCTURE[[#This Row],[Top '[m']]]),"")</f>
        <v/>
      </c>
      <c r="M357" s="54" t="str">
        <f>IFERROR((WHOLE_STRUCTURE[[#This Row],[D, bottom '[m']]]+WHOLE_STRUCTURE[[#This Row],[D, top '[m']]])/(2*WHOLE_STRUCTURE[[#This Row],[t '[mm']]]/1000),"")</f>
        <v/>
      </c>
    </row>
    <row r="358" spans="10:13" x14ac:dyDescent="0.3">
      <c r="J358" s="54" t="str">
        <f t="shared" si="7"/>
        <v/>
      </c>
      <c r="K358" s="54" t="str">
        <f>IFERROR(WHOLE_STRUCTURE[[#This Row],[Bottom '[m']]]-WHOLE_STRUCTURE[[#This Row],[D, top '[m']]], "")</f>
        <v/>
      </c>
      <c r="L358" s="54" t="str">
        <f>IFERROR(-(WHOLE_STRUCTURE[[#This Row],[D, bottom '[m']]]-WHOLE_STRUCTURE[[#This Row],[D, top '[m']]])/(WHOLE_STRUCTURE[[#This Row],[Bottom '[m']]]-WHOLE_STRUCTURE[[#This Row],[Top '[m']]]),"")</f>
        <v/>
      </c>
      <c r="M358" s="54" t="str">
        <f>IFERROR((WHOLE_STRUCTURE[[#This Row],[D, bottom '[m']]]+WHOLE_STRUCTURE[[#This Row],[D, top '[m']]])/(2*WHOLE_STRUCTURE[[#This Row],[t '[mm']]]/1000),"")</f>
        <v/>
      </c>
    </row>
    <row r="359" spans="10:13" x14ac:dyDescent="0.3">
      <c r="J359" s="54" t="str">
        <f t="shared" si="7"/>
        <v/>
      </c>
      <c r="K359" s="54" t="str">
        <f>IFERROR(WHOLE_STRUCTURE[[#This Row],[Bottom '[m']]]-WHOLE_STRUCTURE[[#This Row],[D, top '[m']]], "")</f>
        <v/>
      </c>
      <c r="L359" s="54" t="str">
        <f>IFERROR(-(WHOLE_STRUCTURE[[#This Row],[D, bottom '[m']]]-WHOLE_STRUCTURE[[#This Row],[D, top '[m']]])/(WHOLE_STRUCTURE[[#This Row],[Bottom '[m']]]-WHOLE_STRUCTURE[[#This Row],[Top '[m']]]),"")</f>
        <v/>
      </c>
      <c r="M359" s="54" t="str">
        <f>IFERROR((WHOLE_STRUCTURE[[#This Row],[D, bottom '[m']]]+WHOLE_STRUCTURE[[#This Row],[D, top '[m']]])/(2*WHOLE_STRUCTURE[[#This Row],[t '[mm']]]/1000),"")</f>
        <v/>
      </c>
    </row>
    <row r="360" spans="10:13" x14ac:dyDescent="0.3">
      <c r="J360" s="54" t="str">
        <f t="shared" si="7"/>
        <v/>
      </c>
      <c r="K360" s="54" t="str">
        <f>IFERROR(WHOLE_STRUCTURE[[#This Row],[Bottom '[m']]]-WHOLE_STRUCTURE[[#This Row],[D, top '[m']]], "")</f>
        <v/>
      </c>
      <c r="L360" s="54" t="str">
        <f>IFERROR(-(WHOLE_STRUCTURE[[#This Row],[D, bottom '[m']]]-WHOLE_STRUCTURE[[#This Row],[D, top '[m']]])/(WHOLE_STRUCTURE[[#This Row],[Bottom '[m']]]-WHOLE_STRUCTURE[[#This Row],[Top '[m']]]),"")</f>
        <v/>
      </c>
      <c r="M360" s="54" t="str">
        <f>IFERROR((WHOLE_STRUCTURE[[#This Row],[D, bottom '[m']]]+WHOLE_STRUCTURE[[#This Row],[D, top '[m']]])/(2*WHOLE_STRUCTURE[[#This Row],[t '[mm']]]/1000),"")</f>
        <v/>
      </c>
    </row>
    <row r="361" spans="10:13" x14ac:dyDescent="0.3">
      <c r="J361" s="54" t="str">
        <f t="shared" si="7"/>
        <v/>
      </c>
      <c r="K361" s="54" t="str">
        <f>IFERROR(WHOLE_STRUCTURE[[#This Row],[Bottom '[m']]]-WHOLE_STRUCTURE[[#This Row],[D, top '[m']]], "")</f>
        <v/>
      </c>
      <c r="L361" s="54" t="str">
        <f>IFERROR(-(WHOLE_STRUCTURE[[#This Row],[D, bottom '[m']]]-WHOLE_STRUCTURE[[#This Row],[D, top '[m']]])/(WHOLE_STRUCTURE[[#This Row],[Bottom '[m']]]-WHOLE_STRUCTURE[[#This Row],[Top '[m']]]),"")</f>
        <v/>
      </c>
      <c r="M361" s="54" t="str">
        <f>IFERROR((WHOLE_STRUCTURE[[#This Row],[D, bottom '[m']]]+WHOLE_STRUCTURE[[#This Row],[D, top '[m']]])/(2*WHOLE_STRUCTURE[[#This Row],[t '[mm']]]/1000),"")</f>
        <v/>
      </c>
    </row>
    <row r="362" spans="10:13" x14ac:dyDescent="0.3">
      <c r="J362" s="54" t="str">
        <f t="shared" si="7"/>
        <v/>
      </c>
      <c r="K362" s="54" t="str">
        <f>IFERROR(WHOLE_STRUCTURE[[#This Row],[Bottom '[m']]]-WHOLE_STRUCTURE[[#This Row],[D, top '[m']]], "")</f>
        <v/>
      </c>
      <c r="L362" s="54" t="str">
        <f>IFERROR(-(WHOLE_STRUCTURE[[#This Row],[D, bottom '[m']]]-WHOLE_STRUCTURE[[#This Row],[D, top '[m']]])/(WHOLE_STRUCTURE[[#This Row],[Bottom '[m']]]-WHOLE_STRUCTURE[[#This Row],[Top '[m']]]),"")</f>
        <v/>
      </c>
      <c r="M362" s="54" t="str">
        <f>IFERROR((WHOLE_STRUCTURE[[#This Row],[D, bottom '[m']]]+WHOLE_STRUCTURE[[#This Row],[D, top '[m']]])/(2*WHOLE_STRUCTURE[[#This Row],[t '[mm']]]/1000),"")</f>
        <v/>
      </c>
    </row>
    <row r="363" spans="10:13" x14ac:dyDescent="0.3">
      <c r="J363" s="54" t="str">
        <f t="shared" si="7"/>
        <v/>
      </c>
      <c r="K363" s="54" t="str">
        <f>IFERROR(WHOLE_STRUCTURE[[#This Row],[Bottom '[m']]]-WHOLE_STRUCTURE[[#This Row],[D, top '[m']]], "")</f>
        <v/>
      </c>
      <c r="L363" s="54" t="str">
        <f>IFERROR(-(WHOLE_STRUCTURE[[#This Row],[D, bottom '[m']]]-WHOLE_STRUCTURE[[#This Row],[D, top '[m']]])/(WHOLE_STRUCTURE[[#This Row],[Bottom '[m']]]-WHOLE_STRUCTURE[[#This Row],[Top '[m']]]),"")</f>
        <v/>
      </c>
      <c r="M363" s="54" t="str">
        <f>IFERROR((WHOLE_STRUCTURE[[#This Row],[D, bottom '[m']]]+WHOLE_STRUCTURE[[#This Row],[D, top '[m']]])/(2*WHOLE_STRUCTURE[[#This Row],[t '[mm']]]/1000),"")</f>
        <v/>
      </c>
    </row>
    <row r="364" spans="10:13" x14ac:dyDescent="0.3">
      <c r="J364" s="54" t="str">
        <f t="shared" si="7"/>
        <v/>
      </c>
      <c r="K364" s="54" t="str">
        <f>IFERROR(WHOLE_STRUCTURE[[#This Row],[Bottom '[m']]]-WHOLE_STRUCTURE[[#This Row],[D, top '[m']]], "")</f>
        <v/>
      </c>
      <c r="L364" s="54" t="str">
        <f>IFERROR(-(WHOLE_STRUCTURE[[#This Row],[D, bottom '[m']]]-WHOLE_STRUCTURE[[#This Row],[D, top '[m']]])/(WHOLE_STRUCTURE[[#This Row],[Bottom '[m']]]-WHOLE_STRUCTURE[[#This Row],[Top '[m']]]),"")</f>
        <v/>
      </c>
      <c r="M364" s="54" t="str">
        <f>IFERROR((WHOLE_STRUCTURE[[#This Row],[D, bottom '[m']]]+WHOLE_STRUCTURE[[#This Row],[D, top '[m']]])/(2*WHOLE_STRUCTURE[[#This Row],[t '[mm']]]/1000),"")</f>
        <v/>
      </c>
    </row>
    <row r="365" spans="10:13" x14ac:dyDescent="0.3">
      <c r="J365" s="54" t="str">
        <f t="shared" si="7"/>
        <v/>
      </c>
      <c r="K365" s="54" t="str">
        <f>IFERROR(WHOLE_STRUCTURE[[#This Row],[Bottom '[m']]]-WHOLE_STRUCTURE[[#This Row],[D, top '[m']]], "")</f>
        <v/>
      </c>
      <c r="L365" s="54" t="str">
        <f>IFERROR(-(WHOLE_STRUCTURE[[#This Row],[D, bottom '[m']]]-WHOLE_STRUCTURE[[#This Row],[D, top '[m']]])/(WHOLE_STRUCTURE[[#This Row],[Bottom '[m']]]-WHOLE_STRUCTURE[[#This Row],[Top '[m']]]),"")</f>
        <v/>
      </c>
      <c r="M365" s="54" t="str">
        <f>IFERROR((WHOLE_STRUCTURE[[#This Row],[D, bottom '[m']]]+WHOLE_STRUCTURE[[#This Row],[D, top '[m']]])/(2*WHOLE_STRUCTURE[[#This Row],[t '[mm']]]/1000),"")</f>
        <v/>
      </c>
    </row>
    <row r="366" spans="10:13" x14ac:dyDescent="0.3">
      <c r="J366" s="54" t="str">
        <f t="shared" si="7"/>
        <v/>
      </c>
      <c r="K366" s="54" t="str">
        <f>IFERROR(WHOLE_STRUCTURE[[#This Row],[Bottom '[m']]]-WHOLE_STRUCTURE[[#This Row],[D, top '[m']]], "")</f>
        <v/>
      </c>
      <c r="L366" s="54" t="str">
        <f>IFERROR(-(WHOLE_STRUCTURE[[#This Row],[D, bottom '[m']]]-WHOLE_STRUCTURE[[#This Row],[D, top '[m']]])/(WHOLE_STRUCTURE[[#This Row],[Bottom '[m']]]-WHOLE_STRUCTURE[[#This Row],[Top '[m']]]),"")</f>
        <v/>
      </c>
      <c r="M366" s="54" t="str">
        <f>IFERROR((WHOLE_STRUCTURE[[#This Row],[D, bottom '[m']]]+WHOLE_STRUCTURE[[#This Row],[D, top '[m']]])/(2*WHOLE_STRUCTURE[[#This Row],[t '[mm']]]/1000),"")</f>
        <v/>
      </c>
    </row>
    <row r="367" spans="10:13" x14ac:dyDescent="0.3">
      <c r="J367" s="54" t="str">
        <f t="shared" si="7"/>
        <v/>
      </c>
      <c r="K367" s="54" t="str">
        <f>IFERROR(WHOLE_STRUCTURE[[#This Row],[Bottom '[m']]]-WHOLE_STRUCTURE[[#This Row],[D, top '[m']]], "")</f>
        <v/>
      </c>
      <c r="L367" s="54" t="str">
        <f>IFERROR(-(WHOLE_STRUCTURE[[#This Row],[D, bottom '[m']]]-WHOLE_STRUCTURE[[#This Row],[D, top '[m']]])/(WHOLE_STRUCTURE[[#This Row],[Bottom '[m']]]-WHOLE_STRUCTURE[[#This Row],[Top '[m']]]),"")</f>
        <v/>
      </c>
      <c r="M367" s="54" t="str">
        <f>IFERROR((WHOLE_STRUCTURE[[#This Row],[D, bottom '[m']]]+WHOLE_STRUCTURE[[#This Row],[D, top '[m']]])/(2*WHOLE_STRUCTURE[[#This Row],[t '[mm']]]/1000),"")</f>
        <v/>
      </c>
    </row>
    <row r="368" spans="10:13" x14ac:dyDescent="0.3">
      <c r="J368" s="54" t="str">
        <f t="shared" si="7"/>
        <v/>
      </c>
      <c r="K368" s="54" t="str">
        <f>IFERROR(WHOLE_STRUCTURE[[#This Row],[Bottom '[m']]]-WHOLE_STRUCTURE[[#This Row],[D, top '[m']]], "")</f>
        <v/>
      </c>
      <c r="L368" s="54" t="str">
        <f>IFERROR(-(WHOLE_STRUCTURE[[#This Row],[D, bottom '[m']]]-WHOLE_STRUCTURE[[#This Row],[D, top '[m']]])/(WHOLE_STRUCTURE[[#This Row],[Bottom '[m']]]-WHOLE_STRUCTURE[[#This Row],[Top '[m']]]),"")</f>
        <v/>
      </c>
      <c r="M368" s="54" t="str">
        <f>IFERROR((WHOLE_STRUCTURE[[#This Row],[D, bottom '[m']]]+WHOLE_STRUCTURE[[#This Row],[D, top '[m']]])/(2*WHOLE_STRUCTURE[[#This Row],[t '[mm']]]/1000),"")</f>
        <v/>
      </c>
    </row>
    <row r="369" spans="10:13" x14ac:dyDescent="0.3">
      <c r="J369" s="54" t="str">
        <f t="shared" si="7"/>
        <v/>
      </c>
      <c r="K369" s="54" t="str">
        <f>IFERROR(WHOLE_STRUCTURE[[#This Row],[Bottom '[m']]]-WHOLE_STRUCTURE[[#This Row],[D, top '[m']]], "")</f>
        <v/>
      </c>
      <c r="L369" s="54" t="str">
        <f>IFERROR(-(WHOLE_STRUCTURE[[#This Row],[D, bottom '[m']]]-WHOLE_STRUCTURE[[#This Row],[D, top '[m']]])/(WHOLE_STRUCTURE[[#This Row],[Bottom '[m']]]-WHOLE_STRUCTURE[[#This Row],[Top '[m']]]),"")</f>
        <v/>
      </c>
      <c r="M369" s="54" t="str">
        <f>IFERROR((WHOLE_STRUCTURE[[#This Row],[D, bottom '[m']]]+WHOLE_STRUCTURE[[#This Row],[D, top '[m']]])/(2*WHOLE_STRUCTURE[[#This Row],[t '[mm']]]/1000),"")</f>
        <v/>
      </c>
    </row>
    <row r="370" spans="10:13" x14ac:dyDescent="0.3">
      <c r="J370" s="54" t="str">
        <f t="shared" si="7"/>
        <v/>
      </c>
      <c r="K370" s="54" t="str">
        <f>IFERROR(WHOLE_STRUCTURE[[#This Row],[Bottom '[m']]]-WHOLE_STRUCTURE[[#This Row],[D, top '[m']]], "")</f>
        <v/>
      </c>
      <c r="L370" s="54" t="str">
        <f>IFERROR(-(WHOLE_STRUCTURE[[#This Row],[D, bottom '[m']]]-WHOLE_STRUCTURE[[#This Row],[D, top '[m']]])/(WHOLE_STRUCTURE[[#This Row],[Bottom '[m']]]-WHOLE_STRUCTURE[[#This Row],[Top '[m']]]),"")</f>
        <v/>
      </c>
      <c r="M370" s="54" t="str">
        <f>IFERROR((WHOLE_STRUCTURE[[#This Row],[D, bottom '[m']]]+WHOLE_STRUCTURE[[#This Row],[D, top '[m']]])/(2*WHOLE_STRUCTURE[[#This Row],[t '[mm']]]/1000),"")</f>
        <v/>
      </c>
    </row>
    <row r="371" spans="10:13" x14ac:dyDescent="0.3">
      <c r="J371" s="54" t="str">
        <f t="shared" si="7"/>
        <v/>
      </c>
      <c r="K371" s="54" t="str">
        <f>IFERROR(WHOLE_STRUCTURE[[#This Row],[Bottom '[m']]]-WHOLE_STRUCTURE[[#This Row],[D, top '[m']]], "")</f>
        <v/>
      </c>
      <c r="L371" s="54" t="str">
        <f>IFERROR(-(WHOLE_STRUCTURE[[#This Row],[D, bottom '[m']]]-WHOLE_STRUCTURE[[#This Row],[D, top '[m']]])/(WHOLE_STRUCTURE[[#This Row],[Bottom '[m']]]-WHOLE_STRUCTURE[[#This Row],[Top '[m']]]),"")</f>
        <v/>
      </c>
      <c r="M371" s="54" t="str">
        <f>IFERROR((WHOLE_STRUCTURE[[#This Row],[D, bottom '[m']]]+WHOLE_STRUCTURE[[#This Row],[D, top '[m']]])/(2*WHOLE_STRUCTURE[[#This Row],[t '[mm']]]/1000),"")</f>
        <v/>
      </c>
    </row>
    <row r="372" spans="10:13" x14ac:dyDescent="0.3">
      <c r="J372" s="54" t="str">
        <f t="shared" si="7"/>
        <v/>
      </c>
      <c r="K372" s="54" t="str">
        <f>IFERROR(WHOLE_STRUCTURE[[#This Row],[Bottom '[m']]]-WHOLE_STRUCTURE[[#This Row],[D, top '[m']]], "")</f>
        <v/>
      </c>
      <c r="L372" s="54" t="str">
        <f>IFERROR(-(WHOLE_STRUCTURE[[#This Row],[D, bottom '[m']]]-WHOLE_STRUCTURE[[#This Row],[D, top '[m']]])/(WHOLE_STRUCTURE[[#This Row],[Bottom '[m']]]-WHOLE_STRUCTURE[[#This Row],[Top '[m']]]),"")</f>
        <v/>
      </c>
      <c r="M372" s="54" t="str">
        <f>IFERROR((WHOLE_STRUCTURE[[#This Row],[D, bottom '[m']]]+WHOLE_STRUCTURE[[#This Row],[D, top '[m']]])/(2*WHOLE_STRUCTURE[[#This Row],[t '[mm']]]/1000),"")</f>
        <v/>
      </c>
    </row>
    <row r="373" spans="10:13" x14ac:dyDescent="0.3">
      <c r="J373" s="54" t="str">
        <f t="shared" si="7"/>
        <v/>
      </c>
      <c r="K373" s="54" t="str">
        <f>IFERROR(WHOLE_STRUCTURE[[#This Row],[Bottom '[m']]]-WHOLE_STRUCTURE[[#This Row],[D, top '[m']]], "")</f>
        <v/>
      </c>
      <c r="L373" s="54" t="str">
        <f>IFERROR(-(WHOLE_STRUCTURE[[#This Row],[D, bottom '[m']]]-WHOLE_STRUCTURE[[#This Row],[D, top '[m']]])/(WHOLE_STRUCTURE[[#This Row],[Bottom '[m']]]-WHOLE_STRUCTURE[[#This Row],[Top '[m']]]),"")</f>
        <v/>
      </c>
      <c r="M373" s="54" t="str">
        <f>IFERROR((WHOLE_STRUCTURE[[#This Row],[D, bottom '[m']]]+WHOLE_STRUCTURE[[#This Row],[D, top '[m']]])/(2*WHOLE_STRUCTURE[[#This Row],[t '[mm']]]/1000),"")</f>
        <v/>
      </c>
    </row>
    <row r="374" spans="10:13" x14ac:dyDescent="0.3">
      <c r="J374" s="54" t="str">
        <f t="shared" si="7"/>
        <v/>
      </c>
      <c r="K374" s="54" t="str">
        <f>IFERROR(WHOLE_STRUCTURE[[#This Row],[Bottom '[m']]]-WHOLE_STRUCTURE[[#This Row],[D, top '[m']]], "")</f>
        <v/>
      </c>
      <c r="L374" s="54" t="str">
        <f>IFERROR(-(WHOLE_STRUCTURE[[#This Row],[D, bottom '[m']]]-WHOLE_STRUCTURE[[#This Row],[D, top '[m']]])/(WHOLE_STRUCTURE[[#This Row],[Bottom '[m']]]-WHOLE_STRUCTURE[[#This Row],[Top '[m']]]),"")</f>
        <v/>
      </c>
      <c r="M374" s="54" t="str">
        <f>IFERROR((WHOLE_STRUCTURE[[#This Row],[D, bottom '[m']]]+WHOLE_STRUCTURE[[#This Row],[D, top '[m']]])/(2*WHOLE_STRUCTURE[[#This Row],[t '[mm']]]/1000),"")</f>
        <v/>
      </c>
    </row>
    <row r="375" spans="10:13" x14ac:dyDescent="0.3">
      <c r="J375" s="54" t="str">
        <f t="shared" si="7"/>
        <v/>
      </c>
      <c r="K375" s="54" t="str">
        <f>IFERROR(WHOLE_STRUCTURE[[#This Row],[Bottom '[m']]]-WHOLE_STRUCTURE[[#This Row],[D, top '[m']]], "")</f>
        <v/>
      </c>
      <c r="L375" s="54" t="str">
        <f>IFERROR(-(WHOLE_STRUCTURE[[#This Row],[D, bottom '[m']]]-WHOLE_STRUCTURE[[#This Row],[D, top '[m']]])/(WHOLE_STRUCTURE[[#This Row],[Bottom '[m']]]-WHOLE_STRUCTURE[[#This Row],[Top '[m']]]),"")</f>
        <v/>
      </c>
      <c r="M375" s="54" t="str">
        <f>IFERROR((WHOLE_STRUCTURE[[#This Row],[D, bottom '[m']]]+WHOLE_STRUCTURE[[#This Row],[D, top '[m']]])/(2*WHOLE_STRUCTURE[[#This Row],[t '[mm']]]/1000),"")</f>
        <v/>
      </c>
    </row>
    <row r="376" spans="10:13" x14ac:dyDescent="0.3">
      <c r="J376" s="54" t="str">
        <f t="shared" si="7"/>
        <v/>
      </c>
      <c r="K376" s="54" t="str">
        <f>IFERROR(WHOLE_STRUCTURE[[#This Row],[Bottom '[m']]]-WHOLE_STRUCTURE[[#This Row],[D, top '[m']]], "")</f>
        <v/>
      </c>
      <c r="L376" s="54" t="str">
        <f>IFERROR(-(WHOLE_STRUCTURE[[#This Row],[D, bottom '[m']]]-WHOLE_STRUCTURE[[#This Row],[D, top '[m']]])/(WHOLE_STRUCTURE[[#This Row],[Bottom '[m']]]-WHOLE_STRUCTURE[[#This Row],[Top '[m']]]),"")</f>
        <v/>
      </c>
      <c r="M376" s="54" t="str">
        <f>IFERROR((WHOLE_STRUCTURE[[#This Row],[D, bottom '[m']]]+WHOLE_STRUCTURE[[#This Row],[D, top '[m']]])/(2*WHOLE_STRUCTURE[[#This Row],[t '[mm']]]/1000),"")</f>
        <v/>
      </c>
    </row>
    <row r="377" spans="10:13" x14ac:dyDescent="0.3">
      <c r="J377" s="54" t="str">
        <f t="shared" si="7"/>
        <v/>
      </c>
      <c r="K377" s="54" t="str">
        <f>IFERROR(WHOLE_STRUCTURE[[#This Row],[Bottom '[m']]]-WHOLE_STRUCTURE[[#This Row],[D, top '[m']]], "")</f>
        <v/>
      </c>
      <c r="L377" s="54" t="str">
        <f>IFERROR(-(WHOLE_STRUCTURE[[#This Row],[D, bottom '[m']]]-WHOLE_STRUCTURE[[#This Row],[D, top '[m']]])/(WHOLE_STRUCTURE[[#This Row],[Bottom '[m']]]-WHOLE_STRUCTURE[[#This Row],[Top '[m']]]),"")</f>
        <v/>
      </c>
      <c r="M377" s="54" t="str">
        <f>IFERROR((WHOLE_STRUCTURE[[#This Row],[D, bottom '[m']]]+WHOLE_STRUCTURE[[#This Row],[D, top '[m']]])/(2*WHOLE_STRUCTURE[[#This Row],[t '[mm']]]/1000),"")</f>
        <v/>
      </c>
    </row>
    <row r="378" spans="10:13" x14ac:dyDescent="0.3">
      <c r="J378" s="54" t="str">
        <f t="shared" si="7"/>
        <v/>
      </c>
      <c r="K378" s="54" t="str">
        <f>IFERROR(WHOLE_STRUCTURE[[#This Row],[Bottom '[m']]]-WHOLE_STRUCTURE[[#This Row],[D, top '[m']]], "")</f>
        <v/>
      </c>
      <c r="L378" s="54" t="str">
        <f>IFERROR(-(WHOLE_STRUCTURE[[#This Row],[D, bottom '[m']]]-WHOLE_STRUCTURE[[#This Row],[D, top '[m']]])/(WHOLE_STRUCTURE[[#This Row],[Bottom '[m']]]-WHOLE_STRUCTURE[[#This Row],[Top '[m']]]),"")</f>
        <v/>
      </c>
      <c r="M378" s="54" t="str">
        <f>IFERROR((WHOLE_STRUCTURE[[#This Row],[D, bottom '[m']]]+WHOLE_STRUCTURE[[#This Row],[D, top '[m']]])/(2*WHOLE_STRUCTURE[[#This Row],[t '[mm']]]/1000),"")</f>
        <v/>
      </c>
    </row>
    <row r="379" spans="10:13" x14ac:dyDescent="0.3">
      <c r="J379" s="54" t="str">
        <f t="shared" si="7"/>
        <v/>
      </c>
      <c r="K379" s="54" t="str">
        <f>IFERROR(WHOLE_STRUCTURE[[#This Row],[Bottom '[m']]]-WHOLE_STRUCTURE[[#This Row],[D, top '[m']]], "")</f>
        <v/>
      </c>
      <c r="L379" s="54" t="str">
        <f>IFERROR(-(WHOLE_STRUCTURE[[#This Row],[D, bottom '[m']]]-WHOLE_STRUCTURE[[#This Row],[D, top '[m']]])/(WHOLE_STRUCTURE[[#This Row],[Bottom '[m']]]-WHOLE_STRUCTURE[[#This Row],[Top '[m']]]),"")</f>
        <v/>
      </c>
      <c r="M379" s="54" t="str">
        <f>IFERROR((WHOLE_STRUCTURE[[#This Row],[D, bottom '[m']]]+WHOLE_STRUCTURE[[#This Row],[D, top '[m']]])/(2*WHOLE_STRUCTURE[[#This Row],[t '[mm']]]/1000),"")</f>
        <v/>
      </c>
    </row>
    <row r="380" spans="10:13" x14ac:dyDescent="0.3">
      <c r="J380" s="54" t="str">
        <f t="shared" si="7"/>
        <v/>
      </c>
      <c r="K380" s="54" t="str">
        <f>IFERROR(WHOLE_STRUCTURE[[#This Row],[Bottom '[m']]]-WHOLE_STRUCTURE[[#This Row],[D, top '[m']]], "")</f>
        <v/>
      </c>
      <c r="L380" s="54" t="str">
        <f>IFERROR(-(WHOLE_STRUCTURE[[#This Row],[D, bottom '[m']]]-WHOLE_STRUCTURE[[#This Row],[D, top '[m']]])/(WHOLE_STRUCTURE[[#This Row],[Bottom '[m']]]-WHOLE_STRUCTURE[[#This Row],[Top '[m']]]),"")</f>
        <v/>
      </c>
      <c r="M380" s="54" t="str">
        <f>IFERROR((WHOLE_STRUCTURE[[#This Row],[D, bottom '[m']]]+WHOLE_STRUCTURE[[#This Row],[D, top '[m']]])/(2*WHOLE_STRUCTURE[[#This Row],[t '[mm']]]/1000),"")</f>
        <v/>
      </c>
    </row>
    <row r="381" spans="10:13" x14ac:dyDescent="0.3">
      <c r="J381" s="54" t="str">
        <f t="shared" si="7"/>
        <v/>
      </c>
      <c r="K381" s="54" t="str">
        <f>IFERROR(WHOLE_STRUCTURE[[#This Row],[Bottom '[m']]]-WHOLE_STRUCTURE[[#This Row],[D, top '[m']]], "")</f>
        <v/>
      </c>
      <c r="L381" s="54" t="str">
        <f>IFERROR(-(WHOLE_STRUCTURE[[#This Row],[D, bottom '[m']]]-WHOLE_STRUCTURE[[#This Row],[D, top '[m']]])/(WHOLE_STRUCTURE[[#This Row],[Bottom '[m']]]-WHOLE_STRUCTURE[[#This Row],[Top '[m']]]),"")</f>
        <v/>
      </c>
      <c r="M381" s="54" t="str">
        <f>IFERROR((WHOLE_STRUCTURE[[#This Row],[D, bottom '[m']]]+WHOLE_STRUCTURE[[#This Row],[D, top '[m']]])/(2*WHOLE_STRUCTURE[[#This Row],[t '[mm']]]/1000),"")</f>
        <v/>
      </c>
    </row>
    <row r="382" spans="10:13" x14ac:dyDescent="0.3">
      <c r="J382" s="54" t="str">
        <f t="shared" si="7"/>
        <v/>
      </c>
      <c r="K382" s="54" t="str">
        <f>IFERROR(WHOLE_STRUCTURE[[#This Row],[Bottom '[m']]]-WHOLE_STRUCTURE[[#This Row],[D, top '[m']]], "")</f>
        <v/>
      </c>
      <c r="L382" s="54" t="str">
        <f>IFERROR(-(WHOLE_STRUCTURE[[#This Row],[D, bottom '[m']]]-WHOLE_STRUCTURE[[#This Row],[D, top '[m']]])/(WHOLE_STRUCTURE[[#This Row],[Bottom '[m']]]-WHOLE_STRUCTURE[[#This Row],[Top '[m']]]),"")</f>
        <v/>
      </c>
      <c r="M382" s="54" t="str">
        <f>IFERROR((WHOLE_STRUCTURE[[#This Row],[D, bottom '[m']]]+WHOLE_STRUCTURE[[#This Row],[D, top '[m']]])/(2*WHOLE_STRUCTURE[[#This Row],[t '[mm']]]/1000),"")</f>
        <v/>
      </c>
    </row>
    <row r="383" spans="10:13" x14ac:dyDescent="0.3">
      <c r="J383" s="54" t="str">
        <f t="shared" si="7"/>
        <v/>
      </c>
      <c r="K383" s="54" t="str">
        <f>IFERROR(WHOLE_STRUCTURE[[#This Row],[Bottom '[m']]]-WHOLE_STRUCTURE[[#This Row],[D, top '[m']]], "")</f>
        <v/>
      </c>
      <c r="L383" s="54" t="str">
        <f>IFERROR(-(WHOLE_STRUCTURE[[#This Row],[D, bottom '[m']]]-WHOLE_STRUCTURE[[#This Row],[D, top '[m']]])/(WHOLE_STRUCTURE[[#This Row],[Bottom '[m']]]-WHOLE_STRUCTURE[[#This Row],[Top '[m']]]),"")</f>
        <v/>
      </c>
      <c r="M383" s="54" t="str">
        <f>IFERROR((WHOLE_STRUCTURE[[#This Row],[D, bottom '[m']]]+WHOLE_STRUCTURE[[#This Row],[D, top '[m']]])/(2*WHOLE_STRUCTURE[[#This Row],[t '[mm']]]/1000),"")</f>
        <v/>
      </c>
    </row>
    <row r="384" spans="10:13" x14ac:dyDescent="0.3">
      <c r="J384" s="54" t="str">
        <f t="shared" si="7"/>
        <v/>
      </c>
      <c r="K384" s="54" t="str">
        <f>IFERROR(WHOLE_STRUCTURE[[#This Row],[Bottom '[m']]]-WHOLE_STRUCTURE[[#This Row],[D, top '[m']]], "")</f>
        <v/>
      </c>
      <c r="L384" s="54" t="str">
        <f>IFERROR(-(WHOLE_STRUCTURE[[#This Row],[D, bottom '[m']]]-WHOLE_STRUCTURE[[#This Row],[D, top '[m']]])/(WHOLE_STRUCTURE[[#This Row],[Bottom '[m']]]-WHOLE_STRUCTURE[[#This Row],[Top '[m']]]),"")</f>
        <v/>
      </c>
      <c r="M384" s="54" t="str">
        <f>IFERROR((WHOLE_STRUCTURE[[#This Row],[D, bottom '[m']]]+WHOLE_STRUCTURE[[#This Row],[D, top '[m']]])/(2*WHOLE_STRUCTURE[[#This Row],[t '[mm']]]/1000),"")</f>
        <v/>
      </c>
    </row>
    <row r="385" spans="10:13" x14ac:dyDescent="0.3">
      <c r="J385" s="54" t="str">
        <f t="shared" si="7"/>
        <v/>
      </c>
      <c r="K385" s="54" t="str">
        <f>IFERROR(WHOLE_STRUCTURE[[#This Row],[Bottom '[m']]]-WHOLE_STRUCTURE[[#This Row],[D, top '[m']]], "")</f>
        <v/>
      </c>
      <c r="L385" s="54" t="str">
        <f>IFERROR(-(WHOLE_STRUCTURE[[#This Row],[D, bottom '[m']]]-WHOLE_STRUCTURE[[#This Row],[D, top '[m']]])/(WHOLE_STRUCTURE[[#This Row],[Bottom '[m']]]-WHOLE_STRUCTURE[[#This Row],[Top '[m']]]),"")</f>
        <v/>
      </c>
      <c r="M385" s="54" t="str">
        <f>IFERROR((WHOLE_STRUCTURE[[#This Row],[D, bottom '[m']]]+WHOLE_STRUCTURE[[#This Row],[D, top '[m']]])/(2*WHOLE_STRUCTURE[[#This Row],[t '[mm']]]/1000),"")</f>
        <v/>
      </c>
    </row>
    <row r="386" spans="10:13" x14ac:dyDescent="0.3">
      <c r="J386" s="54" t="str">
        <f t="shared" si="7"/>
        <v/>
      </c>
      <c r="K386" s="54" t="str">
        <f>IFERROR(WHOLE_STRUCTURE[[#This Row],[Bottom '[m']]]-WHOLE_STRUCTURE[[#This Row],[D, top '[m']]], "")</f>
        <v/>
      </c>
      <c r="L386" s="54" t="str">
        <f>IFERROR(-(WHOLE_STRUCTURE[[#This Row],[D, bottom '[m']]]-WHOLE_STRUCTURE[[#This Row],[D, top '[m']]])/(WHOLE_STRUCTURE[[#This Row],[Bottom '[m']]]-WHOLE_STRUCTURE[[#This Row],[Top '[m']]]),"")</f>
        <v/>
      </c>
      <c r="M386" s="54" t="str">
        <f>IFERROR((WHOLE_STRUCTURE[[#This Row],[D, bottom '[m']]]+WHOLE_STRUCTURE[[#This Row],[D, top '[m']]])/(2*WHOLE_STRUCTURE[[#This Row],[t '[mm']]]/1000),"")</f>
        <v/>
      </c>
    </row>
    <row r="387" spans="10:13" x14ac:dyDescent="0.3">
      <c r="J387" s="54" t="str">
        <f t="shared" ref="J387:J450" si="8">IF(7850/1000*(1/3)*PI()*ABS(E387-F387)*((G387/2)^2+(G387/2)*(H387/2)+(H387/2)^2-(G387/2-I387/1000)^2-(G387/2-I387/1000)*(H387/2-I387/1000)-(H387/2-I387/1000)^2)=0,"",7850/1000*(1/3)*PI()*ABS(E387-F387)*((G387/2)^2+(G387/2)*(H387/2)+(H387/2)^2-(G387/2-I387/1000)^2-(G387/2-I387/1000)*(H387/2-I387/1000)-(H387/2-I387/1000)^2))</f>
        <v/>
      </c>
      <c r="K387" s="54" t="str">
        <f>IFERROR(WHOLE_STRUCTURE[[#This Row],[Bottom '[m']]]-WHOLE_STRUCTURE[[#This Row],[D, top '[m']]], "")</f>
        <v/>
      </c>
      <c r="L387" s="54" t="str">
        <f>IFERROR(-(WHOLE_STRUCTURE[[#This Row],[D, bottom '[m']]]-WHOLE_STRUCTURE[[#This Row],[D, top '[m']]])/(WHOLE_STRUCTURE[[#This Row],[Bottom '[m']]]-WHOLE_STRUCTURE[[#This Row],[Top '[m']]]),"")</f>
        <v/>
      </c>
      <c r="M387" s="54" t="str">
        <f>IFERROR((WHOLE_STRUCTURE[[#This Row],[D, bottom '[m']]]+WHOLE_STRUCTURE[[#This Row],[D, top '[m']]])/(2*WHOLE_STRUCTURE[[#This Row],[t '[mm']]]/1000),"")</f>
        <v/>
      </c>
    </row>
    <row r="388" spans="10:13" x14ac:dyDescent="0.3">
      <c r="J388" s="54" t="str">
        <f t="shared" si="8"/>
        <v/>
      </c>
      <c r="K388" s="54" t="str">
        <f>IFERROR(WHOLE_STRUCTURE[[#This Row],[Bottom '[m']]]-WHOLE_STRUCTURE[[#This Row],[D, top '[m']]], "")</f>
        <v/>
      </c>
      <c r="L388" s="54" t="str">
        <f>IFERROR(-(WHOLE_STRUCTURE[[#This Row],[D, bottom '[m']]]-WHOLE_STRUCTURE[[#This Row],[D, top '[m']]])/(WHOLE_STRUCTURE[[#This Row],[Bottom '[m']]]-WHOLE_STRUCTURE[[#This Row],[Top '[m']]]),"")</f>
        <v/>
      </c>
      <c r="M388" s="54" t="str">
        <f>IFERROR((WHOLE_STRUCTURE[[#This Row],[D, bottom '[m']]]+WHOLE_STRUCTURE[[#This Row],[D, top '[m']]])/(2*WHOLE_STRUCTURE[[#This Row],[t '[mm']]]/1000),"")</f>
        <v/>
      </c>
    </row>
    <row r="389" spans="10:13" x14ac:dyDescent="0.3">
      <c r="J389" s="54" t="str">
        <f t="shared" si="8"/>
        <v/>
      </c>
      <c r="K389" s="54" t="str">
        <f>IFERROR(WHOLE_STRUCTURE[[#This Row],[Bottom '[m']]]-WHOLE_STRUCTURE[[#This Row],[D, top '[m']]], "")</f>
        <v/>
      </c>
      <c r="L389" s="54" t="str">
        <f>IFERROR(-(WHOLE_STRUCTURE[[#This Row],[D, bottom '[m']]]-WHOLE_STRUCTURE[[#This Row],[D, top '[m']]])/(WHOLE_STRUCTURE[[#This Row],[Bottom '[m']]]-WHOLE_STRUCTURE[[#This Row],[Top '[m']]]),"")</f>
        <v/>
      </c>
      <c r="M389" s="54" t="str">
        <f>IFERROR((WHOLE_STRUCTURE[[#This Row],[D, bottom '[m']]]+WHOLE_STRUCTURE[[#This Row],[D, top '[m']]])/(2*WHOLE_STRUCTURE[[#This Row],[t '[mm']]]/1000),"")</f>
        <v/>
      </c>
    </row>
    <row r="390" spans="10:13" x14ac:dyDescent="0.3">
      <c r="J390" s="54" t="str">
        <f t="shared" si="8"/>
        <v/>
      </c>
      <c r="K390" s="54" t="str">
        <f>IFERROR(WHOLE_STRUCTURE[[#This Row],[Bottom '[m']]]-WHOLE_STRUCTURE[[#This Row],[D, top '[m']]], "")</f>
        <v/>
      </c>
      <c r="L390" s="54" t="str">
        <f>IFERROR(-(WHOLE_STRUCTURE[[#This Row],[D, bottom '[m']]]-WHOLE_STRUCTURE[[#This Row],[D, top '[m']]])/(WHOLE_STRUCTURE[[#This Row],[Bottom '[m']]]-WHOLE_STRUCTURE[[#This Row],[Top '[m']]]),"")</f>
        <v/>
      </c>
      <c r="M390" s="54" t="str">
        <f>IFERROR((WHOLE_STRUCTURE[[#This Row],[D, bottom '[m']]]+WHOLE_STRUCTURE[[#This Row],[D, top '[m']]])/(2*WHOLE_STRUCTURE[[#This Row],[t '[mm']]]/1000),"")</f>
        <v/>
      </c>
    </row>
    <row r="391" spans="10:13" x14ac:dyDescent="0.3">
      <c r="J391" s="54" t="str">
        <f t="shared" si="8"/>
        <v/>
      </c>
      <c r="K391" s="54" t="str">
        <f>IFERROR(WHOLE_STRUCTURE[[#This Row],[Bottom '[m']]]-WHOLE_STRUCTURE[[#This Row],[D, top '[m']]], "")</f>
        <v/>
      </c>
      <c r="L391" s="54" t="str">
        <f>IFERROR(-(WHOLE_STRUCTURE[[#This Row],[D, bottom '[m']]]-WHOLE_STRUCTURE[[#This Row],[D, top '[m']]])/(WHOLE_STRUCTURE[[#This Row],[Bottom '[m']]]-WHOLE_STRUCTURE[[#This Row],[Top '[m']]]),"")</f>
        <v/>
      </c>
      <c r="M391" s="54" t="str">
        <f>IFERROR((WHOLE_STRUCTURE[[#This Row],[D, bottom '[m']]]+WHOLE_STRUCTURE[[#This Row],[D, top '[m']]])/(2*WHOLE_STRUCTURE[[#This Row],[t '[mm']]]/1000),"")</f>
        <v/>
      </c>
    </row>
    <row r="392" spans="10:13" x14ac:dyDescent="0.3">
      <c r="J392" s="54" t="str">
        <f t="shared" si="8"/>
        <v/>
      </c>
      <c r="K392" s="54" t="str">
        <f>IFERROR(WHOLE_STRUCTURE[[#This Row],[Bottom '[m']]]-WHOLE_STRUCTURE[[#This Row],[D, top '[m']]], "")</f>
        <v/>
      </c>
      <c r="L392" s="54" t="str">
        <f>IFERROR(-(WHOLE_STRUCTURE[[#This Row],[D, bottom '[m']]]-WHOLE_STRUCTURE[[#This Row],[D, top '[m']]])/(WHOLE_STRUCTURE[[#This Row],[Bottom '[m']]]-WHOLE_STRUCTURE[[#This Row],[Top '[m']]]),"")</f>
        <v/>
      </c>
      <c r="M392" s="54" t="str">
        <f>IFERROR((WHOLE_STRUCTURE[[#This Row],[D, bottom '[m']]]+WHOLE_STRUCTURE[[#This Row],[D, top '[m']]])/(2*WHOLE_STRUCTURE[[#This Row],[t '[mm']]]/1000),"")</f>
        <v/>
      </c>
    </row>
    <row r="393" spans="10:13" x14ac:dyDescent="0.3">
      <c r="J393" s="54" t="str">
        <f t="shared" si="8"/>
        <v/>
      </c>
      <c r="K393" s="54" t="str">
        <f>IFERROR(WHOLE_STRUCTURE[[#This Row],[Bottom '[m']]]-WHOLE_STRUCTURE[[#This Row],[D, top '[m']]], "")</f>
        <v/>
      </c>
      <c r="L393" s="54" t="str">
        <f>IFERROR(-(WHOLE_STRUCTURE[[#This Row],[D, bottom '[m']]]-WHOLE_STRUCTURE[[#This Row],[D, top '[m']]])/(WHOLE_STRUCTURE[[#This Row],[Bottom '[m']]]-WHOLE_STRUCTURE[[#This Row],[Top '[m']]]),"")</f>
        <v/>
      </c>
      <c r="M393" s="54" t="str">
        <f>IFERROR((WHOLE_STRUCTURE[[#This Row],[D, bottom '[m']]]+WHOLE_STRUCTURE[[#This Row],[D, top '[m']]])/(2*WHOLE_STRUCTURE[[#This Row],[t '[mm']]]/1000),"")</f>
        <v/>
      </c>
    </row>
    <row r="394" spans="10:13" x14ac:dyDescent="0.3">
      <c r="J394" s="54" t="str">
        <f t="shared" si="8"/>
        <v/>
      </c>
      <c r="K394" s="54" t="str">
        <f>IFERROR(WHOLE_STRUCTURE[[#This Row],[Bottom '[m']]]-WHOLE_STRUCTURE[[#This Row],[D, top '[m']]], "")</f>
        <v/>
      </c>
      <c r="L394" s="54" t="str">
        <f>IFERROR(-(WHOLE_STRUCTURE[[#This Row],[D, bottom '[m']]]-WHOLE_STRUCTURE[[#This Row],[D, top '[m']]])/(WHOLE_STRUCTURE[[#This Row],[Bottom '[m']]]-WHOLE_STRUCTURE[[#This Row],[Top '[m']]]),"")</f>
        <v/>
      </c>
      <c r="M394" s="54" t="str">
        <f>IFERROR((WHOLE_STRUCTURE[[#This Row],[D, bottom '[m']]]+WHOLE_STRUCTURE[[#This Row],[D, top '[m']]])/(2*WHOLE_STRUCTURE[[#This Row],[t '[mm']]]/1000),"")</f>
        <v/>
      </c>
    </row>
    <row r="395" spans="10:13" x14ac:dyDescent="0.3">
      <c r="J395" s="54" t="str">
        <f t="shared" si="8"/>
        <v/>
      </c>
      <c r="K395" s="54" t="str">
        <f>IFERROR(WHOLE_STRUCTURE[[#This Row],[Bottom '[m']]]-WHOLE_STRUCTURE[[#This Row],[D, top '[m']]], "")</f>
        <v/>
      </c>
      <c r="L395" s="54" t="str">
        <f>IFERROR(-(WHOLE_STRUCTURE[[#This Row],[D, bottom '[m']]]-WHOLE_STRUCTURE[[#This Row],[D, top '[m']]])/(WHOLE_STRUCTURE[[#This Row],[Bottom '[m']]]-WHOLE_STRUCTURE[[#This Row],[Top '[m']]]),"")</f>
        <v/>
      </c>
      <c r="M395" s="54" t="str">
        <f>IFERROR((WHOLE_STRUCTURE[[#This Row],[D, bottom '[m']]]+WHOLE_STRUCTURE[[#This Row],[D, top '[m']]])/(2*WHOLE_STRUCTURE[[#This Row],[t '[mm']]]/1000),"")</f>
        <v/>
      </c>
    </row>
    <row r="396" spans="10:13" x14ac:dyDescent="0.3">
      <c r="J396" s="54" t="str">
        <f t="shared" si="8"/>
        <v/>
      </c>
      <c r="K396" s="54" t="str">
        <f>IFERROR(WHOLE_STRUCTURE[[#This Row],[Bottom '[m']]]-WHOLE_STRUCTURE[[#This Row],[D, top '[m']]], "")</f>
        <v/>
      </c>
      <c r="L396" s="54" t="str">
        <f>IFERROR(-(WHOLE_STRUCTURE[[#This Row],[D, bottom '[m']]]-WHOLE_STRUCTURE[[#This Row],[D, top '[m']]])/(WHOLE_STRUCTURE[[#This Row],[Bottom '[m']]]-WHOLE_STRUCTURE[[#This Row],[Top '[m']]]),"")</f>
        <v/>
      </c>
      <c r="M396" s="54" t="str">
        <f>IFERROR((WHOLE_STRUCTURE[[#This Row],[D, bottom '[m']]]+WHOLE_STRUCTURE[[#This Row],[D, top '[m']]])/(2*WHOLE_STRUCTURE[[#This Row],[t '[mm']]]/1000),"")</f>
        <v/>
      </c>
    </row>
    <row r="397" spans="10:13" x14ac:dyDescent="0.3">
      <c r="J397" s="54" t="str">
        <f t="shared" si="8"/>
        <v/>
      </c>
      <c r="K397" s="54" t="str">
        <f>IFERROR(WHOLE_STRUCTURE[[#This Row],[Bottom '[m']]]-WHOLE_STRUCTURE[[#This Row],[D, top '[m']]], "")</f>
        <v/>
      </c>
      <c r="L397" s="54" t="str">
        <f>IFERROR(-(WHOLE_STRUCTURE[[#This Row],[D, bottom '[m']]]-WHOLE_STRUCTURE[[#This Row],[D, top '[m']]])/(WHOLE_STRUCTURE[[#This Row],[Bottom '[m']]]-WHOLE_STRUCTURE[[#This Row],[Top '[m']]]),"")</f>
        <v/>
      </c>
      <c r="M397" s="54" t="str">
        <f>IFERROR((WHOLE_STRUCTURE[[#This Row],[D, bottom '[m']]]+WHOLE_STRUCTURE[[#This Row],[D, top '[m']]])/(2*WHOLE_STRUCTURE[[#This Row],[t '[mm']]]/1000),"")</f>
        <v/>
      </c>
    </row>
    <row r="398" spans="10:13" x14ac:dyDescent="0.3">
      <c r="J398" s="54" t="str">
        <f t="shared" si="8"/>
        <v/>
      </c>
      <c r="K398" s="54" t="str">
        <f>IFERROR(WHOLE_STRUCTURE[[#This Row],[Bottom '[m']]]-WHOLE_STRUCTURE[[#This Row],[D, top '[m']]], "")</f>
        <v/>
      </c>
      <c r="L398" s="54" t="str">
        <f>IFERROR(-(WHOLE_STRUCTURE[[#This Row],[D, bottom '[m']]]-WHOLE_STRUCTURE[[#This Row],[D, top '[m']]])/(WHOLE_STRUCTURE[[#This Row],[Bottom '[m']]]-WHOLE_STRUCTURE[[#This Row],[Top '[m']]]),"")</f>
        <v/>
      </c>
      <c r="M398" s="54" t="str">
        <f>IFERROR((WHOLE_STRUCTURE[[#This Row],[D, bottom '[m']]]+WHOLE_STRUCTURE[[#This Row],[D, top '[m']]])/(2*WHOLE_STRUCTURE[[#This Row],[t '[mm']]]/1000),"")</f>
        <v/>
      </c>
    </row>
    <row r="399" spans="10:13" x14ac:dyDescent="0.3">
      <c r="J399" s="54" t="str">
        <f t="shared" si="8"/>
        <v/>
      </c>
      <c r="K399" s="54" t="str">
        <f>IFERROR(WHOLE_STRUCTURE[[#This Row],[Bottom '[m']]]-WHOLE_STRUCTURE[[#This Row],[D, top '[m']]], "")</f>
        <v/>
      </c>
      <c r="L399" s="54" t="str">
        <f>IFERROR(-(WHOLE_STRUCTURE[[#This Row],[D, bottom '[m']]]-WHOLE_STRUCTURE[[#This Row],[D, top '[m']]])/(WHOLE_STRUCTURE[[#This Row],[Bottom '[m']]]-WHOLE_STRUCTURE[[#This Row],[Top '[m']]]),"")</f>
        <v/>
      </c>
      <c r="M399" s="54" t="str">
        <f>IFERROR((WHOLE_STRUCTURE[[#This Row],[D, bottom '[m']]]+WHOLE_STRUCTURE[[#This Row],[D, top '[m']]])/(2*WHOLE_STRUCTURE[[#This Row],[t '[mm']]]/1000),"")</f>
        <v/>
      </c>
    </row>
    <row r="400" spans="10:13" x14ac:dyDescent="0.3">
      <c r="J400" s="54" t="str">
        <f t="shared" si="8"/>
        <v/>
      </c>
      <c r="K400" s="54" t="str">
        <f>IFERROR(WHOLE_STRUCTURE[[#This Row],[Bottom '[m']]]-WHOLE_STRUCTURE[[#This Row],[D, top '[m']]], "")</f>
        <v/>
      </c>
      <c r="L400" s="54" t="str">
        <f>IFERROR(-(WHOLE_STRUCTURE[[#This Row],[D, bottom '[m']]]-WHOLE_STRUCTURE[[#This Row],[D, top '[m']]])/(WHOLE_STRUCTURE[[#This Row],[Bottom '[m']]]-WHOLE_STRUCTURE[[#This Row],[Top '[m']]]),"")</f>
        <v/>
      </c>
      <c r="M400" s="54" t="str">
        <f>IFERROR((WHOLE_STRUCTURE[[#This Row],[D, bottom '[m']]]+WHOLE_STRUCTURE[[#This Row],[D, top '[m']]])/(2*WHOLE_STRUCTURE[[#This Row],[t '[mm']]]/1000),"")</f>
        <v/>
      </c>
    </row>
    <row r="401" spans="10:13" x14ac:dyDescent="0.3">
      <c r="J401" s="54" t="str">
        <f t="shared" si="8"/>
        <v/>
      </c>
      <c r="K401" s="54" t="str">
        <f>IFERROR(WHOLE_STRUCTURE[[#This Row],[Bottom '[m']]]-WHOLE_STRUCTURE[[#This Row],[D, top '[m']]], "")</f>
        <v/>
      </c>
      <c r="L401" s="54" t="str">
        <f>IFERROR(-(WHOLE_STRUCTURE[[#This Row],[D, bottom '[m']]]-WHOLE_STRUCTURE[[#This Row],[D, top '[m']]])/(WHOLE_STRUCTURE[[#This Row],[Bottom '[m']]]-WHOLE_STRUCTURE[[#This Row],[Top '[m']]]),"")</f>
        <v/>
      </c>
      <c r="M401" s="54" t="str">
        <f>IFERROR((WHOLE_STRUCTURE[[#This Row],[D, bottom '[m']]]+WHOLE_STRUCTURE[[#This Row],[D, top '[m']]])/(2*WHOLE_STRUCTURE[[#This Row],[t '[mm']]]/1000),"")</f>
        <v/>
      </c>
    </row>
    <row r="402" spans="10:13" x14ac:dyDescent="0.3">
      <c r="J402" s="54" t="str">
        <f t="shared" si="8"/>
        <v/>
      </c>
      <c r="K402" s="54" t="str">
        <f>IFERROR(WHOLE_STRUCTURE[[#This Row],[Bottom '[m']]]-WHOLE_STRUCTURE[[#This Row],[D, top '[m']]], "")</f>
        <v/>
      </c>
      <c r="L402" s="54" t="str">
        <f>IFERROR(-(WHOLE_STRUCTURE[[#This Row],[D, bottom '[m']]]-WHOLE_STRUCTURE[[#This Row],[D, top '[m']]])/(WHOLE_STRUCTURE[[#This Row],[Bottom '[m']]]-WHOLE_STRUCTURE[[#This Row],[Top '[m']]]),"")</f>
        <v/>
      </c>
      <c r="M402" s="54" t="str">
        <f>IFERROR((WHOLE_STRUCTURE[[#This Row],[D, bottom '[m']]]+WHOLE_STRUCTURE[[#This Row],[D, top '[m']]])/(2*WHOLE_STRUCTURE[[#This Row],[t '[mm']]]/1000),"")</f>
        <v/>
      </c>
    </row>
    <row r="403" spans="10:13" x14ac:dyDescent="0.3">
      <c r="J403" s="54" t="str">
        <f t="shared" si="8"/>
        <v/>
      </c>
      <c r="K403" s="54" t="str">
        <f>IFERROR(WHOLE_STRUCTURE[[#This Row],[Bottom '[m']]]-WHOLE_STRUCTURE[[#This Row],[D, top '[m']]], "")</f>
        <v/>
      </c>
      <c r="L403" s="54" t="str">
        <f>IFERROR(-(WHOLE_STRUCTURE[[#This Row],[D, bottom '[m']]]-WHOLE_STRUCTURE[[#This Row],[D, top '[m']]])/(WHOLE_STRUCTURE[[#This Row],[Bottom '[m']]]-WHOLE_STRUCTURE[[#This Row],[Top '[m']]]),"")</f>
        <v/>
      </c>
      <c r="M403" s="54" t="str">
        <f>IFERROR((WHOLE_STRUCTURE[[#This Row],[D, bottom '[m']]]+WHOLE_STRUCTURE[[#This Row],[D, top '[m']]])/(2*WHOLE_STRUCTURE[[#This Row],[t '[mm']]]/1000),"")</f>
        <v/>
      </c>
    </row>
    <row r="404" spans="10:13" x14ac:dyDescent="0.3">
      <c r="J404" s="54" t="str">
        <f t="shared" si="8"/>
        <v/>
      </c>
      <c r="K404" s="54" t="str">
        <f>IFERROR(WHOLE_STRUCTURE[[#This Row],[Bottom '[m']]]-WHOLE_STRUCTURE[[#This Row],[D, top '[m']]], "")</f>
        <v/>
      </c>
      <c r="L404" s="54" t="str">
        <f>IFERROR(-(WHOLE_STRUCTURE[[#This Row],[D, bottom '[m']]]-WHOLE_STRUCTURE[[#This Row],[D, top '[m']]])/(WHOLE_STRUCTURE[[#This Row],[Bottom '[m']]]-WHOLE_STRUCTURE[[#This Row],[Top '[m']]]),"")</f>
        <v/>
      </c>
      <c r="M404" s="54" t="str">
        <f>IFERROR((WHOLE_STRUCTURE[[#This Row],[D, bottom '[m']]]+WHOLE_STRUCTURE[[#This Row],[D, top '[m']]])/(2*WHOLE_STRUCTURE[[#This Row],[t '[mm']]]/1000),"")</f>
        <v/>
      </c>
    </row>
    <row r="405" spans="10:13" x14ac:dyDescent="0.3">
      <c r="J405" s="54" t="str">
        <f t="shared" si="8"/>
        <v/>
      </c>
      <c r="K405" s="54" t="str">
        <f>IFERROR(WHOLE_STRUCTURE[[#This Row],[Bottom '[m']]]-WHOLE_STRUCTURE[[#This Row],[D, top '[m']]], "")</f>
        <v/>
      </c>
      <c r="L405" s="54" t="str">
        <f>IFERROR(-(WHOLE_STRUCTURE[[#This Row],[D, bottom '[m']]]-WHOLE_STRUCTURE[[#This Row],[D, top '[m']]])/(WHOLE_STRUCTURE[[#This Row],[Bottom '[m']]]-WHOLE_STRUCTURE[[#This Row],[Top '[m']]]),"")</f>
        <v/>
      </c>
      <c r="M405" s="54" t="str">
        <f>IFERROR((WHOLE_STRUCTURE[[#This Row],[D, bottom '[m']]]+WHOLE_STRUCTURE[[#This Row],[D, top '[m']]])/(2*WHOLE_STRUCTURE[[#This Row],[t '[mm']]]/1000),"")</f>
        <v/>
      </c>
    </row>
    <row r="406" spans="10:13" x14ac:dyDescent="0.3">
      <c r="J406" s="54" t="str">
        <f t="shared" si="8"/>
        <v/>
      </c>
      <c r="K406" s="54" t="str">
        <f>IFERROR(WHOLE_STRUCTURE[[#This Row],[Bottom '[m']]]-WHOLE_STRUCTURE[[#This Row],[D, top '[m']]], "")</f>
        <v/>
      </c>
      <c r="L406" s="54" t="str">
        <f>IFERROR(-(WHOLE_STRUCTURE[[#This Row],[D, bottom '[m']]]-WHOLE_STRUCTURE[[#This Row],[D, top '[m']]])/(WHOLE_STRUCTURE[[#This Row],[Bottom '[m']]]-WHOLE_STRUCTURE[[#This Row],[Top '[m']]]),"")</f>
        <v/>
      </c>
      <c r="M406" s="54" t="str">
        <f>IFERROR((WHOLE_STRUCTURE[[#This Row],[D, bottom '[m']]]+WHOLE_STRUCTURE[[#This Row],[D, top '[m']]])/(2*WHOLE_STRUCTURE[[#This Row],[t '[mm']]]/1000),"")</f>
        <v/>
      </c>
    </row>
    <row r="407" spans="10:13" x14ac:dyDescent="0.3">
      <c r="J407" s="54" t="str">
        <f t="shared" si="8"/>
        <v/>
      </c>
      <c r="K407" s="54" t="str">
        <f>IFERROR(WHOLE_STRUCTURE[[#This Row],[Bottom '[m']]]-WHOLE_STRUCTURE[[#This Row],[D, top '[m']]], "")</f>
        <v/>
      </c>
      <c r="L407" s="54" t="str">
        <f>IFERROR(-(WHOLE_STRUCTURE[[#This Row],[D, bottom '[m']]]-WHOLE_STRUCTURE[[#This Row],[D, top '[m']]])/(WHOLE_STRUCTURE[[#This Row],[Bottom '[m']]]-WHOLE_STRUCTURE[[#This Row],[Top '[m']]]),"")</f>
        <v/>
      </c>
      <c r="M407" s="54" t="str">
        <f>IFERROR((WHOLE_STRUCTURE[[#This Row],[D, bottom '[m']]]+WHOLE_STRUCTURE[[#This Row],[D, top '[m']]])/(2*WHOLE_STRUCTURE[[#This Row],[t '[mm']]]/1000),"")</f>
        <v/>
      </c>
    </row>
    <row r="408" spans="10:13" x14ac:dyDescent="0.3">
      <c r="J408" s="54" t="str">
        <f t="shared" si="8"/>
        <v/>
      </c>
      <c r="K408" s="54" t="str">
        <f>IFERROR(WHOLE_STRUCTURE[[#This Row],[Bottom '[m']]]-WHOLE_STRUCTURE[[#This Row],[D, top '[m']]], "")</f>
        <v/>
      </c>
      <c r="L408" s="54" t="str">
        <f>IFERROR(-(WHOLE_STRUCTURE[[#This Row],[D, bottom '[m']]]-WHOLE_STRUCTURE[[#This Row],[D, top '[m']]])/(WHOLE_STRUCTURE[[#This Row],[Bottom '[m']]]-WHOLE_STRUCTURE[[#This Row],[Top '[m']]]),"")</f>
        <v/>
      </c>
      <c r="M408" s="54" t="str">
        <f>IFERROR((WHOLE_STRUCTURE[[#This Row],[D, bottom '[m']]]+WHOLE_STRUCTURE[[#This Row],[D, top '[m']]])/(2*WHOLE_STRUCTURE[[#This Row],[t '[mm']]]/1000),"")</f>
        <v/>
      </c>
    </row>
    <row r="409" spans="10:13" x14ac:dyDescent="0.3">
      <c r="J409" s="54" t="str">
        <f t="shared" si="8"/>
        <v/>
      </c>
      <c r="K409" s="54" t="str">
        <f>IFERROR(WHOLE_STRUCTURE[[#This Row],[Bottom '[m']]]-WHOLE_STRUCTURE[[#This Row],[D, top '[m']]], "")</f>
        <v/>
      </c>
      <c r="L409" s="54" t="str">
        <f>IFERROR(-(WHOLE_STRUCTURE[[#This Row],[D, bottom '[m']]]-WHOLE_STRUCTURE[[#This Row],[D, top '[m']]])/(WHOLE_STRUCTURE[[#This Row],[Bottom '[m']]]-WHOLE_STRUCTURE[[#This Row],[Top '[m']]]),"")</f>
        <v/>
      </c>
      <c r="M409" s="54" t="str">
        <f>IFERROR((WHOLE_STRUCTURE[[#This Row],[D, bottom '[m']]]+WHOLE_STRUCTURE[[#This Row],[D, top '[m']]])/(2*WHOLE_STRUCTURE[[#This Row],[t '[mm']]]/1000),"")</f>
        <v/>
      </c>
    </row>
    <row r="410" spans="10:13" x14ac:dyDescent="0.3">
      <c r="J410" s="54" t="str">
        <f t="shared" si="8"/>
        <v/>
      </c>
      <c r="K410" s="54" t="str">
        <f>IFERROR(WHOLE_STRUCTURE[[#This Row],[Bottom '[m']]]-WHOLE_STRUCTURE[[#This Row],[D, top '[m']]], "")</f>
        <v/>
      </c>
      <c r="L410" s="54" t="str">
        <f>IFERROR(-(WHOLE_STRUCTURE[[#This Row],[D, bottom '[m']]]-WHOLE_STRUCTURE[[#This Row],[D, top '[m']]])/(WHOLE_STRUCTURE[[#This Row],[Bottom '[m']]]-WHOLE_STRUCTURE[[#This Row],[Top '[m']]]),"")</f>
        <v/>
      </c>
      <c r="M410" s="54" t="str">
        <f>IFERROR((WHOLE_STRUCTURE[[#This Row],[D, bottom '[m']]]+WHOLE_STRUCTURE[[#This Row],[D, top '[m']]])/(2*WHOLE_STRUCTURE[[#This Row],[t '[mm']]]/1000),"")</f>
        <v/>
      </c>
    </row>
    <row r="411" spans="10:13" x14ac:dyDescent="0.3">
      <c r="J411" s="54" t="str">
        <f t="shared" si="8"/>
        <v/>
      </c>
      <c r="K411" s="54" t="str">
        <f>IFERROR(WHOLE_STRUCTURE[[#This Row],[Bottom '[m']]]-WHOLE_STRUCTURE[[#This Row],[D, top '[m']]], "")</f>
        <v/>
      </c>
      <c r="L411" s="54" t="str">
        <f>IFERROR(-(WHOLE_STRUCTURE[[#This Row],[D, bottom '[m']]]-WHOLE_STRUCTURE[[#This Row],[D, top '[m']]])/(WHOLE_STRUCTURE[[#This Row],[Bottom '[m']]]-WHOLE_STRUCTURE[[#This Row],[Top '[m']]]),"")</f>
        <v/>
      </c>
      <c r="M411" s="54" t="str">
        <f>IFERROR((WHOLE_STRUCTURE[[#This Row],[D, bottom '[m']]]+WHOLE_STRUCTURE[[#This Row],[D, top '[m']]])/(2*WHOLE_STRUCTURE[[#This Row],[t '[mm']]]/1000),"")</f>
        <v/>
      </c>
    </row>
    <row r="412" spans="10:13" x14ac:dyDescent="0.3">
      <c r="J412" s="54" t="str">
        <f t="shared" si="8"/>
        <v/>
      </c>
      <c r="K412" s="54" t="str">
        <f>IFERROR(WHOLE_STRUCTURE[[#This Row],[Bottom '[m']]]-WHOLE_STRUCTURE[[#This Row],[D, top '[m']]], "")</f>
        <v/>
      </c>
      <c r="L412" s="54" t="str">
        <f>IFERROR(-(WHOLE_STRUCTURE[[#This Row],[D, bottom '[m']]]-WHOLE_STRUCTURE[[#This Row],[D, top '[m']]])/(WHOLE_STRUCTURE[[#This Row],[Bottom '[m']]]-WHOLE_STRUCTURE[[#This Row],[Top '[m']]]),"")</f>
        <v/>
      </c>
      <c r="M412" s="54" t="str">
        <f>IFERROR((WHOLE_STRUCTURE[[#This Row],[D, bottom '[m']]]+WHOLE_STRUCTURE[[#This Row],[D, top '[m']]])/(2*WHOLE_STRUCTURE[[#This Row],[t '[mm']]]/1000),"")</f>
        <v/>
      </c>
    </row>
    <row r="413" spans="10:13" x14ac:dyDescent="0.3">
      <c r="J413" s="54" t="str">
        <f t="shared" si="8"/>
        <v/>
      </c>
      <c r="K413" s="54" t="str">
        <f>IFERROR(WHOLE_STRUCTURE[[#This Row],[Bottom '[m']]]-WHOLE_STRUCTURE[[#This Row],[D, top '[m']]], "")</f>
        <v/>
      </c>
      <c r="L413" s="54" t="str">
        <f>IFERROR(-(WHOLE_STRUCTURE[[#This Row],[D, bottom '[m']]]-WHOLE_STRUCTURE[[#This Row],[D, top '[m']]])/(WHOLE_STRUCTURE[[#This Row],[Bottom '[m']]]-WHOLE_STRUCTURE[[#This Row],[Top '[m']]]),"")</f>
        <v/>
      </c>
      <c r="M413" s="54" t="str">
        <f>IFERROR((WHOLE_STRUCTURE[[#This Row],[D, bottom '[m']]]+WHOLE_STRUCTURE[[#This Row],[D, top '[m']]])/(2*WHOLE_STRUCTURE[[#This Row],[t '[mm']]]/1000),"")</f>
        <v/>
      </c>
    </row>
    <row r="414" spans="10:13" x14ac:dyDescent="0.3">
      <c r="J414" s="54" t="str">
        <f t="shared" si="8"/>
        <v/>
      </c>
      <c r="K414" s="54" t="str">
        <f>IFERROR(WHOLE_STRUCTURE[[#This Row],[Bottom '[m']]]-WHOLE_STRUCTURE[[#This Row],[D, top '[m']]], "")</f>
        <v/>
      </c>
      <c r="L414" s="54" t="str">
        <f>IFERROR(-(WHOLE_STRUCTURE[[#This Row],[D, bottom '[m']]]-WHOLE_STRUCTURE[[#This Row],[D, top '[m']]])/(WHOLE_STRUCTURE[[#This Row],[Bottom '[m']]]-WHOLE_STRUCTURE[[#This Row],[Top '[m']]]),"")</f>
        <v/>
      </c>
      <c r="M414" s="54" t="str">
        <f>IFERROR((WHOLE_STRUCTURE[[#This Row],[D, bottom '[m']]]+WHOLE_STRUCTURE[[#This Row],[D, top '[m']]])/(2*WHOLE_STRUCTURE[[#This Row],[t '[mm']]]/1000),"")</f>
        <v/>
      </c>
    </row>
    <row r="415" spans="10:13" x14ac:dyDescent="0.3">
      <c r="J415" s="54" t="str">
        <f t="shared" si="8"/>
        <v/>
      </c>
      <c r="K415" s="54" t="str">
        <f>IFERROR(WHOLE_STRUCTURE[[#This Row],[Bottom '[m']]]-WHOLE_STRUCTURE[[#This Row],[D, top '[m']]], "")</f>
        <v/>
      </c>
      <c r="L415" s="54" t="str">
        <f>IFERROR(-(WHOLE_STRUCTURE[[#This Row],[D, bottom '[m']]]-WHOLE_STRUCTURE[[#This Row],[D, top '[m']]])/(WHOLE_STRUCTURE[[#This Row],[Bottom '[m']]]-WHOLE_STRUCTURE[[#This Row],[Top '[m']]]),"")</f>
        <v/>
      </c>
      <c r="M415" s="54" t="str">
        <f>IFERROR((WHOLE_STRUCTURE[[#This Row],[D, bottom '[m']]]+WHOLE_STRUCTURE[[#This Row],[D, top '[m']]])/(2*WHOLE_STRUCTURE[[#This Row],[t '[mm']]]/1000),"")</f>
        <v/>
      </c>
    </row>
    <row r="416" spans="10:13" x14ac:dyDescent="0.3">
      <c r="J416" s="54" t="str">
        <f t="shared" si="8"/>
        <v/>
      </c>
      <c r="K416" s="54" t="str">
        <f>IFERROR(WHOLE_STRUCTURE[[#This Row],[Bottom '[m']]]-WHOLE_STRUCTURE[[#This Row],[D, top '[m']]], "")</f>
        <v/>
      </c>
      <c r="L416" s="54" t="str">
        <f>IFERROR(-(WHOLE_STRUCTURE[[#This Row],[D, bottom '[m']]]-WHOLE_STRUCTURE[[#This Row],[D, top '[m']]])/(WHOLE_STRUCTURE[[#This Row],[Bottom '[m']]]-WHOLE_STRUCTURE[[#This Row],[Top '[m']]]),"")</f>
        <v/>
      </c>
      <c r="M416" s="54" t="str">
        <f>IFERROR((WHOLE_STRUCTURE[[#This Row],[D, bottom '[m']]]+WHOLE_STRUCTURE[[#This Row],[D, top '[m']]])/(2*WHOLE_STRUCTURE[[#This Row],[t '[mm']]]/1000),"")</f>
        <v/>
      </c>
    </row>
    <row r="417" spans="10:13" x14ac:dyDescent="0.3">
      <c r="J417" s="54" t="str">
        <f t="shared" si="8"/>
        <v/>
      </c>
      <c r="K417" s="54" t="str">
        <f>IFERROR(WHOLE_STRUCTURE[[#This Row],[Bottom '[m']]]-WHOLE_STRUCTURE[[#This Row],[D, top '[m']]], "")</f>
        <v/>
      </c>
      <c r="L417" s="54" t="str">
        <f>IFERROR(-(WHOLE_STRUCTURE[[#This Row],[D, bottom '[m']]]-WHOLE_STRUCTURE[[#This Row],[D, top '[m']]])/(WHOLE_STRUCTURE[[#This Row],[Bottom '[m']]]-WHOLE_STRUCTURE[[#This Row],[Top '[m']]]),"")</f>
        <v/>
      </c>
      <c r="M417" s="54" t="str">
        <f>IFERROR((WHOLE_STRUCTURE[[#This Row],[D, bottom '[m']]]+WHOLE_STRUCTURE[[#This Row],[D, top '[m']]])/(2*WHOLE_STRUCTURE[[#This Row],[t '[mm']]]/1000),"")</f>
        <v/>
      </c>
    </row>
    <row r="418" spans="10:13" x14ac:dyDescent="0.3">
      <c r="J418" s="54" t="str">
        <f t="shared" si="8"/>
        <v/>
      </c>
      <c r="K418" s="54" t="str">
        <f>IFERROR(WHOLE_STRUCTURE[[#This Row],[Bottom '[m']]]-WHOLE_STRUCTURE[[#This Row],[D, top '[m']]], "")</f>
        <v/>
      </c>
      <c r="L418" s="54" t="str">
        <f>IFERROR(-(WHOLE_STRUCTURE[[#This Row],[D, bottom '[m']]]-WHOLE_STRUCTURE[[#This Row],[D, top '[m']]])/(WHOLE_STRUCTURE[[#This Row],[Bottom '[m']]]-WHOLE_STRUCTURE[[#This Row],[Top '[m']]]),"")</f>
        <v/>
      </c>
      <c r="M418" s="54" t="str">
        <f>IFERROR((WHOLE_STRUCTURE[[#This Row],[D, bottom '[m']]]+WHOLE_STRUCTURE[[#This Row],[D, top '[m']]])/(2*WHOLE_STRUCTURE[[#This Row],[t '[mm']]]/1000),"")</f>
        <v/>
      </c>
    </row>
    <row r="419" spans="10:13" x14ac:dyDescent="0.3">
      <c r="J419" s="54" t="str">
        <f t="shared" si="8"/>
        <v/>
      </c>
      <c r="K419" s="54" t="str">
        <f>IFERROR(WHOLE_STRUCTURE[[#This Row],[Bottom '[m']]]-WHOLE_STRUCTURE[[#This Row],[D, top '[m']]], "")</f>
        <v/>
      </c>
      <c r="L419" s="54" t="str">
        <f>IFERROR(-(WHOLE_STRUCTURE[[#This Row],[D, bottom '[m']]]-WHOLE_STRUCTURE[[#This Row],[D, top '[m']]])/(WHOLE_STRUCTURE[[#This Row],[Bottom '[m']]]-WHOLE_STRUCTURE[[#This Row],[Top '[m']]]),"")</f>
        <v/>
      </c>
      <c r="M419" s="54" t="str">
        <f>IFERROR((WHOLE_STRUCTURE[[#This Row],[D, bottom '[m']]]+WHOLE_STRUCTURE[[#This Row],[D, top '[m']]])/(2*WHOLE_STRUCTURE[[#This Row],[t '[mm']]]/1000),"")</f>
        <v/>
      </c>
    </row>
    <row r="420" spans="10:13" x14ac:dyDescent="0.3">
      <c r="J420" s="54" t="str">
        <f t="shared" si="8"/>
        <v/>
      </c>
      <c r="K420" s="54" t="str">
        <f>IFERROR(WHOLE_STRUCTURE[[#This Row],[Bottom '[m']]]-WHOLE_STRUCTURE[[#This Row],[D, top '[m']]], "")</f>
        <v/>
      </c>
      <c r="L420" s="54" t="str">
        <f>IFERROR(-(WHOLE_STRUCTURE[[#This Row],[D, bottom '[m']]]-WHOLE_STRUCTURE[[#This Row],[D, top '[m']]])/(WHOLE_STRUCTURE[[#This Row],[Bottom '[m']]]-WHOLE_STRUCTURE[[#This Row],[Top '[m']]]),"")</f>
        <v/>
      </c>
      <c r="M420" s="54" t="str">
        <f>IFERROR((WHOLE_STRUCTURE[[#This Row],[D, bottom '[m']]]+WHOLE_STRUCTURE[[#This Row],[D, top '[m']]])/(2*WHOLE_STRUCTURE[[#This Row],[t '[mm']]]/1000),"")</f>
        <v/>
      </c>
    </row>
    <row r="421" spans="10:13" x14ac:dyDescent="0.3">
      <c r="J421" s="54" t="str">
        <f t="shared" si="8"/>
        <v/>
      </c>
      <c r="K421" s="54" t="str">
        <f>IFERROR(WHOLE_STRUCTURE[[#This Row],[Bottom '[m']]]-WHOLE_STRUCTURE[[#This Row],[D, top '[m']]], "")</f>
        <v/>
      </c>
      <c r="L421" s="54" t="str">
        <f>IFERROR(-(WHOLE_STRUCTURE[[#This Row],[D, bottom '[m']]]-WHOLE_STRUCTURE[[#This Row],[D, top '[m']]])/(WHOLE_STRUCTURE[[#This Row],[Bottom '[m']]]-WHOLE_STRUCTURE[[#This Row],[Top '[m']]]),"")</f>
        <v/>
      </c>
      <c r="M421" s="54" t="str">
        <f>IFERROR((WHOLE_STRUCTURE[[#This Row],[D, bottom '[m']]]+WHOLE_STRUCTURE[[#This Row],[D, top '[m']]])/(2*WHOLE_STRUCTURE[[#This Row],[t '[mm']]]/1000),"")</f>
        <v/>
      </c>
    </row>
    <row r="422" spans="10:13" x14ac:dyDescent="0.3">
      <c r="J422" s="54" t="str">
        <f t="shared" si="8"/>
        <v/>
      </c>
      <c r="K422" s="54" t="str">
        <f>IFERROR(WHOLE_STRUCTURE[[#This Row],[Bottom '[m']]]-WHOLE_STRUCTURE[[#This Row],[D, top '[m']]], "")</f>
        <v/>
      </c>
      <c r="L422" s="54" t="str">
        <f>IFERROR(-(WHOLE_STRUCTURE[[#This Row],[D, bottom '[m']]]-WHOLE_STRUCTURE[[#This Row],[D, top '[m']]])/(WHOLE_STRUCTURE[[#This Row],[Bottom '[m']]]-WHOLE_STRUCTURE[[#This Row],[Top '[m']]]),"")</f>
        <v/>
      </c>
      <c r="M422" s="54" t="str">
        <f>IFERROR((WHOLE_STRUCTURE[[#This Row],[D, bottom '[m']]]+WHOLE_STRUCTURE[[#This Row],[D, top '[m']]])/(2*WHOLE_STRUCTURE[[#This Row],[t '[mm']]]/1000),"")</f>
        <v/>
      </c>
    </row>
    <row r="423" spans="10:13" x14ac:dyDescent="0.3">
      <c r="J423" s="54" t="str">
        <f t="shared" si="8"/>
        <v/>
      </c>
      <c r="K423" s="54" t="str">
        <f>IFERROR(WHOLE_STRUCTURE[[#This Row],[Bottom '[m']]]-WHOLE_STRUCTURE[[#This Row],[D, top '[m']]], "")</f>
        <v/>
      </c>
      <c r="L423" s="54" t="str">
        <f>IFERROR(-(WHOLE_STRUCTURE[[#This Row],[D, bottom '[m']]]-WHOLE_STRUCTURE[[#This Row],[D, top '[m']]])/(WHOLE_STRUCTURE[[#This Row],[Bottom '[m']]]-WHOLE_STRUCTURE[[#This Row],[Top '[m']]]),"")</f>
        <v/>
      </c>
      <c r="M423" s="54" t="str">
        <f>IFERROR((WHOLE_STRUCTURE[[#This Row],[D, bottom '[m']]]+WHOLE_STRUCTURE[[#This Row],[D, top '[m']]])/(2*WHOLE_STRUCTURE[[#This Row],[t '[mm']]]/1000),"")</f>
        <v/>
      </c>
    </row>
    <row r="424" spans="10:13" x14ac:dyDescent="0.3">
      <c r="J424" s="54" t="str">
        <f t="shared" si="8"/>
        <v/>
      </c>
      <c r="K424" s="54" t="str">
        <f>IFERROR(WHOLE_STRUCTURE[[#This Row],[Bottom '[m']]]-WHOLE_STRUCTURE[[#This Row],[D, top '[m']]], "")</f>
        <v/>
      </c>
      <c r="L424" s="54" t="str">
        <f>IFERROR(-(WHOLE_STRUCTURE[[#This Row],[D, bottom '[m']]]-WHOLE_STRUCTURE[[#This Row],[D, top '[m']]])/(WHOLE_STRUCTURE[[#This Row],[Bottom '[m']]]-WHOLE_STRUCTURE[[#This Row],[Top '[m']]]),"")</f>
        <v/>
      </c>
      <c r="M424" s="54" t="str">
        <f>IFERROR((WHOLE_STRUCTURE[[#This Row],[D, bottom '[m']]]+WHOLE_STRUCTURE[[#This Row],[D, top '[m']]])/(2*WHOLE_STRUCTURE[[#This Row],[t '[mm']]]/1000),"")</f>
        <v/>
      </c>
    </row>
    <row r="425" spans="10:13" x14ac:dyDescent="0.3">
      <c r="J425" s="54" t="str">
        <f t="shared" si="8"/>
        <v/>
      </c>
      <c r="K425" s="54" t="str">
        <f>IFERROR(WHOLE_STRUCTURE[[#This Row],[Bottom '[m']]]-WHOLE_STRUCTURE[[#This Row],[D, top '[m']]], "")</f>
        <v/>
      </c>
      <c r="L425" s="54" t="str">
        <f>IFERROR(-(WHOLE_STRUCTURE[[#This Row],[D, bottom '[m']]]-WHOLE_STRUCTURE[[#This Row],[D, top '[m']]])/(WHOLE_STRUCTURE[[#This Row],[Bottom '[m']]]-WHOLE_STRUCTURE[[#This Row],[Top '[m']]]),"")</f>
        <v/>
      </c>
      <c r="M425" s="54" t="str">
        <f>IFERROR((WHOLE_STRUCTURE[[#This Row],[D, bottom '[m']]]+WHOLE_STRUCTURE[[#This Row],[D, top '[m']]])/(2*WHOLE_STRUCTURE[[#This Row],[t '[mm']]]/1000),"")</f>
        <v/>
      </c>
    </row>
    <row r="426" spans="10:13" x14ac:dyDescent="0.3">
      <c r="J426" s="54" t="str">
        <f t="shared" si="8"/>
        <v/>
      </c>
      <c r="K426" s="54" t="str">
        <f>IFERROR(WHOLE_STRUCTURE[[#This Row],[Bottom '[m']]]-WHOLE_STRUCTURE[[#This Row],[D, top '[m']]], "")</f>
        <v/>
      </c>
      <c r="L426" s="54" t="str">
        <f>IFERROR(-(WHOLE_STRUCTURE[[#This Row],[D, bottom '[m']]]-WHOLE_STRUCTURE[[#This Row],[D, top '[m']]])/(WHOLE_STRUCTURE[[#This Row],[Bottom '[m']]]-WHOLE_STRUCTURE[[#This Row],[Top '[m']]]),"")</f>
        <v/>
      </c>
      <c r="M426" s="54" t="str">
        <f>IFERROR((WHOLE_STRUCTURE[[#This Row],[D, bottom '[m']]]+WHOLE_STRUCTURE[[#This Row],[D, top '[m']]])/(2*WHOLE_STRUCTURE[[#This Row],[t '[mm']]]/1000),"")</f>
        <v/>
      </c>
    </row>
    <row r="427" spans="10:13" x14ac:dyDescent="0.3">
      <c r="J427" s="54" t="str">
        <f t="shared" si="8"/>
        <v/>
      </c>
      <c r="K427" s="54" t="str">
        <f>IFERROR(WHOLE_STRUCTURE[[#This Row],[Bottom '[m']]]-WHOLE_STRUCTURE[[#This Row],[D, top '[m']]], "")</f>
        <v/>
      </c>
      <c r="L427" s="54" t="str">
        <f>IFERROR(-(WHOLE_STRUCTURE[[#This Row],[D, bottom '[m']]]-WHOLE_STRUCTURE[[#This Row],[D, top '[m']]])/(WHOLE_STRUCTURE[[#This Row],[Bottom '[m']]]-WHOLE_STRUCTURE[[#This Row],[Top '[m']]]),"")</f>
        <v/>
      </c>
      <c r="M427" s="54" t="str">
        <f>IFERROR((WHOLE_STRUCTURE[[#This Row],[D, bottom '[m']]]+WHOLE_STRUCTURE[[#This Row],[D, top '[m']]])/(2*WHOLE_STRUCTURE[[#This Row],[t '[mm']]]/1000),"")</f>
        <v/>
      </c>
    </row>
    <row r="428" spans="10:13" x14ac:dyDescent="0.3">
      <c r="J428" s="54" t="str">
        <f t="shared" si="8"/>
        <v/>
      </c>
      <c r="K428" s="54" t="str">
        <f>IFERROR(WHOLE_STRUCTURE[[#This Row],[Bottom '[m']]]-WHOLE_STRUCTURE[[#This Row],[D, top '[m']]], "")</f>
        <v/>
      </c>
      <c r="L428" s="54" t="str">
        <f>IFERROR(-(WHOLE_STRUCTURE[[#This Row],[D, bottom '[m']]]-WHOLE_STRUCTURE[[#This Row],[D, top '[m']]])/(WHOLE_STRUCTURE[[#This Row],[Bottom '[m']]]-WHOLE_STRUCTURE[[#This Row],[Top '[m']]]),"")</f>
        <v/>
      </c>
      <c r="M428" s="54" t="str">
        <f>IFERROR((WHOLE_STRUCTURE[[#This Row],[D, bottom '[m']]]+WHOLE_STRUCTURE[[#This Row],[D, top '[m']]])/(2*WHOLE_STRUCTURE[[#This Row],[t '[mm']]]/1000),"")</f>
        <v/>
      </c>
    </row>
    <row r="429" spans="10:13" x14ac:dyDescent="0.3">
      <c r="J429" s="54" t="str">
        <f t="shared" si="8"/>
        <v/>
      </c>
      <c r="K429" s="54" t="str">
        <f>IFERROR(WHOLE_STRUCTURE[[#This Row],[Bottom '[m']]]-WHOLE_STRUCTURE[[#This Row],[D, top '[m']]], "")</f>
        <v/>
      </c>
      <c r="L429" s="54" t="str">
        <f>IFERROR(-(WHOLE_STRUCTURE[[#This Row],[D, bottom '[m']]]-WHOLE_STRUCTURE[[#This Row],[D, top '[m']]])/(WHOLE_STRUCTURE[[#This Row],[Bottom '[m']]]-WHOLE_STRUCTURE[[#This Row],[Top '[m']]]),"")</f>
        <v/>
      </c>
      <c r="M429" s="54" t="str">
        <f>IFERROR((WHOLE_STRUCTURE[[#This Row],[D, bottom '[m']]]+WHOLE_STRUCTURE[[#This Row],[D, top '[m']]])/(2*WHOLE_STRUCTURE[[#This Row],[t '[mm']]]/1000),"")</f>
        <v/>
      </c>
    </row>
    <row r="430" spans="10:13" x14ac:dyDescent="0.3">
      <c r="J430" s="54" t="str">
        <f t="shared" si="8"/>
        <v/>
      </c>
      <c r="K430" s="54" t="str">
        <f>IFERROR(WHOLE_STRUCTURE[[#This Row],[Bottom '[m']]]-WHOLE_STRUCTURE[[#This Row],[D, top '[m']]], "")</f>
        <v/>
      </c>
      <c r="L430" s="54" t="str">
        <f>IFERROR(-(WHOLE_STRUCTURE[[#This Row],[D, bottom '[m']]]-WHOLE_STRUCTURE[[#This Row],[D, top '[m']]])/(WHOLE_STRUCTURE[[#This Row],[Bottom '[m']]]-WHOLE_STRUCTURE[[#This Row],[Top '[m']]]),"")</f>
        <v/>
      </c>
      <c r="M430" s="54" t="str">
        <f>IFERROR((WHOLE_STRUCTURE[[#This Row],[D, bottom '[m']]]+WHOLE_STRUCTURE[[#This Row],[D, top '[m']]])/(2*WHOLE_STRUCTURE[[#This Row],[t '[mm']]]/1000),"")</f>
        <v/>
      </c>
    </row>
    <row r="431" spans="10:13" x14ac:dyDescent="0.3">
      <c r="J431" s="54" t="str">
        <f t="shared" si="8"/>
        <v/>
      </c>
      <c r="K431" s="54" t="str">
        <f>IFERROR(WHOLE_STRUCTURE[[#This Row],[Bottom '[m']]]-WHOLE_STRUCTURE[[#This Row],[D, top '[m']]], "")</f>
        <v/>
      </c>
      <c r="L431" s="54" t="str">
        <f>IFERROR(-(WHOLE_STRUCTURE[[#This Row],[D, bottom '[m']]]-WHOLE_STRUCTURE[[#This Row],[D, top '[m']]])/(WHOLE_STRUCTURE[[#This Row],[Bottom '[m']]]-WHOLE_STRUCTURE[[#This Row],[Top '[m']]]),"")</f>
        <v/>
      </c>
      <c r="M431" s="54" t="str">
        <f>IFERROR((WHOLE_STRUCTURE[[#This Row],[D, bottom '[m']]]+WHOLE_STRUCTURE[[#This Row],[D, top '[m']]])/(2*WHOLE_STRUCTURE[[#This Row],[t '[mm']]]/1000),"")</f>
        <v/>
      </c>
    </row>
    <row r="432" spans="10:13" x14ac:dyDescent="0.3">
      <c r="J432" s="54" t="str">
        <f t="shared" si="8"/>
        <v/>
      </c>
      <c r="K432" s="54" t="str">
        <f>IFERROR(WHOLE_STRUCTURE[[#This Row],[Bottom '[m']]]-WHOLE_STRUCTURE[[#This Row],[D, top '[m']]], "")</f>
        <v/>
      </c>
      <c r="L432" s="54" t="str">
        <f>IFERROR(-(WHOLE_STRUCTURE[[#This Row],[D, bottom '[m']]]-WHOLE_STRUCTURE[[#This Row],[D, top '[m']]])/(WHOLE_STRUCTURE[[#This Row],[Bottom '[m']]]-WHOLE_STRUCTURE[[#This Row],[Top '[m']]]),"")</f>
        <v/>
      </c>
      <c r="M432" s="54" t="str">
        <f>IFERROR((WHOLE_STRUCTURE[[#This Row],[D, bottom '[m']]]+WHOLE_STRUCTURE[[#This Row],[D, top '[m']]])/(2*WHOLE_STRUCTURE[[#This Row],[t '[mm']]]/1000),"")</f>
        <v/>
      </c>
    </row>
    <row r="433" spans="10:13" x14ac:dyDescent="0.3">
      <c r="J433" s="54" t="str">
        <f t="shared" si="8"/>
        <v/>
      </c>
      <c r="K433" s="54" t="str">
        <f>IFERROR(WHOLE_STRUCTURE[[#This Row],[Bottom '[m']]]-WHOLE_STRUCTURE[[#This Row],[D, top '[m']]], "")</f>
        <v/>
      </c>
      <c r="L433" s="54" t="str">
        <f>IFERROR(-(WHOLE_STRUCTURE[[#This Row],[D, bottom '[m']]]-WHOLE_STRUCTURE[[#This Row],[D, top '[m']]])/(WHOLE_STRUCTURE[[#This Row],[Bottom '[m']]]-WHOLE_STRUCTURE[[#This Row],[Top '[m']]]),"")</f>
        <v/>
      </c>
      <c r="M433" s="54" t="str">
        <f>IFERROR((WHOLE_STRUCTURE[[#This Row],[D, bottom '[m']]]+WHOLE_STRUCTURE[[#This Row],[D, top '[m']]])/(2*WHOLE_STRUCTURE[[#This Row],[t '[mm']]]/1000),"")</f>
        <v/>
      </c>
    </row>
    <row r="434" spans="10:13" x14ac:dyDescent="0.3">
      <c r="J434" s="54" t="str">
        <f t="shared" si="8"/>
        <v/>
      </c>
      <c r="K434" s="54" t="str">
        <f>IFERROR(WHOLE_STRUCTURE[[#This Row],[Bottom '[m']]]-WHOLE_STRUCTURE[[#This Row],[D, top '[m']]], "")</f>
        <v/>
      </c>
      <c r="L434" s="54" t="str">
        <f>IFERROR(-(WHOLE_STRUCTURE[[#This Row],[D, bottom '[m']]]-WHOLE_STRUCTURE[[#This Row],[D, top '[m']]])/(WHOLE_STRUCTURE[[#This Row],[Bottom '[m']]]-WHOLE_STRUCTURE[[#This Row],[Top '[m']]]),"")</f>
        <v/>
      </c>
      <c r="M434" s="54" t="str">
        <f>IFERROR((WHOLE_STRUCTURE[[#This Row],[D, bottom '[m']]]+WHOLE_STRUCTURE[[#This Row],[D, top '[m']]])/(2*WHOLE_STRUCTURE[[#This Row],[t '[mm']]]/1000),"")</f>
        <v/>
      </c>
    </row>
    <row r="435" spans="10:13" x14ac:dyDescent="0.3">
      <c r="J435" s="54" t="str">
        <f t="shared" si="8"/>
        <v/>
      </c>
      <c r="K435" s="54" t="str">
        <f>IFERROR(WHOLE_STRUCTURE[[#This Row],[Bottom '[m']]]-WHOLE_STRUCTURE[[#This Row],[D, top '[m']]], "")</f>
        <v/>
      </c>
      <c r="L435" s="54" t="str">
        <f>IFERROR(-(WHOLE_STRUCTURE[[#This Row],[D, bottom '[m']]]-WHOLE_STRUCTURE[[#This Row],[D, top '[m']]])/(WHOLE_STRUCTURE[[#This Row],[Bottom '[m']]]-WHOLE_STRUCTURE[[#This Row],[Top '[m']]]),"")</f>
        <v/>
      </c>
      <c r="M435" s="54" t="str">
        <f>IFERROR((WHOLE_STRUCTURE[[#This Row],[D, bottom '[m']]]+WHOLE_STRUCTURE[[#This Row],[D, top '[m']]])/(2*WHOLE_STRUCTURE[[#This Row],[t '[mm']]]/1000),"")</f>
        <v/>
      </c>
    </row>
    <row r="436" spans="10:13" x14ac:dyDescent="0.3">
      <c r="J436" s="54" t="str">
        <f t="shared" si="8"/>
        <v/>
      </c>
      <c r="K436" s="54" t="str">
        <f>IFERROR(WHOLE_STRUCTURE[[#This Row],[Bottom '[m']]]-WHOLE_STRUCTURE[[#This Row],[D, top '[m']]], "")</f>
        <v/>
      </c>
      <c r="L436" s="54" t="str">
        <f>IFERROR(-(WHOLE_STRUCTURE[[#This Row],[D, bottom '[m']]]-WHOLE_STRUCTURE[[#This Row],[D, top '[m']]])/(WHOLE_STRUCTURE[[#This Row],[Bottom '[m']]]-WHOLE_STRUCTURE[[#This Row],[Top '[m']]]),"")</f>
        <v/>
      </c>
      <c r="M436" s="54" t="str">
        <f>IFERROR((WHOLE_STRUCTURE[[#This Row],[D, bottom '[m']]]+WHOLE_STRUCTURE[[#This Row],[D, top '[m']]])/(2*WHOLE_STRUCTURE[[#This Row],[t '[mm']]]/1000),"")</f>
        <v/>
      </c>
    </row>
    <row r="437" spans="10:13" x14ac:dyDescent="0.3">
      <c r="J437" s="54" t="str">
        <f t="shared" si="8"/>
        <v/>
      </c>
      <c r="K437" s="54" t="str">
        <f>IFERROR(WHOLE_STRUCTURE[[#This Row],[Bottom '[m']]]-WHOLE_STRUCTURE[[#This Row],[D, top '[m']]], "")</f>
        <v/>
      </c>
      <c r="L437" s="54" t="str">
        <f>IFERROR(-(WHOLE_STRUCTURE[[#This Row],[D, bottom '[m']]]-WHOLE_STRUCTURE[[#This Row],[D, top '[m']]])/(WHOLE_STRUCTURE[[#This Row],[Bottom '[m']]]-WHOLE_STRUCTURE[[#This Row],[Top '[m']]]),"")</f>
        <v/>
      </c>
      <c r="M437" s="54" t="str">
        <f>IFERROR((WHOLE_STRUCTURE[[#This Row],[D, bottom '[m']]]+WHOLE_STRUCTURE[[#This Row],[D, top '[m']]])/(2*WHOLE_STRUCTURE[[#This Row],[t '[mm']]]/1000),"")</f>
        <v/>
      </c>
    </row>
    <row r="438" spans="10:13" x14ac:dyDescent="0.3">
      <c r="J438" s="54" t="str">
        <f t="shared" si="8"/>
        <v/>
      </c>
      <c r="K438" s="54" t="str">
        <f>IFERROR(WHOLE_STRUCTURE[[#This Row],[Bottom '[m']]]-WHOLE_STRUCTURE[[#This Row],[D, top '[m']]], "")</f>
        <v/>
      </c>
      <c r="L438" s="54" t="str">
        <f>IFERROR(-(WHOLE_STRUCTURE[[#This Row],[D, bottom '[m']]]-WHOLE_STRUCTURE[[#This Row],[D, top '[m']]])/(WHOLE_STRUCTURE[[#This Row],[Bottom '[m']]]-WHOLE_STRUCTURE[[#This Row],[Top '[m']]]),"")</f>
        <v/>
      </c>
      <c r="M438" s="54" t="str">
        <f>IFERROR((WHOLE_STRUCTURE[[#This Row],[D, bottom '[m']]]+WHOLE_STRUCTURE[[#This Row],[D, top '[m']]])/(2*WHOLE_STRUCTURE[[#This Row],[t '[mm']]]/1000),"")</f>
        <v/>
      </c>
    </row>
    <row r="439" spans="10:13" x14ac:dyDescent="0.3">
      <c r="J439" s="54" t="str">
        <f t="shared" si="8"/>
        <v/>
      </c>
      <c r="K439" s="54" t="str">
        <f>IFERROR(WHOLE_STRUCTURE[[#This Row],[Bottom '[m']]]-WHOLE_STRUCTURE[[#This Row],[D, top '[m']]], "")</f>
        <v/>
      </c>
      <c r="L439" s="54" t="str">
        <f>IFERROR(-(WHOLE_STRUCTURE[[#This Row],[D, bottom '[m']]]-WHOLE_STRUCTURE[[#This Row],[D, top '[m']]])/(WHOLE_STRUCTURE[[#This Row],[Bottom '[m']]]-WHOLE_STRUCTURE[[#This Row],[Top '[m']]]),"")</f>
        <v/>
      </c>
      <c r="M439" s="54" t="str">
        <f>IFERROR((WHOLE_STRUCTURE[[#This Row],[D, bottom '[m']]]+WHOLE_STRUCTURE[[#This Row],[D, top '[m']]])/(2*WHOLE_STRUCTURE[[#This Row],[t '[mm']]]/1000),"")</f>
        <v/>
      </c>
    </row>
    <row r="440" spans="10:13" x14ac:dyDescent="0.3">
      <c r="J440" s="54" t="str">
        <f t="shared" si="8"/>
        <v/>
      </c>
      <c r="K440" s="54" t="str">
        <f>IFERROR(WHOLE_STRUCTURE[[#This Row],[Bottom '[m']]]-WHOLE_STRUCTURE[[#This Row],[D, top '[m']]], "")</f>
        <v/>
      </c>
      <c r="L440" s="54" t="str">
        <f>IFERROR(-(WHOLE_STRUCTURE[[#This Row],[D, bottom '[m']]]-WHOLE_STRUCTURE[[#This Row],[D, top '[m']]])/(WHOLE_STRUCTURE[[#This Row],[Bottom '[m']]]-WHOLE_STRUCTURE[[#This Row],[Top '[m']]]),"")</f>
        <v/>
      </c>
      <c r="M440" s="54" t="str">
        <f>IFERROR((WHOLE_STRUCTURE[[#This Row],[D, bottom '[m']]]+WHOLE_STRUCTURE[[#This Row],[D, top '[m']]])/(2*WHOLE_STRUCTURE[[#This Row],[t '[mm']]]/1000),"")</f>
        <v/>
      </c>
    </row>
    <row r="441" spans="10:13" x14ac:dyDescent="0.3">
      <c r="J441" s="54" t="str">
        <f t="shared" si="8"/>
        <v/>
      </c>
      <c r="K441" s="54" t="str">
        <f>IFERROR(WHOLE_STRUCTURE[[#This Row],[Bottom '[m']]]-WHOLE_STRUCTURE[[#This Row],[D, top '[m']]], "")</f>
        <v/>
      </c>
      <c r="L441" s="54" t="str">
        <f>IFERROR(-(WHOLE_STRUCTURE[[#This Row],[D, bottom '[m']]]-WHOLE_STRUCTURE[[#This Row],[D, top '[m']]])/(WHOLE_STRUCTURE[[#This Row],[Bottom '[m']]]-WHOLE_STRUCTURE[[#This Row],[Top '[m']]]),"")</f>
        <v/>
      </c>
      <c r="M441" s="54" t="str">
        <f>IFERROR((WHOLE_STRUCTURE[[#This Row],[D, bottom '[m']]]+WHOLE_STRUCTURE[[#This Row],[D, top '[m']]])/(2*WHOLE_STRUCTURE[[#This Row],[t '[mm']]]/1000),"")</f>
        <v/>
      </c>
    </row>
    <row r="442" spans="10:13" x14ac:dyDescent="0.3">
      <c r="J442" s="54" t="str">
        <f t="shared" si="8"/>
        <v/>
      </c>
      <c r="K442" s="54" t="str">
        <f>IFERROR(WHOLE_STRUCTURE[[#This Row],[Bottom '[m']]]-WHOLE_STRUCTURE[[#This Row],[D, top '[m']]], "")</f>
        <v/>
      </c>
      <c r="L442" s="54" t="str">
        <f>IFERROR(-(WHOLE_STRUCTURE[[#This Row],[D, bottom '[m']]]-WHOLE_STRUCTURE[[#This Row],[D, top '[m']]])/(WHOLE_STRUCTURE[[#This Row],[Bottom '[m']]]-WHOLE_STRUCTURE[[#This Row],[Top '[m']]]),"")</f>
        <v/>
      </c>
      <c r="M442" s="54" t="str">
        <f>IFERROR((WHOLE_STRUCTURE[[#This Row],[D, bottom '[m']]]+WHOLE_STRUCTURE[[#This Row],[D, top '[m']]])/(2*WHOLE_STRUCTURE[[#This Row],[t '[mm']]]/1000),"")</f>
        <v/>
      </c>
    </row>
    <row r="443" spans="10:13" x14ac:dyDescent="0.3">
      <c r="J443" s="54" t="str">
        <f t="shared" si="8"/>
        <v/>
      </c>
      <c r="K443" s="54" t="str">
        <f>IFERROR(WHOLE_STRUCTURE[[#This Row],[Bottom '[m']]]-WHOLE_STRUCTURE[[#This Row],[D, top '[m']]], "")</f>
        <v/>
      </c>
      <c r="L443" s="54" t="str">
        <f>IFERROR(-(WHOLE_STRUCTURE[[#This Row],[D, bottom '[m']]]-WHOLE_STRUCTURE[[#This Row],[D, top '[m']]])/(WHOLE_STRUCTURE[[#This Row],[Bottom '[m']]]-WHOLE_STRUCTURE[[#This Row],[Top '[m']]]),"")</f>
        <v/>
      </c>
      <c r="M443" s="54" t="str">
        <f>IFERROR((WHOLE_STRUCTURE[[#This Row],[D, bottom '[m']]]+WHOLE_STRUCTURE[[#This Row],[D, top '[m']]])/(2*WHOLE_STRUCTURE[[#This Row],[t '[mm']]]/1000),"")</f>
        <v/>
      </c>
    </row>
    <row r="444" spans="10:13" x14ac:dyDescent="0.3">
      <c r="J444" s="54" t="str">
        <f t="shared" si="8"/>
        <v/>
      </c>
      <c r="K444" s="54" t="str">
        <f>IFERROR(WHOLE_STRUCTURE[[#This Row],[Bottom '[m']]]-WHOLE_STRUCTURE[[#This Row],[D, top '[m']]], "")</f>
        <v/>
      </c>
      <c r="L444" s="54" t="str">
        <f>IFERROR(-(WHOLE_STRUCTURE[[#This Row],[D, bottom '[m']]]-WHOLE_STRUCTURE[[#This Row],[D, top '[m']]])/(WHOLE_STRUCTURE[[#This Row],[Bottom '[m']]]-WHOLE_STRUCTURE[[#This Row],[Top '[m']]]),"")</f>
        <v/>
      </c>
      <c r="M444" s="54" t="str">
        <f>IFERROR((WHOLE_STRUCTURE[[#This Row],[D, bottom '[m']]]+WHOLE_STRUCTURE[[#This Row],[D, top '[m']]])/(2*WHOLE_STRUCTURE[[#This Row],[t '[mm']]]/1000),"")</f>
        <v/>
      </c>
    </row>
    <row r="445" spans="10:13" x14ac:dyDescent="0.3">
      <c r="J445" s="54" t="str">
        <f t="shared" si="8"/>
        <v/>
      </c>
      <c r="K445" s="54" t="str">
        <f>IFERROR(WHOLE_STRUCTURE[[#This Row],[Bottom '[m']]]-WHOLE_STRUCTURE[[#This Row],[D, top '[m']]], "")</f>
        <v/>
      </c>
      <c r="L445" s="54" t="str">
        <f>IFERROR(-(WHOLE_STRUCTURE[[#This Row],[D, bottom '[m']]]-WHOLE_STRUCTURE[[#This Row],[D, top '[m']]])/(WHOLE_STRUCTURE[[#This Row],[Bottom '[m']]]-WHOLE_STRUCTURE[[#This Row],[Top '[m']]]),"")</f>
        <v/>
      </c>
      <c r="M445" s="54" t="str">
        <f>IFERROR((WHOLE_STRUCTURE[[#This Row],[D, bottom '[m']]]+WHOLE_STRUCTURE[[#This Row],[D, top '[m']]])/(2*WHOLE_STRUCTURE[[#This Row],[t '[mm']]]/1000),"")</f>
        <v/>
      </c>
    </row>
    <row r="446" spans="10:13" x14ac:dyDescent="0.3">
      <c r="J446" s="54" t="str">
        <f t="shared" si="8"/>
        <v/>
      </c>
      <c r="K446" s="54" t="str">
        <f>IFERROR(WHOLE_STRUCTURE[[#This Row],[Bottom '[m']]]-WHOLE_STRUCTURE[[#This Row],[D, top '[m']]], "")</f>
        <v/>
      </c>
      <c r="L446" s="54" t="str">
        <f>IFERROR(-(WHOLE_STRUCTURE[[#This Row],[D, bottom '[m']]]-WHOLE_STRUCTURE[[#This Row],[D, top '[m']]])/(WHOLE_STRUCTURE[[#This Row],[Bottom '[m']]]-WHOLE_STRUCTURE[[#This Row],[Top '[m']]]),"")</f>
        <v/>
      </c>
      <c r="M446" s="54" t="str">
        <f>IFERROR((WHOLE_STRUCTURE[[#This Row],[D, bottom '[m']]]+WHOLE_STRUCTURE[[#This Row],[D, top '[m']]])/(2*WHOLE_STRUCTURE[[#This Row],[t '[mm']]]/1000),"")</f>
        <v/>
      </c>
    </row>
    <row r="447" spans="10:13" x14ac:dyDescent="0.3">
      <c r="J447" s="54" t="str">
        <f t="shared" si="8"/>
        <v/>
      </c>
      <c r="K447" s="54" t="str">
        <f>IFERROR(WHOLE_STRUCTURE[[#This Row],[Bottom '[m']]]-WHOLE_STRUCTURE[[#This Row],[D, top '[m']]], "")</f>
        <v/>
      </c>
      <c r="L447" s="54" t="str">
        <f>IFERROR(-(WHOLE_STRUCTURE[[#This Row],[D, bottom '[m']]]-WHOLE_STRUCTURE[[#This Row],[D, top '[m']]])/(WHOLE_STRUCTURE[[#This Row],[Bottom '[m']]]-WHOLE_STRUCTURE[[#This Row],[Top '[m']]]),"")</f>
        <v/>
      </c>
      <c r="M447" s="54" t="str">
        <f>IFERROR((WHOLE_STRUCTURE[[#This Row],[D, bottom '[m']]]+WHOLE_STRUCTURE[[#This Row],[D, top '[m']]])/(2*WHOLE_STRUCTURE[[#This Row],[t '[mm']]]/1000),"")</f>
        <v/>
      </c>
    </row>
    <row r="448" spans="10:13" x14ac:dyDescent="0.3">
      <c r="J448" s="54" t="str">
        <f t="shared" si="8"/>
        <v/>
      </c>
      <c r="K448" s="54" t="str">
        <f>IFERROR(WHOLE_STRUCTURE[[#This Row],[Bottom '[m']]]-WHOLE_STRUCTURE[[#This Row],[D, top '[m']]], "")</f>
        <v/>
      </c>
      <c r="L448" s="54" t="str">
        <f>IFERROR(-(WHOLE_STRUCTURE[[#This Row],[D, bottom '[m']]]-WHOLE_STRUCTURE[[#This Row],[D, top '[m']]])/(WHOLE_STRUCTURE[[#This Row],[Bottom '[m']]]-WHOLE_STRUCTURE[[#This Row],[Top '[m']]]),"")</f>
        <v/>
      </c>
      <c r="M448" s="54" t="str">
        <f>IFERROR((WHOLE_STRUCTURE[[#This Row],[D, bottom '[m']]]+WHOLE_STRUCTURE[[#This Row],[D, top '[m']]])/(2*WHOLE_STRUCTURE[[#This Row],[t '[mm']]]/1000),"")</f>
        <v/>
      </c>
    </row>
    <row r="449" spans="10:13" x14ac:dyDescent="0.3">
      <c r="J449" s="54" t="str">
        <f t="shared" si="8"/>
        <v/>
      </c>
      <c r="K449" s="54" t="str">
        <f>IFERROR(WHOLE_STRUCTURE[[#This Row],[Bottom '[m']]]-WHOLE_STRUCTURE[[#This Row],[D, top '[m']]], "")</f>
        <v/>
      </c>
      <c r="L449" s="54" t="str">
        <f>IFERROR(-(WHOLE_STRUCTURE[[#This Row],[D, bottom '[m']]]-WHOLE_STRUCTURE[[#This Row],[D, top '[m']]])/(WHOLE_STRUCTURE[[#This Row],[Bottom '[m']]]-WHOLE_STRUCTURE[[#This Row],[Top '[m']]]),"")</f>
        <v/>
      </c>
      <c r="M449" s="54" t="str">
        <f>IFERROR((WHOLE_STRUCTURE[[#This Row],[D, bottom '[m']]]+WHOLE_STRUCTURE[[#This Row],[D, top '[m']]])/(2*WHOLE_STRUCTURE[[#This Row],[t '[mm']]]/1000),"")</f>
        <v/>
      </c>
    </row>
    <row r="450" spans="10:13" x14ac:dyDescent="0.3">
      <c r="J450" s="54" t="str">
        <f t="shared" si="8"/>
        <v/>
      </c>
      <c r="K450" s="54" t="str">
        <f>IFERROR(WHOLE_STRUCTURE[[#This Row],[Bottom '[m']]]-WHOLE_STRUCTURE[[#This Row],[D, top '[m']]], "")</f>
        <v/>
      </c>
      <c r="L450" s="54" t="str">
        <f>IFERROR(-(WHOLE_STRUCTURE[[#This Row],[D, bottom '[m']]]-WHOLE_STRUCTURE[[#This Row],[D, top '[m']]])/(WHOLE_STRUCTURE[[#This Row],[Bottom '[m']]]-WHOLE_STRUCTURE[[#This Row],[Top '[m']]]),"")</f>
        <v/>
      </c>
      <c r="M450" s="54" t="str">
        <f>IFERROR((WHOLE_STRUCTURE[[#This Row],[D, bottom '[m']]]+WHOLE_STRUCTURE[[#This Row],[D, top '[m']]])/(2*WHOLE_STRUCTURE[[#This Row],[t '[mm']]]/1000),"")</f>
        <v/>
      </c>
    </row>
    <row r="451" spans="10:13" x14ac:dyDescent="0.3">
      <c r="J451" s="54" t="str">
        <f t="shared" ref="J451:J452" si="9">IF(7850/1000*(1/3)*PI()*ABS(E451-F451)*((G451/2)^2+(G451/2)*(H451/2)+(H451/2)^2-(G451/2-I451/1000)^2-(G451/2-I451/1000)*(H451/2-I451/1000)-(H451/2-I451/1000)^2)=0,"",7850/1000*(1/3)*PI()*ABS(E451-F451)*((G451/2)^2+(G451/2)*(H451/2)+(H451/2)^2-(G451/2-I451/1000)^2-(G451/2-I451/1000)*(H451/2-I451/1000)-(H451/2-I451/1000)^2))</f>
        <v/>
      </c>
      <c r="K451" s="54" t="str">
        <f>IFERROR(WHOLE_STRUCTURE[[#This Row],[Bottom '[m']]]-WHOLE_STRUCTURE[[#This Row],[D, top '[m']]], "")</f>
        <v/>
      </c>
      <c r="L451" s="54" t="str">
        <f>IFERROR(-(WHOLE_STRUCTURE[[#This Row],[D, bottom '[m']]]-WHOLE_STRUCTURE[[#This Row],[D, top '[m']]])/(WHOLE_STRUCTURE[[#This Row],[Bottom '[m']]]-WHOLE_STRUCTURE[[#This Row],[Top '[m']]]),"")</f>
        <v/>
      </c>
      <c r="M451" s="54" t="str">
        <f>IFERROR((WHOLE_STRUCTURE[[#This Row],[D, bottom '[m']]]+WHOLE_STRUCTURE[[#This Row],[D, top '[m']]])/(2*WHOLE_STRUCTURE[[#This Row],[t '[mm']]]/1000),"")</f>
        <v/>
      </c>
    </row>
    <row r="452" spans="10:13" x14ac:dyDescent="0.3">
      <c r="J452" s="54" t="str">
        <f t="shared" si="9"/>
        <v/>
      </c>
      <c r="K452" s="54" t="str">
        <f>IFERROR(WHOLE_STRUCTURE[[#This Row],[Bottom '[m']]]-WHOLE_STRUCTURE[[#This Row],[D, top '[m']]], "")</f>
        <v/>
      </c>
      <c r="L452" s="54" t="str">
        <f>IFERROR(-(WHOLE_STRUCTURE[[#This Row],[D, bottom '[m']]]-WHOLE_STRUCTURE[[#This Row],[D, top '[m']]])/(WHOLE_STRUCTURE[[#This Row],[Bottom '[m']]]-WHOLE_STRUCTURE[[#This Row],[Top '[m']]]),"")</f>
        <v/>
      </c>
      <c r="M452" s="54" t="str">
        <f>IFERROR((WHOLE_STRUCTURE[[#This Row],[D, bottom '[m']]]+WHOLE_STRUCTURE[[#This Row],[D, top '[m']]])/(2*WHOLE_STRUCTURE[[#This Row],[t '[mm']]]/1000),"")</f>
        <v/>
      </c>
    </row>
  </sheetData>
  <protectedRanges>
    <protectedRange sqref="L4 C5:C6 M4:N6" name="Bereich1_3"/>
  </protectedRanges>
  <dataValidations disablePrompts="1" count="1">
    <dataValidation type="list" allowBlank="1" showInputMessage="1" showErrorMessage="1" sqref="L4" xr:uid="{E92DA31F-A847-4B55-AB93-5ACCFB45CDD5}">
      <formula1>$Q$20:$Q$33</formula1>
    </dataValidation>
  </dataValidations>
  <pageMargins left="0.7" right="0.7" top="0.78740157499999996" bottom="0.78740157499999996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7FEFA-F48A-450B-AC0F-1DA0A8374D16}">
  <sheetPr codeName="Tabelle3"/>
  <dimension ref="B2:E15"/>
  <sheetViews>
    <sheetView zoomScale="145" zoomScaleNormal="145" workbookViewId="0">
      <selection activeCell="B15" sqref="B15:E15"/>
    </sheetView>
  </sheetViews>
  <sheetFormatPr baseColWidth="10" defaultRowHeight="14.4" x14ac:dyDescent="0.3"/>
  <cols>
    <col min="2" max="2" width="41.6640625" customWidth="1"/>
    <col min="5" max="5" width="23.44140625" customWidth="1"/>
  </cols>
  <sheetData>
    <row r="2" spans="2:5" ht="31.2" x14ac:dyDescent="0.6">
      <c r="B2" s="68" t="s">
        <v>56</v>
      </c>
    </row>
    <row r="5" spans="2:5" ht="18" customHeight="1" x14ac:dyDescent="0.3"/>
    <row r="6" spans="2:5" x14ac:dyDescent="0.3">
      <c r="B6" t="s">
        <v>129</v>
      </c>
    </row>
    <row r="8" spans="2:5" x14ac:dyDescent="0.3">
      <c r="B8" t="s">
        <v>27</v>
      </c>
      <c r="C8" t="s">
        <v>134</v>
      </c>
      <c r="D8" t="s">
        <v>135</v>
      </c>
      <c r="E8" t="s">
        <v>19</v>
      </c>
    </row>
    <row r="9" spans="2:5" x14ac:dyDescent="0.3">
      <c r="B9" t="s">
        <v>130</v>
      </c>
      <c r="C9" s="51" t="s">
        <v>131</v>
      </c>
      <c r="D9" t="s">
        <v>90</v>
      </c>
      <c r="E9" t="s">
        <v>143</v>
      </c>
    </row>
    <row r="10" spans="2:5" x14ac:dyDescent="0.3">
      <c r="B10" t="s">
        <v>132</v>
      </c>
      <c r="C10" s="70">
        <v>210000000000</v>
      </c>
      <c r="D10" t="s">
        <v>136</v>
      </c>
    </row>
    <row r="11" spans="2:5" x14ac:dyDescent="0.3">
      <c r="B11" t="s">
        <v>133</v>
      </c>
      <c r="C11" s="51">
        <v>7850</v>
      </c>
      <c r="D11" t="s">
        <v>137</v>
      </c>
    </row>
    <row r="12" spans="2:5" x14ac:dyDescent="0.3">
      <c r="B12" t="s">
        <v>138</v>
      </c>
      <c r="C12" s="51">
        <v>0.75</v>
      </c>
      <c r="D12" t="s">
        <v>139</v>
      </c>
    </row>
    <row r="13" spans="2:5" x14ac:dyDescent="0.3">
      <c r="B13" t="s">
        <v>140</v>
      </c>
      <c r="C13" s="51">
        <v>5</v>
      </c>
      <c r="D13" t="s">
        <v>141</v>
      </c>
    </row>
    <row r="14" spans="2:5" x14ac:dyDescent="0.3">
      <c r="B14" t="s">
        <v>142</v>
      </c>
      <c r="C14" s="51">
        <v>0.5</v>
      </c>
      <c r="D14" t="s">
        <v>139</v>
      </c>
    </row>
    <row r="15" spans="2:5" x14ac:dyDescent="0.3">
      <c r="B15" t="s">
        <v>150</v>
      </c>
      <c r="C15" s="51">
        <v>0.1</v>
      </c>
      <c r="D15" s="55" t="s">
        <v>155</v>
      </c>
    </row>
  </sheetData>
  <protectedRanges>
    <protectedRange sqref="C15" name="Bereich1_3"/>
  </protectedRange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elect_JBOOST_out">
                <anchor moveWithCells="1" sizeWithCells="1">
                  <from>
                    <xdr:col>1</xdr:col>
                    <xdr:colOff>0</xdr:colOff>
                    <xdr:row>3</xdr:row>
                    <xdr:rowOff>144780</xdr:rowOff>
                  </from>
                  <to>
                    <xdr:col>1</xdr:col>
                    <xdr:colOff>1036320</xdr:colOff>
                    <xdr:row>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_JBOOST">
                <anchor moveWithCells="1" sizeWithCells="1">
                  <from>
                    <xdr:col>1</xdr:col>
                    <xdr:colOff>1082040</xdr:colOff>
                    <xdr:row>3</xdr:row>
                    <xdr:rowOff>144780</xdr:rowOff>
                  </from>
                  <to>
                    <xdr:col>1</xdr:col>
                    <xdr:colOff>2118360</xdr:colOff>
                    <xdr:row>4</xdr:row>
                    <xdr:rowOff>220980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60D63-E31C-4F52-B783-22FC97D94E01}">
  <sheetPr codeName="Tabelle5"/>
  <dimension ref="B2:D21"/>
  <sheetViews>
    <sheetView workbookViewId="0">
      <selection activeCell="B5" sqref="B5"/>
    </sheetView>
  </sheetViews>
  <sheetFormatPr baseColWidth="10" defaultRowHeight="14.4" x14ac:dyDescent="0.3"/>
  <cols>
    <col min="2" max="2" width="130.6640625" customWidth="1"/>
  </cols>
  <sheetData>
    <row r="2" spans="2:4" x14ac:dyDescent="0.3">
      <c r="C2" t="s">
        <v>69</v>
      </c>
    </row>
    <row r="3" spans="2:4" ht="17.25" customHeight="1" x14ac:dyDescent="0.3">
      <c r="B3" s="49" t="s">
        <v>50</v>
      </c>
    </row>
    <row r="4" spans="2:4" ht="17.25" customHeight="1" x14ac:dyDescent="0.3">
      <c r="B4" s="49" t="s">
        <v>51</v>
      </c>
      <c r="D4" s="49"/>
    </row>
    <row r="5" spans="2:4" ht="17.25" customHeight="1" x14ac:dyDescent="0.3">
      <c r="B5" s="49" t="s">
        <v>52</v>
      </c>
    </row>
    <row r="6" spans="2:4" ht="17.25" customHeight="1" x14ac:dyDescent="0.3">
      <c r="B6" s="49" t="s">
        <v>53</v>
      </c>
    </row>
    <row r="7" spans="2:4" ht="17.25" customHeight="1" x14ac:dyDescent="0.3">
      <c r="B7" s="50" t="s">
        <v>54</v>
      </c>
    </row>
    <row r="8" spans="2:4" ht="17.25" customHeight="1" x14ac:dyDescent="0.3">
      <c r="B8" s="50" t="s">
        <v>55</v>
      </c>
    </row>
    <row r="9" spans="2:4" ht="17.25" customHeight="1" x14ac:dyDescent="0.3">
      <c r="B9" s="50" t="s">
        <v>56</v>
      </c>
    </row>
    <row r="10" spans="2:4" ht="17.25" customHeight="1" x14ac:dyDescent="0.3">
      <c r="B10" s="50" t="s">
        <v>57</v>
      </c>
    </row>
    <row r="11" spans="2:4" ht="17.25" customHeight="1" x14ac:dyDescent="0.3">
      <c r="B11" s="50" t="s">
        <v>58</v>
      </c>
    </row>
    <row r="12" spans="2:4" ht="17.25" customHeight="1" x14ac:dyDescent="0.3">
      <c r="B12" s="49" t="s">
        <v>59</v>
      </c>
    </row>
    <row r="13" spans="2:4" ht="17.25" customHeight="1" x14ac:dyDescent="0.3">
      <c r="B13" s="49" t="s">
        <v>60</v>
      </c>
    </row>
    <row r="14" spans="2:4" ht="17.25" customHeight="1" x14ac:dyDescent="0.3">
      <c r="B14" s="49" t="s">
        <v>61</v>
      </c>
    </row>
    <row r="15" spans="2:4" ht="17.25" customHeight="1" x14ac:dyDescent="0.3">
      <c r="B15" s="49" t="s">
        <v>62</v>
      </c>
    </row>
    <row r="16" spans="2:4" ht="17.25" customHeight="1" x14ac:dyDescent="0.3">
      <c r="B16" s="49" t="s">
        <v>63</v>
      </c>
    </row>
    <row r="17" spans="2:2" ht="17.25" customHeight="1" x14ac:dyDescent="0.3">
      <c r="B17" s="49" t="s">
        <v>64</v>
      </c>
    </row>
    <row r="18" spans="2:2" ht="17.25" customHeight="1" x14ac:dyDescent="0.3">
      <c r="B18" s="49" t="s">
        <v>65</v>
      </c>
    </row>
    <row r="19" spans="2:2" ht="17.25" customHeight="1" x14ac:dyDescent="0.3">
      <c r="B19" s="49" t="s">
        <v>66</v>
      </c>
    </row>
    <row r="20" spans="2:2" ht="17.25" customHeight="1" x14ac:dyDescent="0.3">
      <c r="B20" s="49" t="s">
        <v>67</v>
      </c>
    </row>
    <row r="21" spans="2:2" ht="17.25" customHeight="1" x14ac:dyDescent="0.3">
      <c r="B21" s="49" t="s">
        <v>68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CCB23D478EE2149B7D26163499BCE7F" ma:contentTypeVersion="14" ma:contentTypeDescription="Ein neues Dokument erstellen." ma:contentTypeScope="" ma:versionID="6a73ecbf81e33c06800e5b2ba3527cb6">
  <xsd:schema xmlns:xsd="http://www.w3.org/2001/XMLSchema" xmlns:xs="http://www.w3.org/2001/XMLSchema" xmlns:p="http://schemas.microsoft.com/office/2006/metadata/properties" xmlns:ns3="c29fb90e-3bcc-4c77-9862-a61eb338c306" xmlns:ns4="26f3f122-c7f5-42b5-8ee6-39220632bf83" targetNamespace="http://schemas.microsoft.com/office/2006/metadata/properties" ma:root="true" ma:fieldsID="841da8a0fccae2d67d3d70e7f433a335" ns3:_="" ns4:_="">
    <xsd:import namespace="c29fb90e-3bcc-4c77-9862-a61eb338c306"/>
    <xsd:import namespace="26f3f122-c7f5-42b5-8ee6-39220632bf8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9fb90e-3bcc-4c77-9862-a61eb338c306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f3f122-c7f5-42b5-8ee6-39220632bf8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29fb90e-3bcc-4c77-9862-a61eb338c306" xsi:nil="true"/>
  </documentManagement>
</p:properties>
</file>

<file path=customXml/itemProps1.xml><?xml version="1.0" encoding="utf-8"?>
<ds:datastoreItem xmlns:ds="http://schemas.openxmlformats.org/officeDocument/2006/customXml" ds:itemID="{42E05702-23C8-42EE-A1FA-64734F8572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9fb90e-3bcc-4c77-9862-a61eb338c306"/>
    <ds:schemaRef ds:uri="26f3f122-c7f5-42b5-8ee6-39220632bf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5407D5C-286A-4637-81FE-136D0BCF98A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013BF6C-43A4-40F7-AB78-9A09A5BCF3FF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c29fb90e-3bcc-4c77-9862-a61eb338c306"/>
    <ds:schemaRef ds:uri="http://purl.org/dc/elements/1.1/"/>
    <ds:schemaRef ds:uri="http://schemas.openxmlformats.org/package/2006/metadata/core-properties"/>
    <ds:schemaRef ds:uri="26f3f122-c7f5-42b5-8ee6-39220632bf83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19</vt:i4>
      </vt:variant>
    </vt:vector>
  </HeadingPairs>
  <TitlesOfParts>
    <vt:vector size="24" baseType="lpstr">
      <vt:lpstr>CreateStucture</vt:lpstr>
      <vt:lpstr>BuildYourStructure</vt:lpstr>
      <vt:lpstr>StructureOverview</vt:lpstr>
      <vt:lpstr>ExportStructure</vt:lpstr>
      <vt:lpstr>Loop</vt:lpstr>
      <vt:lpstr>DISPL_MP</vt:lpstr>
      <vt:lpstr>DISPL_TP</vt:lpstr>
      <vt:lpstr>Import_MP_path</vt:lpstr>
      <vt:lpstr>JBOOST_Path</vt:lpstr>
      <vt:lpstr>MOVE_STRUCT</vt:lpstr>
      <vt:lpstr>RNA_META_FULL36</vt:lpstr>
      <vt:lpstr>SKIRT_MASS</vt:lpstr>
      <vt:lpstr>Table_MP_DATA</vt:lpstr>
      <vt:lpstr>Table_MP_META</vt:lpstr>
      <vt:lpstr>Table_TP_DATA</vt:lpstr>
      <vt:lpstr>Table_TP_META</vt:lpstr>
      <vt:lpstr>Text</vt:lpstr>
      <vt:lpstr>TextBox_Import_MP_path</vt:lpstr>
      <vt:lpstr>TextBox_MP_db_path</vt:lpstr>
      <vt:lpstr>TextBox_RNA_db_path</vt:lpstr>
      <vt:lpstr>TextBox_TOWER_db_path</vt:lpstr>
      <vt:lpstr>TextBox_TP_db_path</vt:lpstr>
      <vt:lpstr>Use_MP</vt:lpstr>
      <vt:lpstr>USE_TP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Lange</dc:creator>
  <cp:lastModifiedBy>Aaron Lange</cp:lastModifiedBy>
  <dcterms:created xsi:type="dcterms:W3CDTF">2025-04-22T08:13:05Z</dcterms:created>
  <dcterms:modified xsi:type="dcterms:W3CDTF">2025-06-05T14:29:13Z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0x010100ECCB23D478EE2149B7D26163499BCE7F</vt:lpwstr>
  </property>
</Properties>
</file>