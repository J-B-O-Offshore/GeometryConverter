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1CBE3992-9BB4-4FA7-B5AA-8443BB6702B9}" xr6:coauthVersionLast="47" xr6:coauthVersionMax="47" xr10:uidLastSave="{00000000-0000-0000-0000-000000000000}"/>
  <bookViews>
    <workbookView xWindow="-28920" yWindow="-8430" windowWidth="29040" windowHeight="17520" activeTab="2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WLGen" sheetId="8" r:id="rId6"/>
    <sheet name="Loop" sheetId="3" r:id="rId7"/>
  </sheets>
  <functionGroups builtInGroupCount="19"/>
  <externalReferences>
    <externalReference r:id="rId8"/>
  </externalReferences>
  <definedNames>
    <definedName name="_xleta.N" hidden="1" xlm="1">#NAME?</definedName>
    <definedName name="_xleta.T" hidden="1" xlm="1">#NAME?</definedName>
    <definedName name="DISPL_MP">BuildYourStructure!$F$21</definedName>
    <definedName name="DISPL_TP">BuildYourStructure!$AO$21</definedName>
    <definedName name="Import_GeomConv_path">BuildYourStructure!$B$14</definedName>
    <definedName name="Import_MP_path">BuildYourStructure!$B$9</definedName>
    <definedName name="JBOOST_Path">ExportStructure!$B$6</definedName>
    <definedName name="MOVE_STRUCT">BuildYourStructure!$E$21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StructureOverview!$U$15</definedName>
    <definedName name="Table_MP_DATA">BuildYourStructure!$P$30</definedName>
    <definedName name="Table_MP_META">BuildYourStructure!$B$24</definedName>
    <definedName name="Table_TP_DATA">BuildYourStructure!$AU$30</definedName>
    <definedName name="Table_TP_META">BuildYourStructure!$AI$24</definedName>
    <definedName name="Text">BuildYourStructure!$BR$19</definedName>
    <definedName name="TextBox_Import_MP_path">BuildYourStructure!$B$9</definedName>
    <definedName name="TextBox_MP_db_path">BuildYourStructure!$C$19</definedName>
    <definedName name="TextBox_RNA_db_path">BuildYourStructure!$CZ$19</definedName>
    <definedName name="TextBox_TOWER_db_path">BuildYourStructure!$BR$19</definedName>
    <definedName name="TextBox_TP_db_path">BuildYourStructure!$AJ$19</definedName>
    <definedName name="TextBox_TWR_db_path">#REF!</definedName>
    <definedName name="Use_MP">BuildYourStructure!$E$6</definedName>
    <definedName name="USE_TP">BuildYourStructure!$E$8</definedName>
    <definedName name="UseMPGeomConv">BuildYourStructure!$F$11</definedName>
    <definedName name="UseTOWERGeomConv">BuildYourStructure!$F$13</definedName>
    <definedName name="UseTPGeomConv">BuildYourStructure!$F$12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6" l="1"/>
  <c r="BW32" i="5"/>
  <c r="BW33" i="5"/>
  <c r="BW34" i="5"/>
  <c r="BW35" i="5"/>
  <c r="BW36" i="5"/>
  <c r="BW37" i="5"/>
  <c r="BW38" i="5"/>
  <c r="BW39" i="5"/>
  <c r="BW40" i="5"/>
  <c r="BW41" i="5"/>
  <c r="BW42" i="5"/>
  <c r="BW43" i="5"/>
  <c r="BW44" i="5"/>
  <c r="BW45" i="5"/>
  <c r="BW46" i="5"/>
  <c r="BW47" i="5"/>
  <c r="BW48" i="5"/>
  <c r="BW49" i="5"/>
  <c r="BW50" i="5"/>
  <c r="BW51" i="5"/>
  <c r="BW52" i="5"/>
  <c r="BW53" i="5"/>
  <c r="BW54" i="5"/>
  <c r="BW55" i="5"/>
  <c r="BW56" i="5"/>
  <c r="BW57" i="5"/>
  <c r="BW58" i="5"/>
  <c r="BW59" i="5"/>
  <c r="BW60" i="5"/>
  <c r="BW61" i="5"/>
  <c r="BW62" i="5"/>
  <c r="BW63" i="5"/>
  <c r="BW64" i="5"/>
  <c r="BW65" i="5"/>
  <c r="BW66" i="5"/>
  <c r="BW67" i="5"/>
  <c r="BW68" i="5"/>
  <c r="BW69" i="5"/>
  <c r="BW70" i="5"/>
  <c r="BW71" i="5"/>
  <c r="BW72" i="5"/>
  <c r="BW73" i="5"/>
  <c r="BW74" i="5"/>
  <c r="BW75" i="5"/>
  <c r="BW76" i="5"/>
  <c r="BW77" i="5"/>
  <c r="BW78" i="5"/>
  <c r="BW79" i="5"/>
  <c r="BW80" i="5"/>
  <c r="BW81" i="5"/>
  <c r="BW82" i="5"/>
  <c r="BW83" i="5"/>
  <c r="BW84" i="5"/>
  <c r="BW85" i="5"/>
  <c r="BW86" i="5"/>
  <c r="BW87" i="5"/>
  <c r="BW88" i="5"/>
  <c r="BW89" i="5"/>
  <c r="BW90" i="5"/>
  <c r="BW91" i="5"/>
  <c r="BW92" i="5"/>
  <c r="BW93" i="5"/>
  <c r="BW94" i="5"/>
  <c r="BW95" i="5"/>
  <c r="BW96" i="5"/>
  <c r="BW97" i="5"/>
  <c r="BW98" i="5"/>
  <c r="BW99" i="5"/>
  <c r="BW100" i="5"/>
  <c r="BW101" i="5"/>
  <c r="BW102" i="5"/>
  <c r="BW103" i="5"/>
  <c r="BW104" i="5"/>
  <c r="BW105" i="5"/>
  <c r="BW106" i="5"/>
  <c r="BW107" i="5"/>
  <c r="BW108" i="5"/>
  <c r="BW109" i="5"/>
  <c r="BW110" i="5"/>
  <c r="BW111" i="5"/>
  <c r="BW112" i="5"/>
  <c r="BW113" i="5"/>
  <c r="BW114" i="5"/>
  <c r="BW115" i="5"/>
  <c r="BW116" i="5"/>
  <c r="BW117" i="5"/>
  <c r="BW118" i="5"/>
  <c r="BW119" i="5"/>
  <c r="BW120" i="5"/>
  <c r="BW121" i="5"/>
  <c r="BW122" i="5"/>
  <c r="BW123" i="5"/>
  <c r="BW124" i="5"/>
  <c r="BW125" i="5"/>
  <c r="BW126" i="5"/>
  <c r="BW127" i="5"/>
  <c r="BW128" i="5"/>
  <c r="BW129" i="5"/>
  <c r="BW130" i="5"/>
  <c r="BW131" i="5"/>
  <c r="BW132" i="5"/>
  <c r="BW133" i="5"/>
  <c r="BW134" i="5"/>
  <c r="BW135" i="5"/>
  <c r="BW136" i="5"/>
  <c r="BW137" i="5"/>
  <c r="BW138" i="5"/>
  <c r="BW139" i="5"/>
  <c r="BW140" i="5"/>
  <c r="BW141" i="5"/>
  <c r="BW142" i="5"/>
  <c r="BW143" i="5"/>
  <c r="BW144" i="5"/>
  <c r="BW145" i="5"/>
  <c r="BW146" i="5"/>
  <c r="BW147" i="5"/>
  <c r="BW148" i="5"/>
  <c r="BW149" i="5"/>
  <c r="BW31" i="5"/>
  <c r="BY32" i="5"/>
  <c r="BY33" i="5"/>
  <c r="BY34" i="5"/>
  <c r="BY35" i="5"/>
  <c r="BY36" i="5"/>
  <c r="BY37" i="5"/>
  <c r="BY38" i="5"/>
  <c r="BY39" i="5"/>
  <c r="BY40" i="5"/>
  <c r="BY41" i="5"/>
  <c r="BY42" i="5"/>
  <c r="BY43" i="5"/>
  <c r="BY44" i="5"/>
  <c r="BY45" i="5"/>
  <c r="BY46" i="5"/>
  <c r="BY47" i="5"/>
  <c r="BY48" i="5"/>
  <c r="BY49" i="5"/>
  <c r="BY50" i="5"/>
  <c r="BY51" i="5"/>
  <c r="BY52" i="5"/>
  <c r="BY53" i="5"/>
  <c r="BY54" i="5"/>
  <c r="BY55" i="5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BY140" i="5"/>
  <c r="BY141" i="5"/>
  <c r="BY142" i="5"/>
  <c r="BY143" i="5"/>
  <c r="BY144" i="5"/>
  <c r="BY145" i="5"/>
  <c r="BY3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6" i="6" l="1" a="1"/>
  <c r="J6" i="6" s="1"/>
  <c r="J7" i="6"/>
  <c r="DF146" i="5"/>
  <c r="DF145" i="5"/>
  <c r="DF144" i="5"/>
  <c r="DF143" i="5"/>
  <c r="DF142" i="5"/>
  <c r="DF141" i="5"/>
  <c r="DF140" i="5"/>
  <c r="DF139" i="5"/>
  <c r="DF138" i="5"/>
  <c r="DF137" i="5"/>
  <c r="DF136" i="5"/>
  <c r="DF135" i="5"/>
  <c r="DF134" i="5"/>
  <c r="DF133" i="5"/>
  <c r="DF132" i="5"/>
  <c r="DF131" i="5"/>
  <c r="DF130" i="5"/>
  <c r="DF129" i="5"/>
  <c r="DF128" i="5"/>
  <c r="DF127" i="5"/>
  <c r="DF126" i="5"/>
  <c r="DF125" i="5"/>
  <c r="DF124" i="5"/>
  <c r="DF123" i="5"/>
  <c r="DF122" i="5"/>
  <c r="DF121" i="5"/>
  <c r="DF120" i="5"/>
  <c r="DF119" i="5"/>
  <c r="DF118" i="5"/>
  <c r="DF117" i="5"/>
  <c r="DF116" i="5"/>
  <c r="DF115" i="5"/>
  <c r="DF114" i="5"/>
  <c r="DF113" i="5"/>
  <c r="DF112" i="5"/>
  <c r="DF111" i="5"/>
  <c r="DF110" i="5"/>
  <c r="DF109" i="5"/>
  <c r="DF108" i="5"/>
  <c r="DF107" i="5"/>
  <c r="DF106" i="5"/>
  <c r="DF105" i="5"/>
  <c r="DF104" i="5"/>
  <c r="DF103" i="5"/>
  <c r="DF102" i="5"/>
  <c r="DF101" i="5"/>
  <c r="DF100" i="5"/>
  <c r="AQ17" i="6" l="1"/>
  <c r="AQ16" i="6"/>
  <c r="AK17" i="6"/>
  <c r="AK16" i="6"/>
  <c r="J15" i="6" l="1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H31" i="5" l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K453" i="6"/>
  <c r="L453" i="6"/>
  <c r="J453" i="6"/>
  <c r="M453" i="6"/>
  <c r="K454" i="6"/>
  <c r="L454" i="6"/>
  <c r="J454" i="6"/>
  <c r="M454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K65" i="6"/>
  <c r="L65" i="6"/>
  <c r="M65" i="6"/>
  <c r="K66" i="6"/>
  <c r="L66" i="6"/>
  <c r="M66" i="6"/>
  <c r="K67" i="6"/>
  <c r="L67" i="6"/>
  <c r="M67" i="6"/>
  <c r="K68" i="6"/>
  <c r="L68" i="6"/>
  <c r="M68" i="6"/>
  <c r="M15" i="6"/>
  <c r="L15" i="6"/>
  <c r="J3" i="6" l="1"/>
  <c r="J4" i="6"/>
  <c r="J5" i="6"/>
  <c r="BZ149" i="5"/>
  <c r="BX149" i="5"/>
  <c r="BZ148" i="5"/>
  <c r="BX148" i="5"/>
  <c r="BZ147" i="5"/>
  <c r="BX147" i="5"/>
  <c r="BZ146" i="5"/>
  <c r="BX146" i="5"/>
  <c r="BZ145" i="5"/>
  <c r="BX145" i="5"/>
  <c r="BZ144" i="5"/>
  <c r="BX144" i="5"/>
  <c r="BZ143" i="5"/>
  <c r="BX143" i="5"/>
  <c r="BZ142" i="5"/>
  <c r="BX142" i="5"/>
  <c r="BZ141" i="5"/>
  <c r="BX141" i="5"/>
  <c r="BZ140" i="5"/>
  <c r="BX140" i="5"/>
  <c r="BZ139" i="5"/>
  <c r="BX139" i="5"/>
  <c r="BZ138" i="5"/>
  <c r="BX138" i="5"/>
  <c r="BZ137" i="5"/>
  <c r="BX137" i="5"/>
  <c r="BZ136" i="5"/>
  <c r="BX136" i="5"/>
  <c r="BZ135" i="5"/>
  <c r="BX135" i="5"/>
  <c r="BZ134" i="5"/>
  <c r="BX134" i="5"/>
  <c r="BZ133" i="5"/>
  <c r="BX133" i="5"/>
  <c r="BZ132" i="5"/>
  <c r="BX132" i="5"/>
  <c r="BZ131" i="5"/>
  <c r="BX131" i="5"/>
  <c r="BZ130" i="5"/>
  <c r="BX130" i="5"/>
  <c r="BZ129" i="5"/>
  <c r="BX129" i="5"/>
  <c r="BZ128" i="5"/>
  <c r="BX128" i="5"/>
  <c r="BZ127" i="5"/>
  <c r="BX127" i="5"/>
  <c r="BZ126" i="5"/>
  <c r="BX126" i="5"/>
  <c r="BZ125" i="5"/>
  <c r="BX125" i="5"/>
  <c r="CA124" i="5"/>
  <c r="BZ124" i="5"/>
  <c r="BX124" i="5"/>
  <c r="CA123" i="5"/>
  <c r="BZ123" i="5"/>
  <c r="BX123" i="5"/>
  <c r="CA122" i="5"/>
  <c r="BZ122" i="5"/>
  <c r="BX122" i="5"/>
  <c r="CA121" i="5"/>
  <c r="BZ121" i="5"/>
  <c r="BX121" i="5"/>
  <c r="CA120" i="5"/>
  <c r="BZ120" i="5"/>
  <c r="BX120" i="5"/>
  <c r="CA119" i="5"/>
  <c r="BZ119" i="5"/>
  <c r="BX119" i="5"/>
  <c r="CA118" i="5"/>
  <c r="BZ118" i="5"/>
  <c r="BX118" i="5"/>
  <c r="CA117" i="5"/>
  <c r="BZ117" i="5"/>
  <c r="BX117" i="5"/>
  <c r="CA116" i="5"/>
  <c r="BZ116" i="5"/>
  <c r="BX116" i="5"/>
  <c r="CA115" i="5"/>
  <c r="BZ115" i="5"/>
  <c r="BX115" i="5"/>
  <c r="CA114" i="5"/>
  <c r="BZ114" i="5"/>
  <c r="BX114" i="5"/>
  <c r="CA113" i="5"/>
  <c r="BZ113" i="5"/>
  <c r="BX113" i="5"/>
  <c r="CA112" i="5"/>
  <c r="BZ112" i="5"/>
  <c r="BX112" i="5"/>
  <c r="CA111" i="5"/>
  <c r="BZ111" i="5"/>
  <c r="BX111" i="5"/>
  <c r="CA110" i="5"/>
  <c r="BZ110" i="5"/>
  <c r="BX110" i="5"/>
  <c r="CA109" i="5"/>
  <c r="BZ109" i="5"/>
  <c r="BX109" i="5"/>
  <c r="CA108" i="5"/>
  <c r="BZ108" i="5"/>
  <c r="BX108" i="5"/>
  <c r="CA107" i="5"/>
  <c r="BZ107" i="5"/>
  <c r="BX107" i="5"/>
  <c r="CA106" i="5"/>
  <c r="BZ106" i="5"/>
  <c r="BX106" i="5"/>
  <c r="CA105" i="5"/>
  <c r="BZ105" i="5"/>
  <c r="BX105" i="5"/>
  <c r="CA104" i="5"/>
  <c r="BZ104" i="5"/>
  <c r="BX104" i="5"/>
  <c r="CA103" i="5"/>
  <c r="BZ103" i="5"/>
  <c r="BX103" i="5"/>
  <c r="CA102" i="5"/>
  <c r="BZ102" i="5"/>
  <c r="BX102" i="5"/>
  <c r="CA101" i="5"/>
  <c r="BZ101" i="5"/>
  <c r="BX101" i="5"/>
  <c r="CA100" i="5"/>
  <c r="BZ100" i="5"/>
  <c r="BX100" i="5"/>
  <c r="CA99" i="5"/>
  <c r="BZ99" i="5"/>
  <c r="BX99" i="5"/>
  <c r="CA98" i="5"/>
  <c r="BZ98" i="5"/>
  <c r="BX98" i="5"/>
  <c r="CA97" i="5"/>
  <c r="BZ97" i="5"/>
  <c r="BX97" i="5"/>
  <c r="CA96" i="5"/>
  <c r="BZ96" i="5"/>
  <c r="BX96" i="5"/>
  <c r="CA95" i="5"/>
  <c r="BZ95" i="5"/>
  <c r="BX95" i="5"/>
  <c r="CA94" i="5"/>
  <c r="BZ94" i="5"/>
  <c r="BX94" i="5"/>
  <c r="CA93" i="5"/>
  <c r="BZ93" i="5"/>
  <c r="BX93" i="5"/>
  <c r="CA92" i="5"/>
  <c r="BZ92" i="5"/>
  <c r="BX92" i="5"/>
  <c r="CA91" i="5"/>
  <c r="BZ91" i="5"/>
  <c r="BX91" i="5"/>
  <c r="CA90" i="5"/>
  <c r="BZ90" i="5"/>
  <c r="BX90" i="5"/>
  <c r="CA89" i="5"/>
  <c r="BZ89" i="5"/>
  <c r="BX89" i="5"/>
  <c r="CA88" i="5"/>
  <c r="BZ88" i="5"/>
  <c r="BX88" i="5"/>
  <c r="CA87" i="5"/>
  <c r="BZ87" i="5"/>
  <c r="BX87" i="5"/>
  <c r="CA86" i="5"/>
  <c r="BZ86" i="5"/>
  <c r="BX86" i="5"/>
  <c r="CA85" i="5"/>
  <c r="BZ85" i="5"/>
  <c r="BX85" i="5"/>
  <c r="CA84" i="5"/>
  <c r="BZ84" i="5"/>
  <c r="BX84" i="5"/>
  <c r="CA83" i="5"/>
  <c r="BZ83" i="5"/>
  <c r="BX83" i="5"/>
  <c r="CA82" i="5"/>
  <c r="BZ82" i="5"/>
  <c r="BX82" i="5"/>
  <c r="CA81" i="5"/>
  <c r="BZ81" i="5"/>
  <c r="BX81" i="5"/>
  <c r="CA80" i="5"/>
  <c r="BZ80" i="5"/>
  <c r="BX80" i="5"/>
  <c r="CA79" i="5"/>
  <c r="BZ79" i="5"/>
  <c r="BX79" i="5"/>
  <c r="CA78" i="5"/>
  <c r="BZ78" i="5"/>
  <c r="BX78" i="5"/>
  <c r="CA77" i="5"/>
  <c r="BZ77" i="5"/>
  <c r="BX77" i="5"/>
  <c r="CA76" i="5"/>
  <c r="BZ76" i="5"/>
  <c r="BX76" i="5"/>
  <c r="CA75" i="5"/>
  <c r="BZ75" i="5"/>
  <c r="BX75" i="5"/>
  <c r="CA74" i="5"/>
  <c r="BZ74" i="5"/>
  <c r="BX74" i="5"/>
  <c r="CA73" i="5"/>
  <c r="BZ73" i="5"/>
  <c r="BX73" i="5"/>
  <c r="CA72" i="5"/>
  <c r="BZ72" i="5"/>
  <c r="BX72" i="5"/>
  <c r="BZ71" i="5"/>
  <c r="BX71" i="5"/>
  <c r="BZ70" i="5"/>
  <c r="BX70" i="5"/>
  <c r="BZ69" i="5"/>
  <c r="BX69" i="5"/>
  <c r="BZ68" i="5"/>
  <c r="BX68" i="5"/>
  <c r="BZ67" i="5"/>
  <c r="BX67" i="5"/>
  <c r="BZ66" i="5"/>
  <c r="BX66" i="5"/>
  <c r="BZ65" i="5"/>
  <c r="BX65" i="5"/>
  <c r="BZ64" i="5"/>
  <c r="BX64" i="5"/>
  <c r="BZ63" i="5"/>
  <c r="BX63" i="5"/>
  <c r="BZ62" i="5"/>
  <c r="BX62" i="5"/>
  <c r="BZ61" i="5"/>
  <c r="BX61" i="5"/>
  <c r="BZ60" i="5"/>
  <c r="BX60" i="5"/>
  <c r="CA59" i="5"/>
  <c r="BZ59" i="5"/>
  <c r="BX59" i="5"/>
  <c r="CA58" i="5"/>
  <c r="BZ58" i="5"/>
  <c r="BX58" i="5"/>
  <c r="CA57" i="5"/>
  <c r="BZ57" i="5"/>
  <c r="BX57" i="5"/>
  <c r="CA56" i="5"/>
  <c r="BZ56" i="5"/>
  <c r="BX56" i="5"/>
  <c r="CA55" i="5"/>
  <c r="BZ55" i="5"/>
  <c r="BX55" i="5"/>
  <c r="CA54" i="5"/>
  <c r="BZ54" i="5"/>
  <c r="BX54" i="5"/>
  <c r="CA53" i="5"/>
  <c r="BZ53" i="5"/>
  <c r="BX53" i="5"/>
  <c r="CA52" i="5"/>
  <c r="BZ52" i="5"/>
  <c r="BX52" i="5"/>
  <c r="CA51" i="5"/>
  <c r="BZ51" i="5"/>
  <c r="BX51" i="5"/>
  <c r="CA50" i="5"/>
  <c r="BZ50" i="5"/>
  <c r="BX50" i="5"/>
  <c r="CA49" i="5"/>
  <c r="BZ49" i="5"/>
  <c r="BX49" i="5"/>
  <c r="CA48" i="5"/>
  <c r="BZ48" i="5"/>
  <c r="BX48" i="5"/>
  <c r="CA47" i="5"/>
  <c r="BZ47" i="5"/>
  <c r="BX47" i="5"/>
  <c r="CA46" i="5"/>
  <c r="BZ46" i="5"/>
  <c r="BX46" i="5"/>
  <c r="CA45" i="5"/>
  <c r="BZ45" i="5"/>
  <c r="BX45" i="5"/>
  <c r="CA44" i="5"/>
  <c r="BZ44" i="5"/>
  <c r="BX44" i="5"/>
  <c r="CA43" i="5"/>
  <c r="BZ43" i="5"/>
  <c r="BX43" i="5"/>
  <c r="CA42" i="5"/>
  <c r="BZ42" i="5"/>
  <c r="BX42" i="5"/>
  <c r="CA41" i="5"/>
  <c r="BZ41" i="5"/>
  <c r="BX41" i="5"/>
  <c r="CA40" i="5"/>
  <c r="BZ40" i="5"/>
  <c r="BX40" i="5"/>
  <c r="CA39" i="5"/>
  <c r="BZ39" i="5"/>
  <c r="BX39" i="5"/>
  <c r="CA38" i="5"/>
  <c r="BZ38" i="5"/>
  <c r="BX38" i="5"/>
  <c r="CA37" i="5"/>
  <c r="BZ37" i="5"/>
  <c r="BX37" i="5"/>
  <c r="CA36" i="5"/>
  <c r="BZ36" i="5"/>
  <c r="BX36" i="5"/>
  <c r="CA35" i="5"/>
  <c r="BZ35" i="5"/>
  <c r="BX35" i="5"/>
  <c r="BZ34" i="5"/>
  <c r="BX34" i="5"/>
  <c r="BZ33" i="5"/>
  <c r="BX33" i="5"/>
  <c r="BZ32" i="5"/>
  <c r="BX32" i="5"/>
  <c r="BZ31" i="5"/>
  <c r="BX31" i="5"/>
  <c r="AR149" i="5"/>
  <c r="AP149" i="5"/>
  <c r="AO149" i="5"/>
  <c r="AR148" i="5"/>
  <c r="AP148" i="5"/>
  <c r="AO148" i="5"/>
  <c r="AR147" i="5"/>
  <c r="AP147" i="5"/>
  <c r="AO147" i="5"/>
  <c r="AR146" i="5"/>
  <c r="AP146" i="5"/>
  <c r="AO146" i="5"/>
  <c r="AR145" i="5"/>
  <c r="AP145" i="5"/>
  <c r="AO145" i="5"/>
  <c r="AR144" i="5"/>
  <c r="AP144" i="5"/>
  <c r="AO144" i="5"/>
  <c r="AR143" i="5"/>
  <c r="AQ143" i="5"/>
  <c r="AP143" i="5"/>
  <c r="AO143" i="5"/>
  <c r="AR142" i="5"/>
  <c r="AQ142" i="5"/>
  <c r="AP142" i="5"/>
  <c r="AO142" i="5"/>
  <c r="AR141" i="5"/>
  <c r="AQ141" i="5"/>
  <c r="AP141" i="5"/>
  <c r="AO141" i="5"/>
  <c r="AR140" i="5"/>
  <c r="AQ140" i="5"/>
  <c r="AP140" i="5"/>
  <c r="AO140" i="5"/>
  <c r="AR139" i="5"/>
  <c r="AQ139" i="5"/>
  <c r="AP139" i="5"/>
  <c r="AO139" i="5"/>
  <c r="AR138" i="5"/>
  <c r="AQ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S124" i="5"/>
  <c r="AR124" i="5"/>
  <c r="AQ124" i="5"/>
  <c r="AP124" i="5"/>
  <c r="AO124" i="5"/>
  <c r="AS123" i="5"/>
  <c r="AR123" i="5"/>
  <c r="AQ123" i="5"/>
  <c r="AP123" i="5"/>
  <c r="AO123" i="5"/>
  <c r="AS122" i="5"/>
  <c r="AR122" i="5"/>
  <c r="AQ122" i="5"/>
  <c r="AP122" i="5"/>
  <c r="AO122" i="5"/>
  <c r="AS121" i="5"/>
  <c r="AR121" i="5"/>
  <c r="AQ121" i="5"/>
  <c r="AP121" i="5"/>
  <c r="AO121" i="5"/>
  <c r="AS120" i="5"/>
  <c r="AR120" i="5"/>
  <c r="AQ120" i="5"/>
  <c r="AP120" i="5"/>
  <c r="AO120" i="5"/>
  <c r="AS119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R71" i="5"/>
  <c r="AQ71" i="5"/>
  <c r="AP71" i="5"/>
  <c r="AO71" i="5"/>
  <c r="AR70" i="5"/>
  <c r="AQ70" i="5"/>
  <c r="AP70" i="5"/>
  <c r="AO70" i="5"/>
  <c r="AR69" i="5"/>
  <c r="AQ69" i="5"/>
  <c r="AP69" i="5"/>
  <c r="AO69" i="5"/>
  <c r="AR68" i="5"/>
  <c r="AQ68" i="5"/>
  <c r="AP68" i="5"/>
  <c r="AO68" i="5"/>
  <c r="AR67" i="5"/>
  <c r="AQ67" i="5"/>
  <c r="AP67" i="5"/>
  <c r="AO67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S59" i="5"/>
  <c r="AR59" i="5"/>
  <c r="AQ59" i="5"/>
  <c r="AP59" i="5"/>
  <c r="AO59" i="5"/>
  <c r="AS58" i="5"/>
  <c r="AR58" i="5"/>
  <c r="AQ58" i="5"/>
  <c r="AP58" i="5"/>
  <c r="AO58" i="5"/>
  <c r="AS57" i="5"/>
  <c r="AR57" i="5"/>
  <c r="AQ57" i="5"/>
  <c r="AP57" i="5"/>
  <c r="AO57" i="5"/>
  <c r="AS56" i="5"/>
  <c r="AR56" i="5"/>
  <c r="AQ56" i="5"/>
  <c r="AP56" i="5"/>
  <c r="AO56" i="5"/>
  <c r="AS55" i="5"/>
  <c r="AR55" i="5"/>
  <c r="AQ55" i="5"/>
  <c r="AP55" i="5"/>
  <c r="AO55" i="5"/>
  <c r="AS54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R34" i="5"/>
  <c r="AQ34" i="5"/>
  <c r="AP34" i="5"/>
  <c r="AO34" i="5"/>
  <c r="AR33" i="5"/>
  <c r="AQ33" i="5"/>
  <c r="AP33" i="5"/>
  <c r="AO33" i="5"/>
  <c r="AR32" i="5"/>
  <c r="AQ32" i="5"/>
  <c r="AP32" i="5"/>
  <c r="AO32" i="5"/>
  <c r="AR31" i="5"/>
  <c r="AQ31" i="5"/>
  <c r="AP31" i="5"/>
  <c r="AO31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31" i="5"/>
  <c r="J56" i="5"/>
  <c r="J57" i="5"/>
  <c r="J58" i="5"/>
  <c r="J59" i="5"/>
  <c r="J60" i="5"/>
  <c r="J61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31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32" i="5"/>
  <c r="H33" i="5"/>
  <c r="H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J8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<sst xmlns="http://schemas.openxmlformats.org/spreadsheetml/2006/main" count="1048" uniqueCount="276">
  <si>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</si>
  <si>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</si>
  <si>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</si>
  <si>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</si>
  <si>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</si>
  <si>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</si>
  <si>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</si>
  <si>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</si>
  <si>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</si>
  <si>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</si>
  <si>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</si>
  <si>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</si>
  <si>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</si>
  <si>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</si>
  <si>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</si>
  <si>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</si>
  <si>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</si>
  <si>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</si>
  <si>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</si>
  <si>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</si>
  <si>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</si>
  <si>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</si>
  <si>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</si>
  <si>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</si>
  <si>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</si>
  <si>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</si>
  <si>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</si>
  <si>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</si>
  <si>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</si>
  <si>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</si>
  <si>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</si>
  <si>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</si>
  <si>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</si>
  <si>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</si>
  <si>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</si>
  <si>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</si>
  <si>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</si>
  <si>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</si>
  <si>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</si>
  <si>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</si>
  <si>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</si>
  <si>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</si>
  <si>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</si>
  <si>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</si>
  <si>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</si>
  <si>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</si>
  <si>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</si>
  <si>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</si>
  <si>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</si>
  <si>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</si>
  <si>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</si>
  <si>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</si>
  <si>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</si>
  <si>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</si>
  <si>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</si>
  <si>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</si>
  <si>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</si>
  <si>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</si>
  <si>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</si>
  <si>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</si>
  <si>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</si>
  <si>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</si>
  <si>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</si>
  <si>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</si>
  <si>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</si>
  <si>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</si>
  <si>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</si>
  <si>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</si>
  <si>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</si>
  <si>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</si>
  <si>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</si>
  <si>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</si>
  <si>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</si>
  <si>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</si>
  <si>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</si>
  <si>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</si>
  <si>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</si>
  <si>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</si>
  <si>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</si>
  <si>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</si>
  <si>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</si>
  <si>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</si>
  <si>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</si>
  <si>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</si>
  <si>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</si>
  <si>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</si>
  <si>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</si>
  <si>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</si>
  <si>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</si>
  <si>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</si>
  <si>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</si>
  <si>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</si>
  <si>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</si>
  <si>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</si>
  <si>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</si>
  <si>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</si>
  <si>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Mass [kg]</t>
  </si>
  <si>
    <t>TP/MP flange</t>
  </si>
  <si>
    <t>Airtight platform</t>
  </si>
  <si>
    <t>Skirt</t>
  </si>
  <si>
    <t>TP-sided flange to tower</t>
  </si>
  <si>
    <t>Service Platform</t>
  </si>
  <si>
    <t>Junction Box Platform</t>
  </si>
  <si>
    <t>Internal Access System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</si>
  <si>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</si>
  <si>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</si>
  <si>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</si>
  <si>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</si>
  <si>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</si>
  <si>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</si>
  <si>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</si>
  <si>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</si>
  <si>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</si>
  <si>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</si>
  <si>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</si>
  <si>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</si>
  <si>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</si>
  <si>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</si>
  <si>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</si>
  <si>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</si>
  <si>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</si>
  <si>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</si>
  <si>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</si>
  <si>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</si>
  <si>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</si>
  <si>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</si>
  <si>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</si>
  <si>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</si>
  <si>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</si>
  <si>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</si>
  <si>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</si>
  <si>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</si>
  <si>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</si>
  <si>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</si>
  <si>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</si>
  <si>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</si>
  <si>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</si>
  <si>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</si>
  <si>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</si>
  <si>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</si>
  <si>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</si>
  <si>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</si>
  <si>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</si>
  <si>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</si>
  <si>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</si>
  <si>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</si>
  <si>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</si>
  <si>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</si>
  <si>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</si>
  <si>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</si>
  <si>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</si>
  <si>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</si>
  <si>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</si>
  <si>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</si>
  <si>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</si>
  <si>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</si>
  <si>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</si>
  <si>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</si>
  <si>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</si>
  <si>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</si>
  <si>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</si>
  <si>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</si>
  <si>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</si>
  <si>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</si>
  <si>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</si>
  <si>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</si>
  <si>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</si>
  <si>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</si>
  <si>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</si>
  <si>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</si>
  <si>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</si>
  <si>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</si>
  <si>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</si>
  <si>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</si>
  <si>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</si>
  <si>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</si>
  <si>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</si>
  <si>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</si>
  <si>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</si>
  <si>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</si>
  <si>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</si>
  <si>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</si>
  <si>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</si>
  <si>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</si>
  <si>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</si>
  <si>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</si>
  <si>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</si>
  <si>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</si>
  <si>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</si>
  <si>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</si>
  <si>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</si>
  <si>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</si>
  <si>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</si>
  <si>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</si>
  <si>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</si>
  <si>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</si>
  <si>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</si>
  <si>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</si>
  <si>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</si>
  <si>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</si>
  <si>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</si>
  <si>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</si>
  <si>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</si>
  <si>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</si>
  <si>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</si>
  <si>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</si>
  <si>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</si>
  <si>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</si>
  <si>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</si>
  <si>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</si>
  <si>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</si>
  <si>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</si>
  <si>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</si>
  <si>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</si>
  <si>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</si>
  <si>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</si>
  <si>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</si>
  <si>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</si>
  <si>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</si>
  <si>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</si>
  <si>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</si>
  <si>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</si>
  <si>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</si>
  <si>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</si>
  <si>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</si>
  <si>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</si>
  <si>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</si>
  <si>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</si>
  <si>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</si>
  <si>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</si>
  <si>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</si>
  <si>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</si>
  <si>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</si>
  <si>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</si>
  <si>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</si>
  <si>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</si>
  <si>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</si>
  <si>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</si>
  <si>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</si>
  <si>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</si>
  <si>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</si>
  <si>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</si>
  <si>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</si>
  <si>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Upper ladder</t>
  </si>
  <si>
    <t>Lower ladder</t>
  </si>
  <si>
    <t>Fender</t>
  </si>
  <si>
    <t>Resting platform</t>
  </si>
  <si>
    <t>Gap between surfaces</t>
  </si>
  <si>
    <t>^^</t>
  </si>
  <si>
    <t xml:space="preserve">Use For (WL: Waveload generator, AM: Additional Masses) </t>
  </si>
  <si>
    <t>WL</t>
  </si>
  <si>
    <t>AM</t>
  </si>
  <si>
    <t>Surface Roughness [m]</t>
  </si>
  <si>
    <t>Density  [kg/m^3]</t>
  </si>
  <si>
    <t>DIN 18088-1</t>
  </si>
  <si>
    <t>Siemens SG-DD-XXX</t>
  </si>
  <si>
    <t>added from Ala</t>
  </si>
  <si>
    <t>MP Path</t>
  </si>
  <si>
    <t>MP Tool Path</t>
  </si>
  <si>
    <t>MP import only works, if MP Data is loaded and correct</t>
  </si>
  <si>
    <t>TP import only works, if TP Data is loaded and correct</t>
  </si>
  <si>
    <t>Tower import only works, if TP Data is loaded and correct</t>
  </si>
  <si>
    <t>C:\Users\aaron.lange\Desktop\Projekte\Geometrie_Converter\GeometrieConverter\databases\ENBW_FEED\15MW\MPTP_DP-A2_L0_G2_S1.xlsm</t>
  </si>
  <si>
    <t>24A525</t>
  </si>
  <si>
    <t>MPTP_DP-A2_L0_G2_S1</t>
  </si>
  <si>
    <t>24A525_FEED_MPTP_DP-A2_L0_G2_S1</t>
  </si>
  <si>
    <t>I:\2024\A\24A525_EnBW_Dreekant_FEED\03_Lasten\01_LILA\01_Model\DP-A2_15MW_L0G2S1\GeomConv_V1.18_Dreekant-15MW236-N12.1_DP-A2_L0G2S1.xlsm</t>
  </si>
  <si>
    <t>Vestas mass</t>
  </si>
  <si>
    <t>dummy to have same number of nodes as 22 MW MP</t>
  </si>
  <si>
    <t>DP-A2</t>
  </si>
  <si>
    <t>24A525_FEED_DP-A2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</si>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</sst>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20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0" borderId="12" xfId="0" applyFont="1" applyBorder="1"/>
    <xf numFmtId="0" fontId="3" fillId="16" borderId="12" xfId="0" applyFont="1" applyFill="1" applyBorder="1"/>
    <xf numFmtId="0" fontId="0" fillId="16" borderId="12" xfId="0" applyFill="1" applyBorder="1"/>
    <xf numFmtId="0" fontId="0" fillId="0" borderId="23" xfId="0" applyBorder="1" applyAlignment="1">
      <alignment horizontal="center"/>
    </xf>
    <xf numFmtId="0" fontId="0" fillId="13" borderId="0" xfId="0" applyFill="1" applyAlignment="1">
      <alignment horizontal="center"/>
    </xf>
    <xf numFmtId="0" fontId="2" fillId="0" borderId="26" xfId="0" applyFont="1" applyBorder="1"/>
    <xf numFmtId="49" fontId="0" fillId="0" borderId="0" xfId="0" applyNumberFormat="1" applyAlignment="1">
      <alignment horizontal="left"/>
    </xf>
    <xf numFmtId="0" fontId="2" fillId="14" borderId="26" xfId="0" applyFont="1" applyFill="1" applyBorder="1"/>
    <xf numFmtId="11" fontId="0" fillId="0" borderId="26" xfId="0" applyNumberFormat="1" applyBorder="1" applyAlignment="1">
      <alignment horizontal="center"/>
    </xf>
    <xf numFmtId="0" fontId="0" fillId="0" borderId="22" xfId="0" applyBorder="1"/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15" borderId="26" xfId="0" applyFill="1" applyBorder="1" applyAlignment="1">
      <alignment horizontal="left"/>
    </xf>
    <xf numFmtId="0" fontId="0" fillId="15" borderId="27" xfId="0" applyFill="1" applyBorder="1" applyAlignment="1">
      <alignment horizontal="left"/>
    </xf>
    <xf numFmtId="2" fontId="12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/>
    <xf numFmtId="2" fontId="0" fillId="0" borderId="23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1" xfId="0" applyNumberFormat="1" applyBorder="1" applyAlignment="1">
      <alignment horizontal="left"/>
    </xf>
    <xf numFmtId="2" fontId="0" fillId="0" borderId="22" xfId="0" applyNumberFormat="1" applyBorder="1" applyAlignment="1">
      <alignment horizontal="left"/>
    </xf>
    <xf numFmtId="0" fontId="0" fillId="15" borderId="25" xfId="0" applyFill="1" applyBorder="1" applyAlignment="1">
      <alignment horizontal="left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168" fontId="0" fillId="0" borderId="0" xfId="0" applyNumberFormat="1" applyFill="1"/>
    <xf numFmtId="0" fontId="0" fillId="0" borderId="0" xfId="0" applyFill="1"/>
  </cellXfs>
  <cellStyles count="2">
    <cellStyle name="Standard" xfId="0" builtinId="0"/>
    <cellStyle name="Standard 4" xfId="1" xr:uid="{7C2E7282-4006-4D40-8AAC-8E6944058B8E}"/>
  </cellStyles>
  <dxfs count="312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25_FEED_DP-A2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3" val="5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UseMPGeomConv" lockText="1" noThreeD="1"/>
</file>

<file path=xl/ctrlProps/ctrlProp32.xml><?xml version="1.0" encoding="utf-8"?>
<formControlPr xmlns="http://schemas.microsoft.com/office/spreadsheetml/2009/9/main" objectType="CheckBox" checked="Checked" fmlaLink="UseTPGeomConv" lockText="1" noThreeD="1"/>
</file>

<file path=xl/ctrlProps/ctrlProp33.xml><?xml version="1.0" encoding="utf-8"?>
<formControlPr xmlns="http://schemas.microsoft.com/office/spreadsheetml/2009/9/main" objectType="CheckBox" checked="Checked" fmlaLink="UseTOWERGeomConv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228600</xdr:rowOff>
        </xdr:from>
        <xdr:to>
          <xdr:col>2</xdr:col>
          <xdr:colOff>190500</xdr:colOff>
          <xdr:row>20</xdr:row>
          <xdr:rowOff>238125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18</xdr:row>
          <xdr:rowOff>28575</xdr:rowOff>
        </xdr:from>
        <xdr:to>
          <xdr:col>1</xdr:col>
          <xdr:colOff>1076325</xdr:colOff>
          <xdr:row>18</xdr:row>
          <xdr:rowOff>276225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19050</xdr:rowOff>
        </xdr:from>
        <xdr:to>
          <xdr:col>14</xdr:col>
          <xdr:colOff>1343025</xdr:colOff>
          <xdr:row>27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22</xdr:row>
          <xdr:rowOff>171450</xdr:rowOff>
        </xdr:from>
        <xdr:to>
          <xdr:col>11</xdr:col>
          <xdr:colOff>819150</xdr:colOff>
          <xdr:row>27</xdr:row>
          <xdr:rowOff>133350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4</xdr:col>
          <xdr:colOff>133350</xdr:colOff>
          <xdr:row>3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95250</xdr:rowOff>
        </xdr:from>
        <xdr:to>
          <xdr:col>2</xdr:col>
          <xdr:colOff>285750</xdr:colOff>
          <xdr:row>7</xdr:row>
          <xdr:rowOff>171450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19</xdr:row>
          <xdr:rowOff>161925</xdr:rowOff>
        </xdr:from>
        <xdr:to>
          <xdr:col>36</xdr:col>
          <xdr:colOff>0</xdr:colOff>
          <xdr:row>20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</xdr:colOff>
          <xdr:row>18</xdr:row>
          <xdr:rowOff>28575</xdr:rowOff>
        </xdr:from>
        <xdr:to>
          <xdr:col>34</xdr:col>
          <xdr:colOff>800100</xdr:colOff>
          <xdr:row>18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23</xdr:row>
          <xdr:rowOff>19050</xdr:rowOff>
        </xdr:from>
        <xdr:to>
          <xdr:col>47</xdr:col>
          <xdr:colOff>1343025</xdr:colOff>
          <xdr:row>27</xdr:row>
          <xdr:rowOff>142875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276225</xdr:colOff>
          <xdr:row>23</xdr:row>
          <xdr:rowOff>47625</xdr:rowOff>
        </xdr:from>
        <xdr:to>
          <xdr:col>45</xdr:col>
          <xdr:colOff>762000</xdr:colOff>
          <xdr:row>27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19</xdr:row>
          <xdr:rowOff>161925</xdr:rowOff>
        </xdr:from>
        <xdr:to>
          <xdr:col>70</xdr:col>
          <xdr:colOff>390525</xdr:colOff>
          <xdr:row>20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18</xdr:row>
          <xdr:rowOff>38100</xdr:rowOff>
        </xdr:from>
        <xdr:to>
          <xdr:col>68</xdr:col>
          <xdr:colOff>790575</xdr:colOff>
          <xdr:row>18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866775</xdr:colOff>
          <xdr:row>23</xdr:row>
          <xdr:rowOff>19050</xdr:rowOff>
        </xdr:from>
        <xdr:to>
          <xdr:col>81</xdr:col>
          <xdr:colOff>2171700</xdr:colOff>
          <xdr:row>27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333375</xdr:colOff>
          <xdr:row>22</xdr:row>
          <xdr:rowOff>171450</xdr:rowOff>
        </xdr:from>
        <xdr:to>
          <xdr:col>80</xdr:col>
          <xdr:colOff>809625</xdr:colOff>
          <xdr:row>27</xdr:row>
          <xdr:rowOff>133350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18</xdr:row>
          <xdr:rowOff>28575</xdr:rowOff>
        </xdr:from>
        <xdr:to>
          <xdr:col>1</xdr:col>
          <xdr:colOff>2552700</xdr:colOff>
          <xdr:row>18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18</xdr:row>
          <xdr:rowOff>19050</xdr:rowOff>
        </xdr:from>
        <xdr:to>
          <xdr:col>35</xdr:col>
          <xdr:colOff>0</xdr:colOff>
          <xdr:row>18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819150</xdr:colOff>
          <xdr:row>18</xdr:row>
          <xdr:rowOff>19050</xdr:rowOff>
        </xdr:from>
        <xdr:to>
          <xdr:col>69</xdr:col>
          <xdr:colOff>9525</xdr:colOff>
          <xdr:row>18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19050</xdr:rowOff>
        </xdr:from>
        <xdr:to>
          <xdr:col>3</xdr:col>
          <xdr:colOff>876300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20</xdr:row>
          <xdr:rowOff>0</xdr:rowOff>
        </xdr:from>
        <xdr:to>
          <xdr:col>7</xdr:col>
          <xdr:colOff>704850</xdr:colOff>
          <xdr:row>20</xdr:row>
          <xdr:rowOff>247650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57150</xdr:colOff>
          <xdr:row>20</xdr:row>
          <xdr:rowOff>0</xdr:rowOff>
        </xdr:from>
        <xdr:to>
          <xdr:col>42</xdr:col>
          <xdr:colOff>733425</xdr:colOff>
          <xdr:row>20</xdr:row>
          <xdr:rowOff>247650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19</xdr:row>
          <xdr:rowOff>161925</xdr:rowOff>
        </xdr:from>
        <xdr:to>
          <xdr:col>104</xdr:col>
          <xdr:colOff>152400</xdr:colOff>
          <xdr:row>20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18</xdr:row>
          <xdr:rowOff>38100</xdr:rowOff>
        </xdr:from>
        <xdr:to>
          <xdr:col>102</xdr:col>
          <xdr:colOff>790575</xdr:colOff>
          <xdr:row>18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857250</xdr:colOff>
          <xdr:row>19</xdr:row>
          <xdr:rowOff>28575</xdr:rowOff>
        </xdr:from>
        <xdr:to>
          <xdr:col>108</xdr:col>
          <xdr:colOff>1590675</xdr:colOff>
          <xdr:row>21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819150</xdr:colOff>
          <xdr:row>18</xdr:row>
          <xdr:rowOff>19050</xdr:rowOff>
        </xdr:from>
        <xdr:to>
          <xdr:col>103</xdr:col>
          <xdr:colOff>9525</xdr:colOff>
          <xdr:row>18</xdr:row>
          <xdr:rowOff>257175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114300</xdr:rowOff>
        </xdr:from>
        <xdr:to>
          <xdr:col>2</xdr:col>
          <xdr:colOff>276225</xdr:colOff>
          <xdr:row>12</xdr:row>
          <xdr:rowOff>180975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1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38100</xdr:rowOff>
        </xdr:from>
        <xdr:to>
          <xdr:col>3</xdr:col>
          <xdr:colOff>942975</xdr:colOff>
          <xdr:row>11</xdr:row>
          <xdr:rowOff>123825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1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47625</xdr:rowOff>
        </xdr:from>
        <xdr:to>
          <xdr:col>3</xdr:col>
          <xdr:colOff>866775</xdr:colOff>
          <xdr:row>12</xdr:row>
          <xdr:rowOff>142875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1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76200</xdr:rowOff>
        </xdr:from>
        <xdr:to>
          <xdr:col>3</xdr:col>
          <xdr:colOff>866775</xdr:colOff>
          <xdr:row>13</xdr:row>
          <xdr:rowOff>171450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1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24:H25" totalsRowShown="0" headerRowDxfId="311" dataDxfId="0">
  <autoFilter ref="B24:H25" xr:uid="{51AF5F9E-A6E5-4BA1-83BE-2546351DAE06}"/>
  <tableColumns count="7">
    <tableColumn id="1" xr3:uid="{8004DE55-01A0-4AB5-A007-D379F8ED184F}" name="Identifier" dataDxfId="7"/>
    <tableColumn id="2" xr3:uid="{73AEE22B-B9CF-4401-B31E-64902257C6A9}" name="Project ID" dataDxfId="6"/>
    <tableColumn id="3" xr3:uid="{6CD7BEF9-707B-4F7D-A334-46DB51B6F454}" name="Phase" dataDxfId="5"/>
    <tableColumn id="4" xr3:uid="{5572AB9F-884A-4001-85E7-5E708A2DFC71}" name="Structure ID" dataDxfId="4"/>
    <tableColumn id="5" xr3:uid="{AFCB5F1D-C5C1-4D21-A7C0-310C0D52F9E4}" name="Water Depth [m]" dataDxfId="3"/>
    <tableColumn id="6" xr3:uid="{149EEBB8-62A5-42C4-97FD-484848DB0825}" name="Height Reference" dataDxfId="2"/>
    <tableColumn id="7" xr3:uid="{82ECC3EB-0382-490B-8CE7-963B13E4D1A1}" name="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7:H29" totalsRowShown="0" headerRowDxfId="310" dataDxfId="309">
  <autoFilter ref="B27:H29" xr:uid="{58117B73-5FCA-4002-A528-31B3F83BDE75}"/>
  <tableColumns count="7">
    <tableColumn id="1" xr3:uid="{5C484AAB-AA0F-4FBD-9543-28D80EB7F84D}" name="Identifier" dataDxfId="308"/>
    <tableColumn id="2" xr3:uid="{87603448-795E-499B-8754-D6455D5FF52F}" name="Project ID" dataDxfId="307"/>
    <tableColumn id="3" xr3:uid="{51EA6487-4EF3-43A9-B440-34893EEEEAB2}" name="Phase" dataDxfId="306"/>
    <tableColumn id="4" xr3:uid="{4AC48BB5-6D2E-492F-89B1-5662010991A8}" name="Structure ID" dataDxfId="305"/>
    <tableColumn id="5" xr3:uid="{2AE3ED2D-7CAB-45B8-AA43-6197A5DBB9C2}" name="Water Depth [m]" dataDxfId="304"/>
    <tableColumn id="6" xr3:uid="{BC0E3E2E-DE67-4FD9-94E9-5C112B52D3FD}" name="Height Reference" dataDxfId="303"/>
    <tableColumn id="7" xr3:uid="{16928D7F-3DB7-43BD-BCF5-5C279A3E16F5}" name="Comments" dataDxfId="30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30:G53" totalsRowShown="0" headerRowDxfId="301" dataDxfId="26">
  <autoFilter ref="B30:G53" xr:uid="{C9C31EE9-6B44-4D67-9597-BD108F88B355}"/>
  <sortState xmlns:xlrd2="http://schemas.microsoft.com/office/spreadsheetml/2017/richdata2" ref="B31:L55">
    <sortCondition ref="B30:B55"/>
  </sortState>
  <tableColumns count="6">
    <tableColumn id="1" xr3:uid="{15F53C56-04A7-4EA4-A64D-A2A5A78E2AA2}" name="Section" dataDxfId="32"/>
    <tableColumn id="2" xr3:uid="{01B5124C-F6E1-40D2-9236-F2D6BE941DD3}" name="Top [m]" dataDxfId="31"/>
    <tableColumn id="3" xr3:uid="{0537C90E-D320-4AC4-8392-2A7C45CE31A1}" name="Bottom [m]" dataDxfId="30"/>
    <tableColumn id="4" xr3:uid="{3F0DC3DB-26F8-4D70-A358-70EF5E1596F5}" name="D, top [m]" dataDxfId="29"/>
    <tableColumn id="5" xr3:uid="{25F6B1D8-AC49-468F-BDCD-72AC07BB3CD0}" name="D, bottom [m]" dataDxfId="28"/>
    <tableColumn id="6" xr3:uid="{3ED99EE5-BCA8-4244-A3E5-81C6F22A9AB2}" name="t [mm]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24:V25" totalsRowShown="0" headerRowDxfId="300" dataDxfId="299">
  <autoFilter ref="P24:V25" xr:uid="{F46B677D-4D25-4464-BE0D-6A1E644518C5}"/>
  <tableColumns count="7">
    <tableColumn id="1" xr3:uid="{ECD0389F-015D-412B-9FF1-D5BEAAD27FC1}" name="Identifier" dataDxfId="298"/>
    <tableColumn id="2" xr3:uid="{90794316-AE1E-4D40-A728-B5B995A9CF65}" name="Project ID" dataDxfId="297"/>
    <tableColumn id="3" xr3:uid="{B8C9242D-AC32-4E57-A861-DB7E615D6A1C}" name="Phase" dataDxfId="296"/>
    <tableColumn id="4" xr3:uid="{1EEB510B-3010-431D-B8C6-870D9180A629}" name="Structure ID" dataDxfId="295"/>
    <tableColumn id="5" xr3:uid="{B6F5C20C-83C1-4B16-B4D3-933D066BB6A0}" name="Water Depth [m]" dataDxfId="294"/>
    <tableColumn id="6" xr3:uid="{26EA3A2D-14E0-4809-9795-74592B4984AD}" name="Height Reference" dataDxfId="293"/>
    <tableColumn id="7" xr3:uid="{9AC62F3C-D12C-40A1-8AF4-F7C9B043F1FB}" name="Comments" dataDxfId="2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24:AG25" totalsRowShown="0" headerRowDxfId="291" dataDxfId="290">
  <autoFilter ref="AA24:AG25" xr:uid="{46FD7C67-BF9C-41F4-B134-682EDE7A007C}"/>
  <sortState xmlns:xlrd2="http://schemas.microsoft.com/office/spreadsheetml/2017/richdata2" ref="AA25:AE26">
    <sortCondition descending="1" ref="AC24:AC26"/>
  </sortState>
  <tableColumns count="7">
    <tableColumn id="1" xr3:uid="{43AB1C43-FBC5-42AE-8DFA-4651B77C56A0}" name="Identifier" dataDxfId="289"/>
    <tableColumn id="2" xr3:uid="{75FB6F15-9784-4F9D-9947-41C8E7DD1CC9}" name="Project ID" dataDxfId="288"/>
    <tableColumn id="3" xr3:uid="{DF3379D9-9371-4EDE-B715-A6A40C072275}" name="Phase" dataDxfId="287"/>
    <tableColumn id="4" xr3:uid="{B2F66CA1-64D8-49D4-A1DA-28FD14EC75C2}" name="Structure ID" dataDxfId="286"/>
    <tableColumn id="5" xr3:uid="{E0EC4989-22E7-49A3-8DAC-034A87568E19}" name="Water Depth [m]" dataDxfId="285"/>
    <tableColumn id="6" xr3:uid="{9873A46F-D488-4AA7-BC64-C1E65C65D808}" name="Height Reference" dataDxfId="284"/>
    <tableColumn id="7" xr3:uid="{CD60E691-17C5-40B2-9E26-571B6CB0C11D}" name="Comments" dataDxfId="28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30:U53" totalsRowShown="0" headerRowDxfId="282" dataDxfId="281">
  <autoFilter ref="P30:U53" xr:uid="{186CFF05-2CD9-405C-829A-5AD7B62A8ACE}"/>
  <sortState xmlns:xlrd2="http://schemas.microsoft.com/office/spreadsheetml/2017/richdata2" ref="P31:Z55">
    <sortCondition ref="P30:P55"/>
  </sortState>
  <tableColumns count="6">
    <tableColumn id="1" xr3:uid="{66D6C4E1-74CA-4A30-A085-277EA5E62B3C}" name="Section" dataDxfId="280"/>
    <tableColumn id="2" xr3:uid="{D0F6ECD2-6414-48B2-9B47-1C3B8BAC860B}" name="Top [m]" dataDxfId="279"/>
    <tableColumn id="3" xr3:uid="{575FC20A-0259-4081-83F8-71040557AEA8}" name="Bottom [m]" dataDxfId="278"/>
    <tableColumn id="4" xr3:uid="{529E5CD0-69F2-4E59-86A7-A3E6F1B39E96}" name="D, top [m]" dataDxfId="277"/>
    <tableColumn id="5" xr3:uid="{7F90AAFA-52D7-47DB-A99D-3E3E0AEE6541}" name="D, bottom [m]" dataDxfId="276"/>
    <tableColumn id="6" xr3:uid="{1B01547B-4485-4B79-8DB3-FCEA1C806B60}" name="t [mm]" dataDxfId="27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30:O33" totalsRowShown="0" headerRowDxfId="274" dataDxfId="22">
  <autoFilter ref="M30:O33" xr:uid="{C2F2D263-B298-4967-B7BA-2043D2636A28}"/>
  <tableColumns count="3">
    <tableColumn id="2" xr3:uid="{365B74CD-D14D-4F75-ABA6-B5CBD126E6F2}" name="Elevation [m]" dataDxfId="25"/>
    <tableColumn id="12" xr3:uid="{3CC0B321-8A95-4AEE-8DFB-77DAE8FAB528}" name="Mass [kg]" dataDxfId="24"/>
    <tableColumn id="3" xr3:uid="{29EF80FE-079C-4A10-9ADB-03D595E35311}" name="comment" dataDxfId="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30:Y33" totalsRowShown="0" headerRowDxfId="273" dataDxfId="272">
  <autoFilter ref="W30:Y33" xr:uid="{4D5B4094-2520-4C0E-83CB-05269AAFC062}"/>
  <tableColumns count="3">
    <tableColumn id="1" xr3:uid="{C2D9CE8B-C220-46E5-BFE0-3791AC870182}" name="Elevation [m]" dataDxfId="271"/>
    <tableColumn id="2" xr3:uid="{1DE92BEA-EA77-4A06-9EE3-C4BCA53FA4BA}" name="Mass [kg]" dataDxfId="270"/>
    <tableColumn id="3" xr3:uid="{6F0C1064-8277-4D7C-890E-7B7872EA90CF}" name="comment" dataDxfId="26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24:AO25" totalsRowShown="0" headerRowDxfId="268" dataDxfId="267">
  <autoFilter ref="AI24:AO25" xr:uid="{0B04AF76-1113-4DD9-A88C-A478EB316C6E}"/>
  <tableColumns count="7">
    <tableColumn id="1" xr3:uid="{58455F34-16BF-4A81-8A57-F2B2E3E28892}" name="Identifier" dataDxfId="266"/>
    <tableColumn id="2" xr3:uid="{BDC511B7-0336-49CC-A0D7-40D96154D38D}" name="Project ID" dataDxfId="265"/>
    <tableColumn id="3" xr3:uid="{2D75BE55-2BF9-456C-AE5A-2A1218318BAA}" name="Phase" dataDxfId="264"/>
    <tableColumn id="4" xr3:uid="{2B0B47A1-6AA2-4D55-8DF5-A88A949DEAB3}" name="Structure ID" dataDxfId="263"/>
    <tableColumn id="5" xr3:uid="{24994B91-D518-4335-8AFB-5B728F5B9A9A}" name="Water Depth [m]" dataDxfId="262"/>
    <tableColumn id="6" xr3:uid="{BC674145-8AD9-4667-B204-310C7780D8BD}" name="Height Reference" dataDxfId="261"/>
    <tableColumn id="7" xr3:uid="{8574AD8B-5882-49EF-B1C0-6AEBD6820423}" name="Comments" dataDxfId="26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7:AO28" totalsRowShown="0" headerRowDxfId="259" dataDxfId="258">
  <autoFilter ref="AI27:AO28" xr:uid="{05DB58A4-E4A6-44E9-9800-F1D5AD7D9AA7}"/>
  <tableColumns count="7">
    <tableColumn id="1" xr3:uid="{2E834674-089F-43C8-8D07-2A374229A7BC}" name="Identifier" dataDxfId="257"/>
    <tableColumn id="2" xr3:uid="{6BEA972F-3506-4C48-AEB4-7F07A56A7185}" name="Project ID" dataDxfId="256"/>
    <tableColumn id="3" xr3:uid="{4E216AD3-8A97-4909-B2FD-78BAAFF0AD26}" name="Phase" dataDxfId="255"/>
    <tableColumn id="4" xr3:uid="{787011D0-F0FA-4EDD-881B-22121DF4902E}" name="Structure ID" dataDxfId="254"/>
    <tableColumn id="5" xr3:uid="{2067DA19-30E8-4DC2-9605-F5989A843C96}" name="Water Depth [m]" dataDxfId="253"/>
    <tableColumn id="6" xr3:uid="{E1008977-49E5-479B-9DB3-40A483860F73}" name="Height Reference" dataDxfId="252"/>
    <tableColumn id="7" xr3:uid="{F3EB13E3-9193-4095-B8C2-92AB811162B8}" name="Comments" dataDxfId="25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30:AN34" totalsRowShown="0" headerRowDxfId="250" dataDxfId="249">
  <autoFilter ref="AI30:AN34" xr:uid="{463505FA-4645-4E01-B220-9A826ACB16FB}"/>
  <sortState xmlns:xlrd2="http://schemas.microsoft.com/office/spreadsheetml/2017/richdata2" ref="AI31:AS55">
    <sortCondition ref="AI30:AI55"/>
  </sortState>
  <tableColumns count="6">
    <tableColumn id="1" xr3:uid="{B63189BD-DBD1-4507-A787-F69DD84B759C}" name="Section" dataDxfId="248"/>
    <tableColumn id="2" xr3:uid="{20DD1485-D982-4D84-8836-A1F004AD90A8}" name="Top [m]" dataDxfId="247"/>
    <tableColumn id="3" xr3:uid="{A05F4E1F-5C83-413A-B9BE-2BBE3AB13A3B}" name="Bottom [m]" dataDxfId="246"/>
    <tableColumn id="4" xr3:uid="{EBAC8D31-17F8-4535-9E03-9B656FFD2B81}" name="D, top [m]" dataDxfId="245"/>
    <tableColumn id="5" xr3:uid="{A4A3D92C-C993-453F-AF5C-E4B75CB27682}" name="D, bottom [m]" dataDxfId="244"/>
    <tableColumn id="6" xr3:uid="{32AD350F-83E6-4938-BC67-33A5C8B767FF}" name="t [mm]" dataDxfId="24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24:BD25" totalsRowShown="0" headerRowDxfId="242" dataDxfId="241">
  <autoFilter ref="AX24:BD25" xr:uid="{6ED14D31-21E8-495C-899A-C1BE36AC7D57}"/>
  <tableColumns count="7">
    <tableColumn id="1" xr3:uid="{DA9D700C-EEF5-42F6-A311-BAEEF88B1BB7}" name="Identifier" dataDxfId="240"/>
    <tableColumn id="2" xr3:uid="{F3154507-C41A-47B8-8944-C5C95FFA02DB}" name="Project ID" dataDxfId="239"/>
    <tableColumn id="3" xr3:uid="{80771C1F-325D-4BE1-93EC-AEBADAEF8C45}" name="Phase" dataDxfId="238"/>
    <tableColumn id="4" xr3:uid="{58EF9147-D484-4AD2-85BC-FC61A3DF1B06}" name="Structure ID" dataDxfId="237"/>
    <tableColumn id="5" xr3:uid="{08D6C2E1-6DB9-491C-8175-4D57250F03F8}" name="Water Depth [m]" dataDxfId="236"/>
    <tableColumn id="6" xr3:uid="{6D129076-7D09-47E2-9F0F-2301ACE416A2}" name="Height Reference" dataDxfId="235"/>
    <tableColumn id="7" xr3:uid="{F96CE66F-661C-4D0F-869C-6075FFBE1D63}" name="Comments" dataDxfId="23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24:BO25" totalsRowShown="0" headerRowDxfId="233" dataDxfId="232">
  <autoFilter ref="BI24:BO25" xr:uid="{C3895FE4-33B0-49A8-99F6-25EAD4C42C05}"/>
  <sortState xmlns:xlrd2="http://schemas.microsoft.com/office/spreadsheetml/2017/richdata2" ref="BI25:BM26">
    <sortCondition descending="1" ref="BK24:BK26"/>
  </sortState>
  <tableColumns count="7">
    <tableColumn id="1" xr3:uid="{39574F94-1416-4BF2-B8F9-333B3F24B77C}" name="Identifier" dataDxfId="231"/>
    <tableColumn id="2" xr3:uid="{10221FF0-6669-415E-A4C9-1A925A636E0E}" name="Project ID" dataDxfId="230"/>
    <tableColumn id="3" xr3:uid="{51ED7DEE-637C-4EB3-BD51-712CBF1C3A3F}" name="Phase" dataDxfId="229"/>
    <tableColumn id="4" xr3:uid="{1FA8653A-38E1-49B7-812A-65D83A87164E}" name="Structure ID" dataDxfId="228"/>
    <tableColumn id="5" xr3:uid="{6C9EA130-8028-4AEB-8FB2-AF4D80F48270}" name="Water Depth [m]" dataDxfId="227"/>
    <tableColumn id="6" xr3:uid="{83CD3E29-C555-4D73-9F88-767BB7CFEAA2}" name="Height Reference" dataDxfId="226"/>
    <tableColumn id="7" xr3:uid="{E5776344-EC8E-455B-8C7D-2D48B57F6EF9}" name="Comments" dataDxfId="2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30:BC34" totalsRowShown="0" headerRowDxfId="224" dataDxfId="223">
  <autoFilter ref="AX30:BC34" xr:uid="{62A1D9C7-47A9-4F63-8343-1C661E8816F7}"/>
  <sortState xmlns:xlrd2="http://schemas.microsoft.com/office/spreadsheetml/2017/richdata2" ref="AX31:BH55">
    <sortCondition ref="AX30:AX55"/>
  </sortState>
  <tableColumns count="6">
    <tableColumn id="1" xr3:uid="{E243C011-FF5E-4AF1-A1B3-9F3C7CF7C9AA}" name="Section" dataDxfId="222"/>
    <tableColumn id="2" xr3:uid="{00F60C63-2770-42C2-B48C-5D66D3C52BC7}" name="Top [m]" dataDxfId="221"/>
    <tableColumn id="3" xr3:uid="{B0C70BDD-2B8F-4EF1-9287-C431F103B9ED}" name="Bottom [m]" dataDxfId="220"/>
    <tableColumn id="4" xr3:uid="{5762D413-3034-4D8C-93B6-FD4630B02B90}" name="D, top [m]" dataDxfId="219"/>
    <tableColumn id="5" xr3:uid="{14D973BE-EA8A-4E59-909A-5E1466E24A50}" name="D, bottom [m]" dataDxfId="218"/>
    <tableColumn id="6" xr3:uid="{7BFD2029-1F5C-43ED-A6F8-296E86962F79}" name="t [mm]" dataDxfId="21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30:AV36" totalsRowShown="0" headerRowDxfId="216" dataDxfId="215">
  <autoFilter ref="AT30:AV36" xr:uid="{EF6AB3BF-A5B9-4898-A2AA-B1E2D904FCE0}"/>
  <tableColumns count="3">
    <tableColumn id="1" xr3:uid="{1A53106D-E4B7-4076-A33D-6CE63AD9AC29}" name="Elevation [m]" dataDxfId="214"/>
    <tableColumn id="2" xr3:uid="{9D7DAE9F-A86B-4D74-801F-55226E9F4D94}" name="Mass [kg]" dataDxfId="213"/>
    <tableColumn id="3" xr3:uid="{3FD5DC94-754D-4B55-A30B-0CF2D12CDE7F}" name="comment" dataDxfId="2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30:BG36" totalsRowShown="0" headerRowDxfId="211" dataDxfId="210">
  <autoFilter ref="BE30:BG36" xr:uid="{6190E545-CB48-44A3-A5CA-9A97C610D06A}"/>
  <tableColumns count="3">
    <tableColumn id="1" xr3:uid="{1CD0DD89-8DB0-4FF9-B740-5D74EB586B63}" name="Elevation [m]" dataDxfId="209"/>
    <tableColumn id="2" xr3:uid="{229F8007-E6CC-45A8-B672-6374F80B1923}" name="Mass [kg]" dataDxfId="208"/>
    <tableColumn id="3" xr3:uid="{23823EA6-A689-44B2-958B-8A7D00EFF106}" name="comment" dataDxfId="20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24:BW25" totalsRowShown="0" headerRowDxfId="206" dataDxfId="205">
  <autoFilter ref="BQ24:BW25" xr:uid="{570D3808-2D33-45AA-AE67-BB82CAED07EC}"/>
  <tableColumns count="7">
    <tableColumn id="1" xr3:uid="{CCDDEDAF-7D35-44BE-9711-5BB94A7933B5}" name="Identifier" dataDxfId="204"/>
    <tableColumn id="2" xr3:uid="{A6622A20-5B2E-4695-A263-CDE9418E44CF}" name="Project ID" dataDxfId="203"/>
    <tableColumn id="3" xr3:uid="{352D7C0A-3620-4627-BAFA-7328A9D0D37D}" name="Phase" dataDxfId="202"/>
    <tableColumn id="4" xr3:uid="{B321ED1F-34C0-412F-A702-8500F62ECCC6}" name="Structure ID" dataDxfId="201"/>
    <tableColumn id="5" xr3:uid="{80D47030-3591-4982-92EF-BACC66E1FE86}" name="Water Depth [m]" dataDxfId="200"/>
    <tableColumn id="6" xr3:uid="{EF78C918-5D9E-4AE9-872B-673153622FEA}" name="Height Reference" dataDxfId="199"/>
    <tableColumn id="7" xr3:uid="{170AACDE-B844-4EEC-A0B3-69E2508B4EDA}" name="Comments" dataDxfId="1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7:BW28" totalsRowShown="0" headerRowDxfId="197" dataDxfId="196">
  <autoFilter ref="BQ27:BW28" xr:uid="{35A6DD8B-1B03-4405-8692-950A70C42223}"/>
  <tableColumns count="7">
    <tableColumn id="1" xr3:uid="{1E986C31-3F41-4D2E-A5B3-1F241849BF8F}" name="Identifier" dataDxfId="195"/>
    <tableColumn id="2" xr3:uid="{BFA6A302-1312-44A9-9D24-00404B96F93D}" name="Project ID" dataDxfId="194"/>
    <tableColumn id="3" xr3:uid="{6FC4FB3D-D4AD-4191-B505-D0037CFE0AE6}" name="Phase" dataDxfId="193"/>
    <tableColumn id="4" xr3:uid="{869514EC-8FC7-48A8-9C17-94321EE95FF7}" name="Structure ID" dataDxfId="192"/>
    <tableColumn id="5" xr3:uid="{863DC3E8-E570-4145-B742-09AB28340D03}" name="Water Depth [m]" dataDxfId="191"/>
    <tableColumn id="6" xr3:uid="{9DF4DE17-029C-4704-967A-33C81C46070E}" name="Height Reference" dataDxfId="190"/>
    <tableColumn id="7" xr3:uid="{769D8177-1D18-4F53-87D2-AB6EDE9D675F}" name="Comments" dataDxfId="18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30:BV120" totalsRowShown="0" headerRowDxfId="188" dataDxfId="187">
  <autoFilter ref="BQ30:BV120" xr:uid="{6CCFBE8E-EBFA-4AA0-A18D-3AB7BDB6B464}"/>
  <sortState xmlns:xlrd2="http://schemas.microsoft.com/office/spreadsheetml/2017/richdata2" ref="BQ31:CA55">
    <sortCondition ref="BQ30:BQ55"/>
  </sortState>
  <tableColumns count="6">
    <tableColumn id="1" xr3:uid="{85C28FF3-9287-4D46-8CEF-6A66D92B23F6}" name="Section" dataDxfId="186"/>
    <tableColumn id="2" xr3:uid="{BC63B096-D7B8-47B5-B5E9-FC896BC9868B}" name="Top [m]" dataDxfId="185"/>
    <tableColumn id="3" xr3:uid="{B9C7376D-FAD6-493B-8287-40DCA419DD50}" name="Bottom [m]" dataDxfId="184"/>
    <tableColumn id="4" xr3:uid="{6DC756E0-08B6-443E-9B2C-8D790BB94B8D}" name="D, top [m]" dataDxfId="183"/>
    <tableColumn id="5" xr3:uid="{BBD13E2B-0AEF-41AA-A565-50855C7E6296}" name="D, bottom [m]" dataDxfId="182"/>
    <tableColumn id="6" xr3:uid="{123F9676-EB92-4044-A35A-E032C3EBF8E7}" name="t [mm]" dataDxfId="18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24:CL25" totalsRowShown="0" headerRowDxfId="180" dataDxfId="179">
  <autoFilter ref="CF24:CL25" xr:uid="{BC714A6A-8D53-444B-883B-7E7991C4738D}"/>
  <tableColumns count="7">
    <tableColumn id="1" xr3:uid="{2851D88E-C4FF-4F89-9EC3-EAFBEA54B71F}" name="Identifier" dataDxfId="178"/>
    <tableColumn id="2" xr3:uid="{02792EA3-7910-49BB-A8F1-6C715F3370FC}" name="Project ID" dataDxfId="177"/>
    <tableColumn id="3" xr3:uid="{E61B3620-9AD6-47D6-B636-C8C2AD063634}" name="Phase" dataDxfId="176"/>
    <tableColumn id="4" xr3:uid="{605E5017-0F2F-4443-A933-4E5CD08A4C23}" name="Structure ID" dataDxfId="175"/>
    <tableColumn id="5" xr3:uid="{BDF5F12B-CA8B-48E8-87A7-7D0364DE2FB2}" name="Water Depth [m]" dataDxfId="174"/>
    <tableColumn id="6" xr3:uid="{EE01736A-C2DC-472E-BB17-6D42BEB50FD3}" name="Height Reference" dataDxfId="173"/>
    <tableColumn id="7" xr3:uid="{89F52D24-3700-4E96-A3EE-54C0BD6E6850}" name="Comments" dataDxfId="17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24:CW25" totalsRowShown="0" headerRowDxfId="171" dataDxfId="170">
  <autoFilter ref="CQ24:CW25" xr:uid="{B4707D43-E248-4B9D-AB58-3D0829DFBB4F}"/>
  <sortState xmlns:xlrd2="http://schemas.microsoft.com/office/spreadsheetml/2017/richdata2" ref="CQ25:CU26">
    <sortCondition descending="1" ref="CS24:CS26"/>
  </sortState>
  <tableColumns count="7">
    <tableColumn id="1" xr3:uid="{7672BA03-0DF7-4E41-B249-02049D4F4A5C}" name="Identifier" dataDxfId="169"/>
    <tableColumn id="2" xr3:uid="{BCD09FD8-ED15-428C-A59B-CFD0BF079641}" name="Project ID" dataDxfId="168"/>
    <tableColumn id="3" xr3:uid="{76AFB3BE-3FC3-4189-A098-6A9EA54A5EC9}" name="Phase" dataDxfId="167"/>
    <tableColumn id="4" xr3:uid="{33378BDF-E99D-44A7-8811-811CD7F1395F}" name="Structure ID" dataDxfId="166"/>
    <tableColumn id="5" xr3:uid="{DE6D6C26-BA61-4AFF-8E06-02AD273B29E8}" name="Water Depth [m]" dataDxfId="165"/>
    <tableColumn id="6" xr3:uid="{B865CAD0-836B-45FC-8185-9945C6562913}" name="Height Reference" dataDxfId="164"/>
    <tableColumn id="7" xr3:uid="{1F656F81-71F7-4B46-A4A6-8B1FC6147EC5}" name="Comments" dataDxfId="16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30:CK120" totalsRowShown="0" headerRowDxfId="162" dataDxfId="161">
  <autoFilter ref="CF30:CK120" xr:uid="{DE222362-04CC-46F7-A72F-CA8E23DD0237}"/>
  <sortState xmlns:xlrd2="http://schemas.microsoft.com/office/spreadsheetml/2017/richdata2" ref="CF31:CP55">
    <sortCondition ref="CF30:CF55"/>
  </sortState>
  <tableColumns count="6">
    <tableColumn id="1" xr3:uid="{A9C701CB-47B4-48F4-AFAB-2A8641408C96}" name="Section" dataDxfId="160"/>
    <tableColumn id="2" xr3:uid="{B6685CB3-8DE6-43F6-B6B6-9EE349AFDB7E}" name="Top [m]" dataDxfId="159"/>
    <tableColumn id="3" xr3:uid="{DF0BDC05-BDC5-4912-B19E-FE92634C630E}" name="Bottom [m]" dataDxfId="158"/>
    <tableColumn id="4" xr3:uid="{FE62A509-C225-4EE7-9E1A-92FB7B34D915}" name="D, top [m]" dataDxfId="157"/>
    <tableColumn id="5" xr3:uid="{40198B9A-CE5F-48D3-B6CF-9F426B6E0187}" name="D, bottom [m]" dataDxfId="156"/>
    <tableColumn id="6" xr3:uid="{9098A7F1-A089-4645-9946-FA698633501A}" name="t [mm]" dataDxfId="15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30:CD95" totalsRowShown="0" headerRowDxfId="154" dataDxfId="153">
  <autoFilter ref="CB30:CD95" xr:uid="{E785A247-6678-47FD-8A48-16CD1A0703D0}"/>
  <sortState xmlns:xlrd2="http://schemas.microsoft.com/office/spreadsheetml/2017/richdata2" ref="CB31:CD84">
    <sortCondition descending="1" ref="CB30:CB84"/>
  </sortState>
  <tableColumns count="3">
    <tableColumn id="1" xr3:uid="{D015FF14-679F-4C4B-AD11-FD169A799F7D}" name="Elevation [m]" dataDxfId="152"/>
    <tableColumn id="2" xr3:uid="{F6B0D10D-7C44-41C3-9301-C37A6304C787}" name="Mass [kg]" dataDxfId="151"/>
    <tableColumn id="3" xr3:uid="{F049C52E-CCD6-4E67-9C8C-52FA82F691D9}" name="comment" dataDxfId="15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30:CO95" totalsRowShown="0" headerRowDxfId="149" dataDxfId="148">
  <autoFilter ref="CM30:CO95" xr:uid="{3F664A08-9F40-4B2F-8151-7F221D68F245}"/>
  <tableColumns count="3">
    <tableColumn id="1" xr3:uid="{D4114F81-D70E-4B19-A7AB-C51B4DC07220}" name="Elevation [m]" dataDxfId="147"/>
    <tableColumn id="2" xr3:uid="{55470CA8-68EE-4770-B151-4A1CCF576822}" name="Mass [kg]" dataDxfId="146"/>
    <tableColumn id="3" xr3:uid="{78453B6F-A529-4D07-BA22-75B01F2D871E}" name="comment" dataDxfId="14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24:DG37" totalsRowShown="0" dataDxfId="144">
  <autoFilter ref="CY24:DG37" xr:uid="{FEE1C0E0-398B-48E1-9521-CCB187180413}"/>
  <sortState xmlns:xlrd2="http://schemas.microsoft.com/office/spreadsheetml/2017/richdata2" ref="CY25:DJ49">
    <sortCondition ref="CY24:CY49"/>
  </sortState>
  <tableColumns count="9">
    <tableColumn id="1" xr3:uid="{03A8E757-56E6-48B0-929F-24FBFFC0EAA8}" name="Identifier" dataDxfId="143"/>
    <tableColumn id="2" xr3:uid="{BF4DEE24-7E2F-4B20-9B44-27C601C754F1}" name="Power [MW]" dataDxfId="142"/>
    <tableColumn id="3" xr3:uid="{4CBE937C-DD0F-4596-BD90-BE03828E4CA7}" name="Rotor Diameter [m]" dataDxfId="141"/>
    <tableColumn id="4" xr3:uid="{DE89D440-DA99-4425-B50C-30544DB961F5}" name="Mass of RNA [kg]" dataDxfId="140"/>
    <tableColumn id="5" xr3:uid="{E2FB4084-506E-4EC7-9BC8-8255DFE52EE0}" name="Inertia of RNA fore-aft @COG [kg m^2]" dataDxfId="139"/>
    <tableColumn id="9" xr3:uid="{44DAFC7A-C2DD-41BB-881C-14AD34F8BE60}" name="Inertia of RNA side-side @COG [kg m^2]" dataDxfId="138"/>
    <tableColumn id="6" xr3:uid="{18C2BBB8-192B-4BEC-B9C5-5B12B65B00E4}" name="Vertical Offset TT to HH [m] " dataDxfId="137"/>
    <tableColumn id="7" xr3:uid="{224A58F0-EA11-4A11-9268-3AE211EDB8B3}" name="Vertical Offset TT_COG [m]" dataDxfId="136"/>
    <tableColumn id="8" xr3:uid="{6189FE8D-4B10-4B10-BBA8-06FA82BF9F0C}" name="comment" dataDxfId="13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I24:DQ37" totalsRowShown="0" dataDxfId="134">
  <autoFilter ref="DI24:DQ37" xr:uid="{6273375F-28C8-4A14-A545-8B988B5C9E65}"/>
  <tableColumns count="9">
    <tableColumn id="1" xr3:uid="{C3AE8FB7-66D2-47E1-8AA6-F0260BDFFCB8}" name="Identifier" dataDxfId="133"/>
    <tableColumn id="2" xr3:uid="{5F848737-A14E-44D6-9231-85AB48A55526}" name="Power [MW]" dataDxfId="132"/>
    <tableColumn id="3" xr3:uid="{2C93533D-1E27-4EB2-B7E6-3A19FEC55632}" name="Rotor Diameter [m]" dataDxfId="131"/>
    <tableColumn id="4" xr3:uid="{9D1780E5-E668-4D12-AF46-0A1DF433FA8A}" name="Mass of RNA [kg]" dataDxfId="130"/>
    <tableColumn id="5" xr3:uid="{1CA8A517-990E-4959-826C-118C5EC0C261}" name="Inertia of RNA fore-aft @COG [kg m^2]" dataDxfId="129"/>
    <tableColumn id="6" xr3:uid="{9FFE4A1F-E32A-49E7-8031-A24CF653CD8C}" name="Inertia of RNA side-side @COG [kg m^2]" dataDxfId="128"/>
    <tableColumn id="8" xr3:uid="{C481EB76-DD37-4979-8B5D-F3C81E38423E}" name="vertical offset TT to HH [m] " dataDxfId="127"/>
    <tableColumn id="7" xr3:uid="{3BD257A8-5786-4E03-8F1F-6116921828A3}" name="vertical offset TT_COG [m]" dataDxfId="126"/>
    <tableColumn id="9" xr3:uid="{A74BD603-BB70-4B62-BE72-E692B1275ED2}" name="comment" dataDxfId="12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4:I131" headerRowDxfId="124" dataDxfId="123">
  <autoFilter ref="B14:I131" xr:uid="{6964430C-2D65-45C4-817F-08653037EDFC}"/>
  <tableColumns count="8">
    <tableColumn id="1" xr3:uid="{1C924510-54DB-4186-8521-598E5FD7BF93}" name="Section" totalsRowLabel="Ergebnis" dataDxfId="122" totalsRowDxfId="121"/>
    <tableColumn id="2" xr3:uid="{29F8F207-72DF-4027-A39E-C3D956F79382}" name="Affiliation" dataDxfId="120" totalsRowDxfId="119"/>
    <tableColumn id="3" xr3:uid="{F1A86E12-282B-4FE8-A989-9056549BE251}" name="local Section" dataDxfId="118" totalsRowDxfId="117"/>
    <tableColumn id="4" xr3:uid="{1F0B5480-90D3-4DBF-AAEC-010EB8A46507}" name="Top [m]" dataDxfId="116" totalsRowDxfId="115"/>
    <tableColumn id="5" xr3:uid="{2F9EEEB1-AE18-4058-A215-9A6EAD23E6F0}" name="Bottom [m]" dataDxfId="114" totalsRowDxfId="113"/>
    <tableColumn id="6" xr3:uid="{CAF3E9FD-22BF-4C53-97D3-15DEA70C9DE2}" name="D, top [m]" dataDxfId="112" totalsRowDxfId="111"/>
    <tableColumn id="7" xr3:uid="{EE4449DD-273C-4967-8180-25E33E65F937}" name="D, bottom [m]" dataDxfId="110" totalsRowDxfId="109"/>
    <tableColumn id="8" xr3:uid="{0EE8182A-58FD-432D-A87C-9A474A081C7F}" name="t [mm]" totalsRowFunction="sum" dataDxfId="108" totalsRowDxfId="10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4:R88" totalsRowShown="0" headerRowDxfId="106" dataDxfId="105">
  <autoFilter ref="O14:R88" xr:uid="{99775F4D-8879-4247-BCBB-9E55004F5FE5}"/>
  <tableColumns count="4">
    <tableColumn id="8" xr3:uid="{4222E379-EA2F-436F-A27E-F66347A2B7A2}" name="Affiliation" dataDxfId="104"/>
    <tableColumn id="1" xr3:uid="{00244646-90F3-4DDD-AB6B-0373781AFF60}" name="Elevation [m]" dataDxfId="103"/>
    <tableColumn id="2" xr3:uid="{6305BA78-EC7F-4D5E-A143-DF4E3CB9A56C}" name="Mass [kg]" dataDxfId="102"/>
    <tableColumn id="3" xr3:uid="{156C5A02-52CD-48BE-87D5-E9BF8F935E99}" name="comment" dataDxfId="10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8:Y19" totalsRowShown="0" headerRowDxfId="100" dataDxfId="98" headerRowBorderDxfId="99" tableBorderDxfId="97" totalsRowBorderDxfId="96">
  <autoFilter ref="T18:Y19" xr:uid="{A1E86920-59C8-4A34-A4FA-D52D35DC047E}"/>
  <tableColumns count="6">
    <tableColumn id="1" xr3:uid="{D7BA5792-F27A-42AB-84A6-1A5C5073E624}" name="Affiliation" dataDxfId="95"/>
    <tableColumn id="3" xr3:uid="{F299E913-54CD-48A0-BB41-0880A93754FE}" name="Top [m]" dataDxfId="94"/>
    <tableColumn id="4" xr3:uid="{3FE7280C-AE16-43A5-98C5-AC81567063F8}" name="Bottom [m]" dataDxfId="93"/>
    <tableColumn id="5" xr3:uid="{494E1F17-E9F7-4B30-BF2F-0D837AD6C9EB}" name="D, top [m]" dataDxfId="92"/>
    <tableColumn id="6" xr3:uid="{9D18588B-23C1-495C-A81D-3BA5AF2F1DDD}" name="D, bottom [m]" dataDxfId="91"/>
    <tableColumn id="7" xr3:uid="{C3BA2567-9ACF-4834-A3FA-9599A0D98796}" name="t [mm]" dataDxfId="9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4:W15" totalsRowShown="0" dataDxfId="88" headerRowBorderDxfId="89" tableBorderDxfId="87">
  <autoFilter ref="T14:W15" xr:uid="{CD52EECF-AB78-4C57-8765-66AA1058C0CF}"/>
  <tableColumns count="4">
    <tableColumn id="1" xr3:uid="{035BC3C9-B7CD-47B5-94D2-F8D64A04FD6C}" name="Affiliation" dataDxfId="86"/>
    <tableColumn id="2" xr3:uid="{9093341A-644E-4005-A4B0-0B05612EE421}" name="Elevation [m]" dataDxfId="85"/>
    <tableColumn id="3" xr3:uid="{71FE16E7-7251-4F14-B28B-4C6055F6AED1}" name="Mass [t]" dataDxfId="84"/>
    <tableColumn id="4" xr3:uid="{87F4221A-61DF-4C79-A116-8098A7C6FAAE}" name="comment" dataDxfId="8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K14:AO17" totalsRowShown="0" headerRowDxfId="82" dataDxfId="81">
  <autoFilter ref="AK14:AO17" xr:uid="{8D334D84-754D-4685-9A4A-6A66B2E4FFB9}"/>
  <tableColumns count="5">
    <tableColumn id="1" xr3:uid="{DB673771-BB6D-4B68-81A2-B0DFC2758DC6}" name="Bottom [m]" dataDxfId="80">
      <calculatedColumnFormula>IF(ISBLANK(AL15),"",AL14)</calculatedColumnFormula>
    </tableColumn>
    <tableColumn id="2" xr3:uid="{88DBAEFE-0CE9-43B7-BBD5-30E29A54DD0E}" name="Top [m]" dataDxfId="79"/>
    <tableColumn id="3" xr3:uid="{88F4E89D-F5DC-463C-AE91-5C5F8B82A591}" name="Marine Growth [mm]" dataDxfId="78"/>
    <tableColumn id="4" xr3:uid="{ABEE5949-3D04-400D-9A95-F3EBF7837C0E}" name="Density  [kg/m^3]" dataDxfId="77"/>
    <tableColumn id="5" xr3:uid="{F538BE21-E07F-43DA-9EA7-D7658B55572F}" name="Surface Roughness [m]" dataDxfId="7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Q14:AT16" totalsRowShown="0" headerRowDxfId="75">
  <autoFilter ref="AQ14:AT16" xr:uid="{87B4A03F-1005-4720-8887-A14737394284}"/>
  <tableColumns count="4">
    <tableColumn id="1" xr3:uid="{79B3039B-DCB3-4DB5-9657-9170C1A7D7A1}" name="Bottom [m]" dataDxfId="74"/>
    <tableColumn id="2" xr3:uid="{798BD679-C372-4555-9ABA-DF12AF1BEB7B}" name="Top [m]" dataDxfId="73"/>
    <tableColumn id="3" xr3:uid="{C28B4B73-F57A-4DF1-B531-CD436CEA398C}" name="cd" dataDxfId="72"/>
    <tableColumn id="4" xr3:uid="{B75141CC-AB54-4904-90B7-845CA3D69A1B}" name="cm" dataDxfId="7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4:AI15" totalsRowShown="0" dataDxfId="69" headerRowBorderDxfId="70" tableBorderDxfId="68" totalsRowBorderDxfId="67">
  <autoFilter ref="AA14:AI15" xr:uid="{72CE8A2A-6760-4548-BB1E-BCA204D8C1BA}"/>
  <tableColumns count="9">
    <tableColumn id="1" xr3:uid="{46A5A21B-3002-456C-8AD9-5ECB42AC421F}" name="Identifier" dataDxfId="66"/>
    <tableColumn id="2" xr3:uid="{F5B4AC32-29FD-42F7-91EC-62CC42FCE0D7}" name="Power [MW]" dataDxfId="65"/>
    <tableColumn id="3" xr3:uid="{F6A77E93-EA0B-4A7B-91D9-D14361BC8B1A}" name="Rotor Diameter [m]" dataDxfId="64"/>
    <tableColumn id="4" xr3:uid="{324F57B3-0BB2-4A0A-864F-C4E295BA1417}" name="Mass of RNA [kg]" dataDxfId="63"/>
    <tableColumn id="5" xr3:uid="{498958C1-FF10-460A-950F-D28B6D477E67}" name="Inertia of RNA fore-aft @COG [kg m^2]" dataDxfId="62"/>
    <tableColumn id="8" xr3:uid="{234964DC-3BFC-4170-9D6A-7B3DBC67A11F}" name="Inertia of RNA side-side @COG [kg m^2]" dataDxfId="61"/>
    <tableColumn id="6" xr3:uid="{9A250389-A125-48C0-9709-4FC870698E51}" name="Vertical Offset TT to HH [m]" dataDxfId="60"/>
    <tableColumn id="7" xr3:uid="{7481D65D-D15B-4189-850C-213AFF247093}" name="Vertical Offset TT_COG [m]" dataDxfId="59"/>
    <tableColumn id="9" xr3:uid="{DC025F26-D4D4-42D6-A0AC-A10FD5B08484}" name="comment" dataDxfId="5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dataDxfId="57">
  <autoFilter ref="B2:D6" xr:uid="{C35E7AB2-603F-4F8E-A683-CC2DB9E03260}"/>
  <tableColumns count="3">
    <tableColumn id="1" xr3:uid="{249E4AC0-B025-41CE-B64B-B1C47A8B108A}" name="Parameter" dataDxfId="56" totalsRowDxfId="55"/>
    <tableColumn id="2" xr3:uid="{96957327-E448-409A-A132-2F66C10F1B05}" name="Value" dataDxfId="54" totalsRowDxfId="53"/>
    <tableColumn id="3" xr3:uid="{9BA3C973-0D4E-4458-9364-B9F23256E516}" name="Unit" dataDxfId="52" totalsRowDxfId="5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5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59" totalsRowShown="0" headerRowDxfId="49">
  <autoFilter ref="B20:F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48"/>
    <tableColumn id="4" xr3:uid="{E0487E44-0EED-4BFD-B57A-C884FB22266C}" name="default" dataDxfId="47"/>
    <tableColumn id="5" xr3:uid="{92045E4D-F12F-4D16-876C-05D25606D491}" name="SN1" dataDxfId="46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9" totalsRowShown="0" headerRowDxfId="45" dataDxfId="44">
  <autoFilter ref="B8:L19" xr:uid="{71E9ED97-D6B3-4021-B4A0-767262A463AF}"/>
  <tableColumns count="11">
    <tableColumn id="12" xr3:uid="{C2A89023-9057-4005-B5BC-7177CA0916E4}" name="Use For (WL: Waveload generator, AM: Additional Masses) " dataDxfId="43"/>
    <tableColumn id="8" xr3:uid="{DA5288F4-A6D2-4654-91EF-5216E3A5D06D}" name="Affiliation" dataDxfId="42"/>
    <tableColumn id="1" xr3:uid="{BCF04A15-F7A1-4B02-B968-2B77E93E65C8}" name="Top [m]" dataDxfId="41"/>
    <tableColumn id="2" xr3:uid="{7285DDF2-50C0-437F-A508-26E337365FD6}" name="Bottom [m]" dataDxfId="40"/>
    <tableColumn id="6" xr3:uid="{FF72EB0E-B8A4-4A02-BB1C-1EDDA8FDE8B6}" name="Mass [kg]" dataDxfId="39"/>
    <tableColumn id="4" xr3:uid="{C529D6EA-DB28-489B-9417-E4E43DA45BC2}" name="Diameter [m]" dataDxfId="38"/>
    <tableColumn id="7" xr3:uid="{187EAF26-0053-462C-A746-F4CFDD4FEA26}" name="Orientation [°]" dataDxfId="37"/>
    <tableColumn id="9" xr3:uid="{083E9AAE-21E0-4DD4-92EE-C339CE2D1002}" name="Distance Axis to Axis" dataDxfId="36"/>
    <tableColumn id="13" xr3:uid="{21BE8926-C21A-4E38-9100-554AFA0FA93B}" name="Gap between surfaces" dataDxfId="35"/>
    <tableColumn id="10" xr3:uid="{5E743F44-ADBC-4FED-9125-954BB70B4AA2}" name="Surface roughness [m]" dataDxfId="34"/>
    <tableColumn id="3" xr3:uid="{6D0A665B-2890-40A5-AD15-03E048A31B36}" name="comment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7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2.xml"/><Relationship Id="rId42" Type="http://schemas.openxmlformats.org/officeDocument/2006/relationships/table" Target="../tables/table10.xml"/><Relationship Id="rId47" Type="http://schemas.openxmlformats.org/officeDocument/2006/relationships/table" Target="../tables/table15.xml"/><Relationship Id="rId50" Type="http://schemas.openxmlformats.org/officeDocument/2006/relationships/table" Target="../tables/table18.xml"/><Relationship Id="rId55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table" Target="../tables/table5.xml"/><Relationship Id="rId40" Type="http://schemas.openxmlformats.org/officeDocument/2006/relationships/table" Target="../tables/table8.xml"/><Relationship Id="rId45" Type="http://schemas.openxmlformats.org/officeDocument/2006/relationships/table" Target="../tables/table13.xml"/><Relationship Id="rId53" Type="http://schemas.openxmlformats.org/officeDocument/2006/relationships/table" Target="../tables/table21.xml"/><Relationship Id="rId58" Type="http://schemas.openxmlformats.org/officeDocument/2006/relationships/table" Target="../tables/table26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table" Target="../tables/table3.xml"/><Relationship Id="rId43" Type="http://schemas.openxmlformats.org/officeDocument/2006/relationships/table" Target="../tables/table11.xml"/><Relationship Id="rId48" Type="http://schemas.openxmlformats.org/officeDocument/2006/relationships/table" Target="../tables/table16.xml"/><Relationship Id="rId56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1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1.xml"/><Relationship Id="rId38" Type="http://schemas.openxmlformats.org/officeDocument/2006/relationships/table" Target="../tables/table6.xml"/><Relationship Id="rId46" Type="http://schemas.openxmlformats.org/officeDocument/2006/relationships/table" Target="../tables/table14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9.xml"/><Relationship Id="rId54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4.xml"/><Relationship Id="rId49" Type="http://schemas.openxmlformats.org/officeDocument/2006/relationships/table" Target="../tables/table17.xml"/><Relationship Id="rId57" Type="http://schemas.openxmlformats.org/officeDocument/2006/relationships/table" Target="../tables/table25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table" Target="../tables/table12.xml"/><Relationship Id="rId52" Type="http://schemas.openxmlformats.org/officeDocument/2006/relationships/table" Target="../tables/table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7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F33" sqref="F33"/>
    </sheetView>
  </sheetViews>
  <sheetFormatPr baseColWidth="10" defaultRowHeight="15" x14ac:dyDescent="0.25"/>
  <cols>
    <col min="2" max="2" width="24.28515625" customWidth="1"/>
  </cols>
  <sheetData>
    <row r="3" spans="2:3" x14ac:dyDescent="0.25">
      <c r="B3" t="s">
        <v>274</v>
      </c>
      <c r="C3" t="s">
        <v>275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B41" sqref="B41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 x14ac:dyDescent="0.2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 x14ac:dyDescent="0.3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25">
      <c r="A4" s="41"/>
      <c r="B4" s="109" t="s">
        <v>42</v>
      </c>
      <c r="C4" s="110"/>
      <c r="D4" s="111"/>
      <c r="E4" s="40"/>
      <c r="F4" s="112" t="s">
        <v>26</v>
      </c>
      <c r="G4" s="113"/>
      <c r="H4" s="113"/>
      <c r="I4" s="114"/>
      <c r="J4" s="40"/>
      <c r="K4" s="115" t="s">
        <v>43</v>
      </c>
      <c r="L4" s="116"/>
      <c r="M4" s="117"/>
      <c r="N4" s="40"/>
      <c r="O4" s="41"/>
      <c r="P4" s="40"/>
      <c r="Q4" s="40"/>
      <c r="R4" s="39"/>
    </row>
    <row r="5" spans="1:24" x14ac:dyDescent="0.25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25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25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25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25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25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25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 x14ac:dyDescent="0.3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 x14ac:dyDescent="0.3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25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25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25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 x14ac:dyDescent="0.3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25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25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25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25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25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25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25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25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25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25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25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25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25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25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25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25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25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25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25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25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25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25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25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25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25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25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25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25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25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25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25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25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25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25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25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25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25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25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25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25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25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25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25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25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25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25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25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25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 x14ac:dyDescent="0.3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Q329"/>
  <sheetViews>
    <sheetView tabSelected="1" zoomScale="85" zoomScaleNormal="85" workbookViewId="0">
      <selection activeCell="E25" sqref="E25"/>
    </sheetView>
  </sheetViews>
  <sheetFormatPr baseColWidth="10" defaultColWidth="11.28515625" defaultRowHeight="15" outlineLevelCol="2" x14ac:dyDescent="0.25"/>
  <cols>
    <col min="1" max="1" width="53" style="70" customWidth="1"/>
    <col min="2" max="2" width="37.42578125" customWidth="1"/>
    <col min="3" max="4" width="17.28515625" customWidth="1"/>
    <col min="5" max="5" width="29.5703125" customWidth="1"/>
    <col min="6" max="6" width="19.28515625" customWidth="1"/>
    <col min="7" max="10" width="11.28515625" customWidth="1"/>
    <col min="11" max="11" width="11.85546875" customWidth="1"/>
    <col min="12" max="12" width="12.28515625" customWidth="1"/>
    <col min="13" max="13" width="21.7109375" customWidth="1"/>
    <col min="14" max="14" width="16.28515625" customWidth="1"/>
    <col min="15" max="15" width="32.42578125" customWidth="1"/>
    <col min="16" max="16" width="11.28515625" hidden="1" customWidth="1" outlineLevel="1"/>
    <col min="17" max="17" width="12.7109375" hidden="1" customWidth="1" outlineLevel="1"/>
    <col min="18" max="18" width="11.28515625" hidden="1" customWidth="1" outlineLevel="1"/>
    <col min="19" max="19" width="14.5703125" hidden="1" customWidth="1" outlineLevel="1"/>
    <col min="20" max="25" width="11.28515625" hidden="1" customWidth="1" outlineLevel="1"/>
    <col min="26" max="26" width="11.28515625" collapsed="1"/>
    <col min="27" max="27" width="28.28515625" customWidth="1" outlineLevel="1"/>
    <col min="28" max="29" width="11.28515625" customWidth="1" outlineLevel="1"/>
    <col min="30" max="30" width="22" customWidth="1" outlineLevel="1"/>
    <col min="31" max="31" width="11.28515625" customWidth="1" outlineLevel="1"/>
    <col min="32" max="33" width="15.42578125" customWidth="1" outlineLevel="1"/>
    <col min="34" max="34" width="24.42578125" style="72" customWidth="1"/>
    <col min="35" max="35" width="23.140625" style="70" customWidth="1"/>
    <col min="36" max="36" width="17.28515625" customWidth="1"/>
    <col min="37" max="37" width="19.140625" customWidth="1"/>
    <col min="38" max="38" width="20.7109375" customWidth="1"/>
    <col min="39" max="39" width="22.7109375" customWidth="1"/>
    <col min="40" max="40" width="21.28515625" customWidth="1"/>
    <col min="41" max="41" width="20.7109375" customWidth="1"/>
    <col min="48" max="48" width="25" customWidth="1"/>
    <col min="50" max="59" width="11.28515625" hidden="1" customWidth="1" outlineLevel="1"/>
    <col min="60" max="60" width="11.28515625" collapsed="1"/>
    <col min="61" max="67" width="11.28515625" hidden="1" customWidth="1" outlineLevel="2"/>
    <col min="68" max="68" width="24.5703125" style="90" customWidth="1" collapsed="1"/>
    <col min="69" max="69" width="23.140625" style="70" customWidth="1"/>
    <col min="81" max="81" width="17.28515625" customWidth="1"/>
    <col min="82" max="82" width="39.5703125" customWidth="1"/>
    <col min="84" max="93" width="11.28515625" hidden="1" customWidth="1" outlineLevel="1"/>
    <col min="94" max="94" width="11.28515625" collapsed="1"/>
    <col min="95" max="101" width="11.28515625" hidden="1" customWidth="1" outlineLevel="1"/>
    <col min="102" max="102" width="24.140625" style="72" customWidth="1" collapsed="1"/>
    <col min="103" max="103" width="23.140625" style="70" customWidth="1"/>
    <col min="104" max="104" width="14.7109375" customWidth="1"/>
    <col min="105" max="105" width="21.28515625" customWidth="1"/>
    <col min="106" max="106" width="22.42578125" customWidth="1"/>
    <col min="107" max="108" width="16.7109375" customWidth="1"/>
    <col min="109" max="109" width="24.28515625" customWidth="1"/>
    <col min="110" max="110" width="21" customWidth="1"/>
    <col min="113" max="114" width="11.28515625" hidden="1" customWidth="1" outlineLevel="1"/>
    <col min="115" max="115" width="13.28515625" hidden="1" customWidth="1" outlineLevel="1"/>
    <col min="116" max="116" width="19.28515625" hidden="1" customWidth="1" outlineLevel="1"/>
    <col min="117" max="117" width="15.140625" hidden="1" customWidth="1" outlineLevel="1"/>
    <col min="118" max="118" width="18.85546875" hidden="1" customWidth="1" outlineLevel="1"/>
    <col min="119" max="120" width="11.28515625" hidden="1" customWidth="1" outlineLevel="1"/>
    <col min="121" max="121" width="11.28515625" collapsed="1"/>
  </cols>
  <sheetData>
    <row r="1" spans="1:102" x14ac:dyDescent="0.25">
      <c r="AH1" s="88" t="s">
        <v>141</v>
      </c>
      <c r="BP1" s="89" t="s">
        <v>141</v>
      </c>
      <c r="CX1" s="88" t="s">
        <v>141</v>
      </c>
    </row>
    <row r="5" spans="1:102" x14ac:dyDescent="0.25">
      <c r="E5" s="71"/>
    </row>
    <row r="6" spans="1:102" x14ac:dyDescent="0.25">
      <c r="E6" s="71" t="b">
        <v>1</v>
      </c>
    </row>
    <row r="7" spans="1:102" x14ac:dyDescent="0.25">
      <c r="E7" s="71"/>
    </row>
    <row r="8" spans="1:102" x14ac:dyDescent="0.25">
      <c r="E8" s="71" t="b">
        <v>1</v>
      </c>
    </row>
    <row r="9" spans="1:102" ht="24" customHeight="1" x14ac:dyDescent="0.25">
      <c r="A9" s="75" t="s">
        <v>258</v>
      </c>
      <c r="B9" t="s">
        <v>262</v>
      </c>
    </row>
    <row r="10" spans="1:102" ht="15" customHeight="1" x14ac:dyDescent="0.25"/>
    <row r="11" spans="1:102" ht="15.75" customHeight="1" x14ac:dyDescent="0.25">
      <c r="E11" s="70" t="s">
        <v>259</v>
      </c>
      <c r="F11" s="71" t="b">
        <v>1</v>
      </c>
    </row>
    <row r="12" spans="1:102" ht="15.75" customHeight="1" x14ac:dyDescent="0.25">
      <c r="E12" s="70" t="s">
        <v>260</v>
      </c>
      <c r="F12" s="71" t="b">
        <v>1</v>
      </c>
    </row>
    <row r="13" spans="1:102" ht="15.75" customHeight="1" x14ac:dyDescent="0.25">
      <c r="E13" s="70" t="s">
        <v>261</v>
      </c>
      <c r="F13" s="71" t="b">
        <v>1</v>
      </c>
    </row>
    <row r="14" spans="1:102" ht="15.75" customHeight="1" x14ac:dyDescent="0.25">
      <c r="A14" s="75" t="s">
        <v>257</v>
      </c>
      <c r="B14" t="s">
        <v>266</v>
      </c>
    </row>
    <row r="15" spans="1:102" ht="15.75" customHeight="1" x14ac:dyDescent="0.25"/>
    <row r="17" spans="1:121" ht="18.75" x14ac:dyDescent="0.3">
      <c r="B17" s="73" t="s">
        <v>69</v>
      </c>
      <c r="AI17" s="81" t="s">
        <v>88</v>
      </c>
      <c r="AW17" t="s">
        <v>75</v>
      </c>
      <c r="BQ17" s="81" t="s">
        <v>78</v>
      </c>
      <c r="CE17" t="s">
        <v>75</v>
      </c>
      <c r="CY17" s="81" t="s">
        <v>126</v>
      </c>
    </row>
    <row r="19" spans="1:121" ht="23.45" customHeight="1" x14ac:dyDescent="0.25">
      <c r="C19" s="74" t="s">
        <v>90</v>
      </c>
      <c r="AJ19" s="74" t="s">
        <v>70</v>
      </c>
      <c r="BR19" s="74" t="s">
        <v>89</v>
      </c>
      <c r="CZ19" s="74" t="s">
        <v>144</v>
      </c>
    </row>
    <row r="20" spans="1:121" ht="21.6" customHeight="1" thickBot="1" x14ac:dyDescent="0.3"/>
    <row r="21" spans="1:121" ht="21.6" customHeight="1" thickBot="1" x14ac:dyDescent="0.3">
      <c r="D21" s="61" t="s">
        <v>106</v>
      </c>
      <c r="E21" s="62"/>
      <c r="F21" s="64"/>
      <c r="G21" s="62"/>
      <c r="H21" s="63"/>
      <c r="AM21" s="61" t="s">
        <v>106</v>
      </c>
      <c r="AN21" s="62"/>
      <c r="AO21" s="65"/>
      <c r="AP21" s="62"/>
      <c r="AQ21" s="63"/>
    </row>
    <row r="24" spans="1:121" x14ac:dyDescent="0.25">
      <c r="A24" s="75" t="s">
        <v>71</v>
      </c>
      <c r="B24" t="s">
        <v>80</v>
      </c>
      <c r="C24" t="s">
        <v>81</v>
      </c>
      <c r="D24" t="s">
        <v>79</v>
      </c>
      <c r="E24" t="s">
        <v>82</v>
      </c>
      <c r="F24" t="s">
        <v>134</v>
      </c>
      <c r="G24" t="s">
        <v>130</v>
      </c>
      <c r="H24" t="s">
        <v>135</v>
      </c>
      <c r="P24" t="s">
        <v>80</v>
      </c>
      <c r="Q24" t="s">
        <v>81</v>
      </c>
      <c r="R24" t="s">
        <v>79</v>
      </c>
      <c r="S24" t="s">
        <v>82</v>
      </c>
      <c r="T24" t="s">
        <v>134</v>
      </c>
      <c r="U24" t="s">
        <v>130</v>
      </c>
      <c r="V24" t="s">
        <v>135</v>
      </c>
      <c r="AA24" t="s">
        <v>80</v>
      </c>
      <c r="AB24" t="s">
        <v>81</v>
      </c>
      <c r="AC24" t="s">
        <v>79</v>
      </c>
      <c r="AD24" t="s">
        <v>82</v>
      </c>
      <c r="AE24" t="s">
        <v>134</v>
      </c>
      <c r="AF24" t="s">
        <v>130</v>
      </c>
      <c r="AG24" t="s">
        <v>135</v>
      </c>
      <c r="AI24" s="70" t="s">
        <v>80</v>
      </c>
      <c r="AJ24" t="s">
        <v>81</v>
      </c>
      <c r="AK24" t="s">
        <v>79</v>
      </c>
      <c r="AL24" t="s">
        <v>82</v>
      </c>
      <c r="AM24" t="s">
        <v>134</v>
      </c>
      <c r="AN24" t="s">
        <v>130</v>
      </c>
      <c r="AO24" t="s">
        <v>135</v>
      </c>
      <c r="AX24" t="s">
        <v>80</v>
      </c>
      <c r="AY24" t="s">
        <v>81</v>
      </c>
      <c r="AZ24" t="s">
        <v>79</v>
      </c>
      <c r="BA24" t="s">
        <v>82</v>
      </c>
      <c r="BB24" t="s">
        <v>134</v>
      </c>
      <c r="BC24" t="s">
        <v>130</v>
      </c>
      <c r="BD24" t="s">
        <v>135</v>
      </c>
      <c r="BI24" t="s">
        <v>80</v>
      </c>
      <c r="BJ24" t="s">
        <v>81</v>
      </c>
      <c r="BK24" t="s">
        <v>79</v>
      </c>
      <c r="BL24" t="s">
        <v>82</v>
      </c>
      <c r="BM24" t="s">
        <v>134</v>
      </c>
      <c r="BN24" t="s">
        <v>130</v>
      </c>
      <c r="BO24" t="s">
        <v>135</v>
      </c>
      <c r="BQ24" s="70" t="s">
        <v>80</v>
      </c>
      <c r="BR24" t="s">
        <v>81</v>
      </c>
      <c r="BS24" t="s">
        <v>79</v>
      </c>
      <c r="BT24" t="s">
        <v>82</v>
      </c>
      <c r="BU24" t="s">
        <v>134</v>
      </c>
      <c r="BV24" t="s">
        <v>130</v>
      </c>
      <c r="BW24" t="s">
        <v>135</v>
      </c>
      <c r="CF24" t="s">
        <v>80</v>
      </c>
      <c r="CG24" t="s">
        <v>81</v>
      </c>
      <c r="CH24" t="s">
        <v>79</v>
      </c>
      <c r="CI24" t="s">
        <v>82</v>
      </c>
      <c r="CJ24" t="s">
        <v>134</v>
      </c>
      <c r="CK24" t="s">
        <v>130</v>
      </c>
      <c r="CL24" t="s">
        <v>135</v>
      </c>
      <c r="CQ24" t="s">
        <v>80</v>
      </c>
      <c r="CR24" t="s">
        <v>81</v>
      </c>
      <c r="CS24" t="s">
        <v>79</v>
      </c>
      <c r="CT24" t="s">
        <v>82</v>
      </c>
      <c r="CU24" t="s">
        <v>134</v>
      </c>
      <c r="CV24" t="s">
        <v>130</v>
      </c>
      <c r="CW24" t="s">
        <v>135</v>
      </c>
      <c r="CY24" t="s">
        <v>80</v>
      </c>
      <c r="CZ24" t="s">
        <v>139</v>
      </c>
      <c r="DA24" t="s">
        <v>140</v>
      </c>
      <c r="DB24" t="s">
        <v>218</v>
      </c>
      <c r="DC24" t="s">
        <v>227</v>
      </c>
      <c r="DD24" t="s">
        <v>228</v>
      </c>
      <c r="DE24" t="s">
        <v>235</v>
      </c>
      <c r="DF24" t="s">
        <v>236</v>
      </c>
      <c r="DG24" t="s">
        <v>19</v>
      </c>
      <c r="DI24" t="s">
        <v>80</v>
      </c>
      <c r="DJ24" t="s">
        <v>139</v>
      </c>
      <c r="DK24" t="s">
        <v>140</v>
      </c>
      <c r="DL24" t="s">
        <v>218</v>
      </c>
      <c r="DM24" t="s">
        <v>227</v>
      </c>
      <c r="DN24" t="s">
        <v>228</v>
      </c>
      <c r="DO24" t="s">
        <v>219</v>
      </c>
      <c r="DP24" t="s">
        <v>220</v>
      </c>
      <c r="DQ24" t="s">
        <v>19</v>
      </c>
    </row>
    <row r="25" spans="1:121" x14ac:dyDescent="0.25">
      <c r="A25" s="76" t="s">
        <v>77</v>
      </c>
      <c r="B25" s="119" t="s">
        <v>265</v>
      </c>
      <c r="C25" s="119" t="s">
        <v>263</v>
      </c>
      <c r="D25" s="119" t="s">
        <v>83</v>
      </c>
      <c r="E25" s="119" t="s">
        <v>264</v>
      </c>
      <c r="F25" s="119">
        <v>43.5</v>
      </c>
      <c r="G25" s="119" t="s">
        <v>49</v>
      </c>
      <c r="H25" s="119" t="s">
        <v>256</v>
      </c>
      <c r="P25" t="s">
        <v>265</v>
      </c>
      <c r="Q25" t="s">
        <v>263</v>
      </c>
      <c r="R25" t="s">
        <v>83</v>
      </c>
      <c r="S25" t="s">
        <v>264</v>
      </c>
      <c r="T25">
        <v>43.5</v>
      </c>
      <c r="U25" t="s">
        <v>49</v>
      </c>
      <c r="V25" t="s">
        <v>256</v>
      </c>
      <c r="AA25" t="s">
        <v>265</v>
      </c>
      <c r="AB25" t="s">
        <v>263</v>
      </c>
      <c r="AC25" t="s">
        <v>83</v>
      </c>
      <c r="AD25" t="s">
        <v>264</v>
      </c>
      <c r="AE25">
        <v>43.5</v>
      </c>
      <c r="AF25" t="s">
        <v>49</v>
      </c>
      <c r="AG25" t="s">
        <v>256</v>
      </c>
      <c r="AI25" s="70" t="s">
        <v>265</v>
      </c>
      <c r="AJ25" t="s">
        <v>263</v>
      </c>
      <c r="AK25" t="s">
        <v>83</v>
      </c>
      <c r="AL25" t="s">
        <v>264</v>
      </c>
      <c r="AM25">
        <v>43.5</v>
      </c>
      <c r="AN25" t="s">
        <v>49</v>
      </c>
      <c r="AX25" t="s">
        <v>265</v>
      </c>
      <c r="AY25" t="s">
        <v>263</v>
      </c>
      <c r="AZ25" t="s">
        <v>83</v>
      </c>
      <c r="BA25" t="s">
        <v>264</v>
      </c>
      <c r="BB25">
        <v>43.5</v>
      </c>
      <c r="BC25" t="s">
        <v>49</v>
      </c>
      <c r="BI25" t="s">
        <v>265</v>
      </c>
      <c r="BJ25" t="s">
        <v>263</v>
      </c>
      <c r="BK25" t="s">
        <v>83</v>
      </c>
      <c r="BL25" t="s">
        <v>264</v>
      </c>
      <c r="BM25">
        <v>43.5</v>
      </c>
      <c r="BN25" t="s">
        <v>49</v>
      </c>
      <c r="BQ25" s="70" t="s">
        <v>270</v>
      </c>
      <c r="BR25" t="s">
        <v>263</v>
      </c>
      <c r="BS25" t="s">
        <v>83</v>
      </c>
      <c r="BT25" t="s">
        <v>269</v>
      </c>
      <c r="BU25">
        <v>43.5</v>
      </c>
      <c r="BV25" t="s">
        <v>49</v>
      </c>
      <c r="CF25" t="s">
        <v>270</v>
      </c>
      <c r="CG25" t="s">
        <v>263</v>
      </c>
      <c r="CH25" t="s">
        <v>83</v>
      </c>
      <c r="CI25" t="s">
        <v>269</v>
      </c>
      <c r="CJ25">
        <v>43.5</v>
      </c>
      <c r="CK25" t="s">
        <v>49</v>
      </c>
      <c r="CQ25" t="s">
        <v>270</v>
      </c>
      <c r="CR25" t="s">
        <v>263</v>
      </c>
      <c r="CS25" t="s">
        <v>83</v>
      </c>
      <c r="CT25" t="s">
        <v>269</v>
      </c>
      <c r="CU25">
        <v>43.5</v>
      </c>
      <c r="CV25" t="s">
        <v>49</v>
      </c>
      <c r="CY25" s="104" t="s">
        <v>145</v>
      </c>
      <c r="CZ25" s="104">
        <v>3.6</v>
      </c>
      <c r="DA25" s="105">
        <v>120</v>
      </c>
      <c r="DB25" s="105">
        <v>237804</v>
      </c>
      <c r="DC25" s="105">
        <v>20595330</v>
      </c>
      <c r="DD25" s="105">
        <v>20595330</v>
      </c>
      <c r="DE25" s="105">
        <v>2.2000000000000002</v>
      </c>
      <c r="DF25" s="105">
        <v>2.2000000000000002</v>
      </c>
      <c r="DG25" s="105" t="s">
        <v>156</v>
      </c>
      <c r="DI25" s="91" t="s">
        <v>145</v>
      </c>
      <c r="DJ25" s="91">
        <v>3.6</v>
      </c>
      <c r="DK25">
        <v>120</v>
      </c>
      <c r="DL25">
        <v>237804</v>
      </c>
      <c r="DM25" s="51">
        <v>20595330</v>
      </c>
      <c r="DN25" s="51">
        <v>20595330</v>
      </c>
      <c r="DO25" s="51">
        <v>2.2000000000000002</v>
      </c>
      <c r="DP25">
        <v>2.2000000000000002</v>
      </c>
      <c r="DQ25" t="s">
        <v>156</v>
      </c>
    </row>
    <row r="26" spans="1:121" x14ac:dyDescent="0.25">
      <c r="A26" s="76"/>
      <c r="P26" s="77"/>
      <c r="Q26" s="77"/>
      <c r="R26" s="77"/>
      <c r="S26" s="77"/>
      <c r="T26" s="77"/>
      <c r="U26" s="77"/>
      <c r="AX26" s="77"/>
      <c r="AY26" s="77"/>
      <c r="AZ26" s="77"/>
      <c r="BA26" s="77"/>
      <c r="BB26" s="77"/>
      <c r="CF26" s="77"/>
      <c r="CG26" s="77"/>
      <c r="CH26" s="77"/>
      <c r="CI26" s="77"/>
      <c r="CJ26" s="77"/>
      <c r="CY26" s="106" t="s">
        <v>146</v>
      </c>
      <c r="CZ26" s="105">
        <v>5</v>
      </c>
      <c r="DA26" s="105">
        <v>122</v>
      </c>
      <c r="DB26" s="105">
        <v>427397</v>
      </c>
      <c r="DC26" s="105">
        <v>37230240</v>
      </c>
      <c r="DD26" s="105">
        <v>37230240</v>
      </c>
      <c r="DE26" s="105">
        <v>3.2</v>
      </c>
      <c r="DF26" s="105">
        <v>3.2</v>
      </c>
      <c r="DG26" s="105" t="s">
        <v>156</v>
      </c>
      <c r="DI26" s="91" t="s">
        <v>146</v>
      </c>
      <c r="DJ26" s="91">
        <v>5</v>
      </c>
      <c r="DK26">
        <v>122</v>
      </c>
      <c r="DL26">
        <v>427397</v>
      </c>
      <c r="DM26" s="51">
        <v>37230240</v>
      </c>
      <c r="DN26" s="51">
        <v>37230240</v>
      </c>
      <c r="DO26" s="51">
        <v>3.2</v>
      </c>
      <c r="DP26">
        <v>3.2</v>
      </c>
      <c r="DQ26" t="s">
        <v>156</v>
      </c>
    </row>
    <row r="27" spans="1:121" x14ac:dyDescent="0.25">
      <c r="A27" s="75" t="s">
        <v>72</v>
      </c>
      <c r="B27" t="s">
        <v>80</v>
      </c>
      <c r="C27" t="s">
        <v>81</v>
      </c>
      <c r="D27" t="s">
        <v>79</v>
      </c>
      <c r="E27" t="s">
        <v>82</v>
      </c>
      <c r="F27" t="s">
        <v>134</v>
      </c>
      <c r="G27" t="s">
        <v>130</v>
      </c>
      <c r="H27" t="s">
        <v>135</v>
      </c>
      <c r="AI27" s="70" t="s">
        <v>80</v>
      </c>
      <c r="AJ27" t="s">
        <v>81</v>
      </c>
      <c r="AK27" t="s">
        <v>79</v>
      </c>
      <c r="AL27" t="s">
        <v>82</v>
      </c>
      <c r="AM27" t="s">
        <v>134</v>
      </c>
      <c r="AN27" t="s">
        <v>130</v>
      </c>
      <c r="AO27" t="s">
        <v>135</v>
      </c>
      <c r="BQ27" s="70" t="s">
        <v>80</v>
      </c>
      <c r="BR27" t="s">
        <v>81</v>
      </c>
      <c r="BS27" t="s">
        <v>79</v>
      </c>
      <c r="BT27" t="s">
        <v>82</v>
      </c>
      <c r="BU27" t="s">
        <v>134</v>
      </c>
      <c r="BV27" t="s">
        <v>130</v>
      </c>
      <c r="BW27" t="s">
        <v>135</v>
      </c>
      <c r="CY27" s="107" t="s">
        <v>147</v>
      </c>
      <c r="CZ27" s="107">
        <v>4</v>
      </c>
      <c r="DA27" s="105">
        <v>130</v>
      </c>
      <c r="DB27" s="105">
        <v>239664</v>
      </c>
      <c r="DC27" s="107">
        <v>23265890</v>
      </c>
      <c r="DD27" s="107">
        <v>23265890</v>
      </c>
      <c r="DE27" s="107">
        <v>2.2000000000000002</v>
      </c>
      <c r="DF27" s="105">
        <v>2.2000000000000002</v>
      </c>
      <c r="DG27" s="105" t="s">
        <v>156</v>
      </c>
      <c r="DI27" s="51" t="s">
        <v>147</v>
      </c>
      <c r="DJ27" s="51">
        <v>4</v>
      </c>
      <c r="DK27">
        <v>130</v>
      </c>
      <c r="DL27">
        <v>239664</v>
      </c>
      <c r="DM27" s="51">
        <v>23265890</v>
      </c>
      <c r="DN27" s="51">
        <v>23265890</v>
      </c>
      <c r="DO27" s="51">
        <v>2.2000000000000002</v>
      </c>
      <c r="DP27">
        <v>2.2000000000000002</v>
      </c>
      <c r="DQ27" t="s">
        <v>156</v>
      </c>
    </row>
    <row r="28" spans="1:121" x14ac:dyDescent="0.25">
      <c r="A28" s="76" t="s">
        <v>73</v>
      </c>
      <c r="B28" s="77"/>
      <c r="C28" s="77"/>
      <c r="D28" s="77"/>
      <c r="E28" s="77"/>
      <c r="F28" s="77"/>
      <c r="G28" s="77"/>
      <c r="H28" s="77"/>
      <c r="P28" s="78" t="s">
        <v>76</v>
      </c>
      <c r="AI28" s="77"/>
      <c r="AJ28" s="77"/>
      <c r="AK28" s="77"/>
      <c r="AL28" s="77"/>
      <c r="AM28" s="77"/>
      <c r="AN28" s="77"/>
      <c r="AO28" s="77"/>
      <c r="AX28" s="78" t="s">
        <v>76</v>
      </c>
      <c r="BR28" s="77"/>
      <c r="BS28" s="77"/>
      <c r="BT28" s="77"/>
      <c r="BU28" s="77"/>
      <c r="BV28" s="77"/>
      <c r="CF28" s="78" t="s">
        <v>76</v>
      </c>
      <c r="CY28" s="106" t="s">
        <v>148</v>
      </c>
      <c r="CZ28" s="105">
        <v>6</v>
      </c>
      <c r="DA28" s="105">
        <v>142</v>
      </c>
      <c r="DB28" s="105">
        <v>312142</v>
      </c>
      <c r="DC28" s="105">
        <v>59416040</v>
      </c>
      <c r="DD28" s="105">
        <v>59416040</v>
      </c>
      <c r="DE28" s="105">
        <v>2.85</v>
      </c>
      <c r="DF28" s="105">
        <v>2.85</v>
      </c>
      <c r="DG28" s="105" t="s">
        <v>156</v>
      </c>
      <c r="DI28" s="51" t="s">
        <v>148</v>
      </c>
      <c r="DJ28" s="51">
        <v>6</v>
      </c>
      <c r="DK28">
        <v>142</v>
      </c>
      <c r="DL28">
        <v>312142</v>
      </c>
      <c r="DM28" s="51">
        <v>59416040</v>
      </c>
      <c r="DN28" s="51">
        <v>59416040</v>
      </c>
      <c r="DO28" s="51">
        <v>2.85</v>
      </c>
      <c r="DP28">
        <v>2.85</v>
      </c>
      <c r="DQ28" t="s">
        <v>156</v>
      </c>
    </row>
    <row r="29" spans="1:121" x14ac:dyDescent="0.25">
      <c r="A29" s="76"/>
      <c r="CY29" s="106" t="s">
        <v>149</v>
      </c>
      <c r="CZ29" s="105">
        <v>8</v>
      </c>
      <c r="DA29" s="105">
        <v>164</v>
      </c>
      <c r="DB29" s="105">
        <v>450972</v>
      </c>
      <c r="DC29" s="105">
        <v>72350120</v>
      </c>
      <c r="DD29" s="105">
        <v>72350120</v>
      </c>
      <c r="DE29" s="105">
        <v>2.29</v>
      </c>
      <c r="DF29" s="105">
        <v>2.29</v>
      </c>
      <c r="DG29" s="105" t="s">
        <v>156</v>
      </c>
      <c r="DI29" s="51" t="s">
        <v>149</v>
      </c>
      <c r="DJ29" s="51">
        <v>8</v>
      </c>
      <c r="DK29">
        <v>164</v>
      </c>
      <c r="DL29">
        <v>450972</v>
      </c>
      <c r="DM29" s="51">
        <v>72350120</v>
      </c>
      <c r="DN29" s="51">
        <v>72350120</v>
      </c>
      <c r="DO29" s="51">
        <v>2.29</v>
      </c>
      <c r="DP29">
        <v>2.29</v>
      </c>
      <c r="DQ29" t="s">
        <v>156</v>
      </c>
    </row>
    <row r="30" spans="1:121" x14ac:dyDescent="0.25">
      <c r="A30" s="76" t="s">
        <v>74</v>
      </c>
      <c r="B30" t="s">
        <v>1</v>
      </c>
      <c r="C30" t="s">
        <v>105</v>
      </c>
      <c r="D30" t="s">
        <v>104</v>
      </c>
      <c r="E30" t="s">
        <v>85</v>
      </c>
      <c r="F30" t="s">
        <v>86</v>
      </c>
      <c r="G30" t="s">
        <v>87</v>
      </c>
      <c r="H30" t="s">
        <v>9</v>
      </c>
      <c r="I30" t="s">
        <v>10</v>
      </c>
      <c r="J30" t="s">
        <v>11</v>
      </c>
      <c r="K30" t="s">
        <v>12</v>
      </c>
      <c r="M30" t="s">
        <v>107</v>
      </c>
      <c r="N30" t="s">
        <v>96</v>
      </c>
      <c r="O30" t="s">
        <v>19</v>
      </c>
      <c r="P30" t="s">
        <v>1</v>
      </c>
      <c r="Q30" t="s">
        <v>105</v>
      </c>
      <c r="R30" t="s">
        <v>104</v>
      </c>
      <c r="S30" t="s">
        <v>85</v>
      </c>
      <c r="T30" t="s">
        <v>86</v>
      </c>
      <c r="U30" t="s">
        <v>87</v>
      </c>
      <c r="W30" t="s">
        <v>107</v>
      </c>
      <c r="X30" t="s">
        <v>96</v>
      </c>
      <c r="Y30" t="s">
        <v>19</v>
      </c>
      <c r="AI30" s="70" t="s">
        <v>1</v>
      </c>
      <c r="AJ30" t="s">
        <v>105</v>
      </c>
      <c r="AK30" t="s">
        <v>104</v>
      </c>
      <c r="AL30" t="s">
        <v>85</v>
      </c>
      <c r="AM30" t="s">
        <v>86</v>
      </c>
      <c r="AN30" t="s">
        <v>87</v>
      </c>
      <c r="AO30" t="s">
        <v>9</v>
      </c>
      <c r="AP30" t="s">
        <v>10</v>
      </c>
      <c r="AQ30" t="s">
        <v>11</v>
      </c>
      <c r="AR30" t="s">
        <v>12</v>
      </c>
      <c r="AT30" t="s">
        <v>107</v>
      </c>
      <c r="AU30" t="s">
        <v>96</v>
      </c>
      <c r="AV30" t="s">
        <v>19</v>
      </c>
      <c r="AX30" t="s">
        <v>1</v>
      </c>
      <c r="AY30" t="s">
        <v>105</v>
      </c>
      <c r="AZ30" t="s">
        <v>104</v>
      </c>
      <c r="BA30" t="s">
        <v>85</v>
      </c>
      <c r="BB30" t="s">
        <v>86</v>
      </c>
      <c r="BC30" t="s">
        <v>87</v>
      </c>
      <c r="BE30" t="s">
        <v>107</v>
      </c>
      <c r="BF30" t="s">
        <v>96</v>
      </c>
      <c r="BG30" t="s">
        <v>19</v>
      </c>
      <c r="BQ30" s="70" t="s">
        <v>1</v>
      </c>
      <c r="BR30" t="s">
        <v>105</v>
      </c>
      <c r="BS30" t="s">
        <v>104</v>
      </c>
      <c r="BT30" t="s">
        <v>85</v>
      </c>
      <c r="BU30" t="s">
        <v>86</v>
      </c>
      <c r="BV30" t="s">
        <v>87</v>
      </c>
      <c r="BW30" t="s">
        <v>9</v>
      </c>
      <c r="BX30" t="s">
        <v>10</v>
      </c>
      <c r="BY30" t="s">
        <v>11</v>
      </c>
      <c r="BZ30" t="s">
        <v>12</v>
      </c>
      <c r="CB30" t="s">
        <v>107</v>
      </c>
      <c r="CC30" t="s">
        <v>96</v>
      </c>
      <c r="CD30" t="s">
        <v>19</v>
      </c>
      <c r="CF30" t="s">
        <v>1</v>
      </c>
      <c r="CG30" t="s">
        <v>105</v>
      </c>
      <c r="CH30" t="s">
        <v>104</v>
      </c>
      <c r="CI30" t="s">
        <v>85</v>
      </c>
      <c r="CJ30" t="s">
        <v>86</v>
      </c>
      <c r="CK30" t="s">
        <v>87</v>
      </c>
      <c r="CM30" t="s">
        <v>107</v>
      </c>
      <c r="CN30" t="s">
        <v>96</v>
      </c>
      <c r="CO30" t="s">
        <v>19</v>
      </c>
      <c r="CY30" s="107" t="s">
        <v>150</v>
      </c>
      <c r="CZ30" s="107">
        <v>9.5</v>
      </c>
      <c r="DA30" s="105">
        <v>174</v>
      </c>
      <c r="DB30" s="105">
        <v>484588</v>
      </c>
      <c r="DC30" s="107">
        <v>83636270</v>
      </c>
      <c r="DD30" s="107">
        <v>83636270</v>
      </c>
      <c r="DE30" s="107">
        <v>3.5</v>
      </c>
      <c r="DF30" s="105">
        <v>3.5</v>
      </c>
      <c r="DG30" s="105" t="s">
        <v>156</v>
      </c>
      <c r="DI30" s="51" t="s">
        <v>150</v>
      </c>
      <c r="DJ30" s="51">
        <v>9.5</v>
      </c>
      <c r="DK30">
        <v>174</v>
      </c>
      <c r="DL30">
        <v>484588</v>
      </c>
      <c r="DM30" s="51">
        <v>83636270</v>
      </c>
      <c r="DN30" s="51">
        <v>83636270</v>
      </c>
      <c r="DO30" s="51">
        <v>3.5</v>
      </c>
      <c r="DP30">
        <v>3.5</v>
      </c>
      <c r="DQ30" t="s">
        <v>156</v>
      </c>
    </row>
    <row r="31" spans="1:121" x14ac:dyDescent="0.25">
      <c r="B31" s="118">
        <v>1</v>
      </c>
      <c r="C31" s="118">
        <v>5.6</v>
      </c>
      <c r="D31" s="118">
        <v>1.6</v>
      </c>
      <c r="E31" s="118">
        <v>7.5</v>
      </c>
      <c r="F31" s="118">
        <v>7.5</v>
      </c>
      <c r="G31" s="118">
        <v>108</v>
      </c>
      <c r="H31" s="79">
        <f>IFERROR(MP_DATA[[#This Row],[Bottom '[m']]]-MP_DATA[[#This Row],[D, top '[m']]], "")</f>
        <v>-5.9</v>
      </c>
      <c r="I31" s="79">
        <f>IFERROR(-(MP_DATA[[#This Row],[D, bottom '[m']]]-MP_DATA[[#This Row],[D, top '[m']]])/(MP_DATA[[#This Row],[Bottom '[m']]]-MP_DATA[[#This Row],[Top '[m']]]),"")</f>
        <v>0</v>
      </c>
      <c r="J31" s="79">
        <f t="shared" ref="J31:J61" si="0">IF(7850/1000*(1/3)*PI()*ABS(C31-D31)*((E31/2)^2+(E31/2)*(F31/2)+(F31/2)^2-(E31/2-G31/1000)^2-(E31/2-G31/1000)*(F31/2-G31/1000)-(F31/2-G31/1000)^2)=0,"",7850/1000*(1/3)*PI()*ABS(C31-D31)*((E31/2)^2+(E31/2)*(F31/2)+(F31/2)^2-(E31/2-G31/1000)^2-(E31/2-G31/1000)*(F31/2-G31/1000)-(F31/2-G31/1000)^2))</f>
        <v>78.752660498662593</v>
      </c>
      <c r="K31" s="79">
        <f>IFERROR((MP_DATA[[#This Row],[D, bottom '[m']]]+MP_DATA[[#This Row],[D, top '[m']]])/(2*MP_DATA[[#This Row],[t '[mm']]]/1000),"")</f>
        <v>69.444444444444443</v>
      </c>
      <c r="M31" s="119">
        <v>5.6</v>
      </c>
      <c r="N31" s="119">
        <v>60000</v>
      </c>
      <c r="O31" s="119" t="s">
        <v>97</v>
      </c>
      <c r="P31" s="77">
        <v>1</v>
      </c>
      <c r="Q31" s="80">
        <v>5.6</v>
      </c>
      <c r="R31" s="80">
        <v>1.6</v>
      </c>
      <c r="S31">
        <v>7.5</v>
      </c>
      <c r="T31" s="77">
        <v>7.5</v>
      </c>
      <c r="U31">
        <v>108</v>
      </c>
      <c r="W31">
        <v>5.6</v>
      </c>
      <c r="X31">
        <v>60000</v>
      </c>
      <c r="Y31" t="s">
        <v>97</v>
      </c>
      <c r="AI31" s="70">
        <v>1</v>
      </c>
      <c r="AJ31">
        <v>20.9</v>
      </c>
      <c r="AK31">
        <v>17.5</v>
      </c>
      <c r="AL31">
        <v>7.5</v>
      </c>
      <c r="AM31">
        <v>7.5</v>
      </c>
      <c r="AN31">
        <v>86</v>
      </c>
      <c r="AO31" s="79">
        <f>IFERROR(TP_DATA[[#This Row],[Bottom '[m']]]-TP_DATA[[#This Row],[D, top '[m']]], "")</f>
        <v>10</v>
      </c>
      <c r="AP31" s="79">
        <f>IFERROR(-(TP_DATA[[#This Row],[D, bottom '[m']]]-TP_DATA[[#This Row],[D, top '[m']]])/(TP_DATA[[#This Row],[Bottom '[m']]]-TP_DATA[[#This Row],[Top '[m']]]),"")</f>
        <v>0</v>
      </c>
      <c r="AQ31" s="79">
        <f t="shared" ref="AQ31:AQ94" si="1">IF(7850/1000*(1/3)*PI()*ABS(AJ31-AK31)*((AL31/2)^2+(AL31/2)*(AM31/2)+(AM31/2)^2-(AL31/2-AN31/1000)^2-(AL31/2-AN31/1000)*(AM31/2-AN31/1000)-(AM31/2-AN31/1000)^2)=0,"",7850/1000*(1/3)*PI()*ABS(AJ31-AK31)*((AL31/2)^2+(AL31/2)*(AM31/2)+(AM31/2)^2-(AL31/2-AN31/1000)^2-(AL31/2-AN31/1000)*(AM31/2-AN31/1000)-(AM31/2-AN31/1000)^2))</f>
        <v>53.462526608972695</v>
      </c>
      <c r="AR31" s="79">
        <f>IFERROR((TP_DATA[[#This Row],[D, bottom '[m']]]+TP_DATA[[#This Row],[D, top '[m']]])/(2*TP_DATA[[#This Row],[t '[mm']]]/1000),"")</f>
        <v>87.209302325581405</v>
      </c>
      <c r="AT31">
        <v>20.100000000000001</v>
      </c>
      <c r="AU31">
        <v>20000</v>
      </c>
      <c r="AV31" t="s">
        <v>101</v>
      </c>
      <c r="AX31" s="77">
        <v>1</v>
      </c>
      <c r="AY31" s="77">
        <v>20.9</v>
      </c>
      <c r="AZ31" s="77">
        <v>17.5</v>
      </c>
      <c r="BA31">
        <v>7.5</v>
      </c>
      <c r="BB31" s="77">
        <v>7.5</v>
      </c>
      <c r="BC31">
        <v>86</v>
      </c>
      <c r="BE31">
        <v>20.100000000000001</v>
      </c>
      <c r="BF31">
        <v>20000</v>
      </c>
      <c r="BG31" t="s">
        <v>101</v>
      </c>
      <c r="BQ31" s="70">
        <v>1</v>
      </c>
      <c r="BR31">
        <v>140.49999999999997</v>
      </c>
      <c r="BS31">
        <v>140.32499999999996</v>
      </c>
      <c r="BT31">
        <v>5.6159999999999997</v>
      </c>
      <c r="BU31">
        <v>5.6159999999999997</v>
      </c>
      <c r="BV31">
        <v>42</v>
      </c>
      <c r="BW31" s="79">
        <f>IFERROR(TOWER_DATA[[#This Row],[Top '[m']]]-TOWER_DATA[[#This Row],[Bottom '[m']]], "")</f>
        <v>0.17500000000001137</v>
      </c>
      <c r="BX31" s="79">
        <f>IFERROR(-(TOWER_DATA[[#This Row],[D, bottom '[m']]]-TOWER_DATA[[#This Row],[D, top '[m']]])/(TOWER_DATA[[#This Row],[Bottom '[m']]]-TOWER_DATA[[#This Row],[Top '[m']]]),"")</f>
        <v>0</v>
      </c>
      <c r="BY31" s="79">
        <f t="shared" ref="BY31:BY94" si="2">IF(7850/1000*(1/3)*PI()*ABS(BR31-BS31)*((BT31/2)^2+(BT31/2)*(BU31/2)+(BU31/2)^2-(BT31/2-BV31/1000)^2-(BT31/2-BV31/1000)*(BU31/2-BV31/1000)-(BU31/2-BV31/1000)^2)=0,"",7850/1000*(1/3)*PI()*ABS(BR31-BS31)*((BT31/2)^2+(BT31/2)*(BU31/2)+(BU31/2)^2-(BT31/2-BV31/1000)^2-(BT31/2-BV31/1000)*(BU31/2-BV31/1000)-(BU31/2-BV31/1000)^2))</f>
        <v>1.0103546228354485</v>
      </c>
      <c r="BZ31" s="79">
        <f>IFERROR((TOWER_DATA[[#This Row],[D, bottom '[m']]]+TOWER_DATA[[#This Row],[D, top '[m']]])/(2*TOWER_DATA[[#This Row],[t '[mm']]]/1000),"")</f>
        <v>133.71428571428569</v>
      </c>
      <c r="CB31" s="102">
        <v>140.49999999999997</v>
      </c>
      <c r="CC31" s="102">
        <v>6154</v>
      </c>
      <c r="CD31" s="102" t="s">
        <v>267</v>
      </c>
      <c r="CF31" s="77">
        <v>1</v>
      </c>
      <c r="CG31" s="77">
        <v>140.49999999999997</v>
      </c>
      <c r="CH31" s="77">
        <v>140.32499999999996</v>
      </c>
      <c r="CI31">
        <v>5.6159999999999997</v>
      </c>
      <c r="CJ31" s="77">
        <v>5.6159999999999997</v>
      </c>
      <c r="CK31">
        <v>42</v>
      </c>
      <c r="CM31">
        <v>140.49999999999997</v>
      </c>
      <c r="CN31">
        <v>6154</v>
      </c>
      <c r="CO31" t="s">
        <v>267</v>
      </c>
      <c r="CY31" s="106" t="s">
        <v>151</v>
      </c>
      <c r="CZ31" s="105">
        <v>10</v>
      </c>
      <c r="DA31" s="105">
        <v>180</v>
      </c>
      <c r="DB31" s="105">
        <v>673916</v>
      </c>
      <c r="DC31" s="105">
        <v>102240300</v>
      </c>
      <c r="DD31" s="105">
        <v>102240300</v>
      </c>
      <c r="DE31" s="105">
        <v>3.5</v>
      </c>
      <c r="DF31" s="105">
        <v>3.5</v>
      </c>
      <c r="DG31" s="105" t="s">
        <v>156</v>
      </c>
      <c r="DI31" s="51" t="s">
        <v>151</v>
      </c>
      <c r="DJ31" s="51">
        <v>10</v>
      </c>
      <c r="DK31">
        <v>180</v>
      </c>
      <c r="DL31">
        <v>673916</v>
      </c>
      <c r="DM31" s="51">
        <v>102240300</v>
      </c>
      <c r="DN31" s="51">
        <v>102240300</v>
      </c>
      <c r="DO31" s="51">
        <v>3.5</v>
      </c>
      <c r="DP31">
        <v>3.5</v>
      </c>
      <c r="DQ31" t="s">
        <v>156</v>
      </c>
    </row>
    <row r="32" spans="1:121" x14ac:dyDescent="0.25">
      <c r="B32" s="118">
        <v>2</v>
      </c>
      <c r="C32" s="118">
        <v>1.6</v>
      </c>
      <c r="D32" s="118">
        <v>-2.2999999999999998</v>
      </c>
      <c r="E32" s="118">
        <v>7.5</v>
      </c>
      <c r="F32" s="118">
        <v>7.5</v>
      </c>
      <c r="G32" s="118">
        <v>100</v>
      </c>
      <c r="H32" s="79">
        <f>IFERROR(MP_DATA[[#This Row],[Bottom '[m']]]-MP_DATA[[#This Row],[D, top '[m']]], "")</f>
        <v>-9.8000000000000007</v>
      </c>
      <c r="I32" s="79">
        <f>IFERROR(-(MP_DATA[[#This Row],[D, bottom '[m']]]-MP_DATA[[#This Row],[D, top '[m']]])/(MP_DATA[[#This Row],[Bottom '[m']]]-MP_DATA[[#This Row],[Top '[m']]]),"")</f>
        <v>0</v>
      </c>
      <c r="J32" s="79">
        <f t="shared" si="0"/>
        <v>71.173095726342183</v>
      </c>
      <c r="K32" s="79">
        <f>IFERROR((MP_DATA[[#This Row],[D, bottom '[m']]]+MP_DATA[[#This Row],[D, top '[m']]])/(2*MP_DATA[[#This Row],[t '[mm']]]/1000),"")</f>
        <v>75</v>
      </c>
      <c r="M32" s="119">
        <v>4.2</v>
      </c>
      <c r="N32" s="119">
        <v>9000</v>
      </c>
      <c r="O32" s="119" t="s">
        <v>98</v>
      </c>
      <c r="P32" s="77">
        <v>2</v>
      </c>
      <c r="Q32" s="80">
        <v>1.6</v>
      </c>
      <c r="R32" s="80">
        <v>-2.2999999999999998</v>
      </c>
      <c r="S32">
        <v>7.5</v>
      </c>
      <c r="T32" s="77">
        <v>7.5</v>
      </c>
      <c r="U32">
        <v>100</v>
      </c>
      <c r="W32">
        <v>4.2</v>
      </c>
      <c r="X32">
        <v>9000</v>
      </c>
      <c r="Y32" t="s">
        <v>98</v>
      </c>
      <c r="AI32" s="70">
        <v>2</v>
      </c>
      <c r="AJ32">
        <v>17.5</v>
      </c>
      <c r="AK32">
        <v>13.5</v>
      </c>
      <c r="AL32">
        <v>7.5</v>
      </c>
      <c r="AM32">
        <v>7.5</v>
      </c>
      <c r="AN32">
        <v>86</v>
      </c>
      <c r="AO32" s="79">
        <f>IFERROR(TP_DATA[[#This Row],[Bottom '[m']]]-TP_DATA[[#This Row],[D, top '[m']]], "")</f>
        <v>6</v>
      </c>
      <c r="AP32" s="79">
        <f>IFERROR(-(TP_DATA[[#This Row],[D, bottom '[m']]]-TP_DATA[[#This Row],[D, top '[m']]])/(TP_DATA[[#This Row],[Bottom '[m']]]-TP_DATA[[#This Row],[Top '[m']]]),"")</f>
        <v>0</v>
      </c>
      <c r="AQ32" s="79">
        <f t="shared" si="1"/>
        <v>62.897090128203196</v>
      </c>
      <c r="AR32" s="79">
        <f>IFERROR((TP_DATA[[#This Row],[D, bottom '[m']]]+TP_DATA[[#This Row],[D, top '[m']]])/(2*TP_DATA[[#This Row],[t '[mm']]]/1000),"")</f>
        <v>87.209302325581405</v>
      </c>
      <c r="AT32">
        <v>19.5</v>
      </c>
      <c r="AU32">
        <v>5000</v>
      </c>
      <c r="AV32" t="s">
        <v>95</v>
      </c>
      <c r="AX32" s="77">
        <v>2</v>
      </c>
      <c r="AY32" s="77">
        <v>17.5</v>
      </c>
      <c r="AZ32" s="77">
        <v>13.5</v>
      </c>
      <c r="BA32">
        <v>7.5</v>
      </c>
      <c r="BB32" s="77">
        <v>7.5</v>
      </c>
      <c r="BC32">
        <v>86</v>
      </c>
      <c r="BE32">
        <v>19.5</v>
      </c>
      <c r="BF32">
        <v>5000</v>
      </c>
      <c r="BG32" t="s">
        <v>95</v>
      </c>
      <c r="BQ32" s="70">
        <v>2</v>
      </c>
      <c r="BR32">
        <v>140.32499999999996</v>
      </c>
      <c r="BS32">
        <v>140.27499999999998</v>
      </c>
      <c r="BT32">
        <v>5.6159999999999997</v>
      </c>
      <c r="BU32">
        <v>5.609</v>
      </c>
      <c r="BV32">
        <v>42</v>
      </c>
      <c r="BW32" s="79">
        <f>IFERROR(TOWER_DATA[[#This Row],[Top '[m']]]-TOWER_DATA[[#This Row],[Bottom '[m']]], "")</f>
        <v>4.9999999999982947E-2</v>
      </c>
      <c r="BX32" s="79">
        <f>IFERROR(-(TOWER_DATA[[#This Row],[D, bottom '[m']]]-TOWER_DATA[[#This Row],[D, top '[m']]])/(TOWER_DATA[[#This Row],[Bottom '[m']]]-TOWER_DATA[[#This Row],[Top '[m']]]),"")</f>
        <v>-0.1400000000000412</v>
      </c>
      <c r="BY32" s="79">
        <f t="shared" si="2"/>
        <v>0.28849148733930929</v>
      </c>
      <c r="BZ32" s="79">
        <f>IFERROR((TOWER_DATA[[#This Row],[D, bottom '[m']]]+TOWER_DATA[[#This Row],[D, top '[m']]])/(2*TOWER_DATA[[#This Row],[t '[mm']]]/1000),"")</f>
        <v>133.63095238095238</v>
      </c>
      <c r="CB32" s="102">
        <v>140.32499999999996</v>
      </c>
      <c r="CC32" s="102">
        <v>5</v>
      </c>
      <c r="CD32" s="102" t="s">
        <v>267</v>
      </c>
      <c r="CF32" s="77">
        <v>2</v>
      </c>
      <c r="CG32" s="77">
        <v>140.32499999999996</v>
      </c>
      <c r="CH32" s="77">
        <v>140.27499999999998</v>
      </c>
      <c r="CI32">
        <v>5.6159999999999997</v>
      </c>
      <c r="CJ32" s="77">
        <v>5.609</v>
      </c>
      <c r="CK32">
        <v>42</v>
      </c>
      <c r="CM32">
        <v>140.32499999999996</v>
      </c>
      <c r="CN32">
        <v>5</v>
      </c>
      <c r="CO32" t="s">
        <v>267</v>
      </c>
      <c r="CY32" s="106" t="s">
        <v>127</v>
      </c>
      <c r="CZ32" s="105">
        <v>13</v>
      </c>
      <c r="DA32" s="105">
        <v>210</v>
      </c>
      <c r="DB32" s="105">
        <v>777534</v>
      </c>
      <c r="DC32" s="105">
        <v>197394400</v>
      </c>
      <c r="DD32" s="105">
        <v>197394400</v>
      </c>
      <c r="DE32" s="105">
        <v>3.4</v>
      </c>
      <c r="DF32" s="105">
        <v>3.4</v>
      </c>
      <c r="DG32" s="105" t="s">
        <v>156</v>
      </c>
      <c r="DI32" s="51" t="s">
        <v>127</v>
      </c>
      <c r="DJ32" s="92">
        <v>13</v>
      </c>
      <c r="DK32">
        <v>210</v>
      </c>
      <c r="DL32">
        <v>777534</v>
      </c>
      <c r="DM32" s="51">
        <v>197394400</v>
      </c>
      <c r="DN32" s="51">
        <v>197394400</v>
      </c>
      <c r="DO32" s="51">
        <v>3.4</v>
      </c>
      <c r="DP32">
        <v>3.4</v>
      </c>
      <c r="DQ32" t="s">
        <v>156</v>
      </c>
    </row>
    <row r="33" spans="2:121" x14ac:dyDescent="0.25">
      <c r="B33" s="118">
        <v>3</v>
      </c>
      <c r="C33" s="118">
        <v>-2.2999999999999998</v>
      </c>
      <c r="D33" s="118">
        <v>-6.2</v>
      </c>
      <c r="E33" s="118">
        <v>7.5</v>
      </c>
      <c r="F33" s="118">
        <v>7.5</v>
      </c>
      <c r="G33" s="118">
        <v>98</v>
      </c>
      <c r="H33" s="79">
        <f>IFERROR(MP_DATA[[#This Row],[Bottom '[m']]]-MP_DATA[[#This Row],[D, top '[m']]], "")</f>
        <v>-13.7</v>
      </c>
      <c r="I33" s="79">
        <f>IFERROR(-(MP_DATA[[#This Row],[D, bottom '[m']]]-MP_DATA[[#This Row],[D, top '[m']]])/(MP_DATA[[#This Row],[Bottom '[m']]]-MP_DATA[[#This Row],[Top '[m']]]),"")</f>
        <v>0</v>
      </c>
      <c r="J33" s="79">
        <f t="shared" si="0"/>
        <v>69.768485064196611</v>
      </c>
      <c r="K33" s="79">
        <f>IFERROR((MP_DATA[[#This Row],[D, bottom '[m']]]+MP_DATA[[#This Row],[D, top '[m']]])/(2*MP_DATA[[#This Row],[t '[mm']]]/1000),"")</f>
        <v>76.530612244897952</v>
      </c>
      <c r="M33" s="119">
        <v>2</v>
      </c>
      <c r="N33" s="119">
        <v>80000</v>
      </c>
      <c r="O33" s="119" t="s">
        <v>99</v>
      </c>
      <c r="P33" s="77">
        <v>3</v>
      </c>
      <c r="Q33" s="80">
        <v>-2.2999999999999998</v>
      </c>
      <c r="R33" s="80">
        <v>-6.2</v>
      </c>
      <c r="S33">
        <v>7.5</v>
      </c>
      <c r="T33" s="77">
        <v>7.5</v>
      </c>
      <c r="U33">
        <v>98</v>
      </c>
      <c r="W33">
        <v>2</v>
      </c>
      <c r="X33">
        <v>80000</v>
      </c>
      <c r="Y33" t="s">
        <v>99</v>
      </c>
      <c r="AI33" s="70">
        <v>3</v>
      </c>
      <c r="AJ33">
        <v>13.5</v>
      </c>
      <c r="AK33">
        <v>9.5</v>
      </c>
      <c r="AL33">
        <v>7.5</v>
      </c>
      <c r="AM33">
        <v>7.5</v>
      </c>
      <c r="AN33">
        <v>93</v>
      </c>
      <c r="AO33" s="79">
        <f>IFERROR(TP_DATA[[#This Row],[Bottom '[m']]]-TP_DATA[[#This Row],[D, top '[m']]], "")</f>
        <v>2</v>
      </c>
      <c r="AP33" s="79">
        <f>IFERROR(-(TP_DATA[[#This Row],[D, bottom '[m']]]-TP_DATA[[#This Row],[D, top '[m']]])/(TP_DATA[[#This Row],[Bottom '[m']]]-TP_DATA[[#This Row],[Top '[m']]]),"")</f>
        <v>0</v>
      </c>
      <c r="AQ33" s="79">
        <f t="shared" si="1"/>
        <v>67.952402167964607</v>
      </c>
      <c r="AR33" s="79">
        <f>IFERROR((TP_DATA[[#This Row],[D, bottom '[m']]]+TP_DATA[[#This Row],[D, top '[m']]])/(2*TP_DATA[[#This Row],[t '[mm']]]/1000),"")</f>
        <v>80.645161290322577</v>
      </c>
      <c r="AT33">
        <v>14</v>
      </c>
      <c r="AU33">
        <v>5000</v>
      </c>
      <c r="AV33" t="s">
        <v>102</v>
      </c>
      <c r="AX33" s="77">
        <v>3</v>
      </c>
      <c r="AY33" s="77">
        <v>13.5</v>
      </c>
      <c r="AZ33" s="77">
        <v>9.5</v>
      </c>
      <c r="BA33">
        <v>7.5</v>
      </c>
      <c r="BB33" s="77">
        <v>7.5</v>
      </c>
      <c r="BC33">
        <v>93</v>
      </c>
      <c r="BE33">
        <v>14</v>
      </c>
      <c r="BF33">
        <v>5000</v>
      </c>
      <c r="BG33" t="s">
        <v>102</v>
      </c>
      <c r="BQ33" s="70">
        <v>3</v>
      </c>
      <c r="BR33">
        <v>140.27499999999998</v>
      </c>
      <c r="BS33">
        <v>138.62499999999997</v>
      </c>
      <c r="BT33">
        <v>5.609</v>
      </c>
      <c r="BU33">
        <v>5.9039999999999999</v>
      </c>
      <c r="BV33">
        <v>35</v>
      </c>
      <c r="BW33" s="79">
        <f>IFERROR(TOWER_DATA[[#This Row],[Top '[m']]]-TOWER_DATA[[#This Row],[Bottom '[m']]], "")</f>
        <v>1.6500000000000057</v>
      </c>
      <c r="BX33" s="79">
        <f>IFERROR(-(TOWER_DATA[[#This Row],[D, bottom '[m']]]-TOWER_DATA[[#This Row],[D, top '[m']]])/(TOWER_DATA[[#This Row],[Bottom '[m']]]-TOWER_DATA[[#This Row],[Top '[m']]]),"")</f>
        <v>0.17878787878787814</v>
      </c>
      <c r="BY33" s="79">
        <f t="shared" si="2"/>
        <v>8.1485703675329084</v>
      </c>
      <c r="BZ33" s="79">
        <f>IFERROR((TOWER_DATA[[#This Row],[D, bottom '[m']]]+TOWER_DATA[[#This Row],[D, top '[m']]])/(2*TOWER_DATA[[#This Row],[t '[mm']]]/1000),"")</f>
        <v>164.47142857142856</v>
      </c>
      <c r="CB33" s="102">
        <v>140.27499999999998</v>
      </c>
      <c r="CC33" s="102">
        <v>2</v>
      </c>
      <c r="CD33" s="102" t="s">
        <v>267</v>
      </c>
      <c r="CF33" s="77">
        <v>3</v>
      </c>
      <c r="CG33" s="77">
        <v>140.27499999999998</v>
      </c>
      <c r="CH33" s="77">
        <v>138.62499999999997</v>
      </c>
      <c r="CI33">
        <v>5.609</v>
      </c>
      <c r="CJ33" s="77">
        <v>5.9039999999999999</v>
      </c>
      <c r="CK33">
        <v>35</v>
      </c>
      <c r="CM33">
        <v>140.27499999999998</v>
      </c>
      <c r="CN33">
        <v>2</v>
      </c>
      <c r="CO33" t="s">
        <v>267</v>
      </c>
      <c r="CY33" s="106" t="s">
        <v>152</v>
      </c>
      <c r="CZ33" s="105">
        <v>12</v>
      </c>
      <c r="DA33" s="105">
        <v>220</v>
      </c>
      <c r="DB33" s="105">
        <v>775567</v>
      </c>
      <c r="DC33" s="105">
        <v>198819700</v>
      </c>
      <c r="DD33" s="105">
        <v>198819700</v>
      </c>
      <c r="DE33" s="105">
        <v>3.4</v>
      </c>
      <c r="DF33" s="105">
        <v>3.4</v>
      </c>
      <c r="DG33" s="105" t="s">
        <v>156</v>
      </c>
      <c r="DI33" s="51" t="s">
        <v>152</v>
      </c>
      <c r="DJ33" s="51">
        <v>12</v>
      </c>
      <c r="DK33">
        <v>220</v>
      </c>
      <c r="DL33">
        <v>775567</v>
      </c>
      <c r="DM33" s="51">
        <v>198819700</v>
      </c>
      <c r="DN33" s="51">
        <v>198819700</v>
      </c>
      <c r="DO33" s="51">
        <v>3.4</v>
      </c>
      <c r="DP33">
        <v>3.4</v>
      </c>
      <c r="DQ33" t="s">
        <v>156</v>
      </c>
    </row>
    <row r="34" spans="2:121" x14ac:dyDescent="0.25">
      <c r="B34" s="118">
        <v>4</v>
      </c>
      <c r="C34" s="118">
        <v>-6.2</v>
      </c>
      <c r="D34" s="118">
        <v>-10.1</v>
      </c>
      <c r="E34" s="118">
        <v>7.5</v>
      </c>
      <c r="F34" s="118">
        <v>7.8282999999999996</v>
      </c>
      <c r="G34" s="118">
        <v>98</v>
      </c>
      <c r="H34" s="79">
        <f>IFERROR(MP_DATA[[#This Row],[Bottom '[m']]]-MP_DATA[[#This Row],[D, top '[m']]], "")</f>
        <v>-17.600000000000001</v>
      </c>
      <c r="I34" s="79">
        <f>IFERROR(-(MP_DATA[[#This Row],[D, bottom '[m']]]-MP_DATA[[#This Row],[D, top '[m']]])/(MP_DATA[[#This Row],[Bottom '[m']]]-MP_DATA[[#This Row],[Top '[m']]]),"")</f>
        <v>8.4179487179487089E-2</v>
      </c>
      <c r="J34" s="79">
        <f t="shared" si="0"/>
        <v>71.315701603414155</v>
      </c>
      <c r="K34" s="79">
        <f>IFERROR((MP_DATA[[#This Row],[D, bottom '[m']]]+MP_DATA[[#This Row],[D, top '[m']]])/(2*MP_DATA[[#This Row],[t '[mm']]]/1000),"")</f>
        <v>78.205612244897949</v>
      </c>
      <c r="P34" s="77">
        <v>4</v>
      </c>
      <c r="Q34" s="80">
        <v>-6.2</v>
      </c>
      <c r="R34" s="80">
        <v>-10.1</v>
      </c>
      <c r="S34">
        <v>7.5</v>
      </c>
      <c r="T34" s="77">
        <v>7.8282999999999996</v>
      </c>
      <c r="U34">
        <v>98</v>
      </c>
      <c r="AI34" s="70">
        <v>4</v>
      </c>
      <c r="AJ34">
        <v>9.5</v>
      </c>
      <c r="AK34">
        <v>5.6</v>
      </c>
      <c r="AL34">
        <v>7.5</v>
      </c>
      <c r="AM34">
        <v>7.5</v>
      </c>
      <c r="AN34">
        <v>100</v>
      </c>
      <c r="AO34" s="79">
        <f>IFERROR(TP_DATA[[#This Row],[Bottom '[m']]]-TP_DATA[[#This Row],[D, top '[m']]], "")</f>
        <v>-1.9000000000000004</v>
      </c>
      <c r="AP34" s="79">
        <f>IFERROR(-(TP_DATA[[#This Row],[D, bottom '[m']]]-TP_DATA[[#This Row],[D, top '[m']]])/(TP_DATA[[#This Row],[Bottom '[m']]]-TP_DATA[[#This Row],[Top '[m']]]),"")</f>
        <v>0</v>
      </c>
      <c r="AQ34" s="79">
        <f t="shared" si="1"/>
        <v>71.173095726342197</v>
      </c>
      <c r="AR34" s="79">
        <f>IFERROR((TP_DATA[[#This Row],[D, bottom '[m']]]+TP_DATA[[#This Row],[D, top '[m']]])/(2*TP_DATA[[#This Row],[t '[mm']]]/1000),"")</f>
        <v>75</v>
      </c>
      <c r="AT34">
        <v>11</v>
      </c>
      <c r="AU34">
        <v>1</v>
      </c>
      <c r="AV34" t="s">
        <v>268</v>
      </c>
      <c r="AX34" s="77">
        <v>4</v>
      </c>
      <c r="AY34" s="77">
        <v>9.5</v>
      </c>
      <c r="AZ34" s="77">
        <v>5.6</v>
      </c>
      <c r="BA34">
        <v>7.5</v>
      </c>
      <c r="BB34" s="77">
        <v>7.5</v>
      </c>
      <c r="BC34">
        <v>100</v>
      </c>
      <c r="BE34">
        <v>11</v>
      </c>
      <c r="BF34">
        <v>1</v>
      </c>
      <c r="BG34" t="s">
        <v>268</v>
      </c>
      <c r="BQ34" s="70">
        <v>4</v>
      </c>
      <c r="BR34">
        <v>138.62499999999997</v>
      </c>
      <c r="BS34">
        <v>136.97499999999997</v>
      </c>
      <c r="BT34">
        <v>5.9039999999999999</v>
      </c>
      <c r="BU34">
        <v>6.258</v>
      </c>
      <c r="BV34">
        <v>40</v>
      </c>
      <c r="BW34" s="79">
        <f>IFERROR(TOWER_DATA[[#This Row],[Top '[m']]]-TOWER_DATA[[#This Row],[Bottom '[m']]], "")</f>
        <v>1.6500000000000057</v>
      </c>
      <c r="BX34" s="79">
        <f>IFERROR(-(TOWER_DATA[[#This Row],[D, bottom '[m']]]-TOWER_DATA[[#This Row],[D, top '[m']]])/(TOWER_DATA[[#This Row],[Bottom '[m']]]-TOWER_DATA[[#This Row],[Top '[m']]]),"")</f>
        <v>0.21454545454545387</v>
      </c>
      <c r="BY34" s="79">
        <f t="shared" si="2"/>
        <v>9.8326889482561182</v>
      </c>
      <c r="BZ34" s="79">
        <f>IFERROR((TOWER_DATA[[#This Row],[D, bottom '[m']]]+TOWER_DATA[[#This Row],[D, top '[m']]])/(2*TOWER_DATA[[#This Row],[t '[mm']]]/1000),"")</f>
        <v>152.02499999999998</v>
      </c>
      <c r="CB34" s="102">
        <v>138.23499999999999</v>
      </c>
      <c r="CC34" s="102">
        <v>1981</v>
      </c>
      <c r="CD34" s="102" t="s">
        <v>267</v>
      </c>
      <c r="CF34" s="77">
        <v>4</v>
      </c>
      <c r="CG34" s="77">
        <v>138.62499999999997</v>
      </c>
      <c r="CH34" s="77">
        <v>136.97499999999997</v>
      </c>
      <c r="CI34">
        <v>5.9039999999999999</v>
      </c>
      <c r="CJ34" s="77">
        <v>6.258</v>
      </c>
      <c r="CK34">
        <v>40</v>
      </c>
      <c r="CM34">
        <v>138.23499999999999</v>
      </c>
      <c r="CN34">
        <v>1981</v>
      </c>
      <c r="CO34" t="s">
        <v>267</v>
      </c>
      <c r="CY34" s="106" t="s">
        <v>153</v>
      </c>
      <c r="CZ34" s="105">
        <v>15</v>
      </c>
      <c r="DA34" s="105">
        <v>220</v>
      </c>
      <c r="DB34" s="105">
        <v>1166238</v>
      </c>
      <c r="DC34" s="105">
        <v>205031400</v>
      </c>
      <c r="DD34" s="105">
        <v>205031400</v>
      </c>
      <c r="DE34" s="105">
        <v>3.4</v>
      </c>
      <c r="DF34" s="105">
        <v>3.4</v>
      </c>
      <c r="DG34" s="105" t="s">
        <v>156</v>
      </c>
      <c r="DI34" s="51" t="s">
        <v>153</v>
      </c>
      <c r="DJ34" s="51">
        <v>15</v>
      </c>
      <c r="DK34">
        <v>220</v>
      </c>
      <c r="DL34">
        <v>1166238</v>
      </c>
      <c r="DM34" s="51">
        <v>205031400</v>
      </c>
      <c r="DN34" s="51">
        <v>205031400</v>
      </c>
      <c r="DO34" s="51">
        <v>3.4</v>
      </c>
      <c r="DP34">
        <v>3.4</v>
      </c>
      <c r="DQ34" t="s">
        <v>156</v>
      </c>
    </row>
    <row r="35" spans="2:121" x14ac:dyDescent="0.25">
      <c r="B35" s="118">
        <v>5</v>
      </c>
      <c r="C35" s="118">
        <v>-10.1</v>
      </c>
      <c r="D35" s="118">
        <v>-14</v>
      </c>
      <c r="E35" s="118">
        <v>7.8282999999999996</v>
      </c>
      <c r="F35" s="118">
        <v>8.1565999999999992</v>
      </c>
      <c r="G35" s="118">
        <v>104</v>
      </c>
      <c r="H35" s="79">
        <f>IFERROR(MP_DATA[[#This Row],[Bottom '[m']]]-MP_DATA[[#This Row],[D, top '[m']]], "")</f>
        <v>-21.828299999999999</v>
      </c>
      <c r="I35" s="79">
        <f>IFERROR(-(MP_DATA[[#This Row],[D, bottom '[m']]]-MP_DATA[[#This Row],[D, top '[m']]])/(MP_DATA[[#This Row],[Bottom '[m']]]-MP_DATA[[#This Row],[Top '[m']]]),"")</f>
        <v>8.4179487179487061E-2</v>
      </c>
      <c r="J35" s="79">
        <f t="shared" si="0"/>
        <v>78.905840981319429</v>
      </c>
      <c r="K35" s="79">
        <f>IFERROR((MP_DATA[[#This Row],[D, bottom '[m']]]+MP_DATA[[#This Row],[D, top '[m']]])/(2*MP_DATA[[#This Row],[t '[mm']]]/1000),"")</f>
        <v>76.850480769230771</v>
      </c>
      <c r="L35" s="79" t="str">
        <f>IFERROR((MP_DATA[[#This Row],[D, bottom '[m']]]+#REF!)/(2*#REF!/1000),"")</f>
        <v/>
      </c>
      <c r="P35" s="77">
        <v>5</v>
      </c>
      <c r="Q35" s="80">
        <v>-10.1</v>
      </c>
      <c r="R35" s="80">
        <v>-14</v>
      </c>
      <c r="S35" s="77">
        <v>7.8282999999999996</v>
      </c>
      <c r="T35" s="77">
        <v>8.1565999999999992</v>
      </c>
      <c r="U35" s="77">
        <v>104</v>
      </c>
      <c r="AO35" s="79" t="str">
        <f>IFERROR(TP_DATA[[#This Row],[Bottom '[m']]]-TP_DATA[[#This Row],[D, top '[m']]], "")</f>
        <v/>
      </c>
      <c r="AP35" s="79" t="str">
        <f>IFERROR(-(TP_DATA[[#This Row],[D, bottom '[m']]]-TP_DATA[[#This Row],[D, top '[m']]])/(TP_DATA[[#This Row],[Bottom '[m']]]-TP_DATA[[#This Row],[Top '[m']]]),"")</f>
        <v/>
      </c>
      <c r="AQ35" s="79" t="str">
        <f t="shared" si="1"/>
        <v/>
      </c>
      <c r="AR35" s="79" t="str">
        <f>IFERROR((TP_DATA[[#This Row],[D, bottom '[m']]]+TP_DATA[[#This Row],[D, top '[m']]])/(2*TP_DATA[[#This Row],[t '[mm']]]/1000),"")</f>
        <v/>
      </c>
      <c r="AS35" s="79" t="str">
        <f>IFERROR((TP_DATA[[#This Row],[D, bottom '[m']]]+#REF!)/(2*#REF!/1000),"")</f>
        <v/>
      </c>
      <c r="AT35">
        <v>6.1</v>
      </c>
      <c r="AU35">
        <v>200</v>
      </c>
      <c r="AV35" t="s">
        <v>103</v>
      </c>
      <c r="AX35" s="77"/>
      <c r="AY35" s="77"/>
      <c r="AZ35" s="77"/>
      <c r="BA35" s="77"/>
      <c r="BB35" s="77"/>
      <c r="BC35" s="77"/>
      <c r="BE35">
        <v>6.1</v>
      </c>
      <c r="BF35">
        <v>200</v>
      </c>
      <c r="BG35" t="s">
        <v>103</v>
      </c>
      <c r="BQ35" s="70">
        <v>5</v>
      </c>
      <c r="BR35">
        <v>136.97499999999997</v>
      </c>
      <c r="BS35">
        <v>136.38899999999998</v>
      </c>
      <c r="BT35">
        <v>6.258</v>
      </c>
      <c r="BU35">
        <v>6.258</v>
      </c>
      <c r="BV35">
        <v>58</v>
      </c>
      <c r="BW35" s="79">
        <f>IFERROR(TOWER_DATA[[#This Row],[Top '[m']]]-TOWER_DATA[[#This Row],[Bottom '[m']]], "")</f>
        <v>0.58599999999998431</v>
      </c>
      <c r="BX35" s="79">
        <f>IFERROR(-(TOWER_DATA[[#This Row],[D, bottom '[m']]]-TOWER_DATA[[#This Row],[D, top '[m']]])/(TOWER_DATA[[#This Row],[Bottom '[m']]]-TOWER_DATA[[#This Row],[Top '[m']]]),"")</f>
        <v>0</v>
      </c>
      <c r="BY35" s="79">
        <f t="shared" si="2"/>
        <v>5.1968098755337806</v>
      </c>
      <c r="BZ35" s="79">
        <f>IFERROR((TOWER_DATA[[#This Row],[D, bottom '[m']]]+TOWER_DATA[[#This Row],[D, top '[m']]])/(2*TOWER_DATA[[#This Row],[t '[mm']]]/1000),"")</f>
        <v>107.89655172413792</v>
      </c>
      <c r="CA35" s="79" t="str">
        <f>IFERROR((TOWER_DATA[[#This Row],[D, bottom '[m']]]+#REF!)/(2*#REF!/1000),"")</f>
        <v/>
      </c>
      <c r="CB35" s="102">
        <v>136.58499999999998</v>
      </c>
      <c r="CC35" s="102">
        <v>82</v>
      </c>
      <c r="CD35" s="102" t="s">
        <v>267</v>
      </c>
      <c r="CF35" s="77">
        <v>5</v>
      </c>
      <c r="CG35" s="77">
        <v>136.97499999999997</v>
      </c>
      <c r="CH35" s="77">
        <v>136.38899999999998</v>
      </c>
      <c r="CI35" s="77">
        <v>6.258</v>
      </c>
      <c r="CJ35" s="77">
        <v>6.258</v>
      </c>
      <c r="CK35" s="77">
        <v>58</v>
      </c>
      <c r="CM35">
        <v>136.58499999999998</v>
      </c>
      <c r="CN35">
        <v>82</v>
      </c>
      <c r="CO35" t="s">
        <v>267</v>
      </c>
      <c r="CY35" s="106" t="s">
        <v>154</v>
      </c>
      <c r="CZ35" s="105"/>
      <c r="DA35" s="105">
        <v>236</v>
      </c>
      <c r="DB35" s="105">
        <v>565481</v>
      </c>
      <c r="DC35" s="105">
        <v>241746700</v>
      </c>
      <c r="DD35" s="105">
        <v>241746700</v>
      </c>
      <c r="DE35" s="105">
        <v>3.5</v>
      </c>
      <c r="DF35" s="105">
        <v>3.5</v>
      </c>
      <c r="DG35" s="105" t="s">
        <v>156</v>
      </c>
      <c r="DI35" s="51" t="s">
        <v>154</v>
      </c>
      <c r="DJ35" s="51"/>
      <c r="DK35">
        <v>236</v>
      </c>
      <c r="DL35">
        <v>565481</v>
      </c>
      <c r="DM35" s="51">
        <v>241746700</v>
      </c>
      <c r="DN35" s="51">
        <v>241746700</v>
      </c>
      <c r="DO35" s="51">
        <v>3.5</v>
      </c>
      <c r="DP35">
        <v>3.5</v>
      </c>
      <c r="DQ35" t="s">
        <v>156</v>
      </c>
    </row>
    <row r="36" spans="2:121" x14ac:dyDescent="0.25">
      <c r="B36" s="118">
        <v>6</v>
      </c>
      <c r="C36" s="118">
        <v>-14</v>
      </c>
      <c r="D36" s="118">
        <v>-17.899999999999999</v>
      </c>
      <c r="E36" s="118">
        <v>8.1565999999999992</v>
      </c>
      <c r="F36" s="118">
        <v>8.4847999999999999</v>
      </c>
      <c r="G36" s="118">
        <v>98</v>
      </c>
      <c r="H36" s="79">
        <f>IFERROR(MP_DATA[[#This Row],[Bottom '[m']]]-MP_DATA[[#This Row],[D, top '[m']]], "")</f>
        <v>-26.056599999999996</v>
      </c>
      <c r="I36" s="79">
        <f>IFERROR(-(MP_DATA[[#This Row],[D, bottom '[m']]]-MP_DATA[[#This Row],[D, top '[m']]])/(MP_DATA[[#This Row],[Bottom '[m']]]-MP_DATA[[#This Row],[Top '[m']]]),"")</f>
        <v>8.4153846153846371E-2</v>
      </c>
      <c r="J36" s="79">
        <f t="shared" si="0"/>
        <v>77.504096478974631</v>
      </c>
      <c r="K36" s="79">
        <f>IFERROR((MP_DATA[[#This Row],[D, bottom '[m']]]+MP_DATA[[#This Row],[D, top '[m']]])/(2*MP_DATA[[#This Row],[t '[mm']]]/1000),"")</f>
        <v>84.905102040816303</v>
      </c>
      <c r="L36" s="79" t="str">
        <f>IFERROR((MP_DATA[[#This Row],[D, bottom '[m']]]+#REF!)/(2*#REF!/1000),"")</f>
        <v/>
      </c>
      <c r="P36" s="77">
        <v>6</v>
      </c>
      <c r="Q36" s="80">
        <v>-14</v>
      </c>
      <c r="R36" s="80">
        <v>-17.899999999999999</v>
      </c>
      <c r="S36" s="77">
        <v>8.1565999999999992</v>
      </c>
      <c r="T36" s="77">
        <v>8.4847999999999999</v>
      </c>
      <c r="U36" s="77">
        <v>98</v>
      </c>
      <c r="AO36" s="79" t="str">
        <f>IFERROR(TP_DATA[[#This Row],[Bottom '[m']]]-TP_DATA[[#This Row],[D, top '[m']]], "")</f>
        <v/>
      </c>
      <c r="AP36" s="79" t="str">
        <f>IFERROR(-(TP_DATA[[#This Row],[D, bottom '[m']]]-TP_DATA[[#This Row],[D, top '[m']]])/(TP_DATA[[#This Row],[Bottom '[m']]]-TP_DATA[[#This Row],[Top '[m']]]),"")</f>
        <v/>
      </c>
      <c r="AQ36" s="79" t="str">
        <f t="shared" si="1"/>
        <v/>
      </c>
      <c r="AR36" s="79" t="str">
        <f>IFERROR((TP_DATA[[#This Row],[D, bottom '[m']]]+TP_DATA[[#This Row],[D, top '[m']]])/(2*TP_DATA[[#This Row],[t '[mm']]]/1000),"")</f>
        <v/>
      </c>
      <c r="AS36" s="79" t="str">
        <f>IFERROR((TP_DATA[[#This Row],[D, bottom '[m']]]+#REF!)/(2*#REF!/1000),"")</f>
        <v/>
      </c>
      <c r="AT36">
        <v>5.6</v>
      </c>
      <c r="AU36">
        <v>60000</v>
      </c>
      <c r="AV36" t="s">
        <v>97</v>
      </c>
      <c r="AX36" s="77"/>
      <c r="AY36" s="77"/>
      <c r="AZ36" s="77"/>
      <c r="BA36" s="77"/>
      <c r="BB36" s="77"/>
      <c r="BC36" s="77"/>
      <c r="BE36">
        <v>5.6</v>
      </c>
      <c r="BF36">
        <v>60000</v>
      </c>
      <c r="BG36" t="s">
        <v>97</v>
      </c>
      <c r="BQ36" s="70">
        <v>6</v>
      </c>
      <c r="BR36">
        <v>136.38899999999998</v>
      </c>
      <c r="BS36">
        <v>135.29999999999998</v>
      </c>
      <c r="BT36">
        <v>6.258</v>
      </c>
      <c r="BU36">
        <v>6.258</v>
      </c>
      <c r="BV36">
        <v>58</v>
      </c>
      <c r="BW36" s="79">
        <f>IFERROR(TOWER_DATA[[#This Row],[Top '[m']]]-TOWER_DATA[[#This Row],[Bottom '[m']]], "")</f>
        <v>1.0889999999999986</v>
      </c>
      <c r="BX36" s="79">
        <f>IFERROR(-(TOWER_DATA[[#This Row],[D, bottom '[m']]]-TOWER_DATA[[#This Row],[D, top '[m']]])/(TOWER_DATA[[#This Row],[Bottom '[m']]]-TOWER_DATA[[#This Row],[Top '[m']]]),"")</f>
        <v>0</v>
      </c>
      <c r="BY36" s="79">
        <f t="shared" si="2"/>
        <v>9.6575528233044903</v>
      </c>
      <c r="BZ36" s="79">
        <f>IFERROR((TOWER_DATA[[#This Row],[D, bottom '[m']]]+TOWER_DATA[[#This Row],[D, top '[m']]])/(2*TOWER_DATA[[#This Row],[t '[mm']]]/1000),"")</f>
        <v>107.89655172413792</v>
      </c>
      <c r="CA36" s="79" t="str">
        <f>IFERROR((TOWER_DATA[[#This Row],[D, bottom '[m']]]+#REF!)/(2*#REF!/1000),"")</f>
        <v/>
      </c>
      <c r="CB36" s="102">
        <v>135.999</v>
      </c>
      <c r="CC36" s="102">
        <v>88</v>
      </c>
      <c r="CD36" s="102" t="s">
        <v>267</v>
      </c>
      <c r="CF36" s="77">
        <v>6</v>
      </c>
      <c r="CG36" s="77">
        <v>136.38899999999998</v>
      </c>
      <c r="CH36" s="77">
        <v>135.29999999999998</v>
      </c>
      <c r="CI36" s="77">
        <v>6.258</v>
      </c>
      <c r="CJ36" s="77">
        <v>6.258</v>
      </c>
      <c r="CK36" s="77">
        <v>58</v>
      </c>
      <c r="CM36">
        <v>135.999</v>
      </c>
      <c r="CN36">
        <v>88</v>
      </c>
      <c r="CO36" t="s">
        <v>267</v>
      </c>
      <c r="CY36" s="106" t="s">
        <v>155</v>
      </c>
      <c r="CZ36" s="105">
        <v>15</v>
      </c>
      <c r="DA36" s="105">
        <v>240</v>
      </c>
      <c r="DB36" s="105">
        <v>1102065</v>
      </c>
      <c r="DC36" s="105">
        <v>276287200</v>
      </c>
      <c r="DD36" s="105">
        <v>276287200</v>
      </c>
      <c r="DE36" s="105">
        <v>3.4</v>
      </c>
      <c r="DF36" s="103">
        <v>3.4</v>
      </c>
      <c r="DG36" s="105" t="s">
        <v>156</v>
      </c>
      <c r="DI36" s="51" t="s">
        <v>155</v>
      </c>
      <c r="DJ36" s="51">
        <v>15</v>
      </c>
      <c r="DK36">
        <v>240</v>
      </c>
      <c r="DL36">
        <v>1102065</v>
      </c>
      <c r="DM36" s="51">
        <v>276287200</v>
      </c>
      <c r="DN36" s="51">
        <v>276287200</v>
      </c>
      <c r="DO36" s="51">
        <v>3.4</v>
      </c>
      <c r="DP36">
        <v>3.4</v>
      </c>
      <c r="DQ36" t="s">
        <v>156</v>
      </c>
    </row>
    <row r="37" spans="2:121" x14ac:dyDescent="0.25">
      <c r="B37" s="118">
        <v>7</v>
      </c>
      <c r="C37" s="118">
        <v>-17.899999999999999</v>
      </c>
      <c r="D37" s="118">
        <v>-21.8</v>
      </c>
      <c r="E37" s="118">
        <v>8.4847999999999999</v>
      </c>
      <c r="F37" s="118">
        <v>8.8131000000000004</v>
      </c>
      <c r="G37" s="118">
        <v>94</v>
      </c>
      <c r="H37" s="79">
        <f>IFERROR(MP_DATA[[#This Row],[Bottom '[m']]]-MP_DATA[[#This Row],[D, top '[m']]], "")</f>
        <v>-30.284800000000001</v>
      </c>
      <c r="I37" s="79">
        <f>IFERROR(-(MP_DATA[[#This Row],[D, bottom '[m']]]-MP_DATA[[#This Row],[D, top '[m']]])/(MP_DATA[[#This Row],[Bottom '[m']]]-MP_DATA[[#This Row],[Top '[m']]]),"")</f>
        <v>8.4179487179487256E-2</v>
      </c>
      <c r="J37" s="79">
        <f t="shared" si="0"/>
        <v>77.34450523878759</v>
      </c>
      <c r="K37" s="79">
        <f>IFERROR((MP_DATA[[#This Row],[D, bottom '[m']]]+MP_DATA[[#This Row],[D, top '[m']]])/(2*MP_DATA[[#This Row],[t '[mm']]]/1000),"")</f>
        <v>92.010106382978719</v>
      </c>
      <c r="L37" s="79" t="str">
        <f>IFERROR((MP_DATA[[#This Row],[D, bottom '[m']]]+#REF!)/(2*#REF!/1000),"")</f>
        <v/>
      </c>
      <c r="P37" s="77">
        <v>7</v>
      </c>
      <c r="Q37" s="80">
        <v>-17.899999999999999</v>
      </c>
      <c r="R37" s="80">
        <v>-21.8</v>
      </c>
      <c r="S37" s="77">
        <v>8.4847999999999999</v>
      </c>
      <c r="T37" s="77">
        <v>8.8131000000000004</v>
      </c>
      <c r="U37" s="77">
        <v>94</v>
      </c>
      <c r="AO37" s="79" t="str">
        <f>IFERROR(TP_DATA[[#This Row],[Bottom '[m']]]-TP_DATA[[#This Row],[D, top '[m']]], "")</f>
        <v/>
      </c>
      <c r="AP37" s="79" t="str">
        <f>IFERROR(-(TP_DATA[[#This Row],[D, bottom '[m']]]-TP_DATA[[#This Row],[D, top '[m']]])/(TP_DATA[[#This Row],[Bottom '[m']]]-TP_DATA[[#This Row],[Top '[m']]]),"")</f>
        <v/>
      </c>
      <c r="AQ37" s="79" t="str">
        <f t="shared" si="1"/>
        <v/>
      </c>
      <c r="AR37" s="79" t="str">
        <f>IFERROR((TP_DATA[[#This Row],[D, bottom '[m']]]+TP_DATA[[#This Row],[D, top '[m']]])/(2*TP_DATA[[#This Row],[t '[mm']]]/1000),"")</f>
        <v/>
      </c>
      <c r="AS37" s="79" t="str">
        <f>IFERROR((TP_DATA[[#This Row],[D, bottom '[m']]]+#REF!)/(2*#REF!/1000),"")</f>
        <v/>
      </c>
      <c r="AX37" s="77"/>
      <c r="AY37" s="77"/>
      <c r="AZ37" s="77"/>
      <c r="BA37" s="77"/>
      <c r="BB37" s="77"/>
      <c r="BC37" s="77"/>
      <c r="BQ37" s="70">
        <v>7</v>
      </c>
      <c r="BR37">
        <v>135.29999999999998</v>
      </c>
      <c r="BS37">
        <v>133.47499999999997</v>
      </c>
      <c r="BT37">
        <v>6.258</v>
      </c>
      <c r="BU37">
        <v>6.2229999999999999</v>
      </c>
      <c r="BV37">
        <v>58</v>
      </c>
      <c r="BW37" s="79">
        <f>IFERROR(TOWER_DATA[[#This Row],[Top '[m']]]-TOWER_DATA[[#This Row],[Bottom '[m']]], "")</f>
        <v>1.8250000000000171</v>
      </c>
      <c r="BX37" s="79">
        <f>IFERROR(-(TOWER_DATA[[#This Row],[D, bottom '[m']]]-TOWER_DATA[[#This Row],[D, top '[m']]])/(TOWER_DATA[[#This Row],[Bottom '[m']]]-TOWER_DATA[[#This Row],[Top '[m']]]),"")</f>
        <v>-1.9178082191780719E-2</v>
      </c>
      <c r="BY37" s="79">
        <f t="shared" si="2"/>
        <v>16.138921784175626</v>
      </c>
      <c r="BZ37" s="79">
        <f>IFERROR((TOWER_DATA[[#This Row],[D, bottom '[m']]]+TOWER_DATA[[#This Row],[D, top '[m']]])/(2*TOWER_DATA[[#This Row],[t '[mm']]]/1000),"")</f>
        <v>107.59482758620689</v>
      </c>
      <c r="CA37" s="79" t="str">
        <f>IFERROR((TOWER_DATA[[#This Row],[D, bottom '[m']]]+#REF!)/(2*#REF!/1000),"")</f>
        <v/>
      </c>
      <c r="CB37" s="102">
        <v>134.91</v>
      </c>
      <c r="CC37" s="102">
        <v>41600</v>
      </c>
      <c r="CD37" s="102" t="s">
        <v>267</v>
      </c>
      <c r="CF37" s="77">
        <v>7</v>
      </c>
      <c r="CG37" s="77">
        <v>135.29999999999998</v>
      </c>
      <c r="CH37" s="77">
        <v>133.47499999999997</v>
      </c>
      <c r="CI37" s="77">
        <v>6.258</v>
      </c>
      <c r="CJ37" s="77">
        <v>6.2229999999999999</v>
      </c>
      <c r="CK37" s="77">
        <v>58</v>
      </c>
      <c r="CM37">
        <v>134.91</v>
      </c>
      <c r="CN37">
        <v>41600</v>
      </c>
      <c r="CO37" t="s">
        <v>267</v>
      </c>
      <c r="CY37" s="106" t="s">
        <v>255</v>
      </c>
      <c r="CZ37" s="105" t="s">
        <v>156</v>
      </c>
      <c r="DA37" s="105" t="s">
        <v>156</v>
      </c>
      <c r="DB37" s="105">
        <v>1394251</v>
      </c>
      <c r="DC37" s="105">
        <v>382420000</v>
      </c>
      <c r="DD37" s="105">
        <v>639730000</v>
      </c>
      <c r="DE37" s="105">
        <v>6.59</v>
      </c>
      <c r="DF37" s="105">
        <v>5.74</v>
      </c>
      <c r="DG37" s="105" t="s">
        <v>271</v>
      </c>
      <c r="DI37" s="91" t="s">
        <v>255</v>
      </c>
      <c r="DJ37" s="91" t="s">
        <v>156</v>
      </c>
      <c r="DK37" t="s">
        <v>156</v>
      </c>
      <c r="DL37">
        <v>1394251</v>
      </c>
      <c r="DM37" s="51">
        <v>382420000</v>
      </c>
      <c r="DN37" s="51">
        <v>639730000</v>
      </c>
      <c r="DO37">
        <v>6.59</v>
      </c>
      <c r="DP37">
        <v>5.74</v>
      </c>
      <c r="DQ37" t="s">
        <v>271</v>
      </c>
    </row>
    <row r="38" spans="2:121" x14ac:dyDescent="0.25">
      <c r="B38" s="118">
        <v>8</v>
      </c>
      <c r="C38" s="118">
        <v>-21.8</v>
      </c>
      <c r="D38" s="118">
        <v>-25.7</v>
      </c>
      <c r="E38" s="118">
        <v>8.8131000000000004</v>
      </c>
      <c r="F38" s="118">
        <v>9.1414000000000009</v>
      </c>
      <c r="G38" s="118">
        <v>92</v>
      </c>
      <c r="H38" s="79">
        <f>IFERROR(MP_DATA[[#This Row],[Bottom '[m']]]-MP_DATA[[#This Row],[D, top '[m']]], "")</f>
        <v>-34.513100000000001</v>
      </c>
      <c r="I38" s="79">
        <f>IFERROR(-(MP_DATA[[#This Row],[D, bottom '[m']]]-MP_DATA[[#This Row],[D, top '[m']]])/(MP_DATA[[#This Row],[Bottom '[m']]]-MP_DATA[[#This Row],[Top '[m']]]),"")</f>
        <v>8.4179487179487339E-2</v>
      </c>
      <c r="J38" s="79">
        <f t="shared" si="0"/>
        <v>78.621552553821701</v>
      </c>
      <c r="K38" s="79">
        <f>IFERROR((MP_DATA[[#This Row],[D, bottom '[m']]]+MP_DATA[[#This Row],[D, top '[m']]])/(2*MP_DATA[[#This Row],[t '[mm']]]/1000),"")</f>
        <v>97.578804347826107</v>
      </c>
      <c r="L38" s="79" t="str">
        <f>IFERROR((MP_DATA[[#This Row],[D, bottom '[m']]]+#REF!)/(2*#REF!/1000),"")</f>
        <v/>
      </c>
      <c r="P38" s="77">
        <v>8</v>
      </c>
      <c r="Q38" s="80">
        <v>-21.8</v>
      </c>
      <c r="R38" s="80">
        <v>-25.7</v>
      </c>
      <c r="S38" s="77">
        <v>8.8131000000000004</v>
      </c>
      <c r="T38" s="77">
        <v>9.1414000000000009</v>
      </c>
      <c r="U38" s="77">
        <v>92</v>
      </c>
      <c r="W38" s="77"/>
      <c r="X38" s="77"/>
      <c r="Y38" s="77"/>
      <c r="AO38" s="79" t="str">
        <f>IFERROR(TP_DATA[[#This Row],[Bottom '[m']]]-TP_DATA[[#This Row],[D, top '[m']]], "")</f>
        <v/>
      </c>
      <c r="AP38" s="79" t="str">
        <f>IFERROR(-(TP_DATA[[#This Row],[D, bottom '[m']]]-TP_DATA[[#This Row],[D, top '[m']]])/(TP_DATA[[#This Row],[Bottom '[m']]]-TP_DATA[[#This Row],[Top '[m']]]),"")</f>
        <v/>
      </c>
      <c r="AQ38" s="79" t="str">
        <f t="shared" si="1"/>
        <v/>
      </c>
      <c r="AR38" s="79" t="str">
        <f>IFERROR((TP_DATA[[#This Row],[D, bottom '[m']]]+TP_DATA[[#This Row],[D, top '[m']]])/(2*TP_DATA[[#This Row],[t '[mm']]]/1000),"")</f>
        <v/>
      </c>
      <c r="AS38" s="79" t="str">
        <f>IFERROR((TP_DATA[[#This Row],[D, bottom '[m']]]+#REF!)/(2*#REF!/1000),"")</f>
        <v/>
      </c>
      <c r="AX38" s="77"/>
      <c r="AY38" s="77"/>
      <c r="AZ38" s="77"/>
      <c r="BA38" s="77"/>
      <c r="BB38" s="77"/>
      <c r="BC38" s="77"/>
      <c r="BE38" s="77"/>
      <c r="BF38" s="77"/>
      <c r="BG38" s="77"/>
      <c r="BQ38" s="70">
        <v>8</v>
      </c>
      <c r="BR38">
        <v>133.47499999999997</v>
      </c>
      <c r="BS38">
        <v>131.23999999999998</v>
      </c>
      <c r="BT38">
        <v>6.2229999999999999</v>
      </c>
      <c r="BU38">
        <v>6.2229999999999999</v>
      </c>
      <c r="BV38">
        <v>23</v>
      </c>
      <c r="BW38" s="79">
        <f>IFERROR(TOWER_DATA[[#This Row],[Top '[m']]]-TOWER_DATA[[#This Row],[Bottom '[m']]], "")</f>
        <v>2.2349999999999852</v>
      </c>
      <c r="BX38" s="79">
        <f>IFERROR(-(TOWER_DATA[[#This Row],[D, bottom '[m']]]-TOWER_DATA[[#This Row],[D, top '[m']]])/(TOWER_DATA[[#This Row],[Bottom '[m']]]-TOWER_DATA[[#This Row],[Top '[m']]]),"")</f>
        <v>0</v>
      </c>
      <c r="BY38" s="79">
        <f t="shared" si="2"/>
        <v>7.8598920693133492</v>
      </c>
      <c r="BZ38" s="79">
        <f>IFERROR((TOWER_DATA[[#This Row],[D, bottom '[m']]]+TOWER_DATA[[#This Row],[D, top '[m']]])/(2*TOWER_DATA[[#This Row],[t '[mm']]]/1000),"")</f>
        <v>270.56521739130437</v>
      </c>
      <c r="CA38" s="79" t="str">
        <f>IFERROR((TOWER_DATA[[#This Row],[D, bottom '[m']]]+#REF!)/(2*#REF!/1000),"")</f>
        <v/>
      </c>
      <c r="CB38" s="102">
        <v>133.08499999999998</v>
      </c>
      <c r="CC38" s="102">
        <v>88</v>
      </c>
      <c r="CD38" s="102" t="s">
        <v>267</v>
      </c>
      <c r="CF38" s="77">
        <v>8</v>
      </c>
      <c r="CG38" s="77">
        <v>133.47499999999997</v>
      </c>
      <c r="CH38" s="77">
        <v>131.23999999999998</v>
      </c>
      <c r="CI38" s="77">
        <v>6.2229999999999999</v>
      </c>
      <c r="CJ38" s="77">
        <v>6.2229999999999999</v>
      </c>
      <c r="CK38" s="77">
        <v>23</v>
      </c>
      <c r="CM38" s="77">
        <v>133.08499999999998</v>
      </c>
      <c r="CN38" s="77">
        <v>88</v>
      </c>
      <c r="CO38" s="77" t="s">
        <v>267</v>
      </c>
      <c r="DF38" s="79"/>
      <c r="DG38" s="79"/>
    </row>
    <row r="39" spans="2:121" x14ac:dyDescent="0.25">
      <c r="B39" s="118">
        <v>9</v>
      </c>
      <c r="C39" s="118">
        <v>-25.7</v>
      </c>
      <c r="D39" s="118">
        <v>-29.6</v>
      </c>
      <c r="E39" s="118">
        <v>9.1414000000000009</v>
      </c>
      <c r="F39" s="118">
        <v>9.4696999999999996</v>
      </c>
      <c r="G39" s="118">
        <v>90</v>
      </c>
      <c r="H39" s="79">
        <f>IFERROR(MP_DATA[[#This Row],[Bottom '[m']]]-MP_DATA[[#This Row],[D, top '[m']]], "")</f>
        <v>-38.741399999999999</v>
      </c>
      <c r="I39" s="79">
        <f>IFERROR(-(MP_DATA[[#This Row],[D, bottom '[m']]]-MP_DATA[[#This Row],[D, top '[m']]])/(MP_DATA[[#This Row],[Bottom '[m']]]-MP_DATA[[#This Row],[Top '[m']]]),"")</f>
        <v>8.4179487179486798E-2</v>
      </c>
      <c r="J39" s="79">
        <f t="shared" si="0"/>
        <v>79.771527039027319</v>
      </c>
      <c r="K39" s="79">
        <f>IFERROR((MP_DATA[[#This Row],[D, bottom '[m']]]+MP_DATA[[#This Row],[D, top '[m']]])/(2*MP_DATA[[#This Row],[t '[mm']]]/1000),"")</f>
        <v>103.39500000000001</v>
      </c>
      <c r="L39" s="79" t="str">
        <f>IFERROR((MP_DATA[[#This Row],[D, bottom '[m']]]+#REF!)/(2*#REF!/1000),"")</f>
        <v/>
      </c>
      <c r="P39" s="77">
        <v>9</v>
      </c>
      <c r="Q39" s="80">
        <v>-25.7</v>
      </c>
      <c r="R39" s="80">
        <v>-29.6</v>
      </c>
      <c r="S39" s="77">
        <v>9.1414000000000009</v>
      </c>
      <c r="T39" s="77">
        <v>9.4696999999999996</v>
      </c>
      <c r="U39" s="77">
        <v>90</v>
      </c>
      <c r="W39" s="77"/>
      <c r="X39" s="77"/>
      <c r="Y39" s="77"/>
      <c r="AO39" s="79" t="str">
        <f>IFERROR(TP_DATA[[#This Row],[Bottom '[m']]]-TP_DATA[[#This Row],[D, top '[m']]], "")</f>
        <v/>
      </c>
      <c r="AP39" s="79" t="str">
        <f>IFERROR(-(TP_DATA[[#This Row],[D, bottom '[m']]]-TP_DATA[[#This Row],[D, top '[m']]])/(TP_DATA[[#This Row],[Bottom '[m']]]-TP_DATA[[#This Row],[Top '[m']]]),"")</f>
        <v/>
      </c>
      <c r="AQ39" s="79" t="str">
        <f t="shared" si="1"/>
        <v/>
      </c>
      <c r="AR39" s="79" t="str">
        <f>IFERROR((TP_DATA[[#This Row],[D, bottom '[m']]]+TP_DATA[[#This Row],[D, top '[m']]])/(2*TP_DATA[[#This Row],[t '[mm']]]/1000),"")</f>
        <v/>
      </c>
      <c r="AS39" s="79" t="str">
        <f>IFERROR((TP_DATA[[#This Row],[D, bottom '[m']]]+#REF!)/(2*#REF!/1000),"")</f>
        <v/>
      </c>
      <c r="AX39" s="77"/>
      <c r="AY39" s="77"/>
      <c r="AZ39" s="77"/>
      <c r="BA39" s="77"/>
      <c r="BB39" s="77"/>
      <c r="BC39" s="77"/>
      <c r="BE39" s="77"/>
      <c r="BF39" s="77"/>
      <c r="BG39" s="77"/>
      <c r="BQ39" s="70">
        <v>9</v>
      </c>
      <c r="BR39">
        <v>131.23999999999998</v>
      </c>
      <c r="BS39">
        <v>130.89999999999998</v>
      </c>
      <c r="BT39">
        <v>6.2229999999999999</v>
      </c>
      <c r="BU39">
        <v>6.2229999999999999</v>
      </c>
      <c r="BV39">
        <v>23</v>
      </c>
      <c r="BW39" s="79">
        <f>IFERROR(TOWER_DATA[[#This Row],[Top '[m']]]-TOWER_DATA[[#This Row],[Bottom '[m']]], "")</f>
        <v>0.34000000000000341</v>
      </c>
      <c r="BX39" s="79">
        <f>IFERROR(-(TOWER_DATA[[#This Row],[D, bottom '[m']]]-TOWER_DATA[[#This Row],[D, top '[m']]])/(TOWER_DATA[[#This Row],[Bottom '[m']]]-TOWER_DATA[[#This Row],[Top '[m']]]),"")</f>
        <v>0</v>
      </c>
      <c r="BY39" s="79">
        <f t="shared" si="2"/>
        <v>1.1956882790007084</v>
      </c>
      <c r="BZ39" s="79">
        <f>IFERROR((TOWER_DATA[[#This Row],[D, bottom '[m']]]+TOWER_DATA[[#This Row],[D, top '[m']]])/(2*TOWER_DATA[[#This Row],[t '[mm']]]/1000),"")</f>
        <v>270.56521739130437</v>
      </c>
      <c r="CA39" s="79" t="str">
        <f>IFERROR((TOWER_DATA[[#This Row],[D, bottom '[m']]]+#REF!)/(2*#REF!/1000),"")</f>
        <v/>
      </c>
      <c r="CB39" s="102">
        <v>131.23999999999998</v>
      </c>
      <c r="CC39" s="102">
        <v>92</v>
      </c>
      <c r="CD39" s="102" t="s">
        <v>267</v>
      </c>
      <c r="CF39" s="77">
        <v>9</v>
      </c>
      <c r="CG39" s="77">
        <v>131.23999999999998</v>
      </c>
      <c r="CH39" s="77">
        <v>130.89999999999998</v>
      </c>
      <c r="CI39" s="77">
        <v>6.2229999999999999</v>
      </c>
      <c r="CJ39" s="77">
        <v>6.2229999999999999</v>
      </c>
      <c r="CK39" s="77">
        <v>23</v>
      </c>
      <c r="CM39" s="77">
        <v>131.23999999999998</v>
      </c>
      <c r="CN39" s="77">
        <v>92</v>
      </c>
      <c r="CO39" s="77" t="s">
        <v>267</v>
      </c>
      <c r="DF39" s="79"/>
      <c r="DG39" s="79"/>
    </row>
    <row r="40" spans="2:121" x14ac:dyDescent="0.25">
      <c r="B40" s="118">
        <v>10</v>
      </c>
      <c r="C40" s="119">
        <v>-29.6</v>
      </c>
      <c r="D40" s="118">
        <v>-33.5</v>
      </c>
      <c r="E40" s="119">
        <v>9.4696999999999996</v>
      </c>
      <c r="F40" s="118">
        <v>9.8000000000000007</v>
      </c>
      <c r="G40" s="119">
        <v>90</v>
      </c>
      <c r="H40" s="79">
        <f>IFERROR(MP_DATA[[#This Row],[Bottom '[m']]]-MP_DATA[[#This Row],[D, top '[m']]], "")</f>
        <v>-42.969700000000003</v>
      </c>
      <c r="I40">
        <f>IFERROR(-(MP_DATA[[#This Row],[D, bottom '[m']]]-MP_DATA[[#This Row],[D, top '[m']]])/(MP_DATA[[#This Row],[Bottom '[m']]]-MP_DATA[[#This Row],[Top '[m']]]),"")</f>
        <v>8.4692307692308011E-2</v>
      </c>
      <c r="J40" s="79">
        <f t="shared" si="0"/>
        <v>82.622009522867344</v>
      </c>
      <c r="K40" s="79">
        <f>IFERROR((MP_DATA[[#This Row],[D, bottom '[m']]]+MP_DATA[[#This Row],[D, top '[m']]])/(2*MP_DATA[[#This Row],[t '[mm']]]/1000),"")</f>
        <v>107.05388888888889</v>
      </c>
      <c r="L40" s="79" t="str">
        <f>IFERROR((MP_DATA[[#This Row],[D, bottom '[m']]]+#REF!)/(2*#REF!/1000),"")</f>
        <v/>
      </c>
      <c r="P40" s="77">
        <v>10</v>
      </c>
      <c r="Q40" s="80">
        <v>-29.6</v>
      </c>
      <c r="R40" s="80">
        <v>-33.5</v>
      </c>
      <c r="S40" s="77">
        <v>9.4696999999999996</v>
      </c>
      <c r="T40" s="77">
        <v>9.8000000000000007</v>
      </c>
      <c r="U40" s="77">
        <v>90</v>
      </c>
      <c r="W40" s="77"/>
      <c r="X40" s="77"/>
      <c r="Y40" s="77"/>
      <c r="AO40" s="79" t="str">
        <f>IFERROR(TP_DATA[[#This Row],[Bottom '[m']]]-TP_DATA[[#This Row],[D, top '[m']]], "")</f>
        <v/>
      </c>
      <c r="AP40" s="79" t="str">
        <f>IFERROR(-(TP_DATA[[#This Row],[D, bottom '[m']]]-TP_DATA[[#This Row],[D, top '[m']]])/(TP_DATA[[#This Row],[Bottom '[m']]]-TP_DATA[[#This Row],[Top '[m']]]),"")</f>
        <v/>
      </c>
      <c r="AQ40" s="79" t="str">
        <f t="shared" si="1"/>
        <v/>
      </c>
      <c r="AR40" s="79" t="str">
        <f>IFERROR((TP_DATA[[#This Row],[D, bottom '[m']]]+TP_DATA[[#This Row],[D, top '[m']]])/(2*TP_DATA[[#This Row],[t '[mm']]]/1000),"")</f>
        <v/>
      </c>
      <c r="AS40" s="79" t="str">
        <f>IFERROR((TP_DATA[[#This Row],[D, bottom '[m']]]+#REF!)/(2*#REF!/1000),"")</f>
        <v/>
      </c>
      <c r="AX40" s="77"/>
      <c r="AY40" s="77"/>
      <c r="AZ40" s="77"/>
      <c r="BA40" s="77"/>
      <c r="BB40" s="77"/>
      <c r="BC40" s="77"/>
      <c r="BE40" s="77"/>
      <c r="BF40" s="77"/>
      <c r="BG40" s="77"/>
      <c r="BQ40" s="70">
        <v>10</v>
      </c>
      <c r="BR40">
        <v>130.89999999999998</v>
      </c>
      <c r="BS40">
        <v>128.48999999999998</v>
      </c>
      <c r="BT40">
        <v>6.2229999999999999</v>
      </c>
      <c r="BU40">
        <v>6.2229999999999999</v>
      </c>
      <c r="BV40">
        <v>23</v>
      </c>
      <c r="BW40" s="79">
        <f>IFERROR(TOWER_DATA[[#This Row],[Top '[m']]]-TOWER_DATA[[#This Row],[Bottom '[m']]], "")</f>
        <v>2.4099999999999966</v>
      </c>
      <c r="BX40" s="79">
        <f>IFERROR(-(TOWER_DATA[[#This Row],[D, bottom '[m']]]-TOWER_DATA[[#This Row],[D, top '[m']]])/(TOWER_DATA[[#This Row],[Bottom '[m']]]-TOWER_DATA[[#This Row],[Top '[m']]]),"")</f>
        <v>0</v>
      </c>
      <c r="BY40" s="79">
        <f t="shared" si="2"/>
        <v>8.475319859975512</v>
      </c>
      <c r="BZ40" s="79">
        <f>IFERROR((TOWER_DATA[[#This Row],[D, bottom '[m']]]+TOWER_DATA[[#This Row],[D, top '[m']]])/(2*TOWER_DATA[[#This Row],[t '[mm']]]/1000),"")</f>
        <v>270.56521739130437</v>
      </c>
      <c r="CA40" s="79" t="str">
        <f>IFERROR((TOWER_DATA[[#This Row],[D, bottom '[m']]]+#REF!)/(2*#REF!/1000),"")</f>
        <v/>
      </c>
      <c r="CB40" s="102">
        <v>130.89999999999998</v>
      </c>
      <c r="CC40" s="102">
        <v>138</v>
      </c>
      <c r="CD40" s="102" t="s">
        <v>267</v>
      </c>
      <c r="CF40" s="77">
        <v>10</v>
      </c>
      <c r="CG40" s="77">
        <v>130.89999999999998</v>
      </c>
      <c r="CH40" s="77">
        <v>128.48999999999998</v>
      </c>
      <c r="CI40" s="77">
        <v>6.2229999999999999</v>
      </c>
      <c r="CJ40" s="77">
        <v>6.2229999999999999</v>
      </c>
      <c r="CK40" s="77">
        <v>23</v>
      </c>
      <c r="CM40" s="77">
        <v>130.89999999999998</v>
      </c>
      <c r="CN40" s="77">
        <v>138</v>
      </c>
      <c r="CO40" s="77" t="s">
        <v>267</v>
      </c>
      <c r="DF40" s="79"/>
      <c r="DG40" s="79"/>
    </row>
    <row r="41" spans="2:121" x14ac:dyDescent="0.25">
      <c r="B41" s="118">
        <v>11</v>
      </c>
      <c r="C41" s="119">
        <v>-33.5</v>
      </c>
      <c r="D41" s="118">
        <v>-36.799999999999997</v>
      </c>
      <c r="E41" s="119">
        <v>9.8000000000000007</v>
      </c>
      <c r="F41" s="118">
        <v>9.8000000000000007</v>
      </c>
      <c r="G41" s="119">
        <v>90</v>
      </c>
      <c r="H41" s="79">
        <f>IFERROR(MP_DATA[[#This Row],[Bottom '[m']]]-MP_DATA[[#This Row],[D, top '[m']]], "")</f>
        <v>-46.599999999999994</v>
      </c>
      <c r="I41">
        <f>IFERROR(-(MP_DATA[[#This Row],[D, bottom '[m']]]-MP_DATA[[#This Row],[D, top '[m']]])/(MP_DATA[[#This Row],[Bottom '[m']]]-MP_DATA[[#This Row],[Top '[m']]]),"")</f>
        <v>0</v>
      </c>
      <c r="J41" s="79">
        <f t="shared" si="0"/>
        <v>71.120566726377618</v>
      </c>
      <c r="K41" s="79">
        <f>IFERROR((MP_DATA[[#This Row],[D, bottom '[m']]]+MP_DATA[[#This Row],[D, top '[m']]])/(2*MP_DATA[[#This Row],[t '[mm']]]/1000),"")</f>
        <v>108.8888888888889</v>
      </c>
      <c r="L41" s="79" t="str">
        <f>IFERROR((MP_DATA[[#This Row],[D, bottom '[m']]]+#REF!)/(2*#REF!/1000),"")</f>
        <v/>
      </c>
      <c r="P41" s="77">
        <v>11</v>
      </c>
      <c r="Q41" s="80">
        <v>-33.5</v>
      </c>
      <c r="R41" s="80">
        <v>-36.799999999999997</v>
      </c>
      <c r="S41" s="77">
        <v>9.8000000000000007</v>
      </c>
      <c r="T41" s="77">
        <v>9.8000000000000007</v>
      </c>
      <c r="U41" s="77">
        <v>90</v>
      </c>
      <c r="AO41" s="79" t="str">
        <f>IFERROR(TP_DATA[[#This Row],[Bottom '[m']]]-TP_DATA[[#This Row],[D, top '[m']]], "")</f>
        <v/>
      </c>
      <c r="AP41" s="79" t="str">
        <f>IFERROR(-(TP_DATA[[#This Row],[D, bottom '[m']]]-TP_DATA[[#This Row],[D, top '[m']]])/(TP_DATA[[#This Row],[Bottom '[m']]]-TP_DATA[[#This Row],[Top '[m']]]),"")</f>
        <v/>
      </c>
      <c r="AQ41" s="79" t="str">
        <f t="shared" si="1"/>
        <v/>
      </c>
      <c r="AR41" s="79" t="str">
        <f>IFERROR((TP_DATA[[#This Row],[D, bottom '[m']]]+TP_DATA[[#This Row],[D, top '[m']]])/(2*TP_DATA[[#This Row],[t '[mm']]]/1000),"")</f>
        <v/>
      </c>
      <c r="AS41" s="79" t="str">
        <f>IFERROR((TP_DATA[[#This Row],[D, bottom '[m']]]+#REF!)/(2*#REF!/1000),"")</f>
        <v/>
      </c>
      <c r="AX41" s="77"/>
      <c r="AY41" s="77"/>
      <c r="AZ41" s="77"/>
      <c r="BA41" s="77"/>
      <c r="BB41" s="77"/>
      <c r="BC41" s="77"/>
      <c r="BQ41" s="70">
        <v>11</v>
      </c>
      <c r="BR41">
        <v>128.48999999999998</v>
      </c>
      <c r="BS41">
        <v>125.74000000000001</v>
      </c>
      <c r="BT41">
        <v>6.2229999999999999</v>
      </c>
      <c r="BU41">
        <v>6.2229999999999999</v>
      </c>
      <c r="BV41">
        <v>23</v>
      </c>
      <c r="BW41" s="79">
        <f>IFERROR(TOWER_DATA[[#This Row],[Top '[m']]]-TOWER_DATA[[#This Row],[Bottom '[m']]], "")</f>
        <v>2.7499999999999716</v>
      </c>
      <c r="BX41" s="79">
        <f>IFERROR(-(TOWER_DATA[[#This Row],[D, bottom '[m']]]-TOWER_DATA[[#This Row],[D, top '[m']]])/(TOWER_DATA[[#This Row],[Bottom '[m']]]-TOWER_DATA[[#This Row],[Top '[m']]]),"")</f>
        <v>0</v>
      </c>
      <c r="BY41" s="79">
        <f t="shared" si="2"/>
        <v>9.6710081389761218</v>
      </c>
      <c r="BZ41" s="79">
        <f>IFERROR((TOWER_DATA[[#This Row],[D, bottom '[m']]]+TOWER_DATA[[#This Row],[D, top '[m']]])/(2*TOWER_DATA[[#This Row],[t '[mm']]]/1000),"")</f>
        <v>270.56521739130437</v>
      </c>
      <c r="CA41" s="79" t="str">
        <f>IFERROR((TOWER_DATA[[#This Row],[D, bottom '[m']]]+#REF!)/(2*#REF!/1000),"")</f>
        <v/>
      </c>
      <c r="CB41" s="102">
        <v>125.74</v>
      </c>
      <c r="CC41" s="102">
        <v>138</v>
      </c>
      <c r="CD41" s="102" t="s">
        <v>267</v>
      </c>
      <c r="CF41" s="77">
        <v>11</v>
      </c>
      <c r="CG41" s="77">
        <v>128.48999999999998</v>
      </c>
      <c r="CH41" s="77">
        <v>125.74000000000001</v>
      </c>
      <c r="CI41" s="77">
        <v>6.2229999999999999</v>
      </c>
      <c r="CJ41" s="77">
        <v>6.2229999999999999</v>
      </c>
      <c r="CK41" s="77">
        <v>23</v>
      </c>
      <c r="CM41">
        <v>125.74</v>
      </c>
      <c r="CN41">
        <v>138</v>
      </c>
      <c r="CO41" t="s">
        <v>267</v>
      </c>
      <c r="DF41" s="79"/>
      <c r="DG41" s="79"/>
    </row>
    <row r="42" spans="2:121" x14ac:dyDescent="0.25">
      <c r="B42" s="118">
        <v>12</v>
      </c>
      <c r="C42" s="119">
        <v>-36.799999999999997</v>
      </c>
      <c r="D42" s="118">
        <v>-40.200000000000003</v>
      </c>
      <c r="E42" s="119">
        <v>9.8000000000000007</v>
      </c>
      <c r="F42" s="118">
        <v>9.8000000000000007</v>
      </c>
      <c r="G42" s="119">
        <v>98</v>
      </c>
      <c r="H42" s="79">
        <f>IFERROR(MP_DATA[[#This Row],[Bottom '[m']]]-MP_DATA[[#This Row],[D, top '[m']]], "")</f>
        <v>-50</v>
      </c>
      <c r="I42">
        <f>IFERROR(-(MP_DATA[[#This Row],[D, bottom '[m']]]-MP_DATA[[#This Row],[D, top '[m']]])/(MP_DATA[[#This Row],[Bottom '[m']]]-MP_DATA[[#This Row],[Top '[m']]]),"")</f>
        <v>0</v>
      </c>
      <c r="J42" s="79">
        <f t="shared" si="0"/>
        <v>79.723396418003802</v>
      </c>
      <c r="K42" s="79">
        <f>IFERROR((MP_DATA[[#This Row],[D, bottom '[m']]]+MP_DATA[[#This Row],[D, top '[m']]])/(2*MP_DATA[[#This Row],[t '[mm']]]/1000),"")</f>
        <v>100</v>
      </c>
      <c r="L42" s="79" t="str">
        <f>IFERROR((MP_DATA[[#This Row],[D, bottom '[m']]]+#REF!)/(2*#REF!/1000),"")</f>
        <v/>
      </c>
      <c r="P42" s="77">
        <v>12</v>
      </c>
      <c r="Q42" s="80">
        <v>-36.799999999999997</v>
      </c>
      <c r="R42" s="80">
        <v>-40.200000000000003</v>
      </c>
      <c r="S42" s="77">
        <v>9.8000000000000007</v>
      </c>
      <c r="T42" s="77">
        <v>9.8000000000000007</v>
      </c>
      <c r="U42" s="77">
        <v>98</v>
      </c>
      <c r="AO42" s="79" t="str">
        <f>IFERROR(TP_DATA[[#This Row],[Bottom '[m']]]-TP_DATA[[#This Row],[D, top '[m']]], "")</f>
        <v/>
      </c>
      <c r="AP42" s="79" t="str">
        <f>IFERROR(-(TP_DATA[[#This Row],[D, bottom '[m']]]-TP_DATA[[#This Row],[D, top '[m']]])/(TP_DATA[[#This Row],[Bottom '[m']]]-TP_DATA[[#This Row],[Top '[m']]]),"")</f>
        <v/>
      </c>
      <c r="AQ42" s="79" t="str">
        <f t="shared" si="1"/>
        <v/>
      </c>
      <c r="AR42" s="79" t="str">
        <f>IFERROR((TP_DATA[[#This Row],[D, bottom '[m']]]+TP_DATA[[#This Row],[D, top '[m']]])/(2*TP_DATA[[#This Row],[t '[mm']]]/1000),"")</f>
        <v/>
      </c>
      <c r="AS42" s="79" t="str">
        <f>IFERROR((TP_DATA[[#This Row],[D, bottom '[m']]]+#REF!)/(2*#REF!/1000),"")</f>
        <v/>
      </c>
      <c r="AX42" s="77"/>
      <c r="AY42" s="77"/>
      <c r="AZ42" s="77"/>
      <c r="BA42" s="77"/>
      <c r="BB42" s="77"/>
      <c r="BC42" s="77"/>
      <c r="BQ42" s="70">
        <v>12</v>
      </c>
      <c r="BR42">
        <v>125.74000000000001</v>
      </c>
      <c r="BS42">
        <v>123.667</v>
      </c>
      <c r="BT42">
        <v>6.2229999999999999</v>
      </c>
      <c r="BU42">
        <v>6.2229999999999999</v>
      </c>
      <c r="BV42">
        <v>23</v>
      </c>
      <c r="BW42" s="79">
        <f>IFERROR(TOWER_DATA[[#This Row],[Top '[m']]]-TOWER_DATA[[#This Row],[Bottom '[m']]], "")</f>
        <v>2.0730000000000075</v>
      </c>
      <c r="BX42" s="79">
        <f>IFERROR(-(TOWER_DATA[[#This Row],[D, bottom '[m']]]-TOWER_DATA[[#This Row],[D, top '[m']]])/(TOWER_DATA[[#This Row],[Bottom '[m']]]-TOWER_DATA[[#This Row],[Top '[m']]]),"")</f>
        <v>0</v>
      </c>
      <c r="BY42" s="79">
        <f t="shared" si="2"/>
        <v>7.2901817716719197</v>
      </c>
      <c r="BZ42" s="79">
        <f>IFERROR((TOWER_DATA[[#This Row],[D, bottom '[m']]]+TOWER_DATA[[#This Row],[D, top '[m']]])/(2*TOWER_DATA[[#This Row],[t '[mm']]]/1000),"")</f>
        <v>270.56521739130437</v>
      </c>
      <c r="CA42" s="79" t="str">
        <f>IFERROR((TOWER_DATA[[#This Row],[D, bottom '[m']]]+#REF!)/(2*#REF!/1000),"")</f>
        <v/>
      </c>
      <c r="CB42" s="102">
        <v>123.66699999999999</v>
      </c>
      <c r="CC42" s="102">
        <v>147</v>
      </c>
      <c r="CD42" s="102" t="s">
        <v>267</v>
      </c>
      <c r="CF42" s="77">
        <v>12</v>
      </c>
      <c r="CG42" s="77">
        <v>125.74000000000001</v>
      </c>
      <c r="CH42" s="77">
        <v>123.667</v>
      </c>
      <c r="CI42" s="77">
        <v>6.2229999999999999</v>
      </c>
      <c r="CJ42" s="77">
        <v>6.2229999999999999</v>
      </c>
      <c r="CK42" s="77">
        <v>23</v>
      </c>
      <c r="CM42">
        <v>123.66699999999999</v>
      </c>
      <c r="CN42">
        <v>147</v>
      </c>
      <c r="CO42" t="s">
        <v>267</v>
      </c>
      <c r="DF42" s="79"/>
      <c r="DG42" s="79"/>
    </row>
    <row r="43" spans="2:121" x14ac:dyDescent="0.25">
      <c r="B43" s="118">
        <v>13</v>
      </c>
      <c r="C43" s="119">
        <v>-40.200000000000003</v>
      </c>
      <c r="D43" s="118">
        <v>-43.8</v>
      </c>
      <c r="E43" s="119">
        <v>9.8000000000000007</v>
      </c>
      <c r="F43" s="118">
        <v>9.8000000000000007</v>
      </c>
      <c r="G43" s="119">
        <v>88</v>
      </c>
      <c r="H43" s="79">
        <f>IFERROR(MP_DATA[[#This Row],[Bottom '[m']]]-MP_DATA[[#This Row],[D, top '[m']]], "")</f>
        <v>-53.599999999999994</v>
      </c>
      <c r="I43">
        <f>IFERROR(-(MP_DATA[[#This Row],[D, bottom '[m']]]-MP_DATA[[#This Row],[D, top '[m']]])/(MP_DATA[[#This Row],[Bottom '[m']]]-MP_DATA[[#This Row],[Top '[m']]]),"")</f>
        <v>0</v>
      </c>
      <c r="J43" s="79">
        <f t="shared" si="0"/>
        <v>75.87756336934649</v>
      </c>
      <c r="K43" s="79">
        <f>IFERROR((MP_DATA[[#This Row],[D, bottom '[m']]]+MP_DATA[[#This Row],[D, top '[m']]])/(2*MP_DATA[[#This Row],[t '[mm']]]/1000),"")</f>
        <v>111.36363636363637</v>
      </c>
      <c r="L43" s="79" t="str">
        <f>IFERROR((MP_DATA[[#This Row],[D, bottom '[m']]]+#REF!)/(2*#REF!/1000),"")</f>
        <v/>
      </c>
      <c r="P43" s="77">
        <v>13</v>
      </c>
      <c r="Q43" s="80">
        <v>-40.200000000000003</v>
      </c>
      <c r="R43" s="80">
        <v>-43.8</v>
      </c>
      <c r="S43" s="77">
        <v>9.8000000000000007</v>
      </c>
      <c r="T43" s="77">
        <v>9.8000000000000007</v>
      </c>
      <c r="U43" s="77">
        <v>88</v>
      </c>
      <c r="AO43" s="79" t="str">
        <f>IFERROR(TP_DATA[[#This Row],[Bottom '[m']]]-TP_DATA[[#This Row],[D, top '[m']]], "")</f>
        <v/>
      </c>
      <c r="AP43" s="79" t="str">
        <f>IFERROR(-(TP_DATA[[#This Row],[D, bottom '[m']]]-TP_DATA[[#This Row],[D, top '[m']]])/(TP_DATA[[#This Row],[Bottom '[m']]]-TP_DATA[[#This Row],[Top '[m']]]),"")</f>
        <v/>
      </c>
      <c r="AQ43" s="79" t="str">
        <f t="shared" si="1"/>
        <v/>
      </c>
      <c r="AR43" s="79" t="str">
        <f>IFERROR((TP_DATA[[#This Row],[D, bottom '[m']]]+TP_DATA[[#This Row],[D, top '[m']]])/(2*TP_DATA[[#This Row],[t '[mm']]]/1000),"")</f>
        <v/>
      </c>
      <c r="AS43" s="79" t="str">
        <f>IFERROR((TP_DATA[[#This Row],[D, bottom '[m']]]+#REF!)/(2*#REF!/1000),"")</f>
        <v/>
      </c>
      <c r="AX43" s="77"/>
      <c r="AY43" s="77"/>
      <c r="AZ43" s="77"/>
      <c r="BA43" s="77"/>
      <c r="BB43" s="77"/>
      <c r="BC43" s="77"/>
      <c r="BQ43" s="70">
        <v>13</v>
      </c>
      <c r="BR43">
        <v>123.667</v>
      </c>
      <c r="BS43">
        <v>122.81</v>
      </c>
      <c r="BT43">
        <v>6.2229999999999999</v>
      </c>
      <c r="BU43">
        <v>6.2229999999999999</v>
      </c>
      <c r="BV43">
        <v>23</v>
      </c>
      <c r="BW43" s="79">
        <f>IFERROR(TOWER_DATA[[#This Row],[Top '[m']]]-TOWER_DATA[[#This Row],[Bottom '[m']]], "")</f>
        <v>0.85699999999999932</v>
      </c>
      <c r="BX43" s="79">
        <f>IFERROR(-(TOWER_DATA[[#This Row],[D, bottom '[m']]]-TOWER_DATA[[#This Row],[D, top '[m']]])/(TOWER_DATA[[#This Row],[Bottom '[m']]]-TOWER_DATA[[#This Row],[Top '[m']]]),"")</f>
        <v>0</v>
      </c>
      <c r="BY43" s="79">
        <f t="shared" si="2"/>
        <v>3.0138378091282236</v>
      </c>
      <c r="BZ43" s="79">
        <f>IFERROR((TOWER_DATA[[#This Row],[D, bottom '[m']]]+TOWER_DATA[[#This Row],[D, top '[m']]])/(2*TOWER_DATA[[#This Row],[t '[mm']]]/1000),"")</f>
        <v>270.56521739130437</v>
      </c>
      <c r="CA43" s="79" t="str">
        <f>IFERROR((TOWER_DATA[[#This Row],[D, bottom '[m']]]+#REF!)/(2*#REF!/1000),"")</f>
        <v/>
      </c>
      <c r="CB43" s="102">
        <v>120.89999999999999</v>
      </c>
      <c r="CC43" s="102">
        <v>147</v>
      </c>
      <c r="CD43" s="102" t="s">
        <v>267</v>
      </c>
      <c r="CF43" s="77">
        <v>13</v>
      </c>
      <c r="CG43" s="77">
        <v>123.667</v>
      </c>
      <c r="CH43" s="77">
        <v>122.81</v>
      </c>
      <c r="CI43" s="77">
        <v>6.2229999999999999</v>
      </c>
      <c r="CJ43" s="77">
        <v>6.2229999999999999</v>
      </c>
      <c r="CK43" s="77">
        <v>23</v>
      </c>
      <c r="CM43">
        <v>120.89999999999999</v>
      </c>
      <c r="CN43">
        <v>147</v>
      </c>
      <c r="CO43" t="s">
        <v>267</v>
      </c>
      <c r="DF43" s="79"/>
      <c r="DG43" s="79"/>
    </row>
    <row r="44" spans="2:121" x14ac:dyDescent="0.25">
      <c r="B44" s="118">
        <v>14</v>
      </c>
      <c r="C44" s="118">
        <v>-43.8</v>
      </c>
      <c r="D44" s="118">
        <v>-47.8</v>
      </c>
      <c r="E44" s="118">
        <v>9.8000000000000007</v>
      </c>
      <c r="F44" s="118">
        <v>9.8000000000000007</v>
      </c>
      <c r="G44" s="118">
        <v>88</v>
      </c>
      <c r="H44" s="79">
        <f>IFERROR(MP_DATA[[#This Row],[Bottom '[m']]]-MP_DATA[[#This Row],[D, top '[m']]], "")</f>
        <v>-57.599999999999994</v>
      </c>
      <c r="I44" s="79">
        <f>IFERROR(-(MP_DATA[[#This Row],[D, bottom '[m']]]-MP_DATA[[#This Row],[D, top '[m']]])/(MP_DATA[[#This Row],[Bottom '[m']]]-MP_DATA[[#This Row],[Top '[m']]]),"")</f>
        <v>0</v>
      </c>
      <c r="J44" s="79">
        <f t="shared" si="0"/>
        <v>84.308403743718472</v>
      </c>
      <c r="K44" s="79">
        <f>IFERROR((MP_DATA[[#This Row],[D, bottom '[m']]]+MP_DATA[[#This Row],[D, top '[m']]])/(2*MP_DATA[[#This Row],[t '[mm']]]/1000),"")</f>
        <v>111.36363636363637</v>
      </c>
      <c r="L44" s="79" t="str">
        <f>IFERROR((MP_DATA[[#This Row],[D, bottom '[m']]]+#REF!)/(2*#REF!/1000),"")</f>
        <v/>
      </c>
      <c r="P44" s="77">
        <v>14</v>
      </c>
      <c r="Q44" s="80">
        <v>-43.8</v>
      </c>
      <c r="R44" s="80">
        <v>-47.8</v>
      </c>
      <c r="S44" s="77">
        <v>9.8000000000000007</v>
      </c>
      <c r="T44" s="77">
        <v>9.8000000000000007</v>
      </c>
      <c r="U44" s="77">
        <v>88</v>
      </c>
      <c r="AO44" s="79" t="str">
        <f>IFERROR(TP_DATA[[#This Row],[Bottom '[m']]]-TP_DATA[[#This Row],[D, top '[m']]], "")</f>
        <v/>
      </c>
      <c r="AP44" s="79" t="str">
        <f>IFERROR(-(TP_DATA[[#This Row],[D, bottom '[m']]]-TP_DATA[[#This Row],[D, top '[m']]])/(TP_DATA[[#This Row],[Bottom '[m']]]-TP_DATA[[#This Row],[Top '[m']]]),"")</f>
        <v/>
      </c>
      <c r="AQ44" s="79" t="str">
        <f t="shared" si="1"/>
        <v/>
      </c>
      <c r="AR44" s="79" t="str">
        <f>IFERROR((TP_DATA[[#This Row],[D, bottom '[m']]]+TP_DATA[[#This Row],[D, top '[m']]])/(2*TP_DATA[[#This Row],[t '[mm']]]/1000),"")</f>
        <v/>
      </c>
      <c r="AS44" s="79" t="str">
        <f>IFERROR((TP_DATA[[#This Row],[D, bottom '[m']]]+#REF!)/(2*#REF!/1000),"")</f>
        <v/>
      </c>
      <c r="AX44" s="77"/>
      <c r="AY44" s="77"/>
      <c r="AZ44" s="77"/>
      <c r="BA44" s="77"/>
      <c r="BB44" s="77"/>
      <c r="BC44" s="77"/>
      <c r="BQ44" s="70">
        <v>14</v>
      </c>
      <c r="BR44">
        <v>122.81</v>
      </c>
      <c r="BS44">
        <v>120.9</v>
      </c>
      <c r="BT44">
        <v>6.2229999999999999</v>
      </c>
      <c r="BU44">
        <v>6.2229999999999999</v>
      </c>
      <c r="BV44">
        <v>23</v>
      </c>
      <c r="BW44" s="79">
        <f>IFERROR(TOWER_DATA[[#This Row],[Top '[m']]]-TOWER_DATA[[#This Row],[Bottom '[m']]], "")</f>
        <v>1.9099999999999966</v>
      </c>
      <c r="BX44" s="79">
        <f>IFERROR(-(TOWER_DATA[[#This Row],[D, bottom '[m']]]-TOWER_DATA[[#This Row],[D, top '[m']]])/(TOWER_DATA[[#This Row],[Bottom '[m']]]-TOWER_DATA[[#This Row],[Top '[m']]]),"")</f>
        <v>0</v>
      </c>
      <c r="BY44" s="79">
        <f t="shared" si="2"/>
        <v>6.7169547437980182</v>
      </c>
      <c r="BZ44" s="79">
        <f>IFERROR((TOWER_DATA[[#This Row],[D, bottom '[m']]]+TOWER_DATA[[#This Row],[D, top '[m']]])/(2*TOWER_DATA[[#This Row],[t '[mm']]]/1000),"")</f>
        <v>270.56521739130437</v>
      </c>
      <c r="CA44" s="79" t="str">
        <f>IFERROR((TOWER_DATA[[#This Row],[D, bottom '[m']]]+#REF!)/(2*#REF!/1000),"")</f>
        <v/>
      </c>
      <c r="CB44" s="102">
        <v>119.88</v>
      </c>
      <c r="CC44" s="102">
        <v>1060</v>
      </c>
      <c r="CD44" s="102" t="s">
        <v>267</v>
      </c>
      <c r="CF44" s="77">
        <v>14</v>
      </c>
      <c r="CG44" s="77">
        <v>122.81</v>
      </c>
      <c r="CH44" s="77">
        <v>120.9</v>
      </c>
      <c r="CI44" s="77">
        <v>6.2229999999999999</v>
      </c>
      <c r="CJ44" s="77">
        <v>6.2229999999999999</v>
      </c>
      <c r="CK44" s="77">
        <v>23</v>
      </c>
      <c r="CM44">
        <v>119.88</v>
      </c>
      <c r="CN44">
        <v>1060</v>
      </c>
      <c r="CO44" t="s">
        <v>267</v>
      </c>
      <c r="DF44" s="79"/>
      <c r="DG44" s="79"/>
    </row>
    <row r="45" spans="2:121" x14ac:dyDescent="0.25">
      <c r="B45" s="118">
        <v>15</v>
      </c>
      <c r="C45" s="118">
        <v>-47.8</v>
      </c>
      <c r="D45" s="118">
        <v>-51.8</v>
      </c>
      <c r="E45" s="118">
        <v>9.8000000000000007</v>
      </c>
      <c r="F45" s="118">
        <v>9.8000000000000007</v>
      </c>
      <c r="G45" s="118">
        <v>88</v>
      </c>
      <c r="H45" s="79">
        <f>IFERROR(MP_DATA[[#This Row],[Bottom '[m']]]-MP_DATA[[#This Row],[D, top '[m']]], "")</f>
        <v>-61.599999999999994</v>
      </c>
      <c r="I45" s="79">
        <f>IFERROR(-(MP_DATA[[#This Row],[D, bottom '[m']]]-MP_DATA[[#This Row],[D, top '[m']]])/(MP_DATA[[#This Row],[Bottom '[m']]]-MP_DATA[[#This Row],[Top '[m']]]),"")</f>
        <v>0</v>
      </c>
      <c r="J45" s="79">
        <f t="shared" si="0"/>
        <v>84.308403743718472</v>
      </c>
      <c r="K45" s="79">
        <f>IFERROR((MP_DATA[[#This Row],[D, bottom '[m']]]+MP_DATA[[#This Row],[D, top '[m']]])/(2*MP_DATA[[#This Row],[t '[mm']]]/1000),"")</f>
        <v>111.36363636363637</v>
      </c>
      <c r="L45" s="79" t="str">
        <f>IFERROR((MP_DATA[[#This Row],[D, bottom '[m']]]+#REF!)/(2*#REF!/1000),"")</f>
        <v/>
      </c>
      <c r="P45" s="77">
        <v>15</v>
      </c>
      <c r="Q45" s="80">
        <v>-47.8</v>
      </c>
      <c r="R45" s="80">
        <v>-51.8</v>
      </c>
      <c r="S45" s="77">
        <v>9.8000000000000007</v>
      </c>
      <c r="T45" s="77">
        <v>9.8000000000000007</v>
      </c>
      <c r="U45" s="77">
        <v>88</v>
      </c>
      <c r="AO45" s="79" t="str">
        <f>IFERROR(TP_DATA[[#This Row],[Bottom '[m']]]-TP_DATA[[#This Row],[D, top '[m']]], "")</f>
        <v/>
      </c>
      <c r="AP45" s="79" t="str">
        <f>IFERROR(-(TP_DATA[[#This Row],[D, bottom '[m']]]-TP_DATA[[#This Row],[D, top '[m']]])/(TP_DATA[[#This Row],[Bottom '[m']]]-TP_DATA[[#This Row],[Top '[m']]]),"")</f>
        <v/>
      </c>
      <c r="AQ45" s="79" t="str">
        <f t="shared" si="1"/>
        <v/>
      </c>
      <c r="AR45" s="79" t="str">
        <f>IFERROR((TP_DATA[[#This Row],[D, bottom '[m']]]+TP_DATA[[#This Row],[D, top '[m']]])/(2*TP_DATA[[#This Row],[t '[mm']]]/1000),"")</f>
        <v/>
      </c>
      <c r="AS45" s="79" t="str">
        <f>IFERROR((TP_DATA[[#This Row],[D, bottom '[m']]]+#REF!)/(2*#REF!/1000),"")</f>
        <v/>
      </c>
      <c r="AX45" s="77"/>
      <c r="AY45" s="77"/>
      <c r="AZ45" s="77"/>
      <c r="BA45" s="77"/>
      <c r="BB45" s="77"/>
      <c r="BC45" s="77"/>
      <c r="BQ45" s="70">
        <v>15</v>
      </c>
      <c r="BR45">
        <v>120.9</v>
      </c>
      <c r="BS45">
        <v>119.88000000000001</v>
      </c>
      <c r="BT45">
        <v>6.2229999999999999</v>
      </c>
      <c r="BU45">
        <v>6.2229999999999999</v>
      </c>
      <c r="BV45">
        <v>23</v>
      </c>
      <c r="BW45" s="79">
        <f>IFERROR(TOWER_DATA[[#This Row],[Top '[m']]]-TOWER_DATA[[#This Row],[Bottom '[m']]], "")</f>
        <v>1.019999999999996</v>
      </c>
      <c r="BX45" s="79">
        <f>IFERROR(-(TOWER_DATA[[#This Row],[D, bottom '[m']]]-TOWER_DATA[[#This Row],[D, top '[m']]])/(TOWER_DATA[[#This Row],[Bottom '[m']]]-TOWER_DATA[[#This Row],[Top '[m']]]),"")</f>
        <v>0</v>
      </c>
      <c r="BY45" s="79">
        <f t="shared" si="2"/>
        <v>3.587064837002075</v>
      </c>
      <c r="BZ45" s="79">
        <f>IFERROR((TOWER_DATA[[#This Row],[D, bottom '[m']]]+TOWER_DATA[[#This Row],[D, top '[m']]])/(2*TOWER_DATA[[#This Row],[t '[mm']]]/1000),"")</f>
        <v>270.56521739130437</v>
      </c>
      <c r="CA45" s="79" t="str">
        <f>IFERROR((TOWER_DATA[[#This Row],[D, bottom '[m']]]+#REF!)/(2*#REF!/1000),"")</f>
        <v/>
      </c>
      <c r="CB45" s="102">
        <v>116.94999999999999</v>
      </c>
      <c r="CC45" s="102">
        <v>147</v>
      </c>
      <c r="CD45" s="102" t="s">
        <v>267</v>
      </c>
      <c r="CF45" s="77">
        <v>15</v>
      </c>
      <c r="CG45" s="77">
        <v>120.9</v>
      </c>
      <c r="CH45" s="77">
        <v>119.88000000000001</v>
      </c>
      <c r="CI45" s="77">
        <v>6.2229999999999999</v>
      </c>
      <c r="CJ45" s="77">
        <v>6.2229999999999999</v>
      </c>
      <c r="CK45" s="77">
        <v>23</v>
      </c>
      <c r="CM45">
        <v>116.94999999999999</v>
      </c>
      <c r="CN45">
        <v>147</v>
      </c>
      <c r="CO45" t="s">
        <v>267</v>
      </c>
      <c r="DF45" s="79"/>
      <c r="DG45" s="79"/>
    </row>
    <row r="46" spans="2:121" x14ac:dyDescent="0.25">
      <c r="B46" s="118">
        <v>16</v>
      </c>
      <c r="C46" s="118">
        <v>-51.8</v>
      </c>
      <c r="D46" s="118">
        <v>-55.8</v>
      </c>
      <c r="E46" s="118">
        <v>9.8000000000000007</v>
      </c>
      <c r="F46" s="118">
        <v>9.8000000000000007</v>
      </c>
      <c r="G46" s="118">
        <v>81</v>
      </c>
      <c r="H46" s="79">
        <f>IFERROR(MP_DATA[[#This Row],[Bottom '[m']]]-MP_DATA[[#This Row],[D, top '[m']]], "")</f>
        <v>-65.599999999999994</v>
      </c>
      <c r="I46" s="79">
        <f>IFERROR(-(MP_DATA[[#This Row],[D, bottom '[m']]]-MP_DATA[[#This Row],[D, top '[m']]])/(MP_DATA[[#This Row],[Bottom '[m']]]-MP_DATA[[#This Row],[Top '[m']]]),"")</f>
        <v>0</v>
      </c>
      <c r="J46" s="79">
        <f t="shared" si="0"/>
        <v>77.657985733209031</v>
      </c>
      <c r="K46" s="79">
        <f>IFERROR((MP_DATA[[#This Row],[D, bottom '[m']]]+MP_DATA[[#This Row],[D, top '[m']]])/(2*MP_DATA[[#This Row],[t '[mm']]]/1000),"")</f>
        <v>120.98765432098766</v>
      </c>
      <c r="L46" s="79" t="str">
        <f>IFERROR((MP_DATA[[#This Row],[D, bottom '[m']]]+#REF!)/(2*#REF!/1000),"")</f>
        <v/>
      </c>
      <c r="P46" s="77">
        <v>16</v>
      </c>
      <c r="Q46" s="80">
        <v>-51.8</v>
      </c>
      <c r="R46" s="80">
        <v>-55.8</v>
      </c>
      <c r="S46" s="77">
        <v>9.8000000000000007</v>
      </c>
      <c r="T46" s="77">
        <v>9.8000000000000007</v>
      </c>
      <c r="U46" s="77">
        <v>81</v>
      </c>
      <c r="AO46" s="79" t="str">
        <f>IFERROR(TP_DATA[[#This Row],[Bottom '[m']]]-TP_DATA[[#This Row],[D, top '[m']]], "")</f>
        <v/>
      </c>
      <c r="AP46" s="79" t="str">
        <f>IFERROR(-(TP_DATA[[#This Row],[D, bottom '[m']]]-TP_DATA[[#This Row],[D, top '[m']]])/(TP_DATA[[#This Row],[Bottom '[m']]]-TP_DATA[[#This Row],[Top '[m']]]),"")</f>
        <v/>
      </c>
      <c r="AQ46" s="79" t="str">
        <f t="shared" si="1"/>
        <v/>
      </c>
      <c r="AR46" s="79" t="str">
        <f>IFERROR((TP_DATA[[#This Row],[D, bottom '[m']]]+TP_DATA[[#This Row],[D, top '[m']]])/(2*TP_DATA[[#This Row],[t '[mm']]]/1000),"")</f>
        <v/>
      </c>
      <c r="AS46" s="79" t="str">
        <f>IFERROR((TP_DATA[[#This Row],[D, bottom '[m']]]+#REF!)/(2*#REF!/1000),"")</f>
        <v/>
      </c>
      <c r="AX46" s="77"/>
      <c r="AY46" s="77"/>
      <c r="AZ46" s="77"/>
      <c r="BA46" s="77"/>
      <c r="BB46" s="77"/>
      <c r="BC46" s="77"/>
      <c r="BQ46" s="70">
        <v>16</v>
      </c>
      <c r="BR46">
        <v>119.88000000000001</v>
      </c>
      <c r="BS46">
        <v>116.95</v>
      </c>
      <c r="BT46">
        <v>6.2229999999999999</v>
      </c>
      <c r="BU46">
        <v>6.2229999999999999</v>
      </c>
      <c r="BV46">
        <v>23</v>
      </c>
      <c r="BW46" s="79">
        <f>IFERROR(TOWER_DATA[[#This Row],[Top '[m']]]-TOWER_DATA[[#This Row],[Bottom '[m']]], "")</f>
        <v>2.9300000000000068</v>
      </c>
      <c r="BX46" s="79">
        <f>IFERROR(-(TOWER_DATA[[#This Row],[D, bottom '[m']]]-TOWER_DATA[[#This Row],[D, top '[m']]])/(TOWER_DATA[[#This Row],[Bottom '[m']]]-TOWER_DATA[[#This Row],[Top '[m']]]),"")</f>
        <v>0</v>
      </c>
      <c r="BY46" s="79">
        <f t="shared" si="2"/>
        <v>10.304019580800142</v>
      </c>
      <c r="BZ46" s="79">
        <f>IFERROR((TOWER_DATA[[#This Row],[D, bottom '[m']]]+TOWER_DATA[[#This Row],[D, top '[m']]])/(2*TOWER_DATA[[#This Row],[t '[mm']]]/1000),"")</f>
        <v>270.56521739130437</v>
      </c>
      <c r="CA46" s="79" t="str">
        <f>IFERROR((TOWER_DATA[[#This Row],[D, bottom '[m']]]+#REF!)/(2*#REF!/1000),"")</f>
        <v/>
      </c>
      <c r="CB46" s="102">
        <v>115.446</v>
      </c>
      <c r="CC46" s="102">
        <v>147</v>
      </c>
      <c r="CD46" s="102" t="s">
        <v>267</v>
      </c>
      <c r="CF46" s="77">
        <v>16</v>
      </c>
      <c r="CG46" s="77">
        <v>119.88000000000001</v>
      </c>
      <c r="CH46" s="77">
        <v>116.95</v>
      </c>
      <c r="CI46" s="77">
        <v>6.2229999999999999</v>
      </c>
      <c r="CJ46" s="77">
        <v>6.2229999999999999</v>
      </c>
      <c r="CK46" s="77">
        <v>23</v>
      </c>
      <c r="CM46">
        <v>115.446</v>
      </c>
      <c r="CN46">
        <v>147</v>
      </c>
      <c r="CO46" t="s">
        <v>267</v>
      </c>
      <c r="DF46" s="79"/>
      <c r="DG46" s="79"/>
    </row>
    <row r="47" spans="2:121" x14ac:dyDescent="0.25">
      <c r="B47" s="118">
        <v>17</v>
      </c>
      <c r="C47" s="118">
        <v>-55.8</v>
      </c>
      <c r="D47" s="118">
        <v>-59.8</v>
      </c>
      <c r="E47" s="118">
        <v>9.8000000000000007</v>
      </c>
      <c r="F47" s="118">
        <v>9.8000000000000007</v>
      </c>
      <c r="G47" s="118">
        <v>81</v>
      </c>
      <c r="H47" s="79">
        <f>IFERROR(MP_DATA[[#This Row],[Bottom '[m']]]-MP_DATA[[#This Row],[D, top '[m']]], "")</f>
        <v>-69.599999999999994</v>
      </c>
      <c r="I47" s="79">
        <f>IFERROR(-(MP_DATA[[#This Row],[D, bottom '[m']]]-MP_DATA[[#This Row],[D, top '[m']]])/(MP_DATA[[#This Row],[Bottom '[m']]]-MP_DATA[[#This Row],[Top '[m']]]),"")</f>
        <v>0</v>
      </c>
      <c r="J47" s="79">
        <f t="shared" si="0"/>
        <v>77.657985733209031</v>
      </c>
      <c r="K47" s="79">
        <f>IFERROR((MP_DATA[[#This Row],[D, bottom '[m']]]+MP_DATA[[#This Row],[D, top '[m']]])/(2*MP_DATA[[#This Row],[t '[mm']]]/1000),"")</f>
        <v>120.98765432098766</v>
      </c>
      <c r="L47" s="79" t="str">
        <f>IFERROR((MP_DATA[[#This Row],[D, bottom '[m']]]+#REF!)/(2*#REF!/1000),"")</f>
        <v/>
      </c>
      <c r="P47" s="77">
        <v>17</v>
      </c>
      <c r="Q47" s="80">
        <v>-55.8</v>
      </c>
      <c r="R47" s="80">
        <v>-59.8</v>
      </c>
      <c r="S47" s="77">
        <v>9.8000000000000007</v>
      </c>
      <c r="T47" s="77">
        <v>9.8000000000000007</v>
      </c>
      <c r="U47" s="77">
        <v>81</v>
      </c>
      <c r="AO47" s="79" t="str">
        <f>IFERROR(TP_DATA[[#This Row],[Bottom '[m']]]-TP_DATA[[#This Row],[D, top '[m']]], "")</f>
        <v/>
      </c>
      <c r="AP47" s="79" t="str">
        <f>IFERROR(-(TP_DATA[[#This Row],[D, bottom '[m']]]-TP_DATA[[#This Row],[D, top '[m']]])/(TP_DATA[[#This Row],[Bottom '[m']]]-TP_DATA[[#This Row],[Top '[m']]]),"")</f>
        <v/>
      </c>
      <c r="AQ47" s="79" t="str">
        <f t="shared" si="1"/>
        <v/>
      </c>
      <c r="AR47" s="79" t="str">
        <f>IFERROR((TP_DATA[[#This Row],[D, bottom '[m']]]+TP_DATA[[#This Row],[D, top '[m']]])/(2*TP_DATA[[#This Row],[t '[mm']]]/1000),"")</f>
        <v/>
      </c>
      <c r="AS47" s="79" t="str">
        <f>IFERROR((TP_DATA[[#This Row],[D, bottom '[m']]]+#REF!)/(2*#REF!/1000),"")</f>
        <v/>
      </c>
      <c r="AX47" s="77"/>
      <c r="AY47" s="77"/>
      <c r="AZ47" s="77"/>
      <c r="BA47" s="77"/>
      <c r="BB47" s="77"/>
      <c r="BC47" s="77"/>
      <c r="BQ47" s="70">
        <v>17</v>
      </c>
      <c r="BR47">
        <v>116.95</v>
      </c>
      <c r="BS47">
        <v>115.44600000000001</v>
      </c>
      <c r="BT47">
        <v>6.2229999999999999</v>
      </c>
      <c r="BU47">
        <v>6.2229999999999999</v>
      </c>
      <c r="BV47">
        <v>23</v>
      </c>
      <c r="BW47" s="79">
        <f>IFERROR(TOWER_DATA[[#This Row],[Top '[m']]]-TOWER_DATA[[#This Row],[Bottom '[m']]], "")</f>
        <v>1.5039999999999907</v>
      </c>
      <c r="BX47" s="79">
        <f>IFERROR(-(TOWER_DATA[[#This Row],[D, bottom '[m']]]-TOWER_DATA[[#This Row],[D, top '[m']]])/(TOWER_DATA[[#This Row],[Bottom '[m']]]-TOWER_DATA[[#This Row],[Top '[m']]]),"")</f>
        <v>0</v>
      </c>
      <c r="BY47" s="79">
        <f t="shared" si="2"/>
        <v>5.2891622694618716</v>
      </c>
      <c r="BZ47" s="79">
        <f>IFERROR((TOWER_DATA[[#This Row],[D, bottom '[m']]]+TOWER_DATA[[#This Row],[D, top '[m']]])/(2*TOWER_DATA[[#This Row],[t '[mm']]]/1000),"")</f>
        <v>270.56521739130437</v>
      </c>
      <c r="CA47" s="79" t="str">
        <f>IFERROR((TOWER_DATA[[#This Row],[D, bottom '[m']]]+#REF!)/(2*#REF!/1000),"")</f>
        <v/>
      </c>
      <c r="CB47" s="102">
        <v>111.08999999999999</v>
      </c>
      <c r="CC47" s="102">
        <v>147</v>
      </c>
      <c r="CD47" s="102" t="s">
        <v>267</v>
      </c>
      <c r="CF47" s="77">
        <v>17</v>
      </c>
      <c r="CG47" s="77">
        <v>116.95</v>
      </c>
      <c r="CH47" s="77">
        <v>115.44600000000001</v>
      </c>
      <c r="CI47" s="77">
        <v>6.2229999999999999</v>
      </c>
      <c r="CJ47" s="77">
        <v>6.2229999999999999</v>
      </c>
      <c r="CK47" s="77">
        <v>23</v>
      </c>
      <c r="CM47">
        <v>111.08999999999999</v>
      </c>
      <c r="CN47">
        <v>147</v>
      </c>
      <c r="CO47" t="s">
        <v>267</v>
      </c>
      <c r="DF47" s="79"/>
      <c r="DG47" s="79"/>
    </row>
    <row r="48" spans="2:121" x14ac:dyDescent="0.25">
      <c r="B48" s="118">
        <v>18</v>
      </c>
      <c r="C48" s="118">
        <v>-59.8</v>
      </c>
      <c r="D48" s="118">
        <v>-63.8</v>
      </c>
      <c r="E48" s="118">
        <v>9.8000000000000007</v>
      </c>
      <c r="F48" s="118">
        <v>9.8000000000000007</v>
      </c>
      <c r="G48" s="118">
        <v>81</v>
      </c>
      <c r="H48" s="79">
        <f>IFERROR(MP_DATA[[#This Row],[Bottom '[m']]]-MP_DATA[[#This Row],[D, top '[m']]], "")</f>
        <v>-73.599999999999994</v>
      </c>
      <c r="I48" s="79">
        <f>IFERROR(-(MP_DATA[[#This Row],[D, bottom '[m']]]-MP_DATA[[#This Row],[D, top '[m']]])/(MP_DATA[[#This Row],[Bottom '[m']]]-MP_DATA[[#This Row],[Top '[m']]]),"")</f>
        <v>0</v>
      </c>
      <c r="J48" s="79">
        <f t="shared" si="0"/>
        <v>77.657985733209031</v>
      </c>
      <c r="K48" s="79">
        <f>IFERROR((MP_DATA[[#This Row],[D, bottom '[m']]]+MP_DATA[[#This Row],[D, top '[m']]])/(2*MP_DATA[[#This Row],[t '[mm']]]/1000),"")</f>
        <v>120.98765432098766</v>
      </c>
      <c r="L48" s="79" t="str">
        <f>IFERROR((MP_DATA[[#This Row],[D, bottom '[m']]]+#REF!)/(2*#REF!/1000),"")</f>
        <v/>
      </c>
      <c r="P48" s="77">
        <v>18</v>
      </c>
      <c r="Q48" s="80">
        <v>-59.8</v>
      </c>
      <c r="R48" s="80">
        <v>-63.8</v>
      </c>
      <c r="S48" s="77">
        <v>9.8000000000000007</v>
      </c>
      <c r="T48" s="77">
        <v>9.8000000000000007</v>
      </c>
      <c r="U48" s="77">
        <v>81</v>
      </c>
      <c r="AO48" s="79" t="str">
        <f>IFERROR(TP_DATA[[#This Row],[Bottom '[m']]]-TP_DATA[[#This Row],[D, top '[m']]], "")</f>
        <v/>
      </c>
      <c r="AP48" s="79" t="str">
        <f>IFERROR(-(TP_DATA[[#This Row],[D, bottom '[m']]]-TP_DATA[[#This Row],[D, top '[m']]])/(TP_DATA[[#This Row],[Bottom '[m']]]-TP_DATA[[#This Row],[Top '[m']]]),"")</f>
        <v/>
      </c>
      <c r="AQ48" s="79" t="str">
        <f t="shared" si="1"/>
        <v/>
      </c>
      <c r="AR48" s="79" t="str">
        <f>IFERROR((TP_DATA[[#This Row],[D, bottom '[m']]]+TP_DATA[[#This Row],[D, top '[m']]])/(2*TP_DATA[[#This Row],[t '[mm']]]/1000),"")</f>
        <v/>
      </c>
      <c r="AS48" s="79" t="str">
        <f>IFERROR((TP_DATA[[#This Row],[D, bottom '[m']]]+#REF!)/(2*#REF!/1000),"")</f>
        <v/>
      </c>
      <c r="AX48" s="77"/>
      <c r="AY48" s="77"/>
      <c r="AZ48" s="77"/>
      <c r="BA48" s="77"/>
      <c r="BB48" s="77"/>
      <c r="BC48" s="77"/>
      <c r="BQ48" s="70">
        <v>18</v>
      </c>
      <c r="BR48">
        <v>115.44600000000001</v>
      </c>
      <c r="BS48">
        <v>114.02000000000001</v>
      </c>
      <c r="BT48">
        <v>6.2229999999999999</v>
      </c>
      <c r="BU48">
        <v>6.2240000000000002</v>
      </c>
      <c r="BV48">
        <v>23</v>
      </c>
      <c r="BW48" s="79">
        <f>IFERROR(TOWER_DATA[[#This Row],[Top '[m']]]-TOWER_DATA[[#This Row],[Bottom '[m']]], "")</f>
        <v>1.4260000000000019</v>
      </c>
      <c r="BX48" s="79">
        <f>IFERROR(-(TOWER_DATA[[#This Row],[D, bottom '[m']]]-TOWER_DATA[[#This Row],[D, top '[m']]])/(TOWER_DATA[[#This Row],[Bottom '[m']]]-TOWER_DATA[[#This Row],[Top '[m']]]),"")</f>
        <v>7.0126227208999476E-4</v>
      </c>
      <c r="BY48" s="79">
        <f t="shared" si="2"/>
        <v>5.0152617353149624</v>
      </c>
      <c r="BZ48" s="79">
        <f>IFERROR((TOWER_DATA[[#This Row],[D, bottom '[m']]]+TOWER_DATA[[#This Row],[D, top '[m']]])/(2*TOWER_DATA[[#This Row],[t '[mm']]]/1000),"")</f>
        <v>270.58695652173913</v>
      </c>
      <c r="CA48" s="79" t="str">
        <f>IFERROR((TOWER_DATA[[#This Row],[D, bottom '[m']]]+#REF!)/(2*#REF!/1000),"")</f>
        <v/>
      </c>
      <c r="CB48" s="102">
        <v>110.89999999999999</v>
      </c>
      <c r="CC48" s="102">
        <v>147</v>
      </c>
      <c r="CD48" s="102" t="s">
        <v>267</v>
      </c>
      <c r="CF48" s="77">
        <v>18</v>
      </c>
      <c r="CG48" s="77">
        <v>115.44600000000001</v>
      </c>
      <c r="CH48" s="77">
        <v>114.02000000000001</v>
      </c>
      <c r="CI48" s="77">
        <v>6.2229999999999999</v>
      </c>
      <c r="CJ48" s="77">
        <v>6.2240000000000002</v>
      </c>
      <c r="CK48" s="77">
        <v>23</v>
      </c>
      <c r="CM48">
        <v>110.89999999999999</v>
      </c>
      <c r="CN48">
        <v>147</v>
      </c>
      <c r="CO48" t="s">
        <v>267</v>
      </c>
      <c r="DF48" s="79"/>
      <c r="DG48" s="79"/>
    </row>
    <row r="49" spans="2:111" x14ac:dyDescent="0.25">
      <c r="B49" s="118">
        <v>19</v>
      </c>
      <c r="C49" s="118">
        <v>-63.8</v>
      </c>
      <c r="D49" s="118">
        <v>-67.599999999999994</v>
      </c>
      <c r="E49" s="118">
        <v>9.8000000000000007</v>
      </c>
      <c r="F49" s="118">
        <v>9.8000000000000007</v>
      </c>
      <c r="G49" s="118">
        <v>81</v>
      </c>
      <c r="H49" s="79">
        <f>IFERROR(MP_DATA[[#This Row],[Bottom '[m']]]-MP_DATA[[#This Row],[D, top '[m']]], "")</f>
        <v>-77.399999999999991</v>
      </c>
      <c r="I49" s="79">
        <f>IFERROR(-(MP_DATA[[#This Row],[D, bottom '[m']]]-MP_DATA[[#This Row],[D, top '[m']]])/(MP_DATA[[#This Row],[Bottom '[m']]]-MP_DATA[[#This Row],[Top '[m']]]),"")</f>
        <v>0</v>
      </c>
      <c r="J49" s="79">
        <f t="shared" si="0"/>
        <v>73.775086446548514</v>
      </c>
      <c r="K49" s="79">
        <f>IFERROR((MP_DATA[[#This Row],[D, bottom '[m']]]+MP_DATA[[#This Row],[D, top '[m']]])/(2*MP_DATA[[#This Row],[t '[mm']]]/1000),"")</f>
        <v>120.98765432098766</v>
      </c>
      <c r="L49" s="79" t="str">
        <f>IFERROR((MP_DATA[[#This Row],[D, bottom '[m']]]+#REF!)/(2*#REF!/1000),"")</f>
        <v/>
      </c>
      <c r="P49" s="77">
        <v>19</v>
      </c>
      <c r="Q49" s="80">
        <v>-63.8</v>
      </c>
      <c r="R49" s="80">
        <v>-67.599999999999994</v>
      </c>
      <c r="S49" s="77">
        <v>9.8000000000000007</v>
      </c>
      <c r="T49" s="77">
        <v>9.8000000000000007</v>
      </c>
      <c r="U49" s="77">
        <v>81</v>
      </c>
      <c r="AO49" s="79" t="str">
        <f>IFERROR(TP_DATA[[#This Row],[Bottom '[m']]]-TP_DATA[[#This Row],[D, top '[m']]], "")</f>
        <v/>
      </c>
      <c r="AP49" s="79" t="str">
        <f>IFERROR(-(TP_DATA[[#This Row],[D, bottom '[m']]]-TP_DATA[[#This Row],[D, top '[m']]])/(TP_DATA[[#This Row],[Bottom '[m']]]-TP_DATA[[#This Row],[Top '[m']]]),"")</f>
        <v/>
      </c>
      <c r="AQ49" s="79" t="str">
        <f t="shared" si="1"/>
        <v/>
      </c>
      <c r="AR49" s="79" t="str">
        <f>IFERROR((TP_DATA[[#This Row],[D, bottom '[m']]]+TP_DATA[[#This Row],[D, top '[m']]])/(2*TP_DATA[[#This Row],[t '[mm']]]/1000),"")</f>
        <v/>
      </c>
      <c r="AS49" s="79" t="str">
        <f>IFERROR((TP_DATA[[#This Row],[D, bottom '[m']]]+#REF!)/(2*#REF!/1000),"")</f>
        <v/>
      </c>
      <c r="AX49" s="77"/>
      <c r="AY49" s="77"/>
      <c r="AZ49" s="77"/>
      <c r="BA49" s="77"/>
      <c r="BB49" s="77"/>
      <c r="BC49" s="77"/>
      <c r="BQ49" s="70">
        <v>19</v>
      </c>
      <c r="BR49">
        <v>114.02000000000001</v>
      </c>
      <c r="BS49">
        <v>111.09</v>
      </c>
      <c r="BT49">
        <v>6.2240000000000002</v>
      </c>
      <c r="BU49">
        <v>6.2249999999999996</v>
      </c>
      <c r="BV49">
        <v>24</v>
      </c>
      <c r="BW49" s="79">
        <f>IFERROR(TOWER_DATA[[#This Row],[Top '[m']]]-TOWER_DATA[[#This Row],[Bottom '[m']]], "")</f>
        <v>2.9300000000000068</v>
      </c>
      <c r="BX49" s="79">
        <f>IFERROR(-(TOWER_DATA[[#This Row],[D, bottom '[m']]]-TOWER_DATA[[#This Row],[D, top '[m']]])/(TOWER_DATA[[#This Row],[Bottom '[m']]]-TOWER_DATA[[#This Row],[Top '[m']]]),"")</f>
        <v>3.412969283274551E-4</v>
      </c>
      <c r="BY49" s="79">
        <f t="shared" si="2"/>
        <v>10.752887530560983</v>
      </c>
      <c r="BZ49" s="79">
        <f>IFERROR((TOWER_DATA[[#This Row],[D, bottom '[m']]]+TOWER_DATA[[#This Row],[D, top '[m']]])/(2*TOWER_DATA[[#This Row],[t '[mm']]]/1000),"")</f>
        <v>259.35416666666669</v>
      </c>
      <c r="CA49" s="79" t="str">
        <f>IFERROR((TOWER_DATA[[#This Row],[D, bottom '[m']]]+#REF!)/(2*#REF!/1000),"")</f>
        <v/>
      </c>
      <c r="CB49" s="102">
        <v>107.22399999999999</v>
      </c>
      <c r="CC49" s="102">
        <v>147</v>
      </c>
      <c r="CD49" s="102" t="s">
        <v>267</v>
      </c>
      <c r="CF49" s="77">
        <v>19</v>
      </c>
      <c r="CG49" s="77">
        <v>114.02000000000001</v>
      </c>
      <c r="CH49" s="77">
        <v>111.09</v>
      </c>
      <c r="CI49" s="77">
        <v>6.2240000000000002</v>
      </c>
      <c r="CJ49" s="77">
        <v>6.2249999999999996</v>
      </c>
      <c r="CK49" s="77">
        <v>24</v>
      </c>
      <c r="CM49">
        <v>107.22399999999999</v>
      </c>
      <c r="CN49">
        <v>147</v>
      </c>
      <c r="CO49" t="s">
        <v>267</v>
      </c>
      <c r="DF49" s="79"/>
      <c r="DG49" s="79"/>
    </row>
    <row r="50" spans="2:111" x14ac:dyDescent="0.25">
      <c r="B50" s="118">
        <v>20</v>
      </c>
      <c r="C50" s="118">
        <v>-67.599999999999994</v>
      </c>
      <c r="D50" s="118">
        <v>-70.7</v>
      </c>
      <c r="E50" s="118">
        <v>9.8000000000000007</v>
      </c>
      <c r="F50" s="118">
        <v>9.8000000000000007</v>
      </c>
      <c r="G50" s="118">
        <v>81</v>
      </c>
      <c r="H50" s="79">
        <f>IFERROR(MP_DATA[[#This Row],[Bottom '[m']]]-MP_DATA[[#This Row],[D, top '[m']]], "")</f>
        <v>-80.5</v>
      </c>
      <c r="I50" s="79">
        <f>IFERROR(-(MP_DATA[[#This Row],[D, bottom '[m']]]-MP_DATA[[#This Row],[D, top '[m']]])/(MP_DATA[[#This Row],[Bottom '[m']]]-MP_DATA[[#This Row],[Top '[m']]]),"")</f>
        <v>0</v>
      </c>
      <c r="J50" s="79">
        <f t="shared" si="0"/>
        <v>60.184938943237157</v>
      </c>
      <c r="K50" s="79">
        <f>IFERROR((MP_DATA[[#This Row],[D, bottom '[m']]]+MP_DATA[[#This Row],[D, top '[m']]])/(2*MP_DATA[[#This Row],[t '[mm']]]/1000),"")</f>
        <v>120.98765432098766</v>
      </c>
      <c r="L50" s="79" t="str">
        <f>IFERROR((MP_DATA[[#This Row],[D, bottom '[m']]]+#REF!)/(2*#REF!/1000),"")</f>
        <v/>
      </c>
      <c r="P50" s="77">
        <v>20</v>
      </c>
      <c r="Q50" s="80">
        <v>-67.599999999999994</v>
      </c>
      <c r="R50" s="80">
        <v>-70.7</v>
      </c>
      <c r="S50" s="77">
        <v>9.8000000000000007</v>
      </c>
      <c r="T50" s="77">
        <v>9.8000000000000007</v>
      </c>
      <c r="U50" s="77">
        <v>81</v>
      </c>
      <c r="AO50" s="79" t="str">
        <f>IFERROR(TP_DATA[[#This Row],[Bottom '[m']]]-TP_DATA[[#This Row],[D, top '[m']]], "")</f>
        <v/>
      </c>
      <c r="AP50" s="79" t="str">
        <f>IFERROR(-(TP_DATA[[#This Row],[D, bottom '[m']]]-TP_DATA[[#This Row],[D, top '[m']]])/(TP_DATA[[#This Row],[Bottom '[m']]]-TP_DATA[[#This Row],[Top '[m']]]),"")</f>
        <v/>
      </c>
      <c r="AQ50" s="79" t="str">
        <f t="shared" si="1"/>
        <v/>
      </c>
      <c r="AR50" s="79" t="str">
        <f>IFERROR((TP_DATA[[#This Row],[D, bottom '[m']]]+TP_DATA[[#This Row],[D, top '[m']]])/(2*TP_DATA[[#This Row],[t '[mm']]]/1000),"")</f>
        <v/>
      </c>
      <c r="AS50" s="79" t="str">
        <f>IFERROR((TP_DATA[[#This Row],[D, bottom '[m']]]+#REF!)/(2*#REF!/1000),"")</f>
        <v/>
      </c>
      <c r="AX50" s="77"/>
      <c r="AY50" s="77"/>
      <c r="AZ50" s="77"/>
      <c r="BA50" s="77"/>
      <c r="BB50" s="77"/>
      <c r="BC50" s="77"/>
      <c r="BQ50" s="70">
        <v>20</v>
      </c>
      <c r="BR50">
        <v>111.09</v>
      </c>
      <c r="BS50">
        <v>110.9</v>
      </c>
      <c r="BT50">
        <v>6.2249999999999996</v>
      </c>
      <c r="BU50">
        <v>6.2249999999999996</v>
      </c>
      <c r="BV50">
        <v>25</v>
      </c>
      <c r="BW50" s="79">
        <f>IFERROR(TOWER_DATA[[#This Row],[Top '[m']]]-TOWER_DATA[[#This Row],[Bottom '[m']]], "")</f>
        <v>0.18999999999999773</v>
      </c>
      <c r="BX50" s="79">
        <f>IFERROR(-(TOWER_DATA[[#This Row],[D, bottom '[m']]]-TOWER_DATA[[#This Row],[D, top '[m']]])/(TOWER_DATA[[#This Row],[Bottom '[m']]]-TOWER_DATA[[#This Row],[Top '[m']]]),"")</f>
        <v>0</v>
      </c>
      <c r="BY50" s="79">
        <f t="shared" si="2"/>
        <v>0.72628124363851332</v>
      </c>
      <c r="BZ50" s="79">
        <f>IFERROR((TOWER_DATA[[#This Row],[D, bottom '[m']]]+TOWER_DATA[[#This Row],[D, top '[m']]])/(2*TOWER_DATA[[#This Row],[t '[mm']]]/1000),"")</f>
        <v>248.99999999999997</v>
      </c>
      <c r="CA50" s="79" t="str">
        <f>IFERROR((TOWER_DATA[[#This Row],[D, bottom '[m']]]+#REF!)/(2*#REF!/1000),"")</f>
        <v/>
      </c>
      <c r="CB50" s="102">
        <v>102.3</v>
      </c>
      <c r="CC50" s="102">
        <v>147</v>
      </c>
      <c r="CD50" s="102" t="s">
        <v>267</v>
      </c>
      <c r="CF50" s="77">
        <v>20</v>
      </c>
      <c r="CG50" s="77">
        <v>111.09</v>
      </c>
      <c r="CH50" s="77">
        <v>110.9</v>
      </c>
      <c r="CI50" s="77">
        <v>6.2249999999999996</v>
      </c>
      <c r="CJ50" s="77">
        <v>6.2249999999999996</v>
      </c>
      <c r="CK50" s="77">
        <v>25</v>
      </c>
      <c r="CM50">
        <v>102.3</v>
      </c>
      <c r="CN50">
        <v>147</v>
      </c>
      <c r="CO50" t="s">
        <v>267</v>
      </c>
      <c r="DF50" s="79"/>
      <c r="DG50" s="79"/>
    </row>
    <row r="51" spans="2:111" x14ac:dyDescent="0.25">
      <c r="B51" s="118">
        <v>21</v>
      </c>
      <c r="C51" s="118">
        <v>-70.7</v>
      </c>
      <c r="D51" s="118">
        <v>-73.7</v>
      </c>
      <c r="E51" s="118">
        <v>9.8000000000000007</v>
      </c>
      <c r="F51" s="118">
        <v>9.8000000000000007</v>
      </c>
      <c r="G51" s="118">
        <v>87</v>
      </c>
      <c r="H51" s="79">
        <f>IFERROR(MP_DATA[[#This Row],[Bottom '[m']]]-MP_DATA[[#This Row],[D, top '[m']]], "")</f>
        <v>-83.5</v>
      </c>
      <c r="I51" s="79">
        <f>IFERROR(-(MP_DATA[[#This Row],[D, bottom '[m']]]-MP_DATA[[#This Row],[D, top '[m']]])/(MP_DATA[[#This Row],[Bottom '[m']]]-MP_DATA[[#This Row],[Top '[m']]]),"")</f>
        <v>0</v>
      </c>
      <c r="J51" s="79">
        <f t="shared" si="0"/>
        <v>62.519201927990139</v>
      </c>
      <c r="K51" s="79">
        <f>IFERROR((MP_DATA[[#This Row],[D, bottom '[m']]]+MP_DATA[[#This Row],[D, top '[m']]])/(2*MP_DATA[[#This Row],[t '[mm']]]/1000),"")</f>
        <v>112.64367816091955</v>
      </c>
      <c r="L51" s="79" t="str">
        <f>IFERROR((MP_DATA[[#This Row],[D, bottom '[m']]]+#REF!)/(2*#REF!/1000),"")</f>
        <v/>
      </c>
      <c r="P51" s="77">
        <v>21</v>
      </c>
      <c r="Q51" s="80">
        <v>-70.7</v>
      </c>
      <c r="R51" s="80">
        <v>-73.7</v>
      </c>
      <c r="S51" s="77">
        <v>9.8000000000000007</v>
      </c>
      <c r="T51" s="77">
        <v>9.8000000000000007</v>
      </c>
      <c r="U51" s="77">
        <v>87</v>
      </c>
      <c r="AO51" s="79" t="str">
        <f>IFERROR(TP_DATA[[#This Row],[Bottom '[m']]]-TP_DATA[[#This Row],[D, top '[m']]], "")</f>
        <v/>
      </c>
      <c r="AP51" s="79" t="str">
        <f>IFERROR(-(TP_DATA[[#This Row],[D, bottom '[m']]]-TP_DATA[[#This Row],[D, top '[m']]])/(TP_DATA[[#This Row],[Bottom '[m']]]-TP_DATA[[#This Row],[Top '[m']]]),"")</f>
        <v/>
      </c>
      <c r="AQ51" s="79" t="str">
        <f t="shared" si="1"/>
        <v/>
      </c>
      <c r="AR51" s="79" t="str">
        <f>IFERROR((TP_DATA[[#This Row],[D, bottom '[m']]]+TP_DATA[[#This Row],[D, top '[m']]])/(2*TP_DATA[[#This Row],[t '[mm']]]/1000),"")</f>
        <v/>
      </c>
      <c r="AS51" s="79" t="str">
        <f>IFERROR((TP_DATA[[#This Row],[D, bottom '[m']]]+#REF!)/(2*#REF!/1000),"")</f>
        <v/>
      </c>
      <c r="AX51" s="77"/>
      <c r="AY51" s="77"/>
      <c r="AZ51" s="77"/>
      <c r="BA51" s="77"/>
      <c r="BB51" s="77"/>
      <c r="BC51" s="77"/>
      <c r="BQ51" s="70">
        <v>21</v>
      </c>
      <c r="BR51">
        <v>110.9</v>
      </c>
      <c r="BS51">
        <v>108.16000000000001</v>
      </c>
      <c r="BT51">
        <v>6.2249999999999996</v>
      </c>
      <c r="BU51">
        <v>6.226</v>
      </c>
      <c r="BV51">
        <v>25</v>
      </c>
      <c r="BW51" s="79">
        <f>IFERROR(TOWER_DATA[[#This Row],[Top '[m']]]-TOWER_DATA[[#This Row],[Bottom '[m']]], "")</f>
        <v>2.7399999999999949</v>
      </c>
      <c r="BX51" s="79">
        <f>IFERROR(-(TOWER_DATA[[#This Row],[D, bottom '[m']]]-TOWER_DATA[[#This Row],[D, top '[m']]])/(TOWER_DATA[[#This Row],[Bottom '[m']]]-TOWER_DATA[[#This Row],[Top '[m']]]),"")</f>
        <v>3.6496350364975758E-4</v>
      </c>
      <c r="BY51" s="79">
        <f t="shared" si="2"/>
        <v>10.474584696294533</v>
      </c>
      <c r="BZ51" s="79">
        <f>IFERROR((TOWER_DATA[[#This Row],[D, bottom '[m']]]+TOWER_DATA[[#This Row],[D, top '[m']]])/(2*TOWER_DATA[[#This Row],[t '[mm']]]/1000),"")</f>
        <v>249.02</v>
      </c>
      <c r="CA51" s="79" t="str">
        <f>IFERROR((TOWER_DATA[[#This Row],[D, bottom '[m']]]+#REF!)/(2*#REF!/1000),"")</f>
        <v/>
      </c>
      <c r="CB51" s="102">
        <v>102.25999999999999</v>
      </c>
      <c r="CC51" s="102">
        <v>5610</v>
      </c>
      <c r="CD51" s="102" t="s">
        <v>267</v>
      </c>
      <c r="CF51" s="77">
        <v>21</v>
      </c>
      <c r="CG51" s="77">
        <v>110.9</v>
      </c>
      <c r="CH51" s="77">
        <v>108.16000000000001</v>
      </c>
      <c r="CI51" s="77">
        <v>6.2249999999999996</v>
      </c>
      <c r="CJ51" s="77">
        <v>6.226</v>
      </c>
      <c r="CK51" s="77">
        <v>25</v>
      </c>
      <c r="CM51">
        <v>102.25999999999999</v>
      </c>
      <c r="CN51">
        <v>5610</v>
      </c>
      <c r="CO51" t="s">
        <v>267</v>
      </c>
      <c r="DF51" s="79"/>
      <c r="DG51" s="79"/>
    </row>
    <row r="52" spans="2:111" x14ac:dyDescent="0.25">
      <c r="B52" s="118">
        <v>22</v>
      </c>
      <c r="C52" s="118">
        <v>-73.7</v>
      </c>
      <c r="D52" s="118">
        <v>-76.8</v>
      </c>
      <c r="E52" s="118">
        <v>9.8000000000000007</v>
      </c>
      <c r="F52" s="118">
        <v>9.8000000000000007</v>
      </c>
      <c r="G52" s="118">
        <v>95</v>
      </c>
      <c r="H52" s="79">
        <f>IFERROR(MP_DATA[[#This Row],[Bottom '[m']]]-MP_DATA[[#This Row],[D, top '[m']]], "")</f>
        <v>-86.6</v>
      </c>
      <c r="I52" s="79">
        <f>IFERROR(-(MP_DATA[[#This Row],[D, bottom '[m']]]-MP_DATA[[#This Row],[D, top '[m']]])/(MP_DATA[[#This Row],[Bottom '[m']]]-MP_DATA[[#This Row],[Top '[m']]]),"")</f>
        <v>0</v>
      </c>
      <c r="J52" s="79">
        <f t="shared" si="0"/>
        <v>70.485594695118522</v>
      </c>
      <c r="K52" s="79">
        <f>IFERROR((MP_DATA[[#This Row],[D, bottom '[m']]]+MP_DATA[[#This Row],[D, top '[m']]])/(2*MP_DATA[[#This Row],[t '[mm']]]/1000),"")</f>
        <v>103.15789473684211</v>
      </c>
      <c r="L52" s="79" t="str">
        <f>IFERROR((MP_DATA[[#This Row],[D, bottom '[m']]]+#REF!)/(2*#REF!/1000),"")</f>
        <v/>
      </c>
      <c r="P52" s="77">
        <v>22</v>
      </c>
      <c r="Q52" s="80">
        <v>-73.7</v>
      </c>
      <c r="R52" s="80">
        <v>-76.8</v>
      </c>
      <c r="S52" s="77">
        <v>9.8000000000000007</v>
      </c>
      <c r="T52" s="77">
        <v>9.8000000000000007</v>
      </c>
      <c r="U52" s="77">
        <v>95</v>
      </c>
      <c r="AO52" s="79" t="str">
        <f>IFERROR(TP_DATA[[#This Row],[Bottom '[m']]]-TP_DATA[[#This Row],[D, top '[m']]], "")</f>
        <v/>
      </c>
      <c r="AP52" s="79" t="str">
        <f>IFERROR(-(TP_DATA[[#This Row],[D, bottom '[m']]]-TP_DATA[[#This Row],[D, top '[m']]])/(TP_DATA[[#This Row],[Bottom '[m']]]-TP_DATA[[#This Row],[Top '[m']]]),"")</f>
        <v/>
      </c>
      <c r="AQ52" s="79" t="str">
        <f t="shared" si="1"/>
        <v/>
      </c>
      <c r="AR52" s="79" t="str">
        <f>IFERROR((TP_DATA[[#This Row],[D, bottom '[m']]]+TP_DATA[[#This Row],[D, top '[m']]])/(2*TP_DATA[[#This Row],[t '[mm']]]/1000),"")</f>
        <v/>
      </c>
      <c r="AS52" s="79" t="str">
        <f>IFERROR((TP_DATA[[#This Row],[D, bottom '[m']]]+#REF!)/(2*#REF!/1000),"")</f>
        <v/>
      </c>
      <c r="AX52" s="77"/>
      <c r="AY52" s="77"/>
      <c r="AZ52" s="77"/>
      <c r="BA52" s="77"/>
      <c r="BB52" s="77"/>
      <c r="BC52" s="77"/>
      <c r="BQ52" s="70">
        <v>22</v>
      </c>
      <c r="BR52">
        <v>108.16000000000001</v>
      </c>
      <c r="BS52">
        <v>107.224</v>
      </c>
      <c r="BT52">
        <v>6.226</v>
      </c>
      <c r="BU52">
        <v>6.226</v>
      </c>
      <c r="BV52">
        <v>26</v>
      </c>
      <c r="BW52" s="79">
        <f>IFERROR(TOWER_DATA[[#This Row],[Top '[m']]]-TOWER_DATA[[#This Row],[Bottom '[m']]], "")</f>
        <v>0.93600000000000705</v>
      </c>
      <c r="BX52" s="79">
        <f>IFERROR(-(TOWER_DATA[[#This Row],[D, bottom '[m']]]-TOWER_DATA[[#This Row],[D, top '[m']]])/(TOWER_DATA[[#This Row],[Bottom '[m']]]-TOWER_DATA[[#This Row],[Top '[m']]]),"")</f>
        <v>0</v>
      </c>
      <c r="BY52" s="79">
        <f t="shared" si="2"/>
        <v>3.7210063884604585</v>
      </c>
      <c r="BZ52" s="79">
        <f>IFERROR((TOWER_DATA[[#This Row],[D, bottom '[m']]]+TOWER_DATA[[#This Row],[D, top '[m']]])/(2*TOWER_DATA[[#This Row],[t '[mm']]]/1000),"")</f>
        <v>239.46153846153848</v>
      </c>
      <c r="CA52" s="79" t="str">
        <f>IFERROR((TOWER_DATA[[#This Row],[D, bottom '[m']]]+#REF!)/(2*#REF!/1000),"")</f>
        <v/>
      </c>
      <c r="CB52" s="102">
        <v>102.1</v>
      </c>
      <c r="CC52" s="102">
        <v>8160</v>
      </c>
      <c r="CD52" s="102" t="s">
        <v>267</v>
      </c>
      <c r="CF52" s="77">
        <v>22</v>
      </c>
      <c r="CG52" s="77">
        <v>108.16000000000001</v>
      </c>
      <c r="CH52" s="77">
        <v>107.224</v>
      </c>
      <c r="CI52" s="77">
        <v>6.226</v>
      </c>
      <c r="CJ52" s="77">
        <v>6.226</v>
      </c>
      <c r="CK52" s="77">
        <v>26</v>
      </c>
      <c r="CM52">
        <v>102.1</v>
      </c>
      <c r="CN52">
        <v>8160</v>
      </c>
      <c r="CO52" t="s">
        <v>267</v>
      </c>
      <c r="DF52" s="79"/>
      <c r="DG52" s="79"/>
    </row>
    <row r="53" spans="2:111" x14ac:dyDescent="0.25">
      <c r="B53" s="118">
        <v>23</v>
      </c>
      <c r="C53" s="119">
        <v>-76.8</v>
      </c>
      <c r="D53" s="118">
        <v>-79.8</v>
      </c>
      <c r="E53" s="119">
        <v>9.8000000000000007</v>
      </c>
      <c r="F53" s="118">
        <v>9.8000000000000007</v>
      </c>
      <c r="G53" s="119">
        <v>105</v>
      </c>
      <c r="H53" s="79">
        <f>IFERROR(MP_DATA[[#This Row],[Bottom '[m']]]-MP_DATA[[#This Row],[D, top '[m']]], "")</f>
        <v>-89.6</v>
      </c>
      <c r="I53">
        <f>IFERROR(-(MP_DATA[[#This Row],[D, bottom '[m']]]-MP_DATA[[#This Row],[D, top '[m']]])/(MP_DATA[[#This Row],[Bottom '[m']]]-MP_DATA[[#This Row],[Top '[m']]]),"")</f>
        <v>0</v>
      </c>
      <c r="J53" s="79">
        <f t="shared" si="0"/>
        <v>75.314378505222052</v>
      </c>
      <c r="K53" s="79">
        <f>IFERROR((MP_DATA[[#This Row],[D, bottom '[m']]]+MP_DATA[[#This Row],[D, top '[m']]])/(2*MP_DATA[[#This Row],[t '[mm']]]/1000),"")</f>
        <v>93.333333333333343</v>
      </c>
      <c r="L53" s="79" t="str">
        <f>IFERROR((MP_DATA[[#This Row],[D, bottom '[m']]]+#REF!)/(2*#REF!/1000),"")</f>
        <v/>
      </c>
      <c r="P53" s="77">
        <v>23</v>
      </c>
      <c r="Q53" s="80">
        <v>-76.8</v>
      </c>
      <c r="R53" s="80">
        <v>-79.8</v>
      </c>
      <c r="S53" s="77">
        <v>9.8000000000000007</v>
      </c>
      <c r="T53" s="77">
        <v>9.8000000000000007</v>
      </c>
      <c r="U53" s="77">
        <v>105</v>
      </c>
      <c r="AO53" s="79" t="str">
        <f>IFERROR(TP_DATA[[#This Row],[Bottom '[m']]]-TP_DATA[[#This Row],[D, top '[m']]], "")</f>
        <v/>
      </c>
      <c r="AP53" s="79" t="str">
        <f>IFERROR(-(TP_DATA[[#This Row],[D, bottom '[m']]]-TP_DATA[[#This Row],[D, top '[m']]])/(TP_DATA[[#This Row],[Bottom '[m']]]-TP_DATA[[#This Row],[Top '[m']]]),"")</f>
        <v/>
      </c>
      <c r="AQ53" s="79" t="str">
        <f t="shared" si="1"/>
        <v/>
      </c>
      <c r="AR53" s="79" t="str">
        <f>IFERROR((TP_DATA[[#This Row],[D, bottom '[m']]]+TP_DATA[[#This Row],[D, top '[m']]])/(2*TP_DATA[[#This Row],[t '[mm']]]/1000),"")</f>
        <v/>
      </c>
      <c r="AS53" s="79" t="str">
        <f>IFERROR((TP_DATA[[#This Row],[D, bottom '[m']]]+#REF!)/(2*#REF!/1000),"")</f>
        <v/>
      </c>
      <c r="AX53" s="77"/>
      <c r="AY53" s="77"/>
      <c r="AZ53" s="77"/>
      <c r="BA53" s="77"/>
      <c r="BB53" s="77"/>
      <c r="BC53" s="77"/>
      <c r="BQ53" s="70">
        <v>23</v>
      </c>
      <c r="BR53">
        <v>107.224</v>
      </c>
      <c r="BS53">
        <v>105.23</v>
      </c>
      <c r="BT53">
        <v>6.226</v>
      </c>
      <c r="BU53">
        <v>6.226</v>
      </c>
      <c r="BV53">
        <v>26</v>
      </c>
      <c r="BW53" s="79">
        <f>IFERROR(TOWER_DATA[[#This Row],[Top '[m']]]-TOWER_DATA[[#This Row],[Bottom '[m']]], "")</f>
        <v>1.9939999999999998</v>
      </c>
      <c r="BX53" s="79">
        <f>IFERROR(-(TOWER_DATA[[#This Row],[D, bottom '[m']]]-TOWER_DATA[[#This Row],[D, top '[m']]])/(TOWER_DATA[[#This Row],[Bottom '[m']]]-TOWER_DATA[[#This Row],[Top '[m']]]),"")</f>
        <v>0</v>
      </c>
      <c r="BY53" s="79">
        <f t="shared" si="2"/>
        <v>7.9270157463569424</v>
      </c>
      <c r="BZ53" s="79">
        <f>IFERROR((TOWER_DATA[[#This Row],[D, bottom '[m']]]+TOWER_DATA[[#This Row],[D, top '[m']]])/(2*TOWER_DATA[[#This Row],[t '[mm']]]/1000),"")</f>
        <v>239.46153846153848</v>
      </c>
      <c r="CA53" s="79" t="str">
        <f>IFERROR((TOWER_DATA[[#This Row],[D, bottom '[m']]]+#REF!)/(2*#REF!/1000),"")</f>
        <v/>
      </c>
      <c r="CB53" s="102">
        <v>101.94</v>
      </c>
      <c r="CC53" s="102">
        <v>5</v>
      </c>
      <c r="CD53" s="102" t="s">
        <v>267</v>
      </c>
      <c r="CF53" s="77">
        <v>23</v>
      </c>
      <c r="CG53" s="77">
        <v>107.224</v>
      </c>
      <c r="CH53" s="77">
        <v>105.23</v>
      </c>
      <c r="CI53" s="77">
        <v>6.226</v>
      </c>
      <c r="CJ53" s="77">
        <v>6.226</v>
      </c>
      <c r="CK53" s="77">
        <v>26</v>
      </c>
      <c r="CM53">
        <v>101.94</v>
      </c>
      <c r="CN53">
        <v>5</v>
      </c>
      <c r="CO53" t="s">
        <v>267</v>
      </c>
      <c r="DF53" s="79"/>
      <c r="DG53" s="79"/>
    </row>
    <row r="54" spans="2:111" x14ac:dyDescent="0.25">
      <c r="B54" s="79"/>
      <c r="D54" s="79"/>
      <c r="F54" s="79"/>
      <c r="H54" s="79" t="str">
        <f>IFERROR(MP_DATA[[#This Row],[Bottom '[m']]]-MP_DATA[[#This Row],[D, top '[m']]], "")</f>
        <v/>
      </c>
      <c r="I54" t="str">
        <f>IFERROR(-(MP_DATA[[#This Row],[D, bottom '[m']]]-MP_DATA[[#This Row],[D, top '[m']]])/(MP_DATA[[#This Row],[Bottom '[m']]]-MP_DATA[[#This Row],[Top '[m']]]),"")</f>
        <v/>
      </c>
      <c r="J54" s="79" t="str">
        <f t="shared" si="0"/>
        <v/>
      </c>
      <c r="K54" s="79" t="str">
        <f>IFERROR((MP_DATA[[#This Row],[D, bottom '[m']]]+MP_DATA[[#This Row],[D, top '[m']]])/(2*MP_DATA[[#This Row],[t '[mm']]]/1000),"")</f>
        <v/>
      </c>
      <c r="L54" s="79" t="str">
        <f>IFERROR((MP_DATA[[#This Row],[D, bottom '[m']]]+#REF!)/(2*#REF!/1000),"")</f>
        <v/>
      </c>
      <c r="P54" s="77"/>
      <c r="Q54" s="80"/>
      <c r="R54" s="80"/>
      <c r="S54" s="77"/>
      <c r="T54" s="77"/>
      <c r="U54" s="77"/>
      <c r="AO54" s="79" t="str">
        <f>IFERROR(TP_DATA[[#This Row],[Bottom '[m']]]-TP_DATA[[#This Row],[D, top '[m']]], "")</f>
        <v/>
      </c>
      <c r="AP54" s="79" t="str">
        <f>IFERROR(-(TP_DATA[[#This Row],[D, bottom '[m']]]-TP_DATA[[#This Row],[D, top '[m']]])/(TP_DATA[[#This Row],[Bottom '[m']]]-TP_DATA[[#This Row],[Top '[m']]]),"")</f>
        <v/>
      </c>
      <c r="AQ54" s="79" t="str">
        <f t="shared" si="1"/>
        <v/>
      </c>
      <c r="AR54" s="79" t="str">
        <f>IFERROR((TP_DATA[[#This Row],[D, bottom '[m']]]+TP_DATA[[#This Row],[D, top '[m']]])/(2*TP_DATA[[#This Row],[t '[mm']]]/1000),"")</f>
        <v/>
      </c>
      <c r="AS54" s="79" t="str">
        <f>IFERROR((TP_DATA[[#This Row],[D, bottom '[m']]]+#REF!)/(2*#REF!/1000),"")</f>
        <v/>
      </c>
      <c r="AX54" s="77"/>
      <c r="AY54" s="77"/>
      <c r="AZ54" s="77"/>
      <c r="BA54" s="77"/>
      <c r="BB54" s="77"/>
      <c r="BC54" s="77"/>
      <c r="BQ54" s="70">
        <v>24</v>
      </c>
      <c r="BR54">
        <v>105.23</v>
      </c>
      <c r="BS54">
        <v>102.30000000000001</v>
      </c>
      <c r="BT54">
        <v>6.226</v>
      </c>
      <c r="BU54">
        <v>6.2279999999999998</v>
      </c>
      <c r="BV54">
        <v>26</v>
      </c>
      <c r="BW54" s="79">
        <f>IFERROR(TOWER_DATA[[#This Row],[Top '[m']]]-TOWER_DATA[[#This Row],[Bottom '[m']]], "")</f>
        <v>2.9299999999999926</v>
      </c>
      <c r="BX54" s="79">
        <f>IFERROR(-(TOWER_DATA[[#This Row],[D, bottom '[m']]]-TOWER_DATA[[#This Row],[D, top '[m']]])/(TOWER_DATA[[#This Row],[Bottom '[m']]]-TOWER_DATA[[#This Row],[Top '[m']]]),"")</f>
        <v>6.825938566552166E-4</v>
      </c>
      <c r="BY54" s="79">
        <f t="shared" si="2"/>
        <v>11.64990084806473</v>
      </c>
      <c r="BZ54" s="79">
        <f>IFERROR((TOWER_DATA[[#This Row],[D, bottom '[m']]]+TOWER_DATA[[#This Row],[D, top '[m']]])/(2*TOWER_DATA[[#This Row],[t '[mm']]]/1000),"")</f>
        <v>239.50000000000003</v>
      </c>
      <c r="CA54" s="79" t="str">
        <f>IFERROR((TOWER_DATA[[#This Row],[D, bottom '[m']]]+#REF!)/(2*#REF!/1000),"")</f>
        <v/>
      </c>
      <c r="CB54" s="102">
        <v>101.89999999999999</v>
      </c>
      <c r="CC54" s="102">
        <v>1</v>
      </c>
      <c r="CD54" s="102" t="s">
        <v>267</v>
      </c>
      <c r="CF54" s="77">
        <v>24</v>
      </c>
      <c r="CG54" s="77">
        <v>105.23</v>
      </c>
      <c r="CH54" s="77">
        <v>102.30000000000001</v>
      </c>
      <c r="CI54" s="77">
        <v>6.226</v>
      </c>
      <c r="CJ54" s="77">
        <v>6.2279999999999998</v>
      </c>
      <c r="CK54" s="77">
        <v>26</v>
      </c>
      <c r="CM54">
        <v>101.89999999999999</v>
      </c>
      <c r="CN54">
        <v>1</v>
      </c>
      <c r="CO54" t="s">
        <v>267</v>
      </c>
      <c r="DF54" s="79"/>
      <c r="DG54" s="79"/>
    </row>
    <row r="55" spans="2:111" x14ac:dyDescent="0.25">
      <c r="B55" s="79"/>
      <c r="D55" s="79"/>
      <c r="F55" s="79"/>
      <c r="H55" s="79" t="str">
        <f>IFERROR(MP_DATA[[#This Row],[Bottom '[m']]]-MP_DATA[[#This Row],[D, top '[m']]], "")</f>
        <v/>
      </c>
      <c r="I55" t="str">
        <f>IFERROR(-(MP_DATA[[#This Row],[D, bottom '[m']]]-MP_DATA[[#This Row],[D, top '[m']]])/(MP_DATA[[#This Row],[Bottom '[m']]]-MP_DATA[[#This Row],[Top '[m']]]),"")</f>
        <v/>
      </c>
      <c r="J55" s="79" t="str">
        <f t="shared" si="0"/>
        <v/>
      </c>
      <c r="K55" s="79" t="str">
        <f>IFERROR((MP_DATA[[#This Row],[D, bottom '[m']]]+MP_DATA[[#This Row],[D, top '[m']]])/(2*MP_DATA[[#This Row],[t '[mm']]]/1000),"")</f>
        <v/>
      </c>
      <c r="L55" s="79" t="str">
        <f>IFERROR((MP_DATA[[#This Row],[D, bottom '[m']]]+#REF!)/(2*#REF!/1000),"")</f>
        <v/>
      </c>
      <c r="P55" s="77"/>
      <c r="Q55" s="80"/>
      <c r="R55" s="80"/>
      <c r="S55" s="77"/>
      <c r="T55" s="77"/>
      <c r="U55" s="77"/>
      <c r="AO55" s="79" t="str">
        <f>IFERROR(TP_DATA[[#This Row],[Bottom '[m']]]-TP_DATA[[#This Row],[D, top '[m']]], "")</f>
        <v/>
      </c>
      <c r="AP55" s="79" t="str">
        <f>IFERROR(-(TP_DATA[[#This Row],[D, bottom '[m']]]-TP_DATA[[#This Row],[D, top '[m']]])/(TP_DATA[[#This Row],[Bottom '[m']]]-TP_DATA[[#This Row],[Top '[m']]]),"")</f>
        <v/>
      </c>
      <c r="AQ55" s="79" t="str">
        <f t="shared" si="1"/>
        <v/>
      </c>
      <c r="AR55" s="79" t="str">
        <f>IFERROR((TP_DATA[[#This Row],[D, bottom '[m']]]+TP_DATA[[#This Row],[D, top '[m']]])/(2*TP_DATA[[#This Row],[t '[mm']]]/1000),"")</f>
        <v/>
      </c>
      <c r="AS55" s="79" t="str">
        <f>IFERROR((TP_DATA[[#This Row],[D, bottom '[m']]]+#REF!)/(2*#REF!/1000),"")</f>
        <v/>
      </c>
      <c r="AX55" s="77"/>
      <c r="AY55" s="77"/>
      <c r="AZ55" s="77"/>
      <c r="BA55" s="77"/>
      <c r="BB55" s="77"/>
      <c r="BC55" s="77"/>
      <c r="BQ55" s="70">
        <v>25</v>
      </c>
      <c r="BR55">
        <v>102.30000000000001</v>
      </c>
      <c r="BS55">
        <v>102.26</v>
      </c>
      <c r="BT55">
        <v>6.2279999999999998</v>
      </c>
      <c r="BU55">
        <v>6.2279999999999998</v>
      </c>
      <c r="BV55">
        <v>28</v>
      </c>
      <c r="BW55" s="79">
        <f>IFERROR(TOWER_DATA[[#This Row],[Top '[m']]]-TOWER_DATA[[#This Row],[Bottom '[m']]], "")</f>
        <v>4.0000000000006253E-2</v>
      </c>
      <c r="BX55" s="79">
        <f>IFERROR(-(TOWER_DATA[[#This Row],[D, bottom '[m']]]-TOWER_DATA[[#This Row],[D, top '[m']]])/(TOWER_DATA[[#This Row],[Bottom '[m']]]-TOWER_DATA[[#This Row],[Top '[m']]]),"")</f>
        <v>0</v>
      </c>
      <c r="BY55" s="79">
        <f t="shared" si="2"/>
        <v>0.17124947218426703</v>
      </c>
      <c r="BZ55" s="79">
        <f>IFERROR((TOWER_DATA[[#This Row],[D, bottom '[m']]]+TOWER_DATA[[#This Row],[D, top '[m']]])/(2*TOWER_DATA[[#This Row],[t '[mm']]]/1000),"")</f>
        <v>222.42857142857142</v>
      </c>
      <c r="CA55" s="79" t="str">
        <f>IFERROR((TOWER_DATA[[#This Row],[D, bottom '[m']]]+#REF!)/(2*#REF!/1000),"")</f>
        <v/>
      </c>
      <c r="CB55" s="102">
        <v>100.89999999999999</v>
      </c>
      <c r="CC55" s="102">
        <v>1003</v>
      </c>
      <c r="CD55" s="102" t="s">
        <v>267</v>
      </c>
      <c r="CF55" s="77">
        <v>25</v>
      </c>
      <c r="CG55" s="77">
        <v>102.30000000000001</v>
      </c>
      <c r="CH55" s="77">
        <v>102.26</v>
      </c>
      <c r="CI55" s="77">
        <v>6.2279999999999998</v>
      </c>
      <c r="CJ55" s="77">
        <v>6.2279999999999998</v>
      </c>
      <c r="CK55" s="77">
        <v>28</v>
      </c>
      <c r="CM55">
        <v>100.89999999999999</v>
      </c>
      <c r="CN55">
        <v>1003</v>
      </c>
      <c r="CO55" t="s">
        <v>267</v>
      </c>
      <c r="DF55" s="79"/>
      <c r="DG55" s="79"/>
    </row>
    <row r="56" spans="2:111" x14ac:dyDescent="0.25">
      <c r="B56" s="79"/>
      <c r="D56" s="79"/>
      <c r="F56" s="79"/>
      <c r="H56" s="79" t="str">
        <f>IFERROR(MP_DATA[[#This Row],[Bottom '[m']]]-MP_DATA[[#This Row],[D, top '[m']]], "")</f>
        <v/>
      </c>
      <c r="I56" t="str">
        <f>IFERROR(-(MP_DATA[[#This Row],[D, bottom '[m']]]-MP_DATA[[#This Row],[D, top '[m']]])/(MP_DATA[[#This Row],[Bottom '[m']]]-MP_DATA[[#This Row],[Top '[m']]]),"")</f>
        <v/>
      </c>
      <c r="J56" s="79" t="str">
        <f t="shared" si="0"/>
        <v/>
      </c>
      <c r="K56" s="79" t="str">
        <f>IFERROR((MP_DATA[[#This Row],[D, bottom '[m']]]+MP_DATA[[#This Row],[D, top '[m']]])/(2*MP_DATA[[#This Row],[t '[mm']]]/1000),"")</f>
        <v/>
      </c>
      <c r="L56" s="79" t="str">
        <f>IFERROR((MP_DATA[[#This Row],[D, bottom '[m']]]+#REF!)/(2*#REF!/1000),"")</f>
        <v/>
      </c>
      <c r="AO56" s="79" t="str">
        <f>IFERROR(TP_DATA[[#This Row],[Bottom '[m']]]-TP_DATA[[#This Row],[D, top '[m']]], "")</f>
        <v/>
      </c>
      <c r="AP56" s="79" t="str">
        <f>IFERROR(-(TP_DATA[[#This Row],[D, bottom '[m']]]-TP_DATA[[#This Row],[D, top '[m']]])/(TP_DATA[[#This Row],[Bottom '[m']]]-TP_DATA[[#This Row],[Top '[m']]]),"")</f>
        <v/>
      </c>
      <c r="AQ56" s="79" t="str">
        <f t="shared" si="1"/>
        <v/>
      </c>
      <c r="AR56" s="79" t="str">
        <f>IFERROR((TP_DATA[[#This Row],[D, bottom '[m']]]+TP_DATA[[#This Row],[D, top '[m']]])/(2*TP_DATA[[#This Row],[t '[mm']]]/1000),"")</f>
        <v/>
      </c>
      <c r="AS56" s="79" t="str">
        <f>IFERROR((TP_DATA[[#This Row],[D, bottom '[m']]]+#REF!)/(2*#REF!/1000),"")</f>
        <v/>
      </c>
      <c r="BQ56" s="70">
        <v>26</v>
      </c>
      <c r="BR56">
        <v>102.26</v>
      </c>
      <c r="BS56">
        <v>102.10000000000001</v>
      </c>
      <c r="BT56">
        <v>6.2279999999999998</v>
      </c>
      <c r="BU56">
        <v>6.2279999999999998</v>
      </c>
      <c r="BV56">
        <v>28</v>
      </c>
      <c r="BW56" s="79">
        <f>IFERROR(TOWER_DATA[[#This Row],[Top '[m']]]-TOWER_DATA[[#This Row],[Bottom '[m']]], "")</f>
        <v>0.15999999999999659</v>
      </c>
      <c r="BX56" s="79">
        <f>IFERROR(-(TOWER_DATA[[#This Row],[D, bottom '[m']]]-TOWER_DATA[[#This Row],[D, top '[m']]])/(TOWER_DATA[[#This Row],[Bottom '[m']]]-TOWER_DATA[[#This Row],[Top '[m']]]),"")</f>
        <v>0</v>
      </c>
      <c r="BY56" s="79">
        <f t="shared" si="2"/>
        <v>0.68499788873694645</v>
      </c>
      <c r="BZ56" s="79">
        <f>IFERROR((TOWER_DATA[[#This Row],[D, bottom '[m']]]+TOWER_DATA[[#This Row],[D, top '[m']]])/(2*TOWER_DATA[[#This Row],[t '[mm']]]/1000),"")</f>
        <v>222.42857142857142</v>
      </c>
      <c r="CA56" s="79" t="str">
        <f>IFERROR((TOWER_DATA[[#This Row],[D, bottom '[m']]]+#REF!)/(2*#REF!/1000),"")</f>
        <v/>
      </c>
      <c r="CB56" s="102">
        <v>99.002999999999986</v>
      </c>
      <c r="CC56" s="102">
        <v>137</v>
      </c>
      <c r="CD56" s="102" t="s">
        <v>267</v>
      </c>
      <c r="CF56" s="77">
        <v>26</v>
      </c>
      <c r="CG56" s="77">
        <v>102.26</v>
      </c>
      <c r="CH56" s="77">
        <v>102.10000000000001</v>
      </c>
      <c r="CI56" s="77">
        <v>6.2279999999999998</v>
      </c>
      <c r="CJ56" s="77">
        <v>6.2279999999999998</v>
      </c>
      <c r="CK56" s="77">
        <v>28</v>
      </c>
      <c r="CM56">
        <v>99.002999999999986</v>
      </c>
      <c r="CN56">
        <v>137</v>
      </c>
      <c r="CO56" t="s">
        <v>267</v>
      </c>
      <c r="DF56" s="79"/>
      <c r="DG56" s="79"/>
    </row>
    <row r="57" spans="2:111" x14ac:dyDescent="0.25">
      <c r="B57" s="79"/>
      <c r="C57" s="79"/>
      <c r="D57" s="79"/>
      <c r="E57" s="79"/>
      <c r="F57" s="79"/>
      <c r="G57" s="79"/>
      <c r="H57" s="79" t="str">
        <f>IFERROR(MP_DATA[[#This Row],[Bottom '[m']]]-MP_DATA[[#This Row],[D, top '[m']]], "")</f>
        <v/>
      </c>
      <c r="I57" s="79" t="str">
        <f>IFERROR(-(MP_DATA[[#This Row],[D, bottom '[m']]]-MP_DATA[[#This Row],[D, top '[m']]])/(MP_DATA[[#This Row],[Bottom '[m']]]-MP_DATA[[#This Row],[Top '[m']]]),"")</f>
        <v/>
      </c>
      <c r="J57" s="79" t="str">
        <f t="shared" si="0"/>
        <v/>
      </c>
      <c r="K57" s="79" t="str">
        <f>IFERROR((MP_DATA[[#This Row],[D, bottom '[m']]]+MP_DATA[[#This Row],[D, top '[m']]])/(2*MP_DATA[[#This Row],[t '[mm']]]/1000),"")</f>
        <v/>
      </c>
      <c r="L57" s="79" t="str">
        <f>IFERROR((MP_DATA[[#This Row],[D, bottom '[m']]]+#REF!)/(2*#REF!/1000),"")</f>
        <v/>
      </c>
      <c r="AO57" s="79" t="str">
        <f>IFERROR(TP_DATA[[#This Row],[Bottom '[m']]]-TP_DATA[[#This Row],[D, top '[m']]], "")</f>
        <v/>
      </c>
      <c r="AP57" s="79" t="str">
        <f>IFERROR(-(TP_DATA[[#This Row],[D, bottom '[m']]]-TP_DATA[[#This Row],[D, top '[m']]])/(TP_DATA[[#This Row],[Bottom '[m']]]-TP_DATA[[#This Row],[Top '[m']]]),"")</f>
        <v/>
      </c>
      <c r="AQ57" s="79" t="str">
        <f t="shared" si="1"/>
        <v/>
      </c>
      <c r="AR57" s="79" t="str">
        <f>IFERROR((TP_DATA[[#This Row],[D, bottom '[m']]]+TP_DATA[[#This Row],[D, top '[m']]])/(2*TP_DATA[[#This Row],[t '[mm']]]/1000),"")</f>
        <v/>
      </c>
      <c r="AS57" s="79" t="str">
        <f>IFERROR((TP_DATA[[#This Row],[D, bottom '[m']]]+#REF!)/(2*#REF!/1000),"")</f>
        <v/>
      </c>
      <c r="BQ57" s="70">
        <v>27</v>
      </c>
      <c r="BR57">
        <v>102.10000000000001</v>
      </c>
      <c r="BS57">
        <v>101.94000000000001</v>
      </c>
      <c r="BT57">
        <v>6.2279999999999998</v>
      </c>
      <c r="BU57">
        <v>6.2279999999999998</v>
      </c>
      <c r="BV57">
        <v>28</v>
      </c>
      <c r="BW57" s="79">
        <f>IFERROR(TOWER_DATA[[#This Row],[Top '[m']]]-TOWER_DATA[[#This Row],[Bottom '[m']]], "")</f>
        <v>0.15999999999999659</v>
      </c>
      <c r="BX57" s="79">
        <f>IFERROR(-(TOWER_DATA[[#This Row],[D, bottom '[m']]]-TOWER_DATA[[#This Row],[D, top '[m']]])/(TOWER_DATA[[#This Row],[Bottom '[m']]]-TOWER_DATA[[#This Row],[Top '[m']]]),"")</f>
        <v>0</v>
      </c>
      <c r="BY57" s="79">
        <f t="shared" si="2"/>
        <v>0.68499788873694645</v>
      </c>
      <c r="BZ57" s="79">
        <f>IFERROR((TOWER_DATA[[#This Row],[D, bottom '[m']]]+TOWER_DATA[[#This Row],[D, top '[m']]])/(2*TOWER_DATA[[#This Row],[t '[mm']]]/1000),"")</f>
        <v>222.42857142857142</v>
      </c>
      <c r="CA57" s="79" t="str">
        <f>IFERROR((TOWER_DATA[[#This Row],[D, bottom '[m']]]+#REF!)/(2*#REF!/1000),"")</f>
        <v/>
      </c>
      <c r="CB57" s="102">
        <v>94.891999999999996</v>
      </c>
      <c r="CC57" s="102">
        <v>138</v>
      </c>
      <c r="CD57" s="102" t="s">
        <v>267</v>
      </c>
      <c r="CF57" s="77">
        <v>27</v>
      </c>
      <c r="CG57" s="77">
        <v>102.10000000000001</v>
      </c>
      <c r="CH57" s="77">
        <v>101.94000000000001</v>
      </c>
      <c r="CI57" s="77">
        <v>6.2279999999999998</v>
      </c>
      <c r="CJ57" s="77">
        <v>6.2279999999999998</v>
      </c>
      <c r="CK57" s="77">
        <v>28</v>
      </c>
      <c r="CM57">
        <v>94.891999999999996</v>
      </c>
      <c r="CN57">
        <v>138</v>
      </c>
      <c r="CO57" t="s">
        <v>267</v>
      </c>
      <c r="DF57" s="79"/>
      <c r="DG57" s="79"/>
    </row>
    <row r="58" spans="2:111" x14ac:dyDescent="0.25">
      <c r="B58" s="79"/>
      <c r="C58" s="79"/>
      <c r="D58" s="79"/>
      <c r="E58" s="79"/>
      <c r="F58" s="79"/>
      <c r="G58" s="79"/>
      <c r="H58" s="79" t="str">
        <f>IFERROR(MP_DATA[[#This Row],[Bottom '[m']]]-MP_DATA[[#This Row],[D, top '[m']]], "")</f>
        <v/>
      </c>
      <c r="I58" s="79" t="str">
        <f>IFERROR(-(MP_DATA[[#This Row],[D, bottom '[m']]]-MP_DATA[[#This Row],[D, top '[m']]])/(MP_DATA[[#This Row],[Bottom '[m']]]-MP_DATA[[#This Row],[Top '[m']]]),"")</f>
        <v/>
      </c>
      <c r="J58" s="79" t="str">
        <f t="shared" si="0"/>
        <v/>
      </c>
      <c r="K58" s="79" t="str">
        <f>IFERROR((MP_DATA[[#This Row],[D, bottom '[m']]]+MP_DATA[[#This Row],[D, top '[m']]])/(2*MP_DATA[[#This Row],[t '[mm']]]/1000),"")</f>
        <v/>
      </c>
      <c r="L58" s="79" t="str">
        <f>IFERROR((MP_DATA[[#This Row],[D, bottom '[m']]]+#REF!)/(2*#REF!/1000),"")</f>
        <v/>
      </c>
      <c r="AO58" s="79" t="str">
        <f>IFERROR(TP_DATA[[#This Row],[Bottom '[m']]]-TP_DATA[[#This Row],[D, top '[m']]], "")</f>
        <v/>
      </c>
      <c r="AP58" s="79" t="str">
        <f>IFERROR(-(TP_DATA[[#This Row],[D, bottom '[m']]]-TP_DATA[[#This Row],[D, top '[m']]])/(TP_DATA[[#This Row],[Bottom '[m']]]-TP_DATA[[#This Row],[Top '[m']]]),"")</f>
        <v/>
      </c>
      <c r="AQ58" s="79" t="str">
        <f t="shared" si="1"/>
        <v/>
      </c>
      <c r="AR58" s="79" t="str">
        <f>IFERROR((TP_DATA[[#This Row],[D, bottom '[m']]]+TP_DATA[[#This Row],[D, top '[m']]])/(2*TP_DATA[[#This Row],[t '[mm']]]/1000),"")</f>
        <v/>
      </c>
      <c r="AS58" s="79" t="str">
        <f>IFERROR((TP_DATA[[#This Row],[D, bottom '[m']]]+#REF!)/(2*#REF!/1000),"")</f>
        <v/>
      </c>
      <c r="BQ58" s="70">
        <v>28</v>
      </c>
      <c r="BR58">
        <v>101.94000000000001</v>
      </c>
      <c r="BS58">
        <v>101.9</v>
      </c>
      <c r="BT58">
        <v>6.2279999999999998</v>
      </c>
      <c r="BU58">
        <v>6.23</v>
      </c>
      <c r="BV58">
        <v>28</v>
      </c>
      <c r="BW58" s="79">
        <f>IFERROR(TOWER_DATA[[#This Row],[Top '[m']]]-TOWER_DATA[[#This Row],[Bottom '[m']]], "")</f>
        <v>4.0000000000006253E-2</v>
      </c>
      <c r="BX58" s="79">
        <f>IFERROR(-(TOWER_DATA[[#This Row],[D, bottom '[m']]]-TOWER_DATA[[#This Row],[D, top '[m']]])/(TOWER_DATA[[#This Row],[Bottom '[m']]]-TOWER_DATA[[#This Row],[Top '[m']]]),"")</f>
        <v>5.0000000000008885E-2</v>
      </c>
      <c r="BY58" s="79">
        <f t="shared" si="2"/>
        <v>0.1712770930668801</v>
      </c>
      <c r="BZ58" s="79">
        <f>IFERROR((TOWER_DATA[[#This Row],[D, bottom '[m']]]+TOWER_DATA[[#This Row],[D, top '[m']]])/(2*TOWER_DATA[[#This Row],[t '[mm']]]/1000),"")</f>
        <v>222.46428571428572</v>
      </c>
      <c r="CA58" s="79" t="str">
        <f>IFERROR((TOWER_DATA[[#This Row],[D, bottom '[m']]]+#REF!)/(2*#REF!/1000),"")</f>
        <v/>
      </c>
      <c r="CB58" s="102">
        <v>91.005999999999986</v>
      </c>
      <c r="CC58" s="102">
        <v>138</v>
      </c>
      <c r="CD58" s="102" t="s">
        <v>267</v>
      </c>
      <c r="CF58" s="77">
        <v>28</v>
      </c>
      <c r="CG58" s="77">
        <v>101.94000000000001</v>
      </c>
      <c r="CH58" s="77">
        <v>101.9</v>
      </c>
      <c r="CI58" s="77">
        <v>6.2279999999999998</v>
      </c>
      <c r="CJ58" s="77">
        <v>6.23</v>
      </c>
      <c r="CK58" s="77">
        <v>28</v>
      </c>
      <c r="CM58">
        <v>91.005999999999986</v>
      </c>
      <c r="CN58">
        <v>138</v>
      </c>
      <c r="CO58" t="s">
        <v>267</v>
      </c>
      <c r="DF58" s="79"/>
      <c r="DG58" s="79"/>
    </row>
    <row r="59" spans="2:111" x14ac:dyDescent="0.25">
      <c r="B59" s="79"/>
      <c r="C59" s="79"/>
      <c r="D59" s="79"/>
      <c r="E59" s="79"/>
      <c r="F59" s="79"/>
      <c r="G59" s="79"/>
      <c r="H59" s="79" t="str">
        <f>IFERROR(MP_DATA[[#This Row],[Bottom '[m']]]-MP_DATA[[#This Row],[D, top '[m']]], "")</f>
        <v/>
      </c>
      <c r="I59" s="79" t="str">
        <f>IFERROR(-(MP_DATA[[#This Row],[D, bottom '[m']]]-MP_DATA[[#This Row],[D, top '[m']]])/(MP_DATA[[#This Row],[Bottom '[m']]]-MP_DATA[[#This Row],[Top '[m']]]),"")</f>
        <v/>
      </c>
      <c r="J59" s="79" t="str">
        <f t="shared" si="0"/>
        <v/>
      </c>
      <c r="K59" s="79" t="str">
        <f>IFERROR((MP_DATA[[#This Row],[D, bottom '[m']]]+MP_DATA[[#This Row],[D, top '[m']]])/(2*MP_DATA[[#This Row],[t '[mm']]]/1000),"")</f>
        <v/>
      </c>
      <c r="L59" s="79" t="str">
        <f>IFERROR((MP_DATA[[#This Row],[D, bottom '[m']]]+#REF!)/(2*#REF!/1000),"")</f>
        <v/>
      </c>
      <c r="AO59" s="79" t="str">
        <f>IFERROR(TP_DATA[[#This Row],[Bottom '[m']]]-TP_DATA[[#This Row],[D, top '[m']]], "")</f>
        <v/>
      </c>
      <c r="AP59" s="79" t="str">
        <f>IFERROR(-(TP_DATA[[#This Row],[D, bottom '[m']]]-TP_DATA[[#This Row],[D, top '[m']]])/(TP_DATA[[#This Row],[Bottom '[m']]]-TP_DATA[[#This Row],[Top '[m']]]),"")</f>
        <v/>
      </c>
      <c r="AQ59" s="79" t="str">
        <f t="shared" si="1"/>
        <v/>
      </c>
      <c r="AR59" s="79" t="str">
        <f>IFERROR((TP_DATA[[#This Row],[D, bottom '[m']]]+TP_DATA[[#This Row],[D, top '[m']]])/(2*TP_DATA[[#This Row],[t '[mm']]]/1000),"")</f>
        <v/>
      </c>
      <c r="AS59" s="79" t="str">
        <f>IFERROR((TP_DATA[[#This Row],[D, bottom '[m']]]+#REF!)/(2*#REF!/1000),"")</f>
        <v/>
      </c>
      <c r="BQ59" s="70">
        <v>29</v>
      </c>
      <c r="BR59">
        <v>101.9</v>
      </c>
      <c r="BS59">
        <v>100.9</v>
      </c>
      <c r="BT59">
        <v>6.23</v>
      </c>
      <c r="BU59">
        <v>6.2530000000000001</v>
      </c>
      <c r="BV59">
        <v>30.099999999999998</v>
      </c>
      <c r="BW59" s="79">
        <f>IFERROR(TOWER_DATA[[#This Row],[Top '[m']]]-TOWER_DATA[[#This Row],[Bottom '[m']]], "")</f>
        <v>1</v>
      </c>
      <c r="BX59" s="79">
        <f>IFERROR(-(TOWER_DATA[[#This Row],[D, bottom '[m']]]-TOWER_DATA[[#This Row],[D, top '[m']]])/(TOWER_DATA[[#This Row],[Bottom '[m']]]-TOWER_DATA[[#This Row],[Top '[m']]]),"")</f>
        <v>2.2999999999999687E-2</v>
      </c>
      <c r="BY59" s="79">
        <f t="shared" si="2"/>
        <v>4.610791912861246</v>
      </c>
      <c r="BZ59" s="79">
        <f>IFERROR((TOWER_DATA[[#This Row],[D, bottom '[m']]]+TOWER_DATA[[#This Row],[D, top '[m']]])/(2*TOWER_DATA[[#This Row],[t '[mm']]]/1000),"")</f>
        <v>207.358803986711</v>
      </c>
      <c r="CA59" s="79" t="str">
        <f>IFERROR((TOWER_DATA[[#This Row],[D, bottom '[m']]]+#REF!)/(2*#REF!/1000),"")</f>
        <v/>
      </c>
      <c r="CB59" s="102">
        <v>90.899999999999991</v>
      </c>
      <c r="CC59" s="102">
        <v>139</v>
      </c>
      <c r="CD59" s="102" t="s">
        <v>267</v>
      </c>
      <c r="CF59" s="77">
        <v>29</v>
      </c>
      <c r="CG59" s="77">
        <v>101.9</v>
      </c>
      <c r="CH59" s="77">
        <v>100.9</v>
      </c>
      <c r="CI59" s="77">
        <v>6.23</v>
      </c>
      <c r="CJ59" s="77">
        <v>6.2530000000000001</v>
      </c>
      <c r="CK59" s="77">
        <v>30.099999999999998</v>
      </c>
      <c r="CM59">
        <v>90.899999999999991</v>
      </c>
      <c r="CN59">
        <v>139</v>
      </c>
      <c r="CO59" t="s">
        <v>267</v>
      </c>
      <c r="DF59" s="79"/>
      <c r="DG59" s="79"/>
    </row>
    <row r="60" spans="2:111" x14ac:dyDescent="0.25">
      <c r="B60" s="79"/>
      <c r="C60" s="79"/>
      <c r="D60" s="79"/>
      <c r="E60" s="79"/>
      <c r="F60" s="79"/>
      <c r="G60" s="79"/>
      <c r="H60" s="79" t="str">
        <f>IFERROR(MP_DATA[[#This Row],[Bottom '[m']]]-MP_DATA[[#This Row],[D, top '[m']]], "")</f>
        <v/>
      </c>
      <c r="I60" s="79" t="str">
        <f>IFERROR(-(MP_DATA[[#This Row],[D, bottom '[m']]]-MP_DATA[[#This Row],[D, top '[m']]])/(MP_DATA[[#This Row],[Bottom '[m']]]-MP_DATA[[#This Row],[Top '[m']]]),"")</f>
        <v/>
      </c>
      <c r="J60" s="79" t="str">
        <f t="shared" si="0"/>
        <v/>
      </c>
      <c r="K60" s="79" t="str">
        <f>IFERROR((MP_DATA[[#This Row],[D, bottom '[m']]]+MP_DATA[[#This Row],[D, top '[m']]])/(2*MP_DATA[[#This Row],[t '[mm']]]/1000),"")</f>
        <v/>
      </c>
      <c r="L60" s="79"/>
      <c r="AO60" s="79" t="str">
        <f>IFERROR(TP_DATA[[#This Row],[Bottom '[m']]]-TP_DATA[[#This Row],[D, top '[m']]], "")</f>
        <v/>
      </c>
      <c r="AP60" s="79" t="str">
        <f>IFERROR(-(TP_DATA[[#This Row],[D, bottom '[m']]]-TP_DATA[[#This Row],[D, top '[m']]])/(TP_DATA[[#This Row],[Bottom '[m']]]-TP_DATA[[#This Row],[Top '[m']]]),"")</f>
        <v/>
      </c>
      <c r="AQ60" s="79" t="str">
        <f t="shared" si="1"/>
        <v/>
      </c>
      <c r="AR60" s="79" t="str">
        <f>IFERROR((TP_DATA[[#This Row],[D, bottom '[m']]]+TP_DATA[[#This Row],[D, top '[m']]])/(2*TP_DATA[[#This Row],[t '[mm']]]/1000),"")</f>
        <v/>
      </c>
      <c r="AS60" s="79"/>
      <c r="BQ60" s="70">
        <v>30</v>
      </c>
      <c r="BR60">
        <v>100.9</v>
      </c>
      <c r="BS60">
        <v>99.172000000000011</v>
      </c>
      <c r="BT60">
        <v>6.2530000000000001</v>
      </c>
      <c r="BU60">
        <v>6.2889999999999997</v>
      </c>
      <c r="BV60">
        <v>30.099999999999998</v>
      </c>
      <c r="BW60" s="79">
        <f>IFERROR(TOWER_DATA[[#This Row],[Top '[m']]]-TOWER_DATA[[#This Row],[Bottom '[m']]], "")</f>
        <v>1.7279999999999944</v>
      </c>
      <c r="BX60" s="79">
        <f>IFERROR(-(TOWER_DATA[[#This Row],[D, bottom '[m']]]-TOWER_DATA[[#This Row],[D, top '[m']]])/(TOWER_DATA[[#This Row],[Bottom '[m']]]-TOWER_DATA[[#This Row],[Top '[m']]]),"")</f>
        <v>2.0833333333333162E-2</v>
      </c>
      <c r="BY60" s="79">
        <f t="shared" si="2"/>
        <v>8.0052884821827153</v>
      </c>
      <c r="BZ60" s="79">
        <f>IFERROR((TOWER_DATA[[#This Row],[D, bottom '[m']]]+TOWER_DATA[[#This Row],[D, top '[m']]])/(2*TOWER_DATA[[#This Row],[t '[mm']]]/1000),"")</f>
        <v>208.3388704318937</v>
      </c>
      <c r="CA60" s="79"/>
      <c r="CB60" s="102">
        <v>86.670999999999992</v>
      </c>
      <c r="CC60" s="102">
        <v>139</v>
      </c>
      <c r="CD60" s="102" t="s">
        <v>267</v>
      </c>
      <c r="CF60" s="77">
        <v>30</v>
      </c>
      <c r="CG60" s="77">
        <v>100.9</v>
      </c>
      <c r="CH60" s="77">
        <v>99.172000000000011</v>
      </c>
      <c r="CI60" s="77">
        <v>6.2530000000000001</v>
      </c>
      <c r="CJ60" s="77">
        <v>6.2889999999999997</v>
      </c>
      <c r="CK60" s="77">
        <v>30.099999999999998</v>
      </c>
      <c r="CM60">
        <v>86.670999999999992</v>
      </c>
      <c r="CN60">
        <v>139</v>
      </c>
      <c r="CO60" t="s">
        <v>267</v>
      </c>
      <c r="DF60" s="79"/>
      <c r="DG60" s="79"/>
    </row>
    <row r="61" spans="2:111" x14ac:dyDescent="0.25">
      <c r="B61" s="79"/>
      <c r="C61" s="79"/>
      <c r="D61" s="79"/>
      <c r="E61" s="79"/>
      <c r="F61" s="79"/>
      <c r="G61" s="79"/>
      <c r="H61" s="79" t="str">
        <f>IFERROR(MP_DATA[[#This Row],[Bottom '[m']]]-MP_DATA[[#This Row],[D, top '[m']]], "")</f>
        <v/>
      </c>
      <c r="I61" s="79" t="str">
        <f>IFERROR(-(MP_DATA[[#This Row],[D, bottom '[m']]]-MP_DATA[[#This Row],[D, top '[m']]])/(MP_DATA[[#This Row],[Bottom '[m']]]-MP_DATA[[#This Row],[Top '[m']]]),"")</f>
        <v/>
      </c>
      <c r="J61" s="79" t="str">
        <f t="shared" si="0"/>
        <v/>
      </c>
      <c r="K61" s="79" t="str">
        <f>IFERROR((MP_DATA[[#This Row],[D, bottom '[m']]]+MP_DATA[[#This Row],[D, top '[m']]])/(2*MP_DATA[[#This Row],[t '[mm']]]/1000),"")</f>
        <v/>
      </c>
      <c r="L61" s="79"/>
      <c r="AO61" s="79" t="str">
        <f>IFERROR(TP_DATA[[#This Row],[Bottom '[m']]]-TP_DATA[[#This Row],[D, top '[m']]], "")</f>
        <v/>
      </c>
      <c r="AP61" s="79" t="str">
        <f>IFERROR(-(TP_DATA[[#This Row],[D, bottom '[m']]]-TP_DATA[[#This Row],[D, top '[m']]])/(TP_DATA[[#This Row],[Bottom '[m']]]-TP_DATA[[#This Row],[Top '[m']]]),"")</f>
        <v/>
      </c>
      <c r="AQ61" s="79" t="str">
        <f t="shared" si="1"/>
        <v/>
      </c>
      <c r="AR61" s="79" t="str">
        <f>IFERROR((TP_DATA[[#This Row],[D, bottom '[m']]]+TP_DATA[[#This Row],[D, top '[m']]])/(2*TP_DATA[[#This Row],[t '[mm']]]/1000),"")</f>
        <v/>
      </c>
      <c r="AS61" s="79"/>
      <c r="BQ61" s="70">
        <v>31</v>
      </c>
      <c r="BR61">
        <v>99.172000000000011</v>
      </c>
      <c r="BS61">
        <v>99.003</v>
      </c>
      <c r="BT61">
        <v>6.2889999999999997</v>
      </c>
      <c r="BU61">
        <v>6.2919999999999998</v>
      </c>
      <c r="BV61">
        <v>26.5</v>
      </c>
      <c r="BW61" s="79">
        <f>IFERROR(TOWER_DATA[[#This Row],[Top '[m']]]-TOWER_DATA[[#This Row],[Bottom '[m']]], "")</f>
        <v>0.16900000000001114</v>
      </c>
      <c r="BX61" s="79">
        <f>IFERROR(-(TOWER_DATA[[#This Row],[D, bottom '[m']]]-TOWER_DATA[[#This Row],[D, top '[m']]])/(TOWER_DATA[[#This Row],[Bottom '[m']]]-TOWER_DATA[[#This Row],[Top '[m']]]),"")</f>
        <v>1.7751479289940329E-2</v>
      </c>
      <c r="BY61" s="79">
        <f t="shared" si="2"/>
        <v>0.69183711520936486</v>
      </c>
      <c r="BZ61" s="79">
        <f>IFERROR((TOWER_DATA[[#This Row],[D, bottom '[m']]]+TOWER_DATA[[#This Row],[D, top '[m']]])/(2*TOWER_DATA[[#This Row],[t '[mm']]]/1000),"")</f>
        <v>237.37735849056602</v>
      </c>
      <c r="CA61" s="79"/>
      <c r="CB61" s="102">
        <v>82.839999999999989</v>
      </c>
      <c r="CC61" s="102">
        <v>140</v>
      </c>
      <c r="CD61" s="102" t="s">
        <v>267</v>
      </c>
      <c r="CF61" s="77">
        <v>31</v>
      </c>
      <c r="CG61" s="77">
        <v>99.172000000000011</v>
      </c>
      <c r="CH61" s="77">
        <v>99.003</v>
      </c>
      <c r="CI61" s="77">
        <v>6.2889999999999997</v>
      </c>
      <c r="CJ61" s="77">
        <v>6.2919999999999998</v>
      </c>
      <c r="CK61" s="77">
        <v>26.5</v>
      </c>
      <c r="CM61">
        <v>82.839999999999989</v>
      </c>
      <c r="CN61">
        <v>140</v>
      </c>
      <c r="CO61" t="s">
        <v>267</v>
      </c>
      <c r="DF61" s="79"/>
      <c r="DG61" s="79"/>
    </row>
    <row r="62" spans="2:111" x14ac:dyDescent="0.25">
      <c r="B62" s="79"/>
      <c r="C62" s="79"/>
      <c r="D62" s="79"/>
      <c r="E62" s="79"/>
      <c r="F62" s="79"/>
      <c r="G62" s="79"/>
      <c r="H62" s="79" t="str">
        <f>IFERROR(MP_DATA[[#This Row],[Bottom '[m']]]-MP_DATA[[#This Row],[D, top '[m']]], "")</f>
        <v/>
      </c>
      <c r="I62" s="79" t="str">
        <f>IFERROR(-(MP_DATA[[#This Row],[D, bottom '[m']]]-MP_DATA[[#This Row],[D, top '[m']]])/(MP_DATA[[#This Row],[Bottom '[m']]]-MP_DATA[[#This Row],[Top '[m']]]),"")</f>
        <v/>
      </c>
      <c r="J62" s="79" t="str">
        <f t="shared" ref="J62:J93" si="3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62" s="79" t="str">
        <f>IFERROR((MP_DATA[[#This Row],[D, bottom '[m']]]+MP_DATA[[#This Row],[D, top '[m']]])/(2*MP_DATA[[#This Row],[t '[mm']]]/1000),"")</f>
        <v/>
      </c>
      <c r="L62" s="79"/>
      <c r="AO62" s="79" t="str">
        <f>IFERROR(TP_DATA[[#This Row],[Bottom '[m']]]-TP_DATA[[#This Row],[D, top '[m']]], "")</f>
        <v/>
      </c>
      <c r="AP62" s="79" t="str">
        <f>IFERROR(-(TP_DATA[[#This Row],[D, bottom '[m']]]-TP_DATA[[#This Row],[D, top '[m']]])/(TP_DATA[[#This Row],[Bottom '[m']]]-TP_DATA[[#This Row],[Top '[m']]]),"")</f>
        <v/>
      </c>
      <c r="AQ62" s="79" t="str">
        <f t="shared" si="1"/>
        <v/>
      </c>
      <c r="AR62" s="79" t="str">
        <f>IFERROR((TP_DATA[[#This Row],[D, bottom '[m']]]+TP_DATA[[#This Row],[D, top '[m']]])/(2*TP_DATA[[#This Row],[t '[mm']]]/1000),"")</f>
        <v/>
      </c>
      <c r="AS62" s="79"/>
      <c r="BQ62" s="70">
        <v>32</v>
      </c>
      <c r="BR62">
        <v>99.003</v>
      </c>
      <c r="BS62">
        <v>96.45</v>
      </c>
      <c r="BT62">
        <v>6.2919999999999998</v>
      </c>
      <c r="BU62">
        <v>6.351</v>
      </c>
      <c r="BV62">
        <v>26.5</v>
      </c>
      <c r="BW62" s="79">
        <f>IFERROR(TOWER_DATA[[#This Row],[Top '[m']]]-TOWER_DATA[[#This Row],[Bottom '[m']]], "")</f>
        <v>2.5529999999999973</v>
      </c>
      <c r="BX62" s="79">
        <f>IFERROR(-(TOWER_DATA[[#This Row],[D, bottom '[m']]]-TOWER_DATA[[#This Row],[D, top '[m']]])/(TOWER_DATA[[#This Row],[Bottom '[m']]]-TOWER_DATA[[#This Row],[Top '[m']]]),"")</f>
        <v>2.3110066588327545E-2</v>
      </c>
      <c r="BY62" s="79">
        <f t="shared" si="2"/>
        <v>10.502965831367973</v>
      </c>
      <c r="BZ62" s="79">
        <f>IFERROR((TOWER_DATA[[#This Row],[D, bottom '[m']]]+TOWER_DATA[[#This Row],[D, top '[m']]])/(2*TOWER_DATA[[#This Row],[t '[mm']]]/1000),"")</f>
        <v>238.54716981132077</v>
      </c>
      <c r="CA62" s="79"/>
      <c r="CB62" s="102">
        <v>80.899999999999991</v>
      </c>
      <c r="CC62" s="102">
        <v>140</v>
      </c>
      <c r="CD62" s="102" t="s">
        <v>267</v>
      </c>
      <c r="CF62" s="77">
        <v>32</v>
      </c>
      <c r="CG62" s="77">
        <v>99.003</v>
      </c>
      <c r="CH62" s="77">
        <v>96.45</v>
      </c>
      <c r="CI62" s="77">
        <v>6.2919999999999998</v>
      </c>
      <c r="CJ62" s="77">
        <v>6.351</v>
      </c>
      <c r="CK62" s="77">
        <v>26.5</v>
      </c>
      <c r="CM62">
        <v>80.899999999999991</v>
      </c>
      <c r="CN62">
        <v>140</v>
      </c>
      <c r="CO62" t="s">
        <v>267</v>
      </c>
      <c r="DF62" s="79"/>
      <c r="DG62" s="79"/>
    </row>
    <row r="63" spans="2:111" x14ac:dyDescent="0.25">
      <c r="B63" s="79"/>
      <c r="C63" s="79"/>
      <c r="D63" s="79"/>
      <c r="E63" s="79"/>
      <c r="F63" s="79"/>
      <c r="G63" s="79"/>
      <c r="H63" s="79" t="str">
        <f>IFERROR(MP_DATA[[#This Row],[Bottom '[m']]]-MP_DATA[[#This Row],[D, top '[m']]], "")</f>
        <v/>
      </c>
      <c r="I63" s="79" t="str">
        <f>IFERROR(-(MP_DATA[[#This Row],[D, bottom '[m']]]-MP_DATA[[#This Row],[D, top '[m']]])/(MP_DATA[[#This Row],[Bottom '[m']]]-MP_DATA[[#This Row],[Top '[m']]]),"")</f>
        <v/>
      </c>
      <c r="J63" s="79" t="str">
        <f t="shared" si="3"/>
        <v/>
      </c>
      <c r="K63" s="79" t="str">
        <f>IFERROR((MP_DATA[[#This Row],[D, bottom '[m']]]+MP_DATA[[#This Row],[D, top '[m']]])/(2*MP_DATA[[#This Row],[t '[mm']]]/1000),"")</f>
        <v/>
      </c>
      <c r="L63" s="79"/>
      <c r="AO63" s="79" t="str">
        <f>IFERROR(TP_DATA[[#This Row],[Bottom '[m']]]-TP_DATA[[#This Row],[D, top '[m']]], "")</f>
        <v/>
      </c>
      <c r="AP63" s="79" t="str">
        <f>IFERROR(-(TP_DATA[[#This Row],[D, bottom '[m']]]-TP_DATA[[#This Row],[D, top '[m']]])/(TP_DATA[[#This Row],[Bottom '[m']]]-TP_DATA[[#This Row],[Top '[m']]]),"")</f>
        <v/>
      </c>
      <c r="AQ63" s="79" t="str">
        <f t="shared" si="1"/>
        <v/>
      </c>
      <c r="AR63" s="79" t="str">
        <f>IFERROR((TP_DATA[[#This Row],[D, bottom '[m']]]+TP_DATA[[#This Row],[D, top '[m']]])/(2*TP_DATA[[#This Row],[t '[mm']]]/1000),"")</f>
        <v/>
      </c>
      <c r="AS63" s="79"/>
      <c r="BQ63" s="70">
        <v>33</v>
      </c>
      <c r="BR63">
        <v>96.45</v>
      </c>
      <c r="BS63">
        <v>94.89200000000001</v>
      </c>
      <c r="BT63">
        <v>6.351</v>
      </c>
      <c r="BU63">
        <v>6.3869999999999996</v>
      </c>
      <c r="BV63">
        <v>28</v>
      </c>
      <c r="BW63" s="79">
        <f>IFERROR(TOWER_DATA[[#This Row],[Top '[m']]]-TOWER_DATA[[#This Row],[Bottom '[m']]], "")</f>
        <v>1.5579999999999927</v>
      </c>
      <c r="BX63" s="79">
        <f>IFERROR(-(TOWER_DATA[[#This Row],[D, bottom '[m']]]-TOWER_DATA[[#This Row],[D, top '[m']]])/(TOWER_DATA[[#This Row],[Bottom '[m']]]-TOWER_DATA[[#This Row],[Top '[m']]]),"")</f>
        <v>2.3106546854942078E-2</v>
      </c>
      <c r="BY63" s="79">
        <f t="shared" si="2"/>
        <v>6.8218594478281238</v>
      </c>
      <c r="BZ63" s="79">
        <f>IFERROR((TOWER_DATA[[#This Row],[D, bottom '[m']]]+TOWER_DATA[[#This Row],[D, top '[m']]])/(2*TOWER_DATA[[#This Row],[t '[mm']]]/1000),"")</f>
        <v>227.46428571428569</v>
      </c>
      <c r="CA63" s="79"/>
      <c r="CB63" s="102">
        <v>78.449999999999989</v>
      </c>
      <c r="CC63" s="102">
        <v>141</v>
      </c>
      <c r="CD63" s="102" t="s">
        <v>267</v>
      </c>
      <c r="CF63" s="77">
        <v>33</v>
      </c>
      <c r="CG63" s="77">
        <v>96.45</v>
      </c>
      <c r="CH63" s="77">
        <v>94.89200000000001</v>
      </c>
      <c r="CI63" s="77">
        <v>6.351</v>
      </c>
      <c r="CJ63" s="77">
        <v>6.3869999999999996</v>
      </c>
      <c r="CK63" s="77">
        <v>28</v>
      </c>
      <c r="CM63">
        <v>78.449999999999989</v>
      </c>
      <c r="CN63">
        <v>141</v>
      </c>
      <c r="CO63" t="s">
        <v>267</v>
      </c>
      <c r="DF63" s="79"/>
      <c r="DG63" s="79"/>
    </row>
    <row r="64" spans="2:111" x14ac:dyDescent="0.25">
      <c r="B64" s="79"/>
      <c r="C64" s="79"/>
      <c r="D64" s="79"/>
      <c r="E64" s="79"/>
      <c r="F64" s="79"/>
      <c r="G64" s="79"/>
      <c r="H64" s="79" t="str">
        <f>IFERROR(MP_DATA[[#This Row],[Bottom '[m']]]-MP_DATA[[#This Row],[D, top '[m']]], "")</f>
        <v/>
      </c>
      <c r="I64" s="79" t="str">
        <f>IFERROR(-(MP_DATA[[#This Row],[D, bottom '[m']]]-MP_DATA[[#This Row],[D, top '[m']]])/(MP_DATA[[#This Row],[Bottom '[m']]]-MP_DATA[[#This Row],[Top '[m']]]),"")</f>
        <v/>
      </c>
      <c r="J64" s="79" t="str">
        <f t="shared" si="3"/>
        <v/>
      </c>
      <c r="K64" s="79" t="str">
        <f>IFERROR((MP_DATA[[#This Row],[D, bottom '[m']]]+MP_DATA[[#This Row],[D, top '[m']]])/(2*MP_DATA[[#This Row],[t '[mm']]]/1000),"")</f>
        <v/>
      </c>
      <c r="L64" s="79"/>
      <c r="AO64" s="79" t="str">
        <f>IFERROR(TP_DATA[[#This Row],[Bottom '[m']]]-TP_DATA[[#This Row],[D, top '[m']]], "")</f>
        <v/>
      </c>
      <c r="AP64" s="79" t="str">
        <f>IFERROR(-(TP_DATA[[#This Row],[D, bottom '[m']]]-TP_DATA[[#This Row],[D, top '[m']]])/(TP_DATA[[#This Row],[Bottom '[m']]]-TP_DATA[[#This Row],[Top '[m']]]),"")</f>
        <v/>
      </c>
      <c r="AQ64" s="79" t="str">
        <f t="shared" si="1"/>
        <v/>
      </c>
      <c r="AR64" s="79" t="str">
        <f>IFERROR((TP_DATA[[#This Row],[D, bottom '[m']]]+TP_DATA[[#This Row],[D, top '[m']]])/(2*TP_DATA[[#This Row],[t '[mm']]]/1000),"")</f>
        <v/>
      </c>
      <c r="AS64" s="79"/>
      <c r="BQ64" s="70">
        <v>34</v>
      </c>
      <c r="BR64">
        <v>94.89200000000001</v>
      </c>
      <c r="BS64">
        <v>93.728000000000009</v>
      </c>
      <c r="BT64">
        <v>6.3869999999999996</v>
      </c>
      <c r="BU64">
        <v>6.4139999999999997</v>
      </c>
      <c r="BV64">
        <v>28</v>
      </c>
      <c r="BW64" s="79">
        <f>IFERROR(TOWER_DATA[[#This Row],[Top '[m']]]-TOWER_DATA[[#This Row],[Bottom '[m']]], "")</f>
        <v>1.1640000000000015</v>
      </c>
      <c r="BX64" s="79">
        <f>IFERROR(-(TOWER_DATA[[#This Row],[D, bottom '[m']]]-TOWER_DATA[[#This Row],[D, top '[m']]])/(TOWER_DATA[[#This Row],[Bottom '[m']]]-TOWER_DATA[[#This Row],[Top '[m']]]),"")</f>
        <v>2.3195876288659881E-2</v>
      </c>
      <c r="BY64" s="79">
        <f t="shared" si="2"/>
        <v>5.1220095660448148</v>
      </c>
      <c r="BZ64" s="79">
        <f>IFERROR((TOWER_DATA[[#This Row],[D, bottom '[m']]]+TOWER_DATA[[#This Row],[D, top '[m']]])/(2*TOWER_DATA[[#This Row],[t '[mm']]]/1000),"")</f>
        <v>228.58928571428569</v>
      </c>
      <c r="CA64" s="79"/>
      <c r="CB64" s="102">
        <v>74.673999999999992</v>
      </c>
      <c r="CC64" s="102">
        <v>141</v>
      </c>
      <c r="CD64" s="102" t="s">
        <v>267</v>
      </c>
      <c r="CF64" s="77">
        <v>34</v>
      </c>
      <c r="CG64" s="77">
        <v>94.89200000000001</v>
      </c>
      <c r="CH64" s="77">
        <v>93.728000000000009</v>
      </c>
      <c r="CI64" s="77">
        <v>6.3869999999999996</v>
      </c>
      <c r="CJ64" s="77">
        <v>6.4139999999999997</v>
      </c>
      <c r="CK64" s="77">
        <v>28</v>
      </c>
      <c r="CM64">
        <v>74.673999999999992</v>
      </c>
      <c r="CN64">
        <v>141</v>
      </c>
      <c r="CO64" t="s">
        <v>267</v>
      </c>
      <c r="DF64" s="79"/>
      <c r="DG64" s="79"/>
    </row>
    <row r="65" spans="2:111" x14ac:dyDescent="0.25">
      <c r="B65" s="79"/>
      <c r="C65" s="79"/>
      <c r="D65" s="79"/>
      <c r="E65" s="79"/>
      <c r="F65" s="79"/>
      <c r="G65" s="79"/>
      <c r="H65" s="79" t="str">
        <f>IFERROR(MP_DATA[[#This Row],[Bottom '[m']]]-MP_DATA[[#This Row],[D, top '[m']]], "")</f>
        <v/>
      </c>
      <c r="I65" s="79" t="str">
        <f>IFERROR(-(MP_DATA[[#This Row],[D, bottom '[m']]]-MP_DATA[[#This Row],[D, top '[m']]])/(MP_DATA[[#This Row],[Bottom '[m']]]-MP_DATA[[#This Row],[Top '[m']]]),"")</f>
        <v/>
      </c>
      <c r="J65" s="79" t="str">
        <f t="shared" si="3"/>
        <v/>
      </c>
      <c r="K65" s="79" t="str">
        <f>IFERROR((MP_DATA[[#This Row],[D, bottom '[m']]]+MP_DATA[[#This Row],[D, top '[m']]])/(2*MP_DATA[[#This Row],[t '[mm']]]/1000),"")</f>
        <v/>
      </c>
      <c r="L65" s="79"/>
      <c r="AO65" s="79" t="str">
        <f>IFERROR(TP_DATA[[#This Row],[Bottom '[m']]]-TP_DATA[[#This Row],[D, top '[m']]], "")</f>
        <v/>
      </c>
      <c r="AP65" s="79" t="str">
        <f>IFERROR(-(TP_DATA[[#This Row],[D, bottom '[m']]]-TP_DATA[[#This Row],[D, top '[m']]])/(TP_DATA[[#This Row],[Bottom '[m']]]-TP_DATA[[#This Row],[Top '[m']]]),"")</f>
        <v/>
      </c>
      <c r="AQ65" s="79" t="str">
        <f t="shared" si="1"/>
        <v/>
      </c>
      <c r="AR65" s="79" t="str">
        <f>IFERROR((TP_DATA[[#This Row],[D, bottom '[m']]]+TP_DATA[[#This Row],[D, top '[m']]])/(2*TP_DATA[[#This Row],[t '[mm']]]/1000),"")</f>
        <v/>
      </c>
      <c r="AS65" s="79"/>
      <c r="BQ65" s="70">
        <v>35</v>
      </c>
      <c r="BR65">
        <v>93.728000000000009</v>
      </c>
      <c r="BS65">
        <v>91.006</v>
      </c>
      <c r="BT65">
        <v>6.4139999999999997</v>
      </c>
      <c r="BU65">
        <v>6.4749999999999996</v>
      </c>
      <c r="BV65">
        <v>28.6</v>
      </c>
      <c r="BW65" s="79">
        <f>IFERROR(TOWER_DATA[[#This Row],[Top '[m']]]-TOWER_DATA[[#This Row],[Bottom '[m']]], "")</f>
        <v>2.7220000000000084</v>
      </c>
      <c r="BX65" s="79">
        <f>IFERROR(-(TOWER_DATA[[#This Row],[D, bottom '[m']]]-TOWER_DATA[[#This Row],[D, top '[m']]])/(TOWER_DATA[[#This Row],[Bottom '[m']]]-TOWER_DATA[[#This Row],[Top '[m']]]),"")</f>
        <v>2.2409992652461335E-2</v>
      </c>
      <c r="BY65" s="79">
        <f t="shared" si="2"/>
        <v>12.317746718159135</v>
      </c>
      <c r="BZ65" s="79">
        <f>IFERROR((TOWER_DATA[[#This Row],[D, bottom '[m']]]+TOWER_DATA[[#This Row],[D, top '[m']]])/(2*TOWER_DATA[[#This Row],[t '[mm']]]/1000),"")</f>
        <v>225.33216783216781</v>
      </c>
      <c r="CA65" s="79"/>
      <c r="CB65" s="102">
        <v>71.951999999999984</v>
      </c>
      <c r="CC65" s="102">
        <v>142</v>
      </c>
      <c r="CD65" s="102" t="s">
        <v>267</v>
      </c>
      <c r="CF65" s="77">
        <v>35</v>
      </c>
      <c r="CG65" s="77">
        <v>93.728000000000009</v>
      </c>
      <c r="CH65" s="77">
        <v>91.006</v>
      </c>
      <c r="CI65" s="77">
        <v>6.4139999999999997</v>
      </c>
      <c r="CJ65" s="77">
        <v>6.4749999999999996</v>
      </c>
      <c r="CK65" s="77">
        <v>28.6</v>
      </c>
      <c r="CM65">
        <v>71.951999999999984</v>
      </c>
      <c r="CN65">
        <v>142</v>
      </c>
      <c r="CO65" t="s">
        <v>267</v>
      </c>
      <c r="DF65" s="79"/>
      <c r="DG65" s="79"/>
    </row>
    <row r="66" spans="2:111" x14ac:dyDescent="0.25">
      <c r="B66" s="79"/>
      <c r="D66" s="79"/>
      <c r="F66" s="79"/>
      <c r="H66" s="79" t="str">
        <f>IFERROR(MP_DATA[[#This Row],[Bottom '[m']]]-MP_DATA[[#This Row],[D, top '[m']]], "")</f>
        <v/>
      </c>
      <c r="I66" t="str">
        <f>IFERROR(-(MP_DATA[[#This Row],[D, bottom '[m']]]-MP_DATA[[#This Row],[D, top '[m']]])/(MP_DATA[[#This Row],[Bottom '[m']]]-MP_DATA[[#This Row],[Top '[m']]]),"")</f>
        <v/>
      </c>
      <c r="J66" s="79" t="str">
        <f t="shared" si="3"/>
        <v/>
      </c>
      <c r="K66" s="79" t="str">
        <f>IFERROR((MP_DATA[[#This Row],[D, bottom '[m']]]+MP_DATA[[#This Row],[D, top '[m']]])/(2*MP_DATA[[#This Row],[t '[mm']]]/1000),"")</f>
        <v/>
      </c>
      <c r="L66" s="79"/>
      <c r="AO66" s="79" t="str">
        <f>IFERROR(TP_DATA[[#This Row],[Bottom '[m']]]-TP_DATA[[#This Row],[D, top '[m']]], "")</f>
        <v/>
      </c>
      <c r="AP66" s="79" t="str">
        <f>IFERROR(-(TP_DATA[[#This Row],[D, bottom '[m']]]-TP_DATA[[#This Row],[D, top '[m']]])/(TP_DATA[[#This Row],[Bottom '[m']]]-TP_DATA[[#This Row],[Top '[m']]]),"")</f>
        <v/>
      </c>
      <c r="AQ66" s="79" t="str">
        <f t="shared" si="1"/>
        <v/>
      </c>
      <c r="AR66" s="79" t="str">
        <f>IFERROR((TP_DATA[[#This Row],[D, bottom '[m']]]+TP_DATA[[#This Row],[D, top '[m']]])/(2*TP_DATA[[#This Row],[t '[mm']]]/1000),"")</f>
        <v/>
      </c>
      <c r="AS66" s="79"/>
      <c r="BQ66" s="70">
        <v>36</v>
      </c>
      <c r="BR66">
        <v>91.006</v>
      </c>
      <c r="BS66">
        <v>90.9</v>
      </c>
      <c r="BT66">
        <v>6.4749999999999996</v>
      </c>
      <c r="BU66">
        <v>6.4779999999999998</v>
      </c>
      <c r="BV66">
        <v>29.4</v>
      </c>
      <c r="BW66" s="79">
        <f>IFERROR(TOWER_DATA[[#This Row],[Top '[m']]]-TOWER_DATA[[#This Row],[Bottom '[m']]], "")</f>
        <v>0.10599999999999454</v>
      </c>
      <c r="BX66" s="79">
        <f>IFERROR(-(TOWER_DATA[[#This Row],[D, bottom '[m']]]-TOWER_DATA[[#This Row],[D, top '[m']]])/(TOWER_DATA[[#This Row],[Bottom '[m']]]-TOWER_DATA[[#This Row],[Top '[m']]]),"")</f>
        <v>2.830188679245536E-2</v>
      </c>
      <c r="BY66" s="79">
        <f t="shared" si="2"/>
        <v>0.49549255301145406</v>
      </c>
      <c r="BZ66" s="79">
        <f>IFERROR((TOWER_DATA[[#This Row],[D, bottom '[m']]]+TOWER_DATA[[#This Row],[D, top '[m']]])/(2*TOWER_DATA[[#This Row],[t '[mm']]]/1000),"")</f>
        <v>220.28911564625849</v>
      </c>
      <c r="CA66" s="79"/>
      <c r="CB66" s="102">
        <v>70.899999999999991</v>
      </c>
      <c r="CC66" s="102">
        <v>143</v>
      </c>
      <c r="CD66" s="102" t="s">
        <v>267</v>
      </c>
      <c r="CF66" s="77">
        <v>36</v>
      </c>
      <c r="CG66" s="77">
        <v>91.006</v>
      </c>
      <c r="CH66" s="77">
        <v>90.9</v>
      </c>
      <c r="CI66" s="77">
        <v>6.4749999999999996</v>
      </c>
      <c r="CJ66" s="77">
        <v>6.4779999999999998</v>
      </c>
      <c r="CK66" s="77">
        <v>29.4</v>
      </c>
      <c r="CM66">
        <v>70.899999999999991</v>
      </c>
      <c r="CN66">
        <v>143</v>
      </c>
      <c r="CO66" t="s">
        <v>267</v>
      </c>
      <c r="DF66" s="79"/>
      <c r="DG66" s="79"/>
    </row>
    <row r="67" spans="2:111" x14ac:dyDescent="0.25">
      <c r="B67" s="79"/>
      <c r="D67" s="79"/>
      <c r="F67" s="79"/>
      <c r="H67" s="79" t="str">
        <f>IFERROR(MP_DATA[[#This Row],[Bottom '[m']]]-MP_DATA[[#This Row],[D, top '[m']]], "")</f>
        <v/>
      </c>
      <c r="I67" t="str">
        <f>IFERROR(-(MP_DATA[[#This Row],[D, bottom '[m']]]-MP_DATA[[#This Row],[D, top '[m']]])/(MP_DATA[[#This Row],[Bottom '[m']]]-MP_DATA[[#This Row],[Top '[m']]]),"")</f>
        <v/>
      </c>
      <c r="J67" s="79" t="str">
        <f t="shared" si="3"/>
        <v/>
      </c>
      <c r="K67" s="79" t="str">
        <f>IFERROR((MP_DATA[[#This Row],[D, bottom '[m']]]+MP_DATA[[#This Row],[D, top '[m']]])/(2*MP_DATA[[#This Row],[t '[mm']]]/1000),"")</f>
        <v/>
      </c>
      <c r="L67" s="79"/>
      <c r="AO67" s="79" t="str">
        <f>IFERROR(TP_DATA[[#This Row],[Bottom '[m']]]-TP_DATA[[#This Row],[D, top '[m']]], "")</f>
        <v/>
      </c>
      <c r="AP67" s="79" t="str">
        <f>IFERROR(-(TP_DATA[[#This Row],[D, bottom '[m']]]-TP_DATA[[#This Row],[D, top '[m']]])/(TP_DATA[[#This Row],[Bottom '[m']]]-TP_DATA[[#This Row],[Top '[m']]]),"")</f>
        <v/>
      </c>
      <c r="AQ67" s="79" t="str">
        <f t="shared" si="1"/>
        <v/>
      </c>
      <c r="AR67" s="79" t="str">
        <f>IFERROR((TP_DATA[[#This Row],[D, bottom '[m']]]+TP_DATA[[#This Row],[D, top '[m']]])/(2*TP_DATA[[#This Row],[t '[mm']]]/1000),"")</f>
        <v/>
      </c>
      <c r="AS67" s="79"/>
      <c r="BQ67" s="70">
        <v>37</v>
      </c>
      <c r="BR67">
        <v>90.9</v>
      </c>
      <c r="BS67">
        <v>88.284000000000006</v>
      </c>
      <c r="BT67">
        <v>6.4779999999999998</v>
      </c>
      <c r="BU67">
        <v>6.5380000000000003</v>
      </c>
      <c r="BV67">
        <v>29.4</v>
      </c>
      <c r="BW67" s="79">
        <f>IFERROR(TOWER_DATA[[#This Row],[Top '[m']]]-TOWER_DATA[[#This Row],[Bottom '[m']]], "")</f>
        <v>2.6159999999999997</v>
      </c>
      <c r="BX67" s="79">
        <f>IFERROR(-(TOWER_DATA[[#This Row],[D, bottom '[m']]]-TOWER_DATA[[#This Row],[D, top '[m']]])/(TOWER_DATA[[#This Row],[Bottom '[m']]]-TOWER_DATA[[#This Row],[Top '[m']]]),"")</f>
        <v>2.2935779816513954E-2</v>
      </c>
      <c r="BY67" s="79">
        <f t="shared" si="2"/>
        <v>12.288129120958363</v>
      </c>
      <c r="BZ67" s="79">
        <f>IFERROR((TOWER_DATA[[#This Row],[D, bottom '[m']]]+TOWER_DATA[[#This Row],[D, top '[m']]])/(2*TOWER_DATA[[#This Row],[t '[mm']]]/1000),"")</f>
        <v>221.36054421768708</v>
      </c>
      <c r="CA67" s="79"/>
      <c r="CB67" s="102">
        <v>66.489999999999995</v>
      </c>
      <c r="CC67" s="102">
        <v>144</v>
      </c>
      <c r="CD67" s="102" t="s">
        <v>267</v>
      </c>
      <c r="CF67" s="77">
        <v>37</v>
      </c>
      <c r="CG67" s="77">
        <v>90.9</v>
      </c>
      <c r="CH67" s="77">
        <v>88.284000000000006</v>
      </c>
      <c r="CI67" s="77">
        <v>6.4779999999999998</v>
      </c>
      <c r="CJ67" s="77">
        <v>6.5380000000000003</v>
      </c>
      <c r="CK67" s="77">
        <v>29.4</v>
      </c>
      <c r="CM67">
        <v>66.489999999999995</v>
      </c>
      <c r="CN67">
        <v>144</v>
      </c>
      <c r="CO67" t="s">
        <v>267</v>
      </c>
      <c r="DF67" s="79"/>
      <c r="DG67" s="79"/>
    </row>
    <row r="68" spans="2:111" x14ac:dyDescent="0.25">
      <c r="B68" s="79"/>
      <c r="D68" s="79"/>
      <c r="F68" s="79"/>
      <c r="H68" s="79" t="str">
        <f>IFERROR(MP_DATA[[#This Row],[Bottom '[m']]]-MP_DATA[[#This Row],[D, top '[m']]], "")</f>
        <v/>
      </c>
      <c r="I68" t="str">
        <f>IFERROR(-(MP_DATA[[#This Row],[D, bottom '[m']]]-MP_DATA[[#This Row],[D, top '[m']]])/(MP_DATA[[#This Row],[Bottom '[m']]]-MP_DATA[[#This Row],[Top '[m']]]),"")</f>
        <v/>
      </c>
      <c r="J68" s="79" t="str">
        <f t="shared" si="3"/>
        <v/>
      </c>
      <c r="K68" s="79" t="str">
        <f>IFERROR((MP_DATA[[#This Row],[D, bottom '[m']]]+MP_DATA[[#This Row],[D, top '[m']]])/(2*MP_DATA[[#This Row],[t '[mm']]]/1000),"")</f>
        <v/>
      </c>
      <c r="L68" s="79"/>
      <c r="AO68" s="79" t="str">
        <f>IFERROR(TP_DATA[[#This Row],[Bottom '[m']]]-TP_DATA[[#This Row],[D, top '[m']]], "")</f>
        <v/>
      </c>
      <c r="AP68" s="79" t="str">
        <f>IFERROR(-(TP_DATA[[#This Row],[D, bottom '[m']]]-TP_DATA[[#This Row],[D, top '[m']]])/(TP_DATA[[#This Row],[Bottom '[m']]]-TP_DATA[[#This Row],[Top '[m']]]),"")</f>
        <v/>
      </c>
      <c r="AQ68" s="79" t="str">
        <f t="shared" si="1"/>
        <v/>
      </c>
      <c r="AR68" s="79" t="str">
        <f>IFERROR((TP_DATA[[#This Row],[D, bottom '[m']]]+TP_DATA[[#This Row],[D, top '[m']]])/(2*TP_DATA[[#This Row],[t '[mm']]]/1000),"")</f>
        <v/>
      </c>
      <c r="AS68" s="79"/>
      <c r="BQ68" s="70">
        <v>38</v>
      </c>
      <c r="BR68">
        <v>88.284000000000006</v>
      </c>
      <c r="BS68">
        <v>86.671000000000006</v>
      </c>
      <c r="BT68">
        <v>6.5380000000000003</v>
      </c>
      <c r="BU68">
        <v>6.5739999999999998</v>
      </c>
      <c r="BV68">
        <v>29.5</v>
      </c>
      <c r="BW68" s="79">
        <f>IFERROR(TOWER_DATA[[#This Row],[Top '[m']]]-TOWER_DATA[[#This Row],[Bottom '[m']]], "")</f>
        <v>1.6129999999999995</v>
      </c>
      <c r="BX68" s="79">
        <f>IFERROR(-(TOWER_DATA[[#This Row],[D, bottom '[m']]]-TOWER_DATA[[#This Row],[D, top '[m']]])/(TOWER_DATA[[#This Row],[Bottom '[m']]]-TOWER_DATA[[#This Row],[Top '[m']]]),"")</f>
        <v>2.2318660880346931E-2</v>
      </c>
      <c r="BY68" s="79">
        <f t="shared" si="2"/>
        <v>7.6587211107854793</v>
      </c>
      <c r="BZ68" s="79">
        <f>IFERROR((TOWER_DATA[[#This Row],[D, bottom '[m']]]+TOWER_DATA[[#This Row],[D, top '[m']]])/(2*TOWER_DATA[[#This Row],[t '[mm']]]/1000),"")</f>
        <v>222.23728813559325</v>
      </c>
      <c r="CA68" s="79"/>
      <c r="CB68" s="102">
        <v>66.444999999999993</v>
      </c>
      <c r="CC68" s="102">
        <v>7316</v>
      </c>
      <c r="CD68" s="102" t="s">
        <v>267</v>
      </c>
      <c r="CF68" s="77">
        <v>38</v>
      </c>
      <c r="CG68" s="77">
        <v>88.284000000000006</v>
      </c>
      <c r="CH68" s="77">
        <v>86.671000000000006</v>
      </c>
      <c r="CI68" s="77">
        <v>6.5380000000000003</v>
      </c>
      <c r="CJ68" s="77">
        <v>6.5739999999999998</v>
      </c>
      <c r="CK68" s="77">
        <v>29.5</v>
      </c>
      <c r="CM68">
        <v>66.444999999999993</v>
      </c>
      <c r="CN68">
        <v>7316</v>
      </c>
      <c r="CO68" t="s">
        <v>267</v>
      </c>
      <c r="DF68" s="79"/>
      <c r="DG68" s="79"/>
    </row>
    <row r="69" spans="2:111" x14ac:dyDescent="0.25">
      <c r="B69" s="79"/>
      <c r="D69" s="79"/>
      <c r="F69" s="79"/>
      <c r="H69" s="79" t="str">
        <f>IFERROR(MP_DATA[[#This Row],[Bottom '[m']]]-MP_DATA[[#This Row],[D, top '[m']]], "")</f>
        <v/>
      </c>
      <c r="I69" t="str">
        <f>IFERROR(-(MP_DATA[[#This Row],[D, bottom '[m']]]-MP_DATA[[#This Row],[D, top '[m']]])/(MP_DATA[[#This Row],[Bottom '[m']]]-MP_DATA[[#This Row],[Top '[m']]]),"")</f>
        <v/>
      </c>
      <c r="J69" s="79" t="str">
        <f t="shared" si="3"/>
        <v/>
      </c>
      <c r="K69" s="79" t="str">
        <f>IFERROR((MP_DATA[[#This Row],[D, bottom '[m']]]+MP_DATA[[#This Row],[D, top '[m']]])/(2*MP_DATA[[#This Row],[t '[mm']]]/1000),"")</f>
        <v/>
      </c>
      <c r="L69" s="79"/>
      <c r="AO69" s="79" t="str">
        <f>IFERROR(TP_DATA[[#This Row],[Bottom '[m']]]-TP_DATA[[#This Row],[D, top '[m']]], "")</f>
        <v/>
      </c>
      <c r="AP69" s="79" t="str">
        <f>IFERROR(-(TP_DATA[[#This Row],[D, bottom '[m']]]-TP_DATA[[#This Row],[D, top '[m']]])/(TP_DATA[[#This Row],[Bottom '[m']]]-TP_DATA[[#This Row],[Top '[m']]]),"")</f>
        <v/>
      </c>
      <c r="AQ69" s="79" t="str">
        <f t="shared" si="1"/>
        <v/>
      </c>
      <c r="AR69" s="79" t="str">
        <f>IFERROR((TP_DATA[[#This Row],[D, bottom '[m']]]+TP_DATA[[#This Row],[D, top '[m']]])/(2*TP_DATA[[#This Row],[t '[mm']]]/1000),"")</f>
        <v/>
      </c>
      <c r="AS69" s="79"/>
      <c r="BQ69" s="70">
        <v>39</v>
      </c>
      <c r="BR69">
        <v>86.671000000000006</v>
      </c>
      <c r="BS69">
        <v>85.562000000000012</v>
      </c>
      <c r="BT69">
        <v>6.5739999999999998</v>
      </c>
      <c r="BU69">
        <v>6.601</v>
      </c>
      <c r="BV69">
        <v>29.5</v>
      </c>
      <c r="BW69" s="79">
        <f>IFERROR(TOWER_DATA[[#This Row],[Top '[m']]]-TOWER_DATA[[#This Row],[Bottom '[m']]], "")</f>
        <v>1.1089999999999947</v>
      </c>
      <c r="BX69" s="79">
        <f>IFERROR(-(TOWER_DATA[[#This Row],[D, bottom '[m']]]-TOWER_DATA[[#This Row],[D, top '[m']]])/(TOWER_DATA[[#This Row],[Bottom '[m']]]-TOWER_DATA[[#This Row],[Top '[m']]]),"")</f>
        <v>2.4346257889991223E-2</v>
      </c>
      <c r="BY69" s="79">
        <f t="shared" si="2"/>
        <v>5.2910821427568031</v>
      </c>
      <c r="BZ69" s="79">
        <f>IFERROR((TOWER_DATA[[#This Row],[D, bottom '[m']]]+TOWER_DATA[[#This Row],[D, top '[m']]])/(2*TOWER_DATA[[#This Row],[t '[mm']]]/1000),"")</f>
        <v>223.30508474576274</v>
      </c>
      <c r="CA69" s="79"/>
      <c r="CB69" s="102">
        <v>66.259999999999991</v>
      </c>
      <c r="CC69" s="102">
        <v>10048</v>
      </c>
      <c r="CD69" s="102" t="s">
        <v>267</v>
      </c>
      <c r="CF69" s="77">
        <v>39</v>
      </c>
      <c r="CG69" s="77">
        <v>86.671000000000006</v>
      </c>
      <c r="CH69" s="77">
        <v>85.562000000000012</v>
      </c>
      <c r="CI69" s="77">
        <v>6.5739999999999998</v>
      </c>
      <c r="CJ69" s="77">
        <v>6.601</v>
      </c>
      <c r="CK69" s="77">
        <v>29.5</v>
      </c>
      <c r="CM69">
        <v>66.259999999999991</v>
      </c>
      <c r="CN69">
        <v>10048</v>
      </c>
      <c r="CO69" t="s">
        <v>267</v>
      </c>
      <c r="DF69" s="79"/>
      <c r="DG69" s="79"/>
    </row>
    <row r="70" spans="2:111" x14ac:dyDescent="0.25">
      <c r="B70" s="79"/>
      <c r="C70" s="79"/>
      <c r="D70" s="79"/>
      <c r="E70" s="79"/>
      <c r="F70" s="79"/>
      <c r="G70" s="79"/>
      <c r="H70" s="79" t="str">
        <f>IFERROR(MP_DATA[[#This Row],[Bottom '[m']]]-MP_DATA[[#This Row],[D, top '[m']]], "")</f>
        <v/>
      </c>
      <c r="I70" s="79" t="str">
        <f>IFERROR(-(MP_DATA[[#This Row],[D, bottom '[m']]]-MP_DATA[[#This Row],[D, top '[m']]])/(MP_DATA[[#This Row],[Bottom '[m']]]-MP_DATA[[#This Row],[Top '[m']]]),"")</f>
        <v/>
      </c>
      <c r="J70" s="79" t="str">
        <f t="shared" si="3"/>
        <v/>
      </c>
      <c r="K70" s="79" t="str">
        <f>IFERROR((MP_DATA[[#This Row],[D, bottom '[m']]]+MP_DATA[[#This Row],[D, top '[m']]])/(2*MP_DATA[[#This Row],[t '[mm']]]/1000),"")</f>
        <v/>
      </c>
      <c r="L70" s="79"/>
      <c r="AO70" s="79" t="str">
        <f>IFERROR(TP_DATA[[#This Row],[Bottom '[m']]]-TP_DATA[[#This Row],[D, top '[m']]], "")</f>
        <v/>
      </c>
      <c r="AP70" s="79" t="str">
        <f>IFERROR(-(TP_DATA[[#This Row],[D, bottom '[m']]]-TP_DATA[[#This Row],[D, top '[m']]])/(TP_DATA[[#This Row],[Bottom '[m']]]-TP_DATA[[#This Row],[Top '[m']]]),"")</f>
        <v/>
      </c>
      <c r="AQ70" s="79" t="str">
        <f t="shared" si="1"/>
        <v/>
      </c>
      <c r="AR70" s="79" t="str">
        <f>IFERROR((TP_DATA[[#This Row],[D, bottom '[m']]]+TP_DATA[[#This Row],[D, top '[m']]])/(2*TP_DATA[[#This Row],[t '[mm']]]/1000),"")</f>
        <v/>
      </c>
      <c r="AS70" s="79"/>
      <c r="BQ70" s="70">
        <v>40</v>
      </c>
      <c r="BR70">
        <v>85.562000000000012</v>
      </c>
      <c r="BS70">
        <v>82.84</v>
      </c>
      <c r="BT70">
        <v>6.601</v>
      </c>
      <c r="BU70">
        <v>6.6619999999999999</v>
      </c>
      <c r="BV70">
        <v>31.5</v>
      </c>
      <c r="BW70" s="79">
        <f>IFERROR(TOWER_DATA[[#This Row],[Top '[m']]]-TOWER_DATA[[#This Row],[Bottom '[m']]], "")</f>
        <v>2.7220000000000084</v>
      </c>
      <c r="BX70" s="79">
        <f>IFERROR(-(TOWER_DATA[[#This Row],[D, bottom '[m']]]-TOWER_DATA[[#This Row],[D, top '[m']]])/(TOWER_DATA[[#This Row],[Bottom '[m']]]-TOWER_DATA[[#This Row],[Top '[m']]]),"")</f>
        <v>2.2409992652461335E-2</v>
      </c>
      <c r="BY70" s="79">
        <f t="shared" si="2"/>
        <v>13.956037882640588</v>
      </c>
      <c r="BZ70" s="79">
        <f>IFERROR((TOWER_DATA[[#This Row],[D, bottom '[m']]]+TOWER_DATA[[#This Row],[D, top '[m']]])/(2*TOWER_DATA[[#This Row],[t '[mm']]]/1000),"")</f>
        <v>210.52380952380952</v>
      </c>
      <c r="CA70" s="79"/>
      <c r="CB70" s="102">
        <v>66.074999999999989</v>
      </c>
      <c r="CC70" s="102">
        <v>6</v>
      </c>
      <c r="CD70" s="102" t="s">
        <v>267</v>
      </c>
      <c r="CF70" s="77">
        <v>40</v>
      </c>
      <c r="CG70" s="77">
        <v>85.562000000000012</v>
      </c>
      <c r="CH70" s="77">
        <v>82.84</v>
      </c>
      <c r="CI70" s="77">
        <v>6.601</v>
      </c>
      <c r="CJ70" s="77">
        <v>6.6619999999999999</v>
      </c>
      <c r="CK70" s="77">
        <v>31.5</v>
      </c>
      <c r="CM70">
        <v>66.074999999999989</v>
      </c>
      <c r="CN70">
        <v>6</v>
      </c>
      <c r="CO70" t="s">
        <v>267</v>
      </c>
      <c r="DF70" s="79"/>
      <c r="DG70" s="79"/>
    </row>
    <row r="71" spans="2:111" x14ac:dyDescent="0.25">
      <c r="B71" s="79"/>
      <c r="C71" s="79"/>
      <c r="D71" s="79"/>
      <c r="E71" s="79"/>
      <c r="F71" s="79"/>
      <c r="G71" s="79"/>
      <c r="H71" s="79" t="str">
        <f>IFERROR(MP_DATA[[#This Row],[Bottom '[m']]]-MP_DATA[[#This Row],[D, top '[m']]], "")</f>
        <v/>
      </c>
      <c r="I71" s="79" t="str">
        <f>IFERROR(-(MP_DATA[[#This Row],[D, bottom '[m']]]-MP_DATA[[#This Row],[D, top '[m']]])/(MP_DATA[[#This Row],[Bottom '[m']]]-MP_DATA[[#This Row],[Top '[m']]]),"")</f>
        <v/>
      </c>
      <c r="J71" s="79" t="str">
        <f t="shared" si="3"/>
        <v/>
      </c>
      <c r="K71" s="79" t="str">
        <f>IFERROR((MP_DATA[[#This Row],[D, bottom '[m']]]+MP_DATA[[#This Row],[D, top '[m']]])/(2*MP_DATA[[#This Row],[t '[mm']]]/1000),"")</f>
        <v/>
      </c>
      <c r="L71" s="79"/>
      <c r="AO71" s="79" t="str">
        <f>IFERROR(TP_DATA[[#This Row],[Bottom '[m']]]-TP_DATA[[#This Row],[D, top '[m']]], "")</f>
        <v/>
      </c>
      <c r="AP71" s="79" t="str">
        <f>IFERROR(-(TP_DATA[[#This Row],[D, bottom '[m']]]-TP_DATA[[#This Row],[D, top '[m']]])/(TP_DATA[[#This Row],[Bottom '[m']]]-TP_DATA[[#This Row],[Top '[m']]]),"")</f>
        <v/>
      </c>
      <c r="AQ71" s="79" t="str">
        <f t="shared" si="1"/>
        <v/>
      </c>
      <c r="AR71" s="79" t="str">
        <f>IFERROR((TP_DATA[[#This Row],[D, bottom '[m']]]+TP_DATA[[#This Row],[D, top '[m']]])/(2*TP_DATA[[#This Row],[t '[mm']]]/1000),"")</f>
        <v/>
      </c>
      <c r="AS71" s="79"/>
      <c r="BQ71" s="70">
        <v>41</v>
      </c>
      <c r="BR71">
        <v>82.84</v>
      </c>
      <c r="BS71">
        <v>82.56</v>
      </c>
      <c r="BT71">
        <v>6.6619999999999999</v>
      </c>
      <c r="BU71">
        <v>6.6689999999999996</v>
      </c>
      <c r="BV71">
        <v>31.2</v>
      </c>
      <c r="BW71" s="79">
        <f>IFERROR(TOWER_DATA[[#This Row],[Top '[m']]]-TOWER_DATA[[#This Row],[Bottom '[m']]], "")</f>
        <v>0.28000000000000114</v>
      </c>
      <c r="BX71" s="79">
        <f>IFERROR(-(TOWER_DATA[[#This Row],[D, bottom '[m']]]-TOWER_DATA[[#This Row],[D, top '[m']]])/(TOWER_DATA[[#This Row],[Bottom '[m']]]-TOWER_DATA[[#This Row],[Top '[m']]]),"")</f>
        <v>2.4999999999998732E-2</v>
      </c>
      <c r="BY71" s="79">
        <f t="shared" si="2"/>
        <v>1.4293127277149946</v>
      </c>
      <c r="BZ71" s="79">
        <f>IFERROR((TOWER_DATA[[#This Row],[D, bottom '[m']]]+TOWER_DATA[[#This Row],[D, top '[m']]])/(2*TOWER_DATA[[#This Row],[t '[mm']]]/1000),"")</f>
        <v>213.63782051282053</v>
      </c>
      <c r="CA71" s="79"/>
      <c r="CB71" s="102">
        <v>66.029999999999987</v>
      </c>
      <c r="CC71" s="102">
        <v>1061</v>
      </c>
      <c r="CD71" s="102" t="s">
        <v>267</v>
      </c>
      <c r="CF71" s="77">
        <v>41</v>
      </c>
      <c r="CG71" s="77">
        <v>82.84</v>
      </c>
      <c r="CH71" s="77">
        <v>82.56</v>
      </c>
      <c r="CI71" s="77">
        <v>6.6619999999999999</v>
      </c>
      <c r="CJ71" s="77">
        <v>6.6689999999999996</v>
      </c>
      <c r="CK71" s="77">
        <v>31.2</v>
      </c>
      <c r="CM71">
        <v>66.029999999999987</v>
      </c>
      <c r="CN71">
        <v>1061</v>
      </c>
      <c r="CO71" t="s">
        <v>267</v>
      </c>
      <c r="DF71" s="79"/>
      <c r="DG71" s="79"/>
    </row>
    <row r="72" spans="2:111" x14ac:dyDescent="0.25">
      <c r="B72" s="79"/>
      <c r="C72" s="79"/>
      <c r="D72" s="79"/>
      <c r="E72" s="79"/>
      <c r="F72" s="79"/>
      <c r="G72" s="79"/>
      <c r="H72" s="79" t="str">
        <f>IFERROR(MP_DATA[[#This Row],[Bottom '[m']]]-MP_DATA[[#This Row],[D, top '[m']]], "")</f>
        <v/>
      </c>
      <c r="I72" s="79" t="str">
        <f>IFERROR(-(MP_DATA[[#This Row],[D, bottom '[m']]]-MP_DATA[[#This Row],[D, top '[m']]])/(MP_DATA[[#This Row],[Bottom '[m']]]-MP_DATA[[#This Row],[Top '[m']]]),"")</f>
        <v/>
      </c>
      <c r="J72" s="79" t="str">
        <f t="shared" si="3"/>
        <v/>
      </c>
      <c r="K72" s="79" t="str">
        <f>IFERROR((MP_DATA[[#This Row],[D, bottom '[m']]]+MP_DATA[[#This Row],[D, top '[m']]])/(2*MP_DATA[[#This Row],[t '[mm']]]/1000),"")</f>
        <v/>
      </c>
      <c r="L72" s="79" t="str">
        <f>IFERROR((MP_DATA[[#This Row],[D, bottom '[m']]]+#REF!)/(2*#REF!/1000),"")</f>
        <v/>
      </c>
      <c r="AO72" s="79" t="str">
        <f>IFERROR(TP_DATA[[#This Row],[Bottom '[m']]]-TP_DATA[[#This Row],[D, top '[m']]], "")</f>
        <v/>
      </c>
      <c r="AP72" s="79" t="str">
        <f>IFERROR(-(TP_DATA[[#This Row],[D, bottom '[m']]]-TP_DATA[[#This Row],[D, top '[m']]])/(TP_DATA[[#This Row],[Bottom '[m']]]-TP_DATA[[#This Row],[Top '[m']]]),"")</f>
        <v/>
      </c>
      <c r="AQ72" s="79" t="str">
        <f t="shared" si="1"/>
        <v/>
      </c>
      <c r="AR72" s="79" t="str">
        <f>IFERROR((TP_DATA[[#This Row],[D, bottom '[m']]]+TP_DATA[[#This Row],[D, top '[m']]])/(2*TP_DATA[[#This Row],[t '[mm']]]/1000),"")</f>
        <v/>
      </c>
      <c r="AS72" s="79" t="str">
        <f>IFERROR((TP_DATA[[#This Row],[D, bottom '[m']]]+#REF!)/(2*#REF!/1000),"")</f>
        <v/>
      </c>
      <c r="BQ72" s="70">
        <v>42</v>
      </c>
      <c r="BR72">
        <v>82.56</v>
      </c>
      <c r="BS72">
        <v>80.900000000000006</v>
      </c>
      <c r="BT72">
        <v>6.6689999999999996</v>
      </c>
      <c r="BU72">
        <v>6.7060000000000004</v>
      </c>
      <c r="BV72">
        <v>31.2</v>
      </c>
      <c r="BW72" s="79">
        <f>IFERROR(TOWER_DATA[[#This Row],[Top '[m']]]-TOWER_DATA[[#This Row],[Bottom '[m']]], "")</f>
        <v>1.6599999999999966</v>
      </c>
      <c r="BX72" s="79">
        <f>IFERROR(-(TOWER_DATA[[#This Row],[D, bottom '[m']]]-TOWER_DATA[[#This Row],[D, top '[m']]])/(TOWER_DATA[[#This Row],[Bottom '[m']]]-TOWER_DATA[[#This Row],[Top '[m']]]),"")</f>
        <v>2.2289156626506559E-2</v>
      </c>
      <c r="BY72" s="79">
        <f t="shared" si="2"/>
        <v>8.5018825076561395</v>
      </c>
      <c r="BZ72" s="79">
        <f>IFERROR((TOWER_DATA[[#This Row],[D, bottom '[m']]]+TOWER_DATA[[#This Row],[D, top '[m']]])/(2*TOWER_DATA[[#This Row],[t '[mm']]]/1000),"")</f>
        <v>214.34294871794873</v>
      </c>
      <c r="CA72" s="79" t="str">
        <f>IFERROR((TOWER_DATA[[#This Row],[D, bottom '[m']]]+#REF!)/(2*#REF!/1000),"")</f>
        <v/>
      </c>
      <c r="CB72" s="102">
        <v>63.308000000000007</v>
      </c>
      <c r="CC72" s="102">
        <v>143</v>
      </c>
      <c r="CD72" s="102" t="s">
        <v>267</v>
      </c>
      <c r="CF72" s="77">
        <v>42</v>
      </c>
      <c r="CG72" s="77">
        <v>82.56</v>
      </c>
      <c r="CH72" s="77">
        <v>80.900000000000006</v>
      </c>
      <c r="CI72" s="77">
        <v>6.6689999999999996</v>
      </c>
      <c r="CJ72" s="77">
        <v>6.7060000000000004</v>
      </c>
      <c r="CK72" s="77">
        <v>31.2</v>
      </c>
      <c r="CM72">
        <v>63.308000000000007</v>
      </c>
      <c r="CN72">
        <v>143</v>
      </c>
      <c r="CO72" t="s">
        <v>267</v>
      </c>
      <c r="DF72" s="79"/>
      <c r="DG72" s="79"/>
    </row>
    <row r="73" spans="2:111" x14ac:dyDescent="0.25">
      <c r="B73" s="79"/>
      <c r="C73" s="79"/>
      <c r="D73" s="79"/>
      <c r="E73" s="79"/>
      <c r="F73" s="79"/>
      <c r="G73" s="79"/>
      <c r="H73" s="79" t="str">
        <f>IFERROR(MP_DATA[[#This Row],[Bottom '[m']]]-MP_DATA[[#This Row],[D, top '[m']]], "")</f>
        <v/>
      </c>
      <c r="I73" s="79" t="str">
        <f>IFERROR(-(MP_DATA[[#This Row],[D, bottom '[m']]]-MP_DATA[[#This Row],[D, top '[m']]])/(MP_DATA[[#This Row],[Bottom '[m']]]-MP_DATA[[#This Row],[Top '[m']]]),"")</f>
        <v/>
      </c>
      <c r="J73" s="79" t="str">
        <f t="shared" si="3"/>
        <v/>
      </c>
      <c r="K73" s="79" t="str">
        <f>IFERROR((MP_DATA[[#This Row],[D, bottom '[m']]]+MP_DATA[[#This Row],[D, top '[m']]])/(2*MP_DATA[[#This Row],[t '[mm']]]/1000),"")</f>
        <v/>
      </c>
      <c r="L73" s="79" t="str">
        <f>IFERROR((MP_DATA[[#This Row],[D, bottom '[m']]]+#REF!)/(2*#REF!/1000),"")</f>
        <v/>
      </c>
      <c r="AO73" s="79" t="str">
        <f>IFERROR(TP_DATA[[#This Row],[Bottom '[m']]]-TP_DATA[[#This Row],[D, top '[m']]], "")</f>
        <v/>
      </c>
      <c r="AP73" s="79" t="str">
        <f>IFERROR(-(TP_DATA[[#This Row],[D, bottom '[m']]]-TP_DATA[[#This Row],[D, top '[m']]])/(TP_DATA[[#This Row],[Bottom '[m']]]-TP_DATA[[#This Row],[Top '[m']]]),"")</f>
        <v/>
      </c>
      <c r="AQ73" s="79" t="str">
        <f t="shared" si="1"/>
        <v/>
      </c>
      <c r="AR73" s="79" t="str">
        <f>IFERROR((TP_DATA[[#This Row],[D, bottom '[m']]]+TP_DATA[[#This Row],[D, top '[m']]])/(2*TP_DATA[[#This Row],[t '[mm']]]/1000),"")</f>
        <v/>
      </c>
      <c r="AS73" s="79" t="str">
        <f>IFERROR((TP_DATA[[#This Row],[D, bottom '[m']]]+#REF!)/(2*#REF!/1000),"")</f>
        <v/>
      </c>
      <c r="BQ73" s="70">
        <v>43</v>
      </c>
      <c r="BR73">
        <v>80.900000000000006</v>
      </c>
      <c r="BS73">
        <v>80.118000000000009</v>
      </c>
      <c r="BT73">
        <v>6.7060000000000004</v>
      </c>
      <c r="BU73">
        <v>6.7240000000000002</v>
      </c>
      <c r="BV73">
        <v>31.2</v>
      </c>
      <c r="BW73" s="79">
        <f>IFERROR(TOWER_DATA[[#This Row],[Top '[m']]]-TOWER_DATA[[#This Row],[Bottom '[m']]], "")</f>
        <v>0.78199999999999648</v>
      </c>
      <c r="BX73" s="79">
        <f>IFERROR(-(TOWER_DATA[[#This Row],[D, bottom '[m']]]-TOWER_DATA[[#This Row],[D, top '[m']]])/(TOWER_DATA[[#This Row],[Bottom '[m']]]-TOWER_DATA[[#This Row],[Top '[m']]]),"")</f>
        <v>2.3017902813299074E-2</v>
      </c>
      <c r="BY73" s="79">
        <f t="shared" si="2"/>
        <v>4.0216504702994413</v>
      </c>
      <c r="BZ73" s="79">
        <f>IFERROR((TOWER_DATA[[#This Row],[D, bottom '[m']]]+TOWER_DATA[[#This Row],[D, top '[m']]])/(2*TOWER_DATA[[#This Row],[t '[mm']]]/1000),"")</f>
        <v>215.22435897435898</v>
      </c>
      <c r="CA73" s="79" t="str">
        <f>IFERROR((TOWER_DATA[[#This Row],[D, bottom '[m']]]+#REF!)/(2*#REF!/1000),"")</f>
        <v/>
      </c>
      <c r="CB73" s="102">
        <v>62.007000000000005</v>
      </c>
      <c r="CC73" s="102">
        <v>144</v>
      </c>
      <c r="CD73" s="102" t="s">
        <v>267</v>
      </c>
      <c r="CF73" s="77">
        <v>43</v>
      </c>
      <c r="CG73" s="77">
        <v>80.900000000000006</v>
      </c>
      <c r="CH73" s="77">
        <v>80.118000000000009</v>
      </c>
      <c r="CI73" s="77">
        <v>6.7060000000000004</v>
      </c>
      <c r="CJ73" s="77">
        <v>6.7240000000000002</v>
      </c>
      <c r="CK73" s="77">
        <v>31.2</v>
      </c>
      <c r="CM73">
        <v>62.007000000000005</v>
      </c>
      <c r="CN73">
        <v>144</v>
      </c>
      <c r="CO73" t="s">
        <v>267</v>
      </c>
      <c r="DF73" s="79"/>
      <c r="DG73" s="79"/>
    </row>
    <row r="74" spans="2:111" x14ac:dyDescent="0.25">
      <c r="B74" s="79"/>
      <c r="C74" s="79"/>
      <c r="D74" s="79"/>
      <c r="E74" s="79"/>
      <c r="F74" s="79"/>
      <c r="G74" s="79"/>
      <c r="H74" s="79" t="str">
        <f>IFERROR(MP_DATA[[#This Row],[Bottom '[m']]]-MP_DATA[[#This Row],[D, top '[m']]], "")</f>
        <v/>
      </c>
      <c r="I74" s="79" t="str">
        <f>IFERROR(-(MP_DATA[[#This Row],[D, bottom '[m']]]-MP_DATA[[#This Row],[D, top '[m']]])/(MP_DATA[[#This Row],[Bottom '[m']]]-MP_DATA[[#This Row],[Top '[m']]]),"")</f>
        <v/>
      </c>
      <c r="J74" s="79" t="str">
        <f t="shared" si="3"/>
        <v/>
      </c>
      <c r="K74" s="79" t="str">
        <f>IFERROR((MP_DATA[[#This Row],[D, bottom '[m']]]+MP_DATA[[#This Row],[D, top '[m']]])/(2*MP_DATA[[#This Row],[t '[mm']]]/1000),"")</f>
        <v/>
      </c>
      <c r="L74" s="79" t="str">
        <f>IFERROR((MP_DATA[[#This Row],[D, bottom '[m']]]+#REF!)/(2*#REF!/1000),"")</f>
        <v/>
      </c>
      <c r="AO74" s="79" t="str">
        <f>IFERROR(TP_DATA[[#This Row],[Bottom '[m']]]-TP_DATA[[#This Row],[D, top '[m']]], "")</f>
        <v/>
      </c>
      <c r="AP74" s="79" t="str">
        <f>IFERROR(-(TP_DATA[[#This Row],[D, bottom '[m']]]-TP_DATA[[#This Row],[D, top '[m']]])/(TP_DATA[[#This Row],[Bottom '[m']]]-TP_DATA[[#This Row],[Top '[m']]]),"")</f>
        <v/>
      </c>
      <c r="AQ74" s="79" t="str">
        <f t="shared" si="1"/>
        <v/>
      </c>
      <c r="AR74" s="79" t="str">
        <f>IFERROR((TP_DATA[[#This Row],[D, bottom '[m']]]+TP_DATA[[#This Row],[D, top '[m']]])/(2*TP_DATA[[#This Row],[t '[mm']]]/1000),"")</f>
        <v/>
      </c>
      <c r="AS74" s="79" t="str">
        <f>IFERROR((TP_DATA[[#This Row],[D, bottom '[m']]]+#REF!)/(2*#REF!/1000),"")</f>
        <v/>
      </c>
      <c r="BQ74" s="70">
        <v>44</v>
      </c>
      <c r="BR74">
        <v>80.118000000000009</v>
      </c>
      <c r="BS74">
        <v>78.45</v>
      </c>
      <c r="BT74">
        <v>6.7240000000000002</v>
      </c>
      <c r="BU74">
        <v>6.7619999999999996</v>
      </c>
      <c r="BV74">
        <v>31.7</v>
      </c>
      <c r="BW74" s="79">
        <f>IFERROR(TOWER_DATA[[#This Row],[Top '[m']]]-TOWER_DATA[[#This Row],[Bottom '[m']]], "")</f>
        <v>1.6680000000000064</v>
      </c>
      <c r="BX74" s="79">
        <f>IFERROR(-(TOWER_DATA[[#This Row],[D, bottom '[m']]]-TOWER_DATA[[#This Row],[D, top '[m']]])/(TOWER_DATA[[#This Row],[Bottom '[m']]]-TOWER_DATA[[#This Row],[Top '[m']]]),"")</f>
        <v>2.2781774580335264E-2</v>
      </c>
      <c r="BY74" s="79">
        <f t="shared" si="2"/>
        <v>8.751479715240583</v>
      </c>
      <c r="BZ74" s="79">
        <f>IFERROR((TOWER_DATA[[#This Row],[D, bottom '[m']]]+TOWER_DATA[[#This Row],[D, top '[m']]])/(2*TOWER_DATA[[#This Row],[t '[mm']]]/1000),"")</f>
        <v>212.71293375394325</v>
      </c>
      <c r="CA74" s="79" t="str">
        <f>IFERROR((TOWER_DATA[[#This Row],[D, bottom '[m']]]+#REF!)/(2*#REF!/1000),"")</f>
        <v/>
      </c>
      <c r="CB74" s="102">
        <v>57.896000000000001</v>
      </c>
      <c r="CC74" s="102">
        <v>144</v>
      </c>
      <c r="CD74" s="102" t="s">
        <v>267</v>
      </c>
      <c r="CF74" s="77">
        <v>44</v>
      </c>
      <c r="CG74" s="77">
        <v>80.118000000000009</v>
      </c>
      <c r="CH74" s="77">
        <v>78.45</v>
      </c>
      <c r="CI74" s="77">
        <v>6.7240000000000002</v>
      </c>
      <c r="CJ74" s="77">
        <v>6.7619999999999996</v>
      </c>
      <c r="CK74" s="77">
        <v>31.7</v>
      </c>
      <c r="CM74">
        <v>57.896000000000001</v>
      </c>
      <c r="CN74">
        <v>144</v>
      </c>
      <c r="CO74" t="s">
        <v>267</v>
      </c>
      <c r="DF74" s="79"/>
      <c r="DG74" s="79"/>
    </row>
    <row r="75" spans="2:111" x14ac:dyDescent="0.25">
      <c r="B75" s="79"/>
      <c r="C75" s="79"/>
      <c r="D75" s="79"/>
      <c r="E75" s="79"/>
      <c r="F75" s="79"/>
      <c r="G75" s="79"/>
      <c r="H75" s="79" t="str">
        <f>IFERROR(MP_DATA[[#This Row],[Bottom '[m']]]-MP_DATA[[#This Row],[D, top '[m']]], "")</f>
        <v/>
      </c>
      <c r="I75" s="79" t="str">
        <f>IFERROR(-(MP_DATA[[#This Row],[D, bottom '[m']]]-MP_DATA[[#This Row],[D, top '[m']]])/(MP_DATA[[#This Row],[Bottom '[m']]]-MP_DATA[[#This Row],[Top '[m']]]),"")</f>
        <v/>
      </c>
      <c r="J75" s="79" t="str">
        <f t="shared" si="3"/>
        <v/>
      </c>
      <c r="K75" s="79" t="str">
        <f>IFERROR((MP_DATA[[#This Row],[D, bottom '[m']]]+MP_DATA[[#This Row],[D, top '[m']]])/(2*MP_DATA[[#This Row],[t '[mm']]]/1000),"")</f>
        <v/>
      </c>
      <c r="L75" s="79" t="str">
        <f>IFERROR((MP_DATA[[#This Row],[D, bottom '[m']]]+#REF!)/(2*#REF!/1000),"")</f>
        <v/>
      </c>
      <c r="AO75" s="79" t="str">
        <f>IFERROR(TP_DATA[[#This Row],[Bottom '[m']]]-TP_DATA[[#This Row],[D, top '[m']]], "")</f>
        <v/>
      </c>
      <c r="AP75" s="79" t="str">
        <f>IFERROR(-(TP_DATA[[#This Row],[D, bottom '[m']]]-TP_DATA[[#This Row],[D, top '[m']]])/(TP_DATA[[#This Row],[Bottom '[m']]]-TP_DATA[[#This Row],[Top '[m']]]),"")</f>
        <v/>
      </c>
      <c r="AQ75" s="79" t="str">
        <f t="shared" si="1"/>
        <v/>
      </c>
      <c r="AR75" s="79" t="str">
        <f>IFERROR((TP_DATA[[#This Row],[D, bottom '[m']]]+TP_DATA[[#This Row],[D, top '[m']]])/(2*TP_DATA[[#This Row],[t '[mm']]]/1000),"")</f>
        <v/>
      </c>
      <c r="AS75" s="79" t="str">
        <f>IFERROR((TP_DATA[[#This Row],[D, bottom '[m']]]+#REF!)/(2*#REF!/1000),"")</f>
        <v/>
      </c>
      <c r="BQ75" s="70">
        <v>45</v>
      </c>
      <c r="BR75">
        <v>78.45</v>
      </c>
      <c r="BS75">
        <v>77.396000000000001</v>
      </c>
      <c r="BT75">
        <v>6.7619999999999996</v>
      </c>
      <c r="BU75">
        <v>6.7859999999999996</v>
      </c>
      <c r="BV75">
        <v>31.7</v>
      </c>
      <c r="BW75" s="79">
        <f>IFERROR(TOWER_DATA[[#This Row],[Top '[m']]]-TOWER_DATA[[#This Row],[Bottom '[m']]], "")</f>
        <v>1.054000000000002</v>
      </c>
      <c r="BX75" s="79">
        <f>IFERROR(-(TOWER_DATA[[#This Row],[D, bottom '[m']]]-TOWER_DATA[[#This Row],[D, top '[m']]])/(TOWER_DATA[[#This Row],[Bottom '[m']]]-TOWER_DATA[[#This Row],[Top '[m']]]),"")</f>
        <v>2.277039848197341E-2</v>
      </c>
      <c r="BY75" s="79">
        <f t="shared" si="2"/>
        <v>5.5555553031988758</v>
      </c>
      <c r="BZ75" s="79">
        <f>IFERROR((TOWER_DATA[[#This Row],[D, bottom '[m']]]+TOWER_DATA[[#This Row],[D, top '[m']]])/(2*TOWER_DATA[[#This Row],[t '[mm']]]/1000),"")</f>
        <v>213.69085173501574</v>
      </c>
      <c r="CA75" s="79" t="str">
        <f>IFERROR((TOWER_DATA[[#This Row],[D, bottom '[m']]]+#REF!)/(2*#REF!/1000),"")</f>
        <v/>
      </c>
      <c r="CB75" s="102">
        <v>55.153999999999996</v>
      </c>
      <c r="CC75" s="102">
        <v>144</v>
      </c>
      <c r="CD75" s="102" t="s">
        <v>267</v>
      </c>
      <c r="CF75" s="77">
        <v>45</v>
      </c>
      <c r="CG75" s="77">
        <v>78.45</v>
      </c>
      <c r="CH75" s="77">
        <v>77.396000000000001</v>
      </c>
      <c r="CI75" s="77">
        <v>6.7619999999999996</v>
      </c>
      <c r="CJ75" s="77">
        <v>6.7859999999999996</v>
      </c>
      <c r="CK75" s="77">
        <v>31.7</v>
      </c>
      <c r="CM75">
        <v>55.153999999999996</v>
      </c>
      <c r="CN75">
        <v>144</v>
      </c>
      <c r="CO75" t="s">
        <v>267</v>
      </c>
      <c r="DF75" s="79"/>
      <c r="DG75" s="79"/>
    </row>
    <row r="76" spans="2:111" x14ac:dyDescent="0.25">
      <c r="B76" s="79"/>
      <c r="C76" s="79"/>
      <c r="D76" s="79"/>
      <c r="E76" s="79"/>
      <c r="F76" s="79"/>
      <c r="G76" s="79"/>
      <c r="H76" s="79" t="str">
        <f>IFERROR(MP_DATA[[#This Row],[Bottom '[m']]]-MP_DATA[[#This Row],[D, top '[m']]], "")</f>
        <v/>
      </c>
      <c r="I76" s="79" t="str">
        <f>IFERROR(-(MP_DATA[[#This Row],[D, bottom '[m']]]-MP_DATA[[#This Row],[D, top '[m']]])/(MP_DATA[[#This Row],[Bottom '[m']]]-MP_DATA[[#This Row],[Top '[m']]]),"")</f>
        <v/>
      </c>
      <c r="J76" s="79" t="str">
        <f t="shared" si="3"/>
        <v/>
      </c>
      <c r="K76" s="79" t="str">
        <f>IFERROR((MP_DATA[[#This Row],[D, bottom '[m']]]+MP_DATA[[#This Row],[D, top '[m']]])/(2*MP_DATA[[#This Row],[t '[mm']]]/1000),"")</f>
        <v/>
      </c>
      <c r="L76" s="79" t="str">
        <f>IFERROR((MP_DATA[[#This Row],[D, bottom '[m']]]+#REF!)/(2*#REF!/1000),"")</f>
        <v/>
      </c>
      <c r="AO76" s="79" t="str">
        <f>IFERROR(TP_DATA[[#This Row],[Bottom '[m']]]-TP_DATA[[#This Row],[D, top '[m']]], "")</f>
        <v/>
      </c>
      <c r="AP76" s="79" t="str">
        <f>IFERROR(-(TP_DATA[[#This Row],[D, bottom '[m']]]-TP_DATA[[#This Row],[D, top '[m']]])/(TP_DATA[[#This Row],[Bottom '[m']]]-TP_DATA[[#This Row],[Top '[m']]]),"")</f>
        <v/>
      </c>
      <c r="AQ76" s="79" t="str">
        <f t="shared" si="1"/>
        <v/>
      </c>
      <c r="AR76" s="79" t="str">
        <f>IFERROR((TP_DATA[[#This Row],[D, bottom '[m']]]+TP_DATA[[#This Row],[D, top '[m']]])/(2*TP_DATA[[#This Row],[t '[mm']]]/1000),"")</f>
        <v/>
      </c>
      <c r="AS76" s="79" t="str">
        <f>IFERROR((TP_DATA[[#This Row],[D, bottom '[m']]]+#REF!)/(2*#REF!/1000),"")</f>
        <v/>
      </c>
      <c r="BQ76" s="70">
        <v>46</v>
      </c>
      <c r="BR76">
        <v>77.396000000000001</v>
      </c>
      <c r="BS76">
        <v>74.674000000000007</v>
      </c>
      <c r="BT76">
        <v>6.7859999999999996</v>
      </c>
      <c r="BU76">
        <v>6.8479999999999999</v>
      </c>
      <c r="BV76">
        <v>32.200000000000003</v>
      </c>
      <c r="BW76" s="79">
        <f>IFERROR(TOWER_DATA[[#This Row],[Top '[m']]]-TOWER_DATA[[#This Row],[Bottom '[m']]], "")</f>
        <v>2.7219999999999942</v>
      </c>
      <c r="BX76" s="79">
        <f>IFERROR(-(TOWER_DATA[[#This Row],[D, bottom '[m']]]-TOWER_DATA[[#This Row],[D, top '[m']]])/(TOWER_DATA[[#This Row],[Bottom '[m']]]-TOWER_DATA[[#This Row],[Top '[m']]]),"")</f>
        <v>2.2777369581190452E-2</v>
      </c>
      <c r="BY76" s="79">
        <f t="shared" si="2"/>
        <v>14.665624875429092</v>
      </c>
      <c r="BZ76" s="79">
        <f>IFERROR((TOWER_DATA[[#This Row],[D, bottom '[m']]]+TOWER_DATA[[#This Row],[D, top '[m']]])/(2*TOWER_DATA[[#This Row],[t '[mm']]]/1000),"")</f>
        <v>211.70807453416151</v>
      </c>
      <c r="CA76" s="79" t="str">
        <f>IFERROR((TOWER_DATA[[#This Row],[D, bottom '[m']]]+#REF!)/(2*#REF!/1000),"")</f>
        <v/>
      </c>
      <c r="CB76" s="102">
        <v>53.786000000000001</v>
      </c>
      <c r="CC76" s="102">
        <v>145</v>
      </c>
      <c r="CD76" s="102" t="s">
        <v>267</v>
      </c>
      <c r="CF76" s="77">
        <v>46</v>
      </c>
      <c r="CG76" s="77">
        <v>77.396000000000001</v>
      </c>
      <c r="CH76" s="77">
        <v>74.674000000000007</v>
      </c>
      <c r="CI76" s="77">
        <v>6.7859999999999996</v>
      </c>
      <c r="CJ76" s="77">
        <v>6.8479999999999999</v>
      </c>
      <c r="CK76" s="77">
        <v>32.200000000000003</v>
      </c>
      <c r="CM76">
        <v>53.786000000000001</v>
      </c>
      <c r="CN76">
        <v>145</v>
      </c>
      <c r="CO76" t="s">
        <v>267</v>
      </c>
      <c r="DF76" s="79"/>
      <c r="DG76" s="79"/>
    </row>
    <row r="77" spans="2:111" x14ac:dyDescent="0.25">
      <c r="B77" s="79"/>
      <c r="C77" s="79"/>
      <c r="D77" s="79"/>
      <c r="E77" s="79"/>
      <c r="F77" s="79"/>
      <c r="G77" s="79"/>
      <c r="H77" s="79" t="str">
        <f>IFERROR(MP_DATA[[#This Row],[Bottom '[m']]]-MP_DATA[[#This Row],[D, top '[m']]], "")</f>
        <v/>
      </c>
      <c r="I77" s="79" t="str">
        <f>IFERROR(-(MP_DATA[[#This Row],[D, bottom '[m']]]-MP_DATA[[#This Row],[D, top '[m']]])/(MP_DATA[[#This Row],[Bottom '[m']]]-MP_DATA[[#This Row],[Top '[m']]]),"")</f>
        <v/>
      </c>
      <c r="J77" s="79" t="str">
        <f t="shared" si="3"/>
        <v/>
      </c>
      <c r="K77" s="79" t="str">
        <f>IFERROR((MP_DATA[[#This Row],[D, bottom '[m']]]+MP_DATA[[#This Row],[D, top '[m']]])/(2*MP_DATA[[#This Row],[t '[mm']]]/1000),"")</f>
        <v/>
      </c>
      <c r="L77" s="79" t="str">
        <f>IFERROR((MP_DATA[[#This Row],[D, bottom '[m']]]+#REF!)/(2*#REF!/1000),"")</f>
        <v/>
      </c>
      <c r="AO77" s="79" t="str">
        <f>IFERROR(TP_DATA[[#This Row],[Bottom '[m']]]-TP_DATA[[#This Row],[D, top '[m']]], "")</f>
        <v/>
      </c>
      <c r="AP77" s="79" t="str">
        <f>IFERROR(-(TP_DATA[[#This Row],[D, bottom '[m']]]-TP_DATA[[#This Row],[D, top '[m']]])/(TP_DATA[[#This Row],[Bottom '[m']]]-TP_DATA[[#This Row],[Top '[m']]]),"")</f>
        <v/>
      </c>
      <c r="AQ77" s="79" t="str">
        <f t="shared" si="1"/>
        <v/>
      </c>
      <c r="AR77" s="79" t="str">
        <f>IFERROR((TP_DATA[[#This Row],[D, bottom '[m']]]+TP_DATA[[#This Row],[D, top '[m']]])/(2*TP_DATA[[#This Row],[t '[mm']]]/1000),"")</f>
        <v/>
      </c>
      <c r="AS77" s="79" t="str">
        <f>IFERROR((TP_DATA[[#This Row],[D, bottom '[m']]]+#REF!)/(2*#REF!/1000),"")</f>
        <v/>
      </c>
      <c r="BQ77" s="70">
        <v>47</v>
      </c>
      <c r="BR77">
        <v>74.674000000000007</v>
      </c>
      <c r="BS77">
        <v>71.951999999999998</v>
      </c>
      <c r="BT77">
        <v>6.8479999999999999</v>
      </c>
      <c r="BU77">
        <v>6.9109999999999996</v>
      </c>
      <c r="BV77">
        <v>32.5</v>
      </c>
      <c r="BW77" s="79">
        <f>IFERROR(TOWER_DATA[[#This Row],[Top '[m']]]-TOWER_DATA[[#This Row],[Bottom '[m']]], "")</f>
        <v>2.7220000000000084</v>
      </c>
      <c r="BX77" s="79">
        <f>IFERROR(-(TOWER_DATA[[#This Row],[D, bottom '[m']]]-TOWER_DATA[[#This Row],[D, top '[m']]])/(TOWER_DATA[[#This Row],[Bottom '[m']]]-TOWER_DATA[[#This Row],[Top '[m']]]),"")</f>
        <v>2.3144746509919004E-2</v>
      </c>
      <c r="BY77" s="79">
        <f t="shared" si="2"/>
        <v>14.937961615821818</v>
      </c>
      <c r="BZ77" s="79">
        <f>IFERROR((TOWER_DATA[[#This Row],[D, bottom '[m']]]+TOWER_DATA[[#This Row],[D, top '[m']]])/(2*TOWER_DATA[[#This Row],[t '[mm']]]/1000),"")</f>
        <v>211.67692307692309</v>
      </c>
      <c r="CA77" s="79" t="str">
        <f>IFERROR((TOWER_DATA[[#This Row],[D, bottom '[m']]]+#REF!)/(2*#REF!/1000),"")</f>
        <v/>
      </c>
      <c r="CB77" s="102">
        <v>50.900000000000006</v>
      </c>
      <c r="CC77" s="102">
        <v>145</v>
      </c>
      <c r="CD77" s="102" t="s">
        <v>267</v>
      </c>
      <c r="CF77" s="77">
        <v>47</v>
      </c>
      <c r="CG77" s="77">
        <v>74.674000000000007</v>
      </c>
      <c r="CH77" s="77">
        <v>71.951999999999998</v>
      </c>
      <c r="CI77" s="77">
        <v>6.8479999999999999</v>
      </c>
      <c r="CJ77" s="77">
        <v>6.9109999999999996</v>
      </c>
      <c r="CK77" s="77">
        <v>32.5</v>
      </c>
      <c r="CM77">
        <v>50.900000000000006</v>
      </c>
      <c r="CN77">
        <v>145</v>
      </c>
      <c r="CO77" t="s">
        <v>267</v>
      </c>
      <c r="DF77" s="79"/>
      <c r="DG77" s="79"/>
    </row>
    <row r="78" spans="2:111" x14ac:dyDescent="0.25">
      <c r="B78" s="79"/>
      <c r="C78" s="79"/>
      <c r="D78" s="79"/>
      <c r="E78" s="79"/>
      <c r="F78" s="79"/>
      <c r="G78" s="79"/>
      <c r="H78" s="79" t="str">
        <f>IFERROR(MP_DATA[[#This Row],[Bottom '[m']]]-MP_DATA[[#This Row],[D, top '[m']]], "")</f>
        <v/>
      </c>
      <c r="I78" s="79" t="str">
        <f>IFERROR(-(MP_DATA[[#This Row],[D, bottom '[m']]]-MP_DATA[[#This Row],[D, top '[m']]])/(MP_DATA[[#This Row],[Bottom '[m']]]-MP_DATA[[#This Row],[Top '[m']]]),"")</f>
        <v/>
      </c>
      <c r="J78" s="79" t="str">
        <f t="shared" si="3"/>
        <v/>
      </c>
      <c r="K78" s="79" t="str">
        <f>IFERROR((MP_DATA[[#This Row],[D, bottom '[m']]]+MP_DATA[[#This Row],[D, top '[m']]])/(2*MP_DATA[[#This Row],[t '[mm']]]/1000),"")</f>
        <v/>
      </c>
      <c r="L78" s="79" t="str">
        <f>IFERROR((MP_DATA[[#This Row],[D, bottom '[m']]]+#REF!)/(2*#REF!/1000),"")</f>
        <v/>
      </c>
      <c r="AO78" s="79" t="str">
        <f>IFERROR(TP_DATA[[#This Row],[Bottom '[m']]]-TP_DATA[[#This Row],[D, top '[m']]], "")</f>
        <v/>
      </c>
      <c r="AP78" s="79" t="str">
        <f>IFERROR(-(TP_DATA[[#This Row],[D, bottom '[m']]]-TP_DATA[[#This Row],[D, top '[m']]])/(TP_DATA[[#This Row],[Bottom '[m']]]-TP_DATA[[#This Row],[Top '[m']]]),"")</f>
        <v/>
      </c>
      <c r="AQ78" s="79" t="str">
        <f t="shared" si="1"/>
        <v/>
      </c>
      <c r="AR78" s="79" t="str">
        <f>IFERROR((TP_DATA[[#This Row],[D, bottom '[m']]]+TP_DATA[[#This Row],[D, top '[m']]])/(2*TP_DATA[[#This Row],[t '[mm']]]/1000),"")</f>
        <v/>
      </c>
      <c r="AS78" s="79" t="str">
        <f>IFERROR((TP_DATA[[#This Row],[D, bottom '[m']]]+#REF!)/(2*#REF!/1000),"")</f>
        <v/>
      </c>
      <c r="BQ78" s="70">
        <v>48</v>
      </c>
      <c r="BR78">
        <v>71.951999999999998</v>
      </c>
      <c r="BS78">
        <v>70.900000000000006</v>
      </c>
      <c r="BT78">
        <v>6.9109999999999996</v>
      </c>
      <c r="BU78">
        <v>6.9340000000000002</v>
      </c>
      <c r="BV78">
        <v>33.5</v>
      </c>
      <c r="BW78" s="79">
        <f>IFERROR(TOWER_DATA[[#This Row],[Top '[m']]]-TOWER_DATA[[#This Row],[Bottom '[m']]], "")</f>
        <v>1.0519999999999925</v>
      </c>
      <c r="BX78" s="79">
        <f>IFERROR(-(TOWER_DATA[[#This Row],[D, bottom '[m']]]-TOWER_DATA[[#This Row],[D, top '[m']]])/(TOWER_DATA[[#This Row],[Bottom '[m']]]-TOWER_DATA[[#This Row],[Top '[m']]]),"")</f>
        <v>2.1863117870723137E-2</v>
      </c>
      <c r="BY78" s="79">
        <f t="shared" si="2"/>
        <v>5.9873722621344063</v>
      </c>
      <c r="BZ78" s="79">
        <f>IFERROR((TOWER_DATA[[#This Row],[D, bottom '[m']]]+TOWER_DATA[[#This Row],[D, top '[m']]])/(2*TOWER_DATA[[#This Row],[t '[mm']]]/1000),"")</f>
        <v>206.64179104477608</v>
      </c>
      <c r="CA78" s="79" t="str">
        <f>IFERROR((TOWER_DATA[[#This Row],[D, bottom '[m']]]+#REF!)/(2*#REF!/1000),"")</f>
        <v/>
      </c>
      <c r="CB78" s="102">
        <v>49.674999999999997</v>
      </c>
      <c r="CC78" s="102">
        <v>145</v>
      </c>
      <c r="CD78" s="102" t="s">
        <v>267</v>
      </c>
      <c r="CF78" s="77">
        <v>48</v>
      </c>
      <c r="CG78" s="77">
        <v>71.951999999999998</v>
      </c>
      <c r="CH78" s="77">
        <v>70.900000000000006</v>
      </c>
      <c r="CI78" s="77">
        <v>6.9109999999999996</v>
      </c>
      <c r="CJ78" s="77">
        <v>6.9340000000000002</v>
      </c>
      <c r="CK78" s="77">
        <v>33.5</v>
      </c>
      <c r="CM78">
        <v>49.674999999999997</v>
      </c>
      <c r="CN78">
        <v>145</v>
      </c>
      <c r="CO78" t="s">
        <v>267</v>
      </c>
      <c r="DF78" s="79"/>
      <c r="DG78" s="79"/>
    </row>
    <row r="79" spans="2:111" x14ac:dyDescent="0.25">
      <c r="B79" s="79"/>
      <c r="D79" s="79"/>
      <c r="F79" s="79"/>
      <c r="H79" s="79" t="str">
        <f>IFERROR(MP_DATA[[#This Row],[Bottom '[m']]]-MP_DATA[[#This Row],[D, top '[m']]], "")</f>
        <v/>
      </c>
      <c r="I79" t="str">
        <f>IFERROR(-(MP_DATA[[#This Row],[D, bottom '[m']]]-MP_DATA[[#This Row],[D, top '[m']]])/(MP_DATA[[#This Row],[Bottom '[m']]]-MP_DATA[[#This Row],[Top '[m']]]),"")</f>
        <v/>
      </c>
      <c r="J79" s="79" t="str">
        <f t="shared" si="3"/>
        <v/>
      </c>
      <c r="K79" s="79" t="str">
        <f>IFERROR((MP_DATA[[#This Row],[D, bottom '[m']]]+MP_DATA[[#This Row],[D, top '[m']]])/(2*MP_DATA[[#This Row],[t '[mm']]]/1000),"")</f>
        <v/>
      </c>
      <c r="L79" s="79" t="str">
        <f>IFERROR((MP_DATA[[#This Row],[D, bottom '[m']]]+#REF!)/(2*#REF!/1000),"")</f>
        <v/>
      </c>
      <c r="AO79" s="79" t="str">
        <f>IFERROR(TP_DATA[[#This Row],[Bottom '[m']]]-TP_DATA[[#This Row],[D, top '[m']]], "")</f>
        <v/>
      </c>
      <c r="AP79" s="79" t="str">
        <f>IFERROR(-(TP_DATA[[#This Row],[D, bottom '[m']]]-TP_DATA[[#This Row],[D, top '[m']]])/(TP_DATA[[#This Row],[Bottom '[m']]]-TP_DATA[[#This Row],[Top '[m']]]),"")</f>
        <v/>
      </c>
      <c r="AQ79" s="79" t="str">
        <f t="shared" si="1"/>
        <v/>
      </c>
      <c r="AR79" s="79" t="str">
        <f>IFERROR((TP_DATA[[#This Row],[D, bottom '[m']]]+TP_DATA[[#This Row],[D, top '[m']]])/(2*TP_DATA[[#This Row],[t '[mm']]]/1000),"")</f>
        <v/>
      </c>
      <c r="AS79" s="79" t="str">
        <f>IFERROR((TP_DATA[[#This Row],[D, bottom '[m']]]+#REF!)/(2*#REF!/1000),"")</f>
        <v/>
      </c>
      <c r="BQ79" s="70">
        <v>49</v>
      </c>
      <c r="BR79">
        <v>70.900000000000006</v>
      </c>
      <c r="BS79">
        <v>69.225000000000009</v>
      </c>
      <c r="BT79">
        <v>6.9340000000000002</v>
      </c>
      <c r="BU79">
        <v>6.9720000000000004</v>
      </c>
      <c r="BV79">
        <v>33.5</v>
      </c>
      <c r="BW79" s="79">
        <f>IFERROR(TOWER_DATA[[#This Row],[Top '[m']]]-TOWER_DATA[[#This Row],[Bottom '[m']]], "")</f>
        <v>1.6749999999999972</v>
      </c>
      <c r="BX79" s="79">
        <f>IFERROR(-(TOWER_DATA[[#This Row],[D, bottom '[m']]]-TOWER_DATA[[#This Row],[D, top '[m']]])/(TOWER_DATA[[#This Row],[Bottom '[m']]]-TOWER_DATA[[#This Row],[Top '[m']]]),"")</f>
        <v>2.2686567164179296E-2</v>
      </c>
      <c r="BY79" s="79">
        <f t="shared" si="2"/>
        <v>9.5753324534747843</v>
      </c>
      <c r="BZ79" s="79">
        <f>IFERROR((TOWER_DATA[[#This Row],[D, bottom '[m']]]+TOWER_DATA[[#This Row],[D, top '[m']]])/(2*TOWER_DATA[[#This Row],[t '[mm']]]/1000),"")</f>
        <v>207.55223880597015</v>
      </c>
      <c r="CA79" s="79" t="str">
        <f>IFERROR((TOWER_DATA[[#This Row],[D, bottom '[m']]]+#REF!)/(2*#REF!/1000),"")</f>
        <v/>
      </c>
      <c r="CB79" s="102">
        <v>45.564000000000007</v>
      </c>
      <c r="CC79" s="102">
        <v>146</v>
      </c>
      <c r="CD79" s="102" t="s">
        <v>267</v>
      </c>
      <c r="CF79" s="77">
        <v>49</v>
      </c>
      <c r="CG79" s="77">
        <v>70.900000000000006</v>
      </c>
      <c r="CH79" s="77">
        <v>69.225000000000009</v>
      </c>
      <c r="CI79" s="77">
        <v>6.9340000000000002</v>
      </c>
      <c r="CJ79" s="77">
        <v>6.9720000000000004</v>
      </c>
      <c r="CK79" s="77">
        <v>33.5</v>
      </c>
      <c r="CM79">
        <v>45.564000000000007</v>
      </c>
      <c r="CN79">
        <v>146</v>
      </c>
      <c r="CO79" t="s">
        <v>267</v>
      </c>
      <c r="DF79" s="79"/>
      <c r="DG79" s="79"/>
    </row>
    <row r="80" spans="2:111" x14ac:dyDescent="0.25">
      <c r="B80" s="79"/>
      <c r="D80" s="79"/>
      <c r="F80" s="79"/>
      <c r="H80" s="79" t="str">
        <f>IFERROR(MP_DATA[[#This Row],[Bottom '[m']]]-MP_DATA[[#This Row],[D, top '[m']]], "")</f>
        <v/>
      </c>
      <c r="I80" t="str">
        <f>IFERROR(-(MP_DATA[[#This Row],[D, bottom '[m']]]-MP_DATA[[#This Row],[D, top '[m']]])/(MP_DATA[[#This Row],[Bottom '[m']]]-MP_DATA[[#This Row],[Top '[m']]]),"")</f>
        <v/>
      </c>
      <c r="J80" s="79" t="str">
        <f t="shared" si="3"/>
        <v/>
      </c>
      <c r="K80" s="79" t="str">
        <f>IFERROR((MP_DATA[[#This Row],[D, bottom '[m']]]+MP_DATA[[#This Row],[D, top '[m']]])/(2*MP_DATA[[#This Row],[t '[mm']]]/1000),"")</f>
        <v/>
      </c>
      <c r="L80" s="79" t="str">
        <f>IFERROR((MP_DATA[[#This Row],[D, bottom '[m']]]+#REF!)/(2*#REF!/1000),"")</f>
        <v/>
      </c>
      <c r="AO80" s="79" t="str">
        <f>IFERROR(TP_DATA[[#This Row],[Bottom '[m']]]-TP_DATA[[#This Row],[D, top '[m']]], "")</f>
        <v/>
      </c>
      <c r="AP80" s="79" t="str">
        <f>IFERROR(-(TP_DATA[[#This Row],[D, bottom '[m']]]-TP_DATA[[#This Row],[D, top '[m']]])/(TP_DATA[[#This Row],[Bottom '[m']]]-TP_DATA[[#This Row],[Top '[m']]]),"")</f>
        <v/>
      </c>
      <c r="AQ80" s="79" t="str">
        <f t="shared" si="1"/>
        <v/>
      </c>
      <c r="AR80" s="79" t="str">
        <f>IFERROR((TP_DATA[[#This Row],[D, bottom '[m']]]+TP_DATA[[#This Row],[D, top '[m']]])/(2*TP_DATA[[#This Row],[t '[mm']]]/1000),"")</f>
        <v/>
      </c>
      <c r="AS80" s="79" t="str">
        <f>IFERROR((TP_DATA[[#This Row],[D, bottom '[m']]]+#REF!)/(2*#REF!/1000),"")</f>
        <v/>
      </c>
      <c r="BQ80" s="70">
        <v>50</v>
      </c>
      <c r="BR80">
        <v>69.225000000000009</v>
      </c>
      <c r="BS80">
        <v>66.490000000000009</v>
      </c>
      <c r="BT80">
        <v>6.9720000000000004</v>
      </c>
      <c r="BU80">
        <v>7.0380000000000003</v>
      </c>
      <c r="BV80">
        <v>34</v>
      </c>
      <c r="BW80" s="79">
        <f>IFERROR(TOWER_DATA[[#This Row],[Top '[m']]]-TOWER_DATA[[#This Row],[Bottom '[m']]], "")</f>
        <v>2.7349999999999994</v>
      </c>
      <c r="BX80" s="79">
        <f>IFERROR(-(TOWER_DATA[[#This Row],[D, bottom '[m']]]-TOWER_DATA[[#This Row],[D, top '[m']]])/(TOWER_DATA[[#This Row],[Bottom '[m']]]-TOWER_DATA[[#This Row],[Top '[m']]]),"")</f>
        <v>2.4131627056672707E-2</v>
      </c>
      <c r="BY80" s="79">
        <f t="shared" si="2"/>
        <v>15.986406792159258</v>
      </c>
      <c r="BZ80" s="79">
        <f>IFERROR((TOWER_DATA[[#This Row],[D, bottom '[m']]]+TOWER_DATA[[#This Row],[D, top '[m']]])/(2*TOWER_DATA[[#This Row],[t '[mm']]]/1000),"")</f>
        <v>206.02941176470588</v>
      </c>
      <c r="CA80" s="79" t="str">
        <f>IFERROR((TOWER_DATA[[#This Row],[D, bottom '[m']]]+#REF!)/(2*#REF!/1000),"")</f>
        <v/>
      </c>
      <c r="CB80" s="102">
        <v>41.561000000000007</v>
      </c>
      <c r="CC80" s="102">
        <v>146</v>
      </c>
      <c r="CD80" s="102" t="s">
        <v>267</v>
      </c>
      <c r="CF80" s="77">
        <v>50</v>
      </c>
      <c r="CG80" s="77">
        <v>69.225000000000009</v>
      </c>
      <c r="CH80" s="77">
        <v>66.490000000000009</v>
      </c>
      <c r="CI80" s="77">
        <v>6.9720000000000004</v>
      </c>
      <c r="CJ80" s="77">
        <v>7.0380000000000003</v>
      </c>
      <c r="CK80" s="77">
        <v>34</v>
      </c>
      <c r="CM80" s="77">
        <v>41.561000000000007</v>
      </c>
      <c r="CN80" s="77">
        <v>146</v>
      </c>
      <c r="CO80" s="77" t="s">
        <v>267</v>
      </c>
      <c r="DF80" s="79"/>
      <c r="DG80" s="79"/>
    </row>
    <row r="81" spans="2:111" x14ac:dyDescent="0.25">
      <c r="B81" s="79"/>
      <c r="D81" s="79"/>
      <c r="F81" s="79"/>
      <c r="H81" s="79" t="str">
        <f>IFERROR(MP_DATA[[#This Row],[Bottom '[m']]]-MP_DATA[[#This Row],[D, top '[m']]], "")</f>
        <v/>
      </c>
      <c r="I81" t="str">
        <f>IFERROR(-(MP_DATA[[#This Row],[D, bottom '[m']]]-MP_DATA[[#This Row],[D, top '[m']]])/(MP_DATA[[#This Row],[Bottom '[m']]]-MP_DATA[[#This Row],[Top '[m']]]),"")</f>
        <v/>
      </c>
      <c r="J81" s="79" t="str">
        <f t="shared" si="3"/>
        <v/>
      </c>
      <c r="K81" s="79" t="str">
        <f>IFERROR((MP_DATA[[#This Row],[D, bottom '[m']]]+MP_DATA[[#This Row],[D, top '[m']]])/(2*MP_DATA[[#This Row],[t '[mm']]]/1000),"")</f>
        <v/>
      </c>
      <c r="L81" s="79" t="str">
        <f>IFERROR((MP_DATA[[#This Row],[D, bottom '[m']]]+#REF!)/(2*#REF!/1000),"")</f>
        <v/>
      </c>
      <c r="AO81" s="79" t="str">
        <f>IFERROR(TP_DATA[[#This Row],[Bottom '[m']]]-TP_DATA[[#This Row],[D, top '[m']]], "")</f>
        <v/>
      </c>
      <c r="AP81" s="79" t="str">
        <f>IFERROR(-(TP_DATA[[#This Row],[D, bottom '[m']]]-TP_DATA[[#This Row],[D, top '[m']]])/(TP_DATA[[#This Row],[Bottom '[m']]]-TP_DATA[[#This Row],[Top '[m']]]),"")</f>
        <v/>
      </c>
      <c r="AQ81" s="79" t="str">
        <f t="shared" si="1"/>
        <v/>
      </c>
      <c r="AR81" s="79" t="str">
        <f>IFERROR((TP_DATA[[#This Row],[D, bottom '[m']]]+TP_DATA[[#This Row],[D, top '[m']]])/(2*TP_DATA[[#This Row],[t '[mm']]]/1000),"")</f>
        <v/>
      </c>
      <c r="AS81" s="79" t="str">
        <f>IFERROR((TP_DATA[[#This Row],[D, bottom '[m']]]+#REF!)/(2*#REF!/1000),"")</f>
        <v/>
      </c>
      <c r="BQ81" s="70">
        <v>51</v>
      </c>
      <c r="BR81">
        <v>66.490000000000009</v>
      </c>
      <c r="BS81">
        <v>66.445000000000007</v>
      </c>
      <c r="BT81">
        <v>7.0380000000000003</v>
      </c>
      <c r="BU81">
        <v>7.0380000000000003</v>
      </c>
      <c r="BV81">
        <v>38</v>
      </c>
      <c r="BW81" s="79">
        <f>IFERROR(TOWER_DATA[[#This Row],[Top '[m']]]-TOWER_DATA[[#This Row],[Bottom '[m']]], "")</f>
        <v>4.5000000000001705E-2</v>
      </c>
      <c r="BX81" s="79">
        <f>IFERROR(-(TOWER_DATA[[#This Row],[D, bottom '[m']]]-TOWER_DATA[[#This Row],[D, top '[m']]])/(TOWER_DATA[[#This Row],[Bottom '[m']]]-TOWER_DATA[[#This Row],[Top '[m']]]),"")</f>
        <v>0</v>
      </c>
      <c r="BY81" s="79">
        <f t="shared" si="2"/>
        <v>0.29519818289824729</v>
      </c>
      <c r="BZ81" s="79">
        <f>IFERROR((TOWER_DATA[[#This Row],[D, bottom '[m']]]+TOWER_DATA[[#This Row],[D, top '[m']]])/(2*TOWER_DATA[[#This Row],[t '[mm']]]/1000),"")</f>
        <v>185.21052631578948</v>
      </c>
      <c r="CA81" s="79" t="str">
        <f>IFERROR((TOWER_DATA[[#This Row],[D, bottom '[m']]]+#REF!)/(2*#REF!/1000),"")</f>
        <v/>
      </c>
      <c r="CB81" s="102">
        <v>40.900000000000006</v>
      </c>
      <c r="CC81" s="102">
        <v>150</v>
      </c>
      <c r="CD81" s="102" t="s">
        <v>267</v>
      </c>
      <c r="CF81" s="77">
        <v>51</v>
      </c>
      <c r="CG81" s="77">
        <v>66.490000000000009</v>
      </c>
      <c r="CH81" s="77">
        <v>66.445000000000007</v>
      </c>
      <c r="CI81" s="77">
        <v>7.0380000000000003</v>
      </c>
      <c r="CJ81" s="77">
        <v>7.0380000000000003</v>
      </c>
      <c r="CK81" s="77">
        <v>38</v>
      </c>
      <c r="CM81" s="77">
        <v>40.900000000000006</v>
      </c>
      <c r="CN81" s="77">
        <v>150</v>
      </c>
      <c r="CO81" s="77" t="s">
        <v>267</v>
      </c>
      <c r="DF81" s="79"/>
      <c r="DG81" s="79"/>
    </row>
    <row r="82" spans="2:111" x14ac:dyDescent="0.25">
      <c r="B82" s="79"/>
      <c r="D82" s="79"/>
      <c r="F82" s="79"/>
      <c r="H82" s="79" t="str">
        <f>IFERROR(MP_DATA[[#This Row],[Bottom '[m']]]-MP_DATA[[#This Row],[D, top '[m']]], "")</f>
        <v/>
      </c>
      <c r="I82" t="str">
        <f>IFERROR(-(MP_DATA[[#This Row],[D, bottom '[m']]]-MP_DATA[[#This Row],[D, top '[m']]])/(MP_DATA[[#This Row],[Bottom '[m']]]-MP_DATA[[#This Row],[Top '[m']]]),"")</f>
        <v/>
      </c>
      <c r="J82" s="79" t="str">
        <f t="shared" si="3"/>
        <v/>
      </c>
      <c r="K82" s="79" t="str">
        <f>IFERROR((MP_DATA[[#This Row],[D, bottom '[m']]]+MP_DATA[[#This Row],[D, top '[m']]])/(2*MP_DATA[[#This Row],[t '[mm']]]/1000),"")</f>
        <v/>
      </c>
      <c r="L82" s="79" t="str">
        <f>IFERROR((MP_DATA[[#This Row],[D, bottom '[m']]]+#REF!)/(2*#REF!/1000),"")</f>
        <v/>
      </c>
      <c r="AO82" s="79" t="str">
        <f>IFERROR(TP_DATA[[#This Row],[Bottom '[m']]]-TP_DATA[[#This Row],[D, top '[m']]], "")</f>
        <v/>
      </c>
      <c r="AP82" s="79" t="str">
        <f>IFERROR(-(TP_DATA[[#This Row],[D, bottom '[m']]]-TP_DATA[[#This Row],[D, top '[m']]])/(TP_DATA[[#This Row],[Bottom '[m']]]-TP_DATA[[#This Row],[Top '[m']]]),"")</f>
        <v/>
      </c>
      <c r="AQ82" s="79" t="str">
        <f t="shared" si="1"/>
        <v/>
      </c>
      <c r="AR82" s="79" t="str">
        <f>IFERROR((TP_DATA[[#This Row],[D, bottom '[m']]]+TP_DATA[[#This Row],[D, top '[m']]])/(2*TP_DATA[[#This Row],[t '[mm']]]/1000),"")</f>
        <v/>
      </c>
      <c r="AS82" s="79" t="str">
        <f>IFERROR((TP_DATA[[#This Row],[D, bottom '[m']]]+#REF!)/(2*#REF!/1000),"")</f>
        <v/>
      </c>
      <c r="BQ82" s="70">
        <v>52</v>
      </c>
      <c r="BR82">
        <v>66.445000000000007</v>
      </c>
      <c r="BS82">
        <v>66.260000000000005</v>
      </c>
      <c r="BT82">
        <v>7.0380000000000003</v>
      </c>
      <c r="BU82">
        <v>7.0380000000000003</v>
      </c>
      <c r="BV82">
        <v>38</v>
      </c>
      <c r="BW82" s="79">
        <f>IFERROR(TOWER_DATA[[#This Row],[Top '[m']]]-TOWER_DATA[[#This Row],[Bottom '[m']]], "")</f>
        <v>0.18500000000000227</v>
      </c>
      <c r="BX82" s="79">
        <f>IFERROR(-(TOWER_DATA[[#This Row],[D, bottom '[m']]]-TOWER_DATA[[#This Row],[D, top '[m']]])/(TOWER_DATA[[#This Row],[Bottom '[m']]]-TOWER_DATA[[#This Row],[Top '[m']]]),"")</f>
        <v>0</v>
      </c>
      <c r="BY82" s="79">
        <f t="shared" si="2"/>
        <v>1.2135925296927634</v>
      </c>
      <c r="BZ82" s="79">
        <f>IFERROR((TOWER_DATA[[#This Row],[D, bottom '[m']]]+TOWER_DATA[[#This Row],[D, top '[m']]])/(2*TOWER_DATA[[#This Row],[t '[mm']]]/1000),"")</f>
        <v>185.21052631578948</v>
      </c>
      <c r="CA82" s="79" t="str">
        <f>IFERROR((TOWER_DATA[[#This Row],[D, bottom '[m']]]+#REF!)/(2*#REF!/1000),"")</f>
        <v/>
      </c>
      <c r="CB82" s="102">
        <v>38.725000000000001</v>
      </c>
      <c r="CC82" s="102">
        <v>7072</v>
      </c>
      <c r="CD82" s="102" t="s">
        <v>267</v>
      </c>
      <c r="CF82" s="77">
        <v>52</v>
      </c>
      <c r="CG82" s="77">
        <v>66.445000000000007</v>
      </c>
      <c r="CH82" s="77">
        <v>66.260000000000005</v>
      </c>
      <c r="CI82" s="77">
        <v>7.0380000000000003</v>
      </c>
      <c r="CJ82" s="77">
        <v>7.0380000000000003</v>
      </c>
      <c r="CK82" s="77">
        <v>38</v>
      </c>
      <c r="CM82" s="77">
        <v>38.725000000000001</v>
      </c>
      <c r="CN82" s="77">
        <v>7072</v>
      </c>
      <c r="CO82" s="77" t="s">
        <v>267</v>
      </c>
      <c r="DF82" s="79"/>
      <c r="DG82" s="79"/>
    </row>
    <row r="83" spans="2:111" x14ac:dyDescent="0.25">
      <c r="B83" s="79"/>
      <c r="C83" s="79"/>
      <c r="D83" s="79"/>
      <c r="E83" s="79"/>
      <c r="F83" s="79"/>
      <c r="G83" s="79"/>
      <c r="H83" s="79" t="str">
        <f>IFERROR(MP_DATA[[#This Row],[Bottom '[m']]]-MP_DATA[[#This Row],[D, top '[m']]], "")</f>
        <v/>
      </c>
      <c r="I83" s="79" t="str">
        <f>IFERROR(-(MP_DATA[[#This Row],[D, bottom '[m']]]-MP_DATA[[#This Row],[D, top '[m']]])/(MP_DATA[[#This Row],[Bottom '[m']]]-MP_DATA[[#This Row],[Top '[m']]]),"")</f>
        <v/>
      </c>
      <c r="J83" s="79" t="str">
        <f t="shared" si="3"/>
        <v/>
      </c>
      <c r="K83" s="79" t="str">
        <f>IFERROR((MP_DATA[[#This Row],[D, bottom '[m']]]+MP_DATA[[#This Row],[D, top '[m']]])/(2*MP_DATA[[#This Row],[t '[mm']]]/1000),"")</f>
        <v/>
      </c>
      <c r="L83" s="79" t="str">
        <f>IFERROR((MP_DATA[[#This Row],[D, bottom '[m']]]+#REF!)/(2*#REF!/1000),"")</f>
        <v/>
      </c>
      <c r="AO83" s="79" t="str">
        <f>IFERROR(TP_DATA[[#This Row],[Bottom '[m']]]-TP_DATA[[#This Row],[D, top '[m']]], "")</f>
        <v/>
      </c>
      <c r="AP83" s="79" t="str">
        <f>IFERROR(-(TP_DATA[[#This Row],[D, bottom '[m']]]-TP_DATA[[#This Row],[D, top '[m']]])/(TP_DATA[[#This Row],[Bottom '[m']]]-TP_DATA[[#This Row],[Top '[m']]]),"")</f>
        <v/>
      </c>
      <c r="AQ83" s="79" t="str">
        <f t="shared" si="1"/>
        <v/>
      </c>
      <c r="AR83" s="79" t="str">
        <f>IFERROR((TP_DATA[[#This Row],[D, bottom '[m']]]+TP_DATA[[#This Row],[D, top '[m']]])/(2*TP_DATA[[#This Row],[t '[mm']]]/1000),"")</f>
        <v/>
      </c>
      <c r="AS83" s="79" t="str">
        <f>IFERROR((TP_DATA[[#This Row],[D, bottom '[m']]]+#REF!)/(2*#REF!/1000),"")</f>
        <v/>
      </c>
      <c r="BQ83" s="70">
        <v>53</v>
      </c>
      <c r="BR83">
        <v>66.260000000000005</v>
      </c>
      <c r="BS83">
        <v>66.075000000000003</v>
      </c>
      <c r="BT83">
        <v>7.0380000000000003</v>
      </c>
      <c r="BU83">
        <v>7.0380000000000003</v>
      </c>
      <c r="BV83">
        <v>38</v>
      </c>
      <c r="BW83" s="79">
        <f>IFERROR(TOWER_DATA[[#This Row],[Top '[m']]]-TOWER_DATA[[#This Row],[Bottom '[m']]], "")</f>
        <v>0.18500000000000227</v>
      </c>
      <c r="BX83" s="79">
        <f>IFERROR(-(TOWER_DATA[[#This Row],[D, bottom '[m']]]-TOWER_DATA[[#This Row],[D, top '[m']]])/(TOWER_DATA[[#This Row],[Bottom '[m']]]-TOWER_DATA[[#This Row],[Top '[m']]]),"")</f>
        <v>0</v>
      </c>
      <c r="BY83" s="79">
        <f t="shared" si="2"/>
        <v>1.2135925296927634</v>
      </c>
      <c r="BZ83" s="79">
        <f>IFERROR((TOWER_DATA[[#This Row],[D, bottom '[m']]]+TOWER_DATA[[#This Row],[D, top '[m']]])/(2*TOWER_DATA[[#This Row],[t '[mm']]]/1000),"")</f>
        <v>185.21052631578948</v>
      </c>
      <c r="CA83" s="79" t="str">
        <f>IFERROR((TOWER_DATA[[#This Row],[D, bottom '[m']]]+#REF!)/(2*#REF!/1000),"")</f>
        <v/>
      </c>
      <c r="CB83" s="102">
        <v>38.540000000000006</v>
      </c>
      <c r="CC83" s="102">
        <v>11176</v>
      </c>
      <c r="CD83" s="102" t="s">
        <v>267</v>
      </c>
      <c r="CF83" s="77">
        <v>53</v>
      </c>
      <c r="CG83" s="77">
        <v>66.260000000000005</v>
      </c>
      <c r="CH83" s="77">
        <v>66.075000000000003</v>
      </c>
      <c r="CI83" s="77">
        <v>7.0380000000000003</v>
      </c>
      <c r="CJ83" s="77">
        <v>7.0380000000000003</v>
      </c>
      <c r="CK83" s="77">
        <v>38</v>
      </c>
      <c r="CM83" s="77">
        <v>38.540000000000006</v>
      </c>
      <c r="CN83" s="77">
        <v>11176</v>
      </c>
      <c r="CO83" s="77" t="s">
        <v>267</v>
      </c>
      <c r="DF83" s="79"/>
      <c r="DG83" s="79"/>
    </row>
    <row r="84" spans="2:111" x14ac:dyDescent="0.25">
      <c r="B84" s="79"/>
      <c r="C84" s="79"/>
      <c r="D84" s="79"/>
      <c r="E84" s="79"/>
      <c r="F84" s="79"/>
      <c r="G84" s="79"/>
      <c r="H84" s="79" t="str">
        <f>IFERROR(MP_DATA[[#This Row],[Bottom '[m']]]-MP_DATA[[#This Row],[D, top '[m']]], "")</f>
        <v/>
      </c>
      <c r="I84" s="79" t="str">
        <f>IFERROR(-(MP_DATA[[#This Row],[D, bottom '[m']]]-MP_DATA[[#This Row],[D, top '[m']]])/(MP_DATA[[#This Row],[Bottom '[m']]]-MP_DATA[[#This Row],[Top '[m']]]),"")</f>
        <v/>
      </c>
      <c r="J84" s="79" t="str">
        <f t="shared" si="3"/>
        <v/>
      </c>
      <c r="K84" s="79" t="str">
        <f>IFERROR((MP_DATA[[#This Row],[D, bottom '[m']]]+MP_DATA[[#This Row],[D, top '[m']]])/(2*MP_DATA[[#This Row],[t '[mm']]]/1000),"")</f>
        <v/>
      </c>
      <c r="L84" s="79" t="str">
        <f>IFERROR((MP_DATA[[#This Row],[D, bottom '[m']]]+#REF!)/(2*#REF!/1000),"")</f>
        <v/>
      </c>
      <c r="AO84" s="79" t="str">
        <f>IFERROR(TP_DATA[[#This Row],[Bottom '[m']]]-TP_DATA[[#This Row],[D, top '[m']]], "")</f>
        <v/>
      </c>
      <c r="AP84" s="79" t="str">
        <f>IFERROR(-(TP_DATA[[#This Row],[D, bottom '[m']]]-TP_DATA[[#This Row],[D, top '[m']]])/(TP_DATA[[#This Row],[Bottom '[m']]]-TP_DATA[[#This Row],[Top '[m']]]),"")</f>
        <v/>
      </c>
      <c r="AQ84" s="79" t="str">
        <f t="shared" si="1"/>
        <v/>
      </c>
      <c r="AR84" s="79" t="str">
        <f>IFERROR((TP_DATA[[#This Row],[D, bottom '[m']]]+TP_DATA[[#This Row],[D, top '[m']]])/(2*TP_DATA[[#This Row],[t '[mm']]]/1000),"")</f>
        <v/>
      </c>
      <c r="AS84" s="79" t="str">
        <f>IFERROR((TP_DATA[[#This Row],[D, bottom '[m']]]+#REF!)/(2*#REF!/1000),"")</f>
        <v/>
      </c>
      <c r="BQ84" s="70">
        <v>54</v>
      </c>
      <c r="BR84">
        <v>66.075000000000003</v>
      </c>
      <c r="BS84">
        <v>66.03</v>
      </c>
      <c r="BT84">
        <v>7.0380000000000003</v>
      </c>
      <c r="BU84">
        <v>7.032</v>
      </c>
      <c r="BV84">
        <v>38</v>
      </c>
      <c r="BW84" s="79">
        <f>IFERROR(TOWER_DATA[[#This Row],[Top '[m']]]-TOWER_DATA[[#This Row],[Bottom '[m']]], "")</f>
        <v>4.5000000000001705E-2</v>
      </c>
      <c r="BX84" s="79">
        <f>IFERROR(-(TOWER_DATA[[#This Row],[D, bottom '[m']]]-TOWER_DATA[[#This Row],[D, top '[m']]])/(TOWER_DATA[[#This Row],[Bottom '[m']]]-TOWER_DATA[[#This Row],[Top '[m']]]),"")</f>
        <v>-0.13333333333333333</v>
      </c>
      <c r="BY84" s="79">
        <f t="shared" si="2"/>
        <v>0.29507166939129226</v>
      </c>
      <c r="BZ84" s="79">
        <f>IFERROR((TOWER_DATA[[#This Row],[D, bottom '[m']]]+TOWER_DATA[[#This Row],[D, top '[m']]])/(2*TOWER_DATA[[#This Row],[t '[mm']]]/1000),"")</f>
        <v>185.13157894736844</v>
      </c>
      <c r="CA84" s="79" t="str">
        <f>IFERROR((TOWER_DATA[[#This Row],[D, bottom '[m']]]+#REF!)/(2*#REF!/1000),"")</f>
        <v/>
      </c>
      <c r="CB84" s="102">
        <v>38.355000000000004</v>
      </c>
      <c r="CC84" s="102">
        <v>6</v>
      </c>
      <c r="CD84" s="102" t="s">
        <v>267</v>
      </c>
      <c r="CF84" s="77">
        <v>54</v>
      </c>
      <c r="CG84" s="77">
        <v>66.075000000000003</v>
      </c>
      <c r="CH84" s="77">
        <v>66.03</v>
      </c>
      <c r="CI84" s="77">
        <v>7.0380000000000003</v>
      </c>
      <c r="CJ84" s="77">
        <v>7.032</v>
      </c>
      <c r="CK84" s="77">
        <v>38</v>
      </c>
      <c r="CM84" s="77">
        <v>38.355000000000004</v>
      </c>
      <c r="CN84" s="77">
        <v>6</v>
      </c>
      <c r="CO84" s="77" t="s">
        <v>267</v>
      </c>
      <c r="DF84" s="79"/>
      <c r="DG84" s="79"/>
    </row>
    <row r="85" spans="2:111" x14ac:dyDescent="0.25">
      <c r="B85" s="79"/>
      <c r="C85" s="79"/>
      <c r="D85" s="79"/>
      <c r="E85" s="79"/>
      <c r="F85" s="79"/>
      <c r="G85" s="79"/>
      <c r="H85" s="79" t="str">
        <f>IFERROR(MP_DATA[[#This Row],[Bottom '[m']]]-MP_DATA[[#This Row],[D, top '[m']]], "")</f>
        <v/>
      </c>
      <c r="I85" s="79" t="str">
        <f>IFERROR(-(MP_DATA[[#This Row],[D, bottom '[m']]]-MP_DATA[[#This Row],[D, top '[m']]])/(MP_DATA[[#This Row],[Bottom '[m']]]-MP_DATA[[#This Row],[Top '[m']]]),"")</f>
        <v/>
      </c>
      <c r="J85" s="79" t="str">
        <f t="shared" si="3"/>
        <v/>
      </c>
      <c r="K85" s="79" t="str">
        <f>IFERROR((MP_DATA[[#This Row],[D, bottom '[m']]]+MP_DATA[[#This Row],[D, top '[m']]])/(2*MP_DATA[[#This Row],[t '[mm']]]/1000),"")</f>
        <v/>
      </c>
      <c r="L85" s="79" t="str">
        <f>IFERROR((MP_DATA[[#This Row],[D, bottom '[m']]]+#REF!)/(2*#REF!/1000),"")</f>
        <v/>
      </c>
      <c r="AO85" s="79" t="str">
        <f>IFERROR(TP_DATA[[#This Row],[Bottom '[m']]]-TP_DATA[[#This Row],[D, top '[m']]], "")</f>
        <v/>
      </c>
      <c r="AP85" s="79" t="str">
        <f>IFERROR(-(TP_DATA[[#This Row],[D, bottom '[m']]]-TP_DATA[[#This Row],[D, top '[m']]])/(TP_DATA[[#This Row],[Bottom '[m']]]-TP_DATA[[#This Row],[Top '[m']]]),"")</f>
        <v/>
      </c>
      <c r="AQ85" s="79" t="str">
        <f t="shared" si="1"/>
        <v/>
      </c>
      <c r="AR85" s="79" t="str">
        <f>IFERROR((TP_DATA[[#This Row],[D, bottom '[m']]]+TP_DATA[[#This Row],[D, top '[m']]])/(2*TP_DATA[[#This Row],[t '[mm']]]/1000),"")</f>
        <v/>
      </c>
      <c r="AS85" s="79" t="str">
        <f>IFERROR((TP_DATA[[#This Row],[D, bottom '[m']]]+#REF!)/(2*#REF!/1000),"")</f>
        <v/>
      </c>
      <c r="BQ85" s="70">
        <v>55</v>
      </c>
      <c r="BR85">
        <v>66.03</v>
      </c>
      <c r="BS85">
        <v>63.308000000000007</v>
      </c>
      <c r="BT85">
        <v>7.032</v>
      </c>
      <c r="BU85">
        <v>7.0759999999999996</v>
      </c>
      <c r="BV85">
        <v>32</v>
      </c>
      <c r="BW85" s="79">
        <f>IFERROR(TOWER_DATA[[#This Row],[Top '[m']]]-TOWER_DATA[[#This Row],[Bottom '[m']]], "")</f>
        <v>2.7219999999999942</v>
      </c>
      <c r="BX85" s="79">
        <f>IFERROR(-(TOWER_DATA[[#This Row],[D, bottom '[m']]]-TOWER_DATA[[#This Row],[D, top '[m']]])/(TOWER_DATA[[#This Row],[Bottom '[m']]]-TOWER_DATA[[#This Row],[Top '[m']]]),"")</f>
        <v>1.6164584864070422E-2</v>
      </c>
      <c r="BY85" s="79">
        <f t="shared" si="2"/>
        <v>15.0840670340591</v>
      </c>
      <c r="BZ85" s="79">
        <f>IFERROR((TOWER_DATA[[#This Row],[D, bottom '[m']]]+TOWER_DATA[[#This Row],[D, top '[m']]])/(2*TOWER_DATA[[#This Row],[t '[mm']]]/1000),"")</f>
        <v>220.4375</v>
      </c>
      <c r="CA85" s="79" t="str">
        <f>IFERROR((TOWER_DATA[[#This Row],[D, bottom '[m']]]+#REF!)/(2*#REF!/1000),"")</f>
        <v/>
      </c>
      <c r="CB85" s="102">
        <v>38.305000000000007</v>
      </c>
      <c r="CC85" s="102">
        <v>2</v>
      </c>
      <c r="CD85" s="102" t="s">
        <v>267</v>
      </c>
      <c r="CF85" s="77">
        <v>55</v>
      </c>
      <c r="CG85" s="77">
        <v>66.03</v>
      </c>
      <c r="CH85" s="77">
        <v>63.308000000000007</v>
      </c>
      <c r="CI85" s="77">
        <v>7.032</v>
      </c>
      <c r="CJ85" s="77">
        <v>7.0759999999999996</v>
      </c>
      <c r="CK85" s="77">
        <v>32</v>
      </c>
      <c r="CM85" s="77">
        <v>38.305000000000007</v>
      </c>
      <c r="CN85" s="77">
        <v>2</v>
      </c>
      <c r="CO85" s="77" t="s">
        <v>267</v>
      </c>
      <c r="DF85" s="79"/>
      <c r="DG85" s="79"/>
    </row>
    <row r="86" spans="2:111" x14ac:dyDescent="0.25">
      <c r="B86" s="79"/>
      <c r="C86" s="79"/>
      <c r="D86" s="79"/>
      <c r="E86" s="79"/>
      <c r="F86" s="79"/>
      <c r="G86" s="79"/>
      <c r="H86" s="79" t="str">
        <f>IFERROR(MP_DATA[[#This Row],[Bottom '[m']]]-MP_DATA[[#This Row],[D, top '[m']]], "")</f>
        <v/>
      </c>
      <c r="I86" s="79" t="str">
        <f>IFERROR(-(MP_DATA[[#This Row],[D, bottom '[m']]]-MP_DATA[[#This Row],[D, top '[m']]])/(MP_DATA[[#This Row],[Bottom '[m']]]-MP_DATA[[#This Row],[Top '[m']]]),"")</f>
        <v/>
      </c>
      <c r="J86" s="79" t="str">
        <f t="shared" si="3"/>
        <v/>
      </c>
      <c r="K86" s="79" t="str">
        <f>IFERROR((MP_DATA[[#This Row],[D, bottom '[m']]]+MP_DATA[[#This Row],[D, top '[m']]])/(2*MP_DATA[[#This Row],[t '[mm']]]/1000),"")</f>
        <v/>
      </c>
      <c r="L86" s="79" t="str">
        <f>IFERROR((MP_DATA[[#This Row],[D, bottom '[m']]]+#REF!)/(2*#REF!/1000),"")</f>
        <v/>
      </c>
      <c r="AO86" s="79" t="str">
        <f>IFERROR(TP_DATA[[#This Row],[Bottom '[m']]]-TP_DATA[[#This Row],[D, top '[m']]], "")</f>
        <v/>
      </c>
      <c r="AP86" s="79" t="str">
        <f>IFERROR(-(TP_DATA[[#This Row],[D, bottom '[m']]]-TP_DATA[[#This Row],[D, top '[m']]])/(TP_DATA[[#This Row],[Bottom '[m']]]-TP_DATA[[#This Row],[Top '[m']]]),"")</f>
        <v/>
      </c>
      <c r="AQ86" s="79" t="str">
        <f t="shared" si="1"/>
        <v/>
      </c>
      <c r="AR86" s="79" t="str">
        <f>IFERROR((TP_DATA[[#This Row],[D, bottom '[m']]]+TP_DATA[[#This Row],[D, top '[m']]])/(2*TP_DATA[[#This Row],[t '[mm']]]/1000),"")</f>
        <v/>
      </c>
      <c r="AS86" s="79" t="str">
        <f>IFERROR((TP_DATA[[#This Row],[D, bottom '[m']]]+#REF!)/(2*#REF!/1000),"")</f>
        <v/>
      </c>
      <c r="BQ86" s="70">
        <v>56</v>
      </c>
      <c r="BR86">
        <v>63.308000000000007</v>
      </c>
      <c r="BS86">
        <v>62.007000000000005</v>
      </c>
      <c r="BT86">
        <v>7.0759999999999996</v>
      </c>
      <c r="BU86">
        <v>7.0970000000000004</v>
      </c>
      <c r="BV86">
        <v>33</v>
      </c>
      <c r="BW86" s="79">
        <f>IFERROR(TOWER_DATA[[#This Row],[Top '[m']]]-TOWER_DATA[[#This Row],[Bottom '[m']]], "")</f>
        <v>1.3010000000000019</v>
      </c>
      <c r="BX86" s="79">
        <f>IFERROR(-(TOWER_DATA[[#This Row],[D, bottom '[m']]]-TOWER_DATA[[#This Row],[D, top '[m']]])/(TOWER_DATA[[#This Row],[Bottom '[m']]]-TOWER_DATA[[#This Row],[Top '[m']]]),"")</f>
        <v>1.6141429669485598E-2</v>
      </c>
      <c r="BY86" s="79">
        <f t="shared" si="2"/>
        <v>7.4681913438982228</v>
      </c>
      <c r="BZ86" s="79">
        <f>IFERROR((TOWER_DATA[[#This Row],[D, bottom '[m']]]+TOWER_DATA[[#This Row],[D, top '[m']]])/(2*TOWER_DATA[[#This Row],[t '[mm']]]/1000),"")</f>
        <v>214.74242424242422</v>
      </c>
      <c r="CA86" s="79" t="str">
        <f>IFERROR((TOWER_DATA[[#This Row],[D, bottom '[m']]]+#REF!)/(2*#REF!/1000),"")</f>
        <v/>
      </c>
      <c r="CB86" s="102">
        <v>37.343000000000004</v>
      </c>
      <c r="CC86" s="102">
        <v>1318</v>
      </c>
      <c r="CD86" s="102" t="s">
        <v>267</v>
      </c>
      <c r="CF86" s="77">
        <v>56</v>
      </c>
      <c r="CG86" s="77">
        <v>63.308000000000007</v>
      </c>
      <c r="CH86" s="77">
        <v>62.007000000000005</v>
      </c>
      <c r="CI86" s="77">
        <v>7.0759999999999996</v>
      </c>
      <c r="CJ86" s="77">
        <v>7.0970000000000004</v>
      </c>
      <c r="CK86" s="77">
        <v>33</v>
      </c>
      <c r="CM86" s="77">
        <v>37.343000000000004</v>
      </c>
      <c r="CN86" s="77">
        <v>1318</v>
      </c>
      <c r="CO86" s="77" t="s">
        <v>267</v>
      </c>
      <c r="DF86" s="79"/>
      <c r="DG86" s="79"/>
    </row>
    <row r="87" spans="2:111" x14ac:dyDescent="0.25">
      <c r="B87" s="79"/>
      <c r="C87" s="79"/>
      <c r="D87" s="79"/>
      <c r="E87" s="79"/>
      <c r="F87" s="79"/>
      <c r="G87" s="79"/>
      <c r="H87" s="79" t="str">
        <f>IFERROR(MP_DATA[[#This Row],[Bottom '[m']]]-MP_DATA[[#This Row],[D, top '[m']]], "")</f>
        <v/>
      </c>
      <c r="I87" s="79" t="str">
        <f>IFERROR(-(MP_DATA[[#This Row],[D, bottom '[m']]]-MP_DATA[[#This Row],[D, top '[m']]])/(MP_DATA[[#This Row],[Bottom '[m']]]-MP_DATA[[#This Row],[Top '[m']]]),"")</f>
        <v/>
      </c>
      <c r="J87" s="79" t="str">
        <f t="shared" si="3"/>
        <v/>
      </c>
      <c r="K87" s="79" t="str">
        <f>IFERROR((MP_DATA[[#This Row],[D, bottom '[m']]]+MP_DATA[[#This Row],[D, top '[m']]])/(2*MP_DATA[[#This Row],[t '[mm']]]/1000),"")</f>
        <v/>
      </c>
      <c r="L87" s="79" t="str">
        <f>IFERROR((MP_DATA[[#This Row],[D, bottom '[m']]]+#REF!)/(2*#REF!/1000),"")</f>
        <v/>
      </c>
      <c r="AO87" s="79" t="str">
        <f>IFERROR(TP_DATA[[#This Row],[Bottom '[m']]]-TP_DATA[[#This Row],[D, top '[m']]], "")</f>
        <v/>
      </c>
      <c r="AP87" s="79" t="str">
        <f>IFERROR(-(TP_DATA[[#This Row],[D, bottom '[m']]]-TP_DATA[[#This Row],[D, top '[m']]])/(TP_DATA[[#This Row],[Bottom '[m']]]-TP_DATA[[#This Row],[Top '[m']]]),"")</f>
        <v/>
      </c>
      <c r="AQ87" s="79" t="str">
        <f t="shared" si="1"/>
        <v/>
      </c>
      <c r="AR87" s="79" t="str">
        <f>IFERROR((TP_DATA[[#This Row],[D, bottom '[m']]]+TP_DATA[[#This Row],[D, top '[m']]])/(2*TP_DATA[[#This Row],[t '[mm']]]/1000),"")</f>
        <v/>
      </c>
      <c r="AS87" s="79" t="str">
        <f>IFERROR((TP_DATA[[#This Row],[D, bottom '[m']]]+#REF!)/(2*#REF!/1000),"")</f>
        <v/>
      </c>
      <c r="BQ87" s="70">
        <v>57</v>
      </c>
      <c r="BR87">
        <v>62.007000000000005</v>
      </c>
      <c r="BS87">
        <v>60.900000000000006</v>
      </c>
      <c r="BT87">
        <v>7.0970000000000004</v>
      </c>
      <c r="BU87">
        <v>7.1139999999999999</v>
      </c>
      <c r="BV87">
        <v>33</v>
      </c>
      <c r="BW87" s="79">
        <f>IFERROR(TOWER_DATA[[#This Row],[Top '[m']]]-TOWER_DATA[[#This Row],[Bottom '[m']]], "")</f>
        <v>1.1069999999999993</v>
      </c>
      <c r="BX87" s="79">
        <f>IFERROR(-(TOWER_DATA[[#This Row],[D, bottom '[m']]]-TOWER_DATA[[#This Row],[D, top '[m']]])/(TOWER_DATA[[#This Row],[Bottom '[m']]]-TOWER_DATA[[#This Row],[Top '[m']]]),"")</f>
        <v>1.5356820234868536E-2</v>
      </c>
      <c r="BY87" s="79">
        <f t="shared" si="2"/>
        <v>6.3716813187634509</v>
      </c>
      <c r="BZ87" s="79">
        <f>IFERROR((TOWER_DATA[[#This Row],[D, bottom '[m']]]+TOWER_DATA[[#This Row],[D, top '[m']]])/(2*TOWER_DATA[[#This Row],[t '[mm']]]/1000),"")</f>
        <v>215.31818181818181</v>
      </c>
      <c r="CA87" s="79" t="str">
        <f>IFERROR((TOWER_DATA[[#This Row],[D, bottom '[m']]]+#REF!)/(2*#REF!/1000),"")</f>
        <v/>
      </c>
      <c r="CB87" s="102">
        <v>33.231999999999999</v>
      </c>
      <c r="CC87" s="102">
        <v>158</v>
      </c>
      <c r="CD87" s="102" t="s">
        <v>267</v>
      </c>
      <c r="CF87" s="77">
        <v>57</v>
      </c>
      <c r="CG87" s="77">
        <v>62.007000000000005</v>
      </c>
      <c r="CH87" s="77">
        <v>60.900000000000006</v>
      </c>
      <c r="CI87" s="77">
        <v>7.0970000000000004</v>
      </c>
      <c r="CJ87" s="77">
        <v>7.1139999999999999</v>
      </c>
      <c r="CK87" s="77">
        <v>33</v>
      </c>
      <c r="CM87" s="77">
        <v>33.231999999999999</v>
      </c>
      <c r="CN87" s="77">
        <v>158</v>
      </c>
      <c r="CO87" s="77" t="s">
        <v>267</v>
      </c>
      <c r="DF87" s="79"/>
      <c r="DG87" s="79"/>
    </row>
    <row r="88" spans="2:111" x14ac:dyDescent="0.25">
      <c r="B88" s="79"/>
      <c r="C88" s="79"/>
      <c r="D88" s="79"/>
      <c r="E88" s="79"/>
      <c r="F88" s="79"/>
      <c r="G88" s="79"/>
      <c r="H88" s="79" t="str">
        <f>IFERROR(MP_DATA[[#This Row],[Bottom '[m']]]-MP_DATA[[#This Row],[D, top '[m']]], "")</f>
        <v/>
      </c>
      <c r="I88" s="79" t="str">
        <f>IFERROR(-(MP_DATA[[#This Row],[D, bottom '[m']]]-MP_DATA[[#This Row],[D, top '[m']]])/(MP_DATA[[#This Row],[Bottom '[m']]]-MP_DATA[[#This Row],[Top '[m']]]),"")</f>
        <v/>
      </c>
      <c r="J88" s="79" t="str">
        <f t="shared" si="3"/>
        <v/>
      </c>
      <c r="K88" s="79" t="str">
        <f>IFERROR((MP_DATA[[#This Row],[D, bottom '[m']]]+MP_DATA[[#This Row],[D, top '[m']]])/(2*MP_DATA[[#This Row],[t '[mm']]]/1000),"")</f>
        <v/>
      </c>
      <c r="L88" s="79" t="str">
        <f>IFERROR((MP_DATA[[#This Row],[D, bottom '[m']]]+#REF!)/(2*#REF!/1000),"")</f>
        <v/>
      </c>
      <c r="AO88" s="79" t="str">
        <f>IFERROR(TP_DATA[[#This Row],[Bottom '[m']]]-TP_DATA[[#This Row],[D, top '[m']]], "")</f>
        <v/>
      </c>
      <c r="AP88" s="79" t="str">
        <f>IFERROR(-(TP_DATA[[#This Row],[D, bottom '[m']]]-TP_DATA[[#This Row],[D, top '[m']]])/(TP_DATA[[#This Row],[Bottom '[m']]]-TP_DATA[[#This Row],[Top '[m']]]),"")</f>
        <v/>
      </c>
      <c r="AQ88" s="79" t="str">
        <f t="shared" si="1"/>
        <v/>
      </c>
      <c r="AR88" s="79" t="str">
        <f>IFERROR((TP_DATA[[#This Row],[D, bottom '[m']]]+TP_DATA[[#This Row],[D, top '[m']]])/(2*TP_DATA[[#This Row],[t '[mm']]]/1000),"")</f>
        <v/>
      </c>
      <c r="AS88" s="79" t="str">
        <f>IFERROR((TP_DATA[[#This Row],[D, bottom '[m']]]+#REF!)/(2*#REF!/1000),"")</f>
        <v/>
      </c>
      <c r="BQ88" s="70">
        <v>58</v>
      </c>
      <c r="BR88">
        <v>60.900000000000006</v>
      </c>
      <c r="BS88">
        <v>60.59</v>
      </c>
      <c r="BT88">
        <v>7.1139999999999999</v>
      </c>
      <c r="BU88">
        <v>7.1189999999999998</v>
      </c>
      <c r="BV88">
        <v>33</v>
      </c>
      <c r="BW88" s="79">
        <f>IFERROR(TOWER_DATA[[#This Row],[Top '[m']]]-TOWER_DATA[[#This Row],[Bottom '[m']]], "")</f>
        <v>0.31000000000000227</v>
      </c>
      <c r="BX88" s="79">
        <f>IFERROR(-(TOWER_DATA[[#This Row],[D, bottom '[m']]]-TOWER_DATA[[#This Row],[D, top '[m']]])/(TOWER_DATA[[#This Row],[Bottom '[m']]]-TOWER_DATA[[#This Row],[Top '[m']]]),"")</f>
        <v>1.6129032258064054E-2</v>
      </c>
      <c r="BY88" s="79">
        <f t="shared" si="2"/>
        <v>1.7870761604983658</v>
      </c>
      <c r="BZ88" s="79">
        <f>IFERROR((TOWER_DATA[[#This Row],[D, bottom '[m']]]+TOWER_DATA[[#This Row],[D, top '[m']]])/(2*TOWER_DATA[[#This Row],[t '[mm']]]/1000),"")</f>
        <v>215.65151515151516</v>
      </c>
      <c r="CA88" s="79" t="str">
        <f>IFERROR((TOWER_DATA[[#This Row],[D, bottom '[m']]]+#REF!)/(2*#REF!/1000),"")</f>
        <v/>
      </c>
      <c r="CB88" s="102">
        <v>30.900000000000002</v>
      </c>
      <c r="CC88" s="102">
        <v>158</v>
      </c>
      <c r="CD88" s="102" t="s">
        <v>267</v>
      </c>
      <c r="CF88" s="77">
        <v>58</v>
      </c>
      <c r="CG88" s="77">
        <v>60.900000000000006</v>
      </c>
      <c r="CH88" s="77">
        <v>60.59</v>
      </c>
      <c r="CI88" s="77">
        <v>7.1139999999999999</v>
      </c>
      <c r="CJ88" s="77">
        <v>7.1189999999999998</v>
      </c>
      <c r="CK88" s="77">
        <v>33</v>
      </c>
      <c r="CM88" s="77">
        <v>30.900000000000002</v>
      </c>
      <c r="CN88" s="77">
        <v>158</v>
      </c>
      <c r="CO88" s="77" t="s">
        <v>267</v>
      </c>
      <c r="DF88" s="79"/>
      <c r="DG88" s="79"/>
    </row>
    <row r="89" spans="2:111" x14ac:dyDescent="0.25">
      <c r="B89" s="79"/>
      <c r="C89" s="79"/>
      <c r="D89" s="79"/>
      <c r="E89" s="79"/>
      <c r="F89" s="79"/>
      <c r="G89" s="79"/>
      <c r="H89" s="79" t="str">
        <f>IFERROR(MP_DATA[[#This Row],[Bottom '[m']]]-MP_DATA[[#This Row],[D, top '[m']]], "")</f>
        <v/>
      </c>
      <c r="I89" s="79" t="str">
        <f>IFERROR(-(MP_DATA[[#This Row],[D, bottom '[m']]]-MP_DATA[[#This Row],[D, top '[m']]])/(MP_DATA[[#This Row],[Bottom '[m']]]-MP_DATA[[#This Row],[Top '[m']]]),"")</f>
        <v/>
      </c>
      <c r="J89" s="79" t="str">
        <f t="shared" si="3"/>
        <v/>
      </c>
      <c r="K89" s="79" t="str">
        <f>IFERROR((MP_DATA[[#This Row],[D, bottom '[m']]]+MP_DATA[[#This Row],[D, top '[m']]])/(2*MP_DATA[[#This Row],[t '[mm']]]/1000),"")</f>
        <v/>
      </c>
      <c r="L89" s="79" t="str">
        <f>IFERROR((MP_DATA[[#This Row],[D, bottom '[m']]]+#REF!)/(2*#REF!/1000),"")</f>
        <v/>
      </c>
      <c r="AO89" s="79" t="str">
        <f>IFERROR(TP_DATA[[#This Row],[Bottom '[m']]]-TP_DATA[[#This Row],[D, top '[m']]], "")</f>
        <v/>
      </c>
      <c r="AP89" s="79" t="str">
        <f>IFERROR(-(TP_DATA[[#This Row],[D, bottom '[m']]]-TP_DATA[[#This Row],[D, top '[m']]])/(TP_DATA[[#This Row],[Bottom '[m']]]-TP_DATA[[#This Row],[Top '[m']]]),"")</f>
        <v/>
      </c>
      <c r="AQ89" s="79" t="str">
        <f t="shared" si="1"/>
        <v/>
      </c>
      <c r="AR89" s="79" t="str">
        <f>IFERROR((TP_DATA[[#This Row],[D, bottom '[m']]]+TP_DATA[[#This Row],[D, top '[m']]])/(2*TP_DATA[[#This Row],[t '[mm']]]/1000),"")</f>
        <v/>
      </c>
      <c r="AS89" s="79" t="str">
        <f>IFERROR((TP_DATA[[#This Row],[D, bottom '[m']]]+#REF!)/(2*#REF!/1000),"")</f>
        <v/>
      </c>
      <c r="BQ89" s="70">
        <v>59</v>
      </c>
      <c r="BR89">
        <v>60.59</v>
      </c>
      <c r="BS89">
        <v>57.896000000000001</v>
      </c>
      <c r="BT89">
        <v>7.1189999999999998</v>
      </c>
      <c r="BU89">
        <v>7.1619999999999999</v>
      </c>
      <c r="BV89">
        <v>33</v>
      </c>
      <c r="BW89" s="79">
        <f>IFERROR(TOWER_DATA[[#This Row],[Top '[m']]]-TOWER_DATA[[#This Row],[Bottom '[m']]], "")</f>
        <v>2.6940000000000026</v>
      </c>
      <c r="BX89" s="79">
        <f>IFERROR(-(TOWER_DATA[[#This Row],[D, bottom '[m']]]-TOWER_DATA[[#This Row],[D, top '[m']]])/(TOWER_DATA[[#This Row],[Bottom '[m']]]-TOWER_DATA[[#This Row],[Top '[m']]]),"")</f>
        <v>1.5961395694135155E-2</v>
      </c>
      <c r="BY89" s="79">
        <f t="shared" si="2"/>
        <v>15.582887276036354</v>
      </c>
      <c r="BZ89" s="79">
        <f>IFERROR((TOWER_DATA[[#This Row],[D, bottom '[m']]]+TOWER_DATA[[#This Row],[D, top '[m']]])/(2*TOWER_DATA[[#This Row],[t '[mm']]]/1000),"")</f>
        <v>216.37878787878785</v>
      </c>
      <c r="CA89" s="79" t="str">
        <f>IFERROR((TOWER_DATA[[#This Row],[D, bottom '[m']]]+#REF!)/(2*#REF!/1000),"")</f>
        <v/>
      </c>
      <c r="CB89" s="102">
        <v>29.121000000000002</v>
      </c>
      <c r="CC89" s="102">
        <v>158</v>
      </c>
      <c r="CD89" s="102" t="s">
        <v>267</v>
      </c>
      <c r="CF89" s="77">
        <v>59</v>
      </c>
      <c r="CG89" s="77">
        <v>60.59</v>
      </c>
      <c r="CH89" s="77">
        <v>57.896000000000001</v>
      </c>
      <c r="CI89" s="77">
        <v>7.1189999999999998</v>
      </c>
      <c r="CJ89" s="77">
        <v>7.1619999999999999</v>
      </c>
      <c r="CK89" s="77">
        <v>33</v>
      </c>
      <c r="CM89" s="77">
        <v>29.121000000000002</v>
      </c>
      <c r="CN89" s="77">
        <v>158</v>
      </c>
      <c r="CO89" s="77" t="s">
        <v>267</v>
      </c>
      <c r="DF89" s="79"/>
      <c r="DG89" s="79"/>
    </row>
    <row r="90" spans="2:111" x14ac:dyDescent="0.25">
      <c r="B90" s="79"/>
      <c r="C90" s="79"/>
      <c r="D90" s="79"/>
      <c r="E90" s="79"/>
      <c r="F90" s="79"/>
      <c r="G90" s="79"/>
      <c r="H90" s="79" t="str">
        <f>IFERROR(MP_DATA[[#This Row],[Bottom '[m']]]-MP_DATA[[#This Row],[D, top '[m']]], "")</f>
        <v/>
      </c>
      <c r="I90" s="79" t="str">
        <f>IFERROR(-(MP_DATA[[#This Row],[D, bottom '[m']]]-MP_DATA[[#This Row],[D, top '[m']]])/(MP_DATA[[#This Row],[Bottom '[m']]]-MP_DATA[[#This Row],[Top '[m']]]),"")</f>
        <v/>
      </c>
      <c r="J90" s="79" t="str">
        <f t="shared" si="3"/>
        <v/>
      </c>
      <c r="K90" s="79" t="str">
        <f>IFERROR((MP_DATA[[#This Row],[D, bottom '[m']]]+MP_DATA[[#This Row],[D, top '[m']]])/(2*MP_DATA[[#This Row],[t '[mm']]]/1000),"")</f>
        <v/>
      </c>
      <c r="L90" s="79" t="str">
        <f>IFERROR((MP_DATA[[#This Row],[D, bottom '[m']]]+#REF!)/(2*#REF!/1000),"")</f>
        <v/>
      </c>
      <c r="AO90" s="79" t="str">
        <f>IFERROR(TP_DATA[[#This Row],[Bottom '[m']]]-TP_DATA[[#This Row],[D, top '[m']]], "")</f>
        <v/>
      </c>
      <c r="AP90" s="79" t="str">
        <f>IFERROR(-(TP_DATA[[#This Row],[D, bottom '[m']]]-TP_DATA[[#This Row],[D, top '[m']]])/(TP_DATA[[#This Row],[Bottom '[m']]]-TP_DATA[[#This Row],[Top '[m']]]),"")</f>
        <v/>
      </c>
      <c r="AQ90" s="79" t="str">
        <f t="shared" si="1"/>
        <v/>
      </c>
      <c r="AR90" s="79" t="str">
        <f>IFERROR((TP_DATA[[#This Row],[D, bottom '[m']]]+TP_DATA[[#This Row],[D, top '[m']]])/(2*TP_DATA[[#This Row],[t '[mm']]]/1000),"")</f>
        <v/>
      </c>
      <c r="AS90" s="79" t="str">
        <f>IFERROR((TP_DATA[[#This Row],[D, bottom '[m']]]+#REF!)/(2*#REF!/1000),"")</f>
        <v/>
      </c>
      <c r="BQ90" s="70">
        <v>60</v>
      </c>
      <c r="BR90">
        <v>57.896000000000001</v>
      </c>
      <c r="BS90">
        <v>57.872</v>
      </c>
      <c r="BT90">
        <v>7.1619999999999999</v>
      </c>
      <c r="BU90">
        <v>7.1630000000000003</v>
      </c>
      <c r="BV90">
        <v>33</v>
      </c>
      <c r="BW90" s="79">
        <f>IFERROR(TOWER_DATA[[#This Row],[Top '[m']]]-TOWER_DATA[[#This Row],[Bottom '[m']]], "")</f>
        <v>2.4000000000000909E-2</v>
      </c>
      <c r="BX90" s="79">
        <f>IFERROR(-(TOWER_DATA[[#This Row],[D, bottom '[m']]]-TOWER_DATA[[#This Row],[D, top '[m']]])/(TOWER_DATA[[#This Row],[Bottom '[m']]]-TOWER_DATA[[#This Row],[Top '[m']]]),"")</f>
        <v>4.1666666666679002E-2</v>
      </c>
      <c r="BY90" s="79">
        <f t="shared" si="2"/>
        <v>0.13925275124633829</v>
      </c>
      <c r="BZ90" s="79">
        <f>IFERROR((TOWER_DATA[[#This Row],[D, bottom '[m']]]+TOWER_DATA[[#This Row],[D, top '[m']]])/(2*TOWER_DATA[[#This Row],[t '[mm']]]/1000),"")</f>
        <v>217.04545454545453</v>
      </c>
      <c r="CA90" s="79" t="str">
        <f>IFERROR((TOWER_DATA[[#This Row],[D, bottom '[m']]]+#REF!)/(2*#REF!/1000),"")</f>
        <v/>
      </c>
      <c r="CB90" s="102">
        <v>25.050000000000004</v>
      </c>
      <c r="CC90" s="102">
        <v>86</v>
      </c>
      <c r="CD90" s="102" t="s">
        <v>267</v>
      </c>
      <c r="CF90" s="77">
        <v>60</v>
      </c>
      <c r="CG90" s="77">
        <v>57.896000000000001</v>
      </c>
      <c r="CH90" s="77">
        <v>57.872</v>
      </c>
      <c r="CI90" s="77">
        <v>7.1619999999999999</v>
      </c>
      <c r="CJ90" s="77">
        <v>7.1630000000000003</v>
      </c>
      <c r="CK90" s="77">
        <v>33</v>
      </c>
      <c r="CM90" s="77">
        <v>25.050000000000004</v>
      </c>
      <c r="CN90" s="77">
        <v>86</v>
      </c>
      <c r="CO90" s="77" t="s">
        <v>267</v>
      </c>
      <c r="DF90" s="79"/>
      <c r="DG90" s="79"/>
    </row>
    <row r="91" spans="2:111" x14ac:dyDescent="0.25">
      <c r="B91" s="79"/>
      <c r="C91" s="79"/>
      <c r="D91" s="79"/>
      <c r="E91" s="79"/>
      <c r="F91" s="79"/>
      <c r="G91" s="79"/>
      <c r="H91" s="79" t="str">
        <f>IFERROR(MP_DATA[[#This Row],[Bottom '[m']]]-MP_DATA[[#This Row],[D, top '[m']]], "")</f>
        <v/>
      </c>
      <c r="I91" s="79" t="str">
        <f>IFERROR(-(MP_DATA[[#This Row],[D, bottom '[m']]]-MP_DATA[[#This Row],[D, top '[m']]])/(MP_DATA[[#This Row],[Bottom '[m']]]-MP_DATA[[#This Row],[Top '[m']]]),"")</f>
        <v/>
      </c>
      <c r="J91" s="79" t="str">
        <f t="shared" si="3"/>
        <v/>
      </c>
      <c r="K91" s="79" t="str">
        <f>IFERROR((MP_DATA[[#This Row],[D, bottom '[m']]]+MP_DATA[[#This Row],[D, top '[m']]])/(2*MP_DATA[[#This Row],[t '[mm']]]/1000),"")</f>
        <v/>
      </c>
      <c r="L91" s="79" t="str">
        <f>IFERROR((MP_DATA[[#This Row],[D, bottom '[m']]]+#REF!)/(2*#REF!/1000),"")</f>
        <v/>
      </c>
      <c r="AO91" s="79" t="str">
        <f>IFERROR(TP_DATA[[#This Row],[Bottom '[m']]]-TP_DATA[[#This Row],[D, top '[m']]], "")</f>
        <v/>
      </c>
      <c r="AP91" s="79" t="str">
        <f>IFERROR(-(TP_DATA[[#This Row],[D, bottom '[m']]]-TP_DATA[[#This Row],[D, top '[m']]])/(TP_DATA[[#This Row],[Bottom '[m']]]-TP_DATA[[#This Row],[Top '[m']]]),"")</f>
        <v/>
      </c>
      <c r="AQ91" s="79" t="str">
        <f t="shared" si="1"/>
        <v/>
      </c>
      <c r="AR91" s="79" t="str">
        <f>IFERROR((TP_DATA[[#This Row],[D, bottom '[m']]]+TP_DATA[[#This Row],[D, top '[m']]])/(2*TP_DATA[[#This Row],[t '[mm']]]/1000),"")</f>
        <v/>
      </c>
      <c r="AS91" s="79" t="str">
        <f>IFERROR((TP_DATA[[#This Row],[D, bottom '[m']]]+#REF!)/(2*#REF!/1000),"")</f>
        <v/>
      </c>
      <c r="BQ91" s="70">
        <v>61</v>
      </c>
      <c r="BR91">
        <v>57.872</v>
      </c>
      <c r="BS91">
        <v>55.153999999999996</v>
      </c>
      <c r="BT91">
        <v>7.1630000000000003</v>
      </c>
      <c r="BU91">
        <v>7.21</v>
      </c>
      <c r="BV91">
        <v>34</v>
      </c>
      <c r="BW91" s="79">
        <f>IFERROR(TOWER_DATA[[#This Row],[Top '[m']]]-TOWER_DATA[[#This Row],[Bottom '[m']]], "")</f>
        <v>2.7180000000000035</v>
      </c>
      <c r="BX91" s="79">
        <f>IFERROR(-(TOWER_DATA[[#This Row],[D, bottom '[m']]]-TOWER_DATA[[#This Row],[D, top '[m']]])/(TOWER_DATA[[#This Row],[Bottom '[m']]]-TOWER_DATA[[#This Row],[Top '[m']]]),"")</f>
        <v>1.7292126563649615E-2</v>
      </c>
      <c r="BY91" s="79">
        <f t="shared" si="2"/>
        <v>16.300681633570363</v>
      </c>
      <c r="BZ91" s="79">
        <f>IFERROR((TOWER_DATA[[#This Row],[D, bottom '[m']]]+TOWER_DATA[[#This Row],[D, top '[m']]])/(2*TOWER_DATA[[#This Row],[t '[mm']]]/1000),"")</f>
        <v>211.36764705882354</v>
      </c>
      <c r="CA91" s="79" t="str">
        <f>IFERROR((TOWER_DATA[[#This Row],[D, bottom '[m']]]+#REF!)/(2*#REF!/1000),"")</f>
        <v/>
      </c>
      <c r="CB91" s="102">
        <v>25.011000000000003</v>
      </c>
      <c r="CC91" s="102">
        <v>688</v>
      </c>
      <c r="CD91" s="102" t="s">
        <v>267</v>
      </c>
      <c r="CF91" s="77">
        <v>61</v>
      </c>
      <c r="CG91" s="77">
        <v>57.872</v>
      </c>
      <c r="CH91" s="77">
        <v>55.153999999999996</v>
      </c>
      <c r="CI91" s="77">
        <v>7.1630000000000003</v>
      </c>
      <c r="CJ91" s="77">
        <v>7.21</v>
      </c>
      <c r="CK91" s="77">
        <v>34</v>
      </c>
      <c r="CM91" s="77">
        <v>25.011000000000003</v>
      </c>
      <c r="CN91" s="77">
        <v>688</v>
      </c>
      <c r="CO91" s="77" t="s">
        <v>267</v>
      </c>
      <c r="DF91" s="79"/>
      <c r="DG91" s="79"/>
    </row>
    <row r="92" spans="2:111" x14ac:dyDescent="0.25">
      <c r="B92" s="79"/>
      <c r="D92" s="79"/>
      <c r="F92" s="79"/>
      <c r="H92" s="79" t="str">
        <f>IFERROR(MP_DATA[[#This Row],[Bottom '[m']]]-MP_DATA[[#This Row],[D, top '[m']]], "")</f>
        <v/>
      </c>
      <c r="I92" t="str">
        <f>IFERROR(-(MP_DATA[[#This Row],[D, bottom '[m']]]-MP_DATA[[#This Row],[D, top '[m']]])/(MP_DATA[[#This Row],[Bottom '[m']]]-MP_DATA[[#This Row],[Top '[m']]]),"")</f>
        <v/>
      </c>
      <c r="J92" s="79" t="str">
        <f t="shared" si="3"/>
        <v/>
      </c>
      <c r="K92" s="79" t="str">
        <f>IFERROR((MP_DATA[[#This Row],[D, bottom '[m']]]+MP_DATA[[#This Row],[D, top '[m']]])/(2*MP_DATA[[#This Row],[t '[mm']]]/1000),"")</f>
        <v/>
      </c>
      <c r="L92" s="79" t="str">
        <f>IFERROR((MP_DATA[[#This Row],[D, bottom '[m']]]+#REF!)/(2*#REF!/1000),"")</f>
        <v/>
      </c>
      <c r="AO92" s="79" t="str">
        <f>IFERROR(TP_DATA[[#This Row],[Bottom '[m']]]-TP_DATA[[#This Row],[D, top '[m']]], "")</f>
        <v/>
      </c>
      <c r="AP92" s="79" t="str">
        <f>IFERROR(-(TP_DATA[[#This Row],[D, bottom '[m']]]-TP_DATA[[#This Row],[D, top '[m']]])/(TP_DATA[[#This Row],[Bottom '[m']]]-TP_DATA[[#This Row],[Top '[m']]]),"")</f>
        <v/>
      </c>
      <c r="AQ92" s="79" t="str">
        <f t="shared" si="1"/>
        <v/>
      </c>
      <c r="AR92" s="79" t="str">
        <f>IFERROR((TP_DATA[[#This Row],[D, bottom '[m']]]+TP_DATA[[#This Row],[D, top '[m']]])/(2*TP_DATA[[#This Row],[t '[mm']]]/1000),"")</f>
        <v/>
      </c>
      <c r="AS92" s="79" t="str">
        <f>IFERROR((TP_DATA[[#This Row],[D, bottom '[m']]]+#REF!)/(2*#REF!/1000),"")</f>
        <v/>
      </c>
      <c r="BQ92" s="70">
        <v>62</v>
      </c>
      <c r="BR92">
        <v>55.153999999999996</v>
      </c>
      <c r="BS92">
        <v>53.786000000000001</v>
      </c>
      <c r="BT92">
        <v>7.21</v>
      </c>
      <c r="BU92">
        <v>7.2309999999999999</v>
      </c>
      <c r="BV92">
        <v>38.199999999999996</v>
      </c>
      <c r="BW92" s="79">
        <f>IFERROR(TOWER_DATA[[#This Row],[Top '[m']]]-TOWER_DATA[[#This Row],[Bottom '[m']]], "")</f>
        <v>1.367999999999995</v>
      </c>
      <c r="BX92" s="79">
        <f>IFERROR(-(TOWER_DATA[[#This Row],[D, bottom '[m']]]-TOWER_DATA[[#This Row],[D, top '[m']]])/(TOWER_DATA[[#This Row],[Bottom '[m']]]-TOWER_DATA[[#This Row],[Top '[m']]]),"")</f>
        <v>1.5350877192982445E-2</v>
      </c>
      <c r="BY92" s="79">
        <f t="shared" si="2"/>
        <v>9.2561957628509823</v>
      </c>
      <c r="BZ92" s="79">
        <f>IFERROR((TOWER_DATA[[#This Row],[D, bottom '[m']]]+TOWER_DATA[[#This Row],[D, top '[m']]])/(2*TOWER_DATA[[#This Row],[t '[mm']]]/1000),"")</f>
        <v>189.01832460732984</v>
      </c>
      <c r="CA92" s="79" t="str">
        <f>IFERROR((TOWER_DATA[[#This Row],[D, bottom '[m']]]+#REF!)/(2*#REF!/1000),"")</f>
        <v/>
      </c>
      <c r="CB92" s="102">
        <v>22.12</v>
      </c>
      <c r="CC92" s="102">
        <v>13900</v>
      </c>
      <c r="CD92" s="102" t="s">
        <v>267</v>
      </c>
      <c r="CF92" s="77">
        <v>62</v>
      </c>
      <c r="CG92" s="77">
        <v>55.153999999999996</v>
      </c>
      <c r="CH92" s="77">
        <v>53.786000000000001</v>
      </c>
      <c r="CI92" s="77">
        <v>7.21</v>
      </c>
      <c r="CJ92" s="77">
        <v>7.2309999999999999</v>
      </c>
      <c r="CK92" s="77">
        <v>38.199999999999996</v>
      </c>
      <c r="CM92" s="77">
        <v>22.12</v>
      </c>
      <c r="CN92" s="77">
        <v>13900</v>
      </c>
      <c r="CO92" s="77" t="s">
        <v>267</v>
      </c>
      <c r="DF92" s="79"/>
      <c r="DG92" s="79"/>
    </row>
    <row r="93" spans="2:111" x14ac:dyDescent="0.25">
      <c r="B93" s="79"/>
      <c r="D93" s="79"/>
      <c r="F93" s="79"/>
      <c r="H93" s="79" t="str">
        <f>IFERROR(MP_DATA[[#This Row],[Bottom '[m']]]-MP_DATA[[#This Row],[D, top '[m']]], "")</f>
        <v/>
      </c>
      <c r="I93" t="str">
        <f>IFERROR(-(MP_DATA[[#This Row],[D, bottom '[m']]]-MP_DATA[[#This Row],[D, top '[m']]])/(MP_DATA[[#This Row],[Bottom '[m']]]-MP_DATA[[#This Row],[Top '[m']]]),"")</f>
        <v/>
      </c>
      <c r="J93" s="79" t="str">
        <f t="shared" si="3"/>
        <v/>
      </c>
      <c r="K93" s="79" t="str">
        <f>IFERROR((MP_DATA[[#This Row],[D, bottom '[m']]]+MP_DATA[[#This Row],[D, top '[m']]])/(2*MP_DATA[[#This Row],[t '[mm']]]/1000),"")</f>
        <v/>
      </c>
      <c r="L93" s="79" t="str">
        <f>IFERROR((MP_DATA[[#This Row],[D, bottom '[m']]]+#REF!)/(2*#REF!/1000),"")</f>
        <v/>
      </c>
      <c r="AO93" s="79" t="str">
        <f>IFERROR(TP_DATA[[#This Row],[Bottom '[m']]]-TP_DATA[[#This Row],[D, top '[m']]], "")</f>
        <v/>
      </c>
      <c r="AP93" s="79" t="str">
        <f>IFERROR(-(TP_DATA[[#This Row],[D, bottom '[m']]]-TP_DATA[[#This Row],[D, top '[m']]])/(TP_DATA[[#This Row],[Bottom '[m']]]-TP_DATA[[#This Row],[Top '[m']]]),"")</f>
        <v/>
      </c>
      <c r="AQ93" s="79" t="str">
        <f t="shared" si="1"/>
        <v/>
      </c>
      <c r="AR93" s="79" t="str">
        <f>IFERROR((TP_DATA[[#This Row],[D, bottom '[m']]]+TP_DATA[[#This Row],[D, top '[m']]])/(2*TP_DATA[[#This Row],[t '[mm']]]/1000),"")</f>
        <v/>
      </c>
      <c r="AS93" s="79" t="str">
        <f>IFERROR((TP_DATA[[#This Row],[D, bottom '[m']]]+#REF!)/(2*#REF!/1000),"")</f>
        <v/>
      </c>
      <c r="BQ93" s="70">
        <v>63</v>
      </c>
      <c r="BR93">
        <v>53.786000000000001</v>
      </c>
      <c r="BS93">
        <v>52.436000000000007</v>
      </c>
      <c r="BT93">
        <v>7.2309999999999999</v>
      </c>
      <c r="BU93">
        <v>7.2519999999999998</v>
      </c>
      <c r="BV93">
        <v>38.199999999999996</v>
      </c>
      <c r="BW93" s="79">
        <f>IFERROR(TOWER_DATA[[#This Row],[Top '[m']]]-TOWER_DATA[[#This Row],[Bottom '[m']]], "")</f>
        <v>1.3499999999999943</v>
      </c>
      <c r="BX93" s="79">
        <f>IFERROR(-(TOWER_DATA[[#This Row],[D, bottom '[m']]]-TOWER_DATA[[#This Row],[D, top '[m']]])/(TOWER_DATA[[#This Row],[Bottom '[m']]]-TOWER_DATA[[#This Row],[Top '[m']]]),"")</f>
        <v>1.5555555555555553E-2</v>
      </c>
      <c r="BY93" s="79">
        <f t="shared" si="2"/>
        <v>9.1611113805187827</v>
      </c>
      <c r="BZ93" s="79">
        <f>IFERROR((TOWER_DATA[[#This Row],[D, bottom '[m']]]+TOWER_DATA[[#This Row],[D, top '[m']]])/(2*TOWER_DATA[[#This Row],[t '[mm']]]/1000),"")</f>
        <v>189.56806282722516</v>
      </c>
      <c r="CA93" s="79" t="str">
        <f>IFERROR((TOWER_DATA[[#This Row],[D, bottom '[m']]]+#REF!)/(2*#REF!/1000),"")</f>
        <v/>
      </c>
      <c r="CB93" s="102">
        <v>21.14</v>
      </c>
      <c r="CC93" s="102">
        <v>53</v>
      </c>
      <c r="CD93" s="102" t="s">
        <v>267</v>
      </c>
      <c r="CF93" s="77">
        <v>63</v>
      </c>
      <c r="CG93" s="77">
        <v>53.786000000000001</v>
      </c>
      <c r="CH93" s="77">
        <v>52.436000000000007</v>
      </c>
      <c r="CI93" s="77">
        <v>7.2309999999999999</v>
      </c>
      <c r="CJ93" s="77">
        <v>7.2519999999999998</v>
      </c>
      <c r="CK93" s="77">
        <v>38.199999999999996</v>
      </c>
      <c r="CM93" s="77">
        <v>21.14</v>
      </c>
      <c r="CN93" s="77">
        <v>53</v>
      </c>
      <c r="CO93" s="77" t="s">
        <v>267</v>
      </c>
      <c r="DF93" s="79"/>
      <c r="DG93" s="79"/>
    </row>
    <row r="94" spans="2:111" x14ac:dyDescent="0.25">
      <c r="B94" s="79"/>
      <c r="D94" s="79"/>
      <c r="F94" s="79"/>
      <c r="H94" s="79" t="str">
        <f>IFERROR(MP_DATA[[#This Row],[Bottom '[m']]]-MP_DATA[[#This Row],[D, top '[m']]], "")</f>
        <v/>
      </c>
      <c r="I94" t="str">
        <f>IFERROR(-(MP_DATA[[#This Row],[D, bottom '[m']]]-MP_DATA[[#This Row],[D, top '[m']]])/(MP_DATA[[#This Row],[Bottom '[m']]]-MP_DATA[[#This Row],[Top '[m']]]),"")</f>
        <v/>
      </c>
      <c r="J94" s="79" t="str">
        <f t="shared" ref="J94:J125" si="4">IF(7850/1000*(1/3)*PI()*ABS(C153-D153)*((E153/2)^2+(E153/2)*(F153/2)+(F153/2)^2-(E153/2-G153/1000)^2-(E153/2-G153/1000)*(F153/2-G153/1000)-(F153/2-G153/1000)^2)=0,"",7850/1000*(1/3)*PI()*ABS(C153-D153)*((E153/2)^2+(E153/2)*(F153/2)+(F153/2)^2-(E153/2-G153/1000)^2-(E153/2-G153/1000)*(F153/2-G153/1000)-(F153/2-G153/1000)^2))</f>
        <v/>
      </c>
      <c r="K94" s="79" t="str">
        <f>IFERROR((MP_DATA[[#This Row],[D, bottom '[m']]]+MP_DATA[[#This Row],[D, top '[m']]])/(2*MP_DATA[[#This Row],[t '[mm']]]/1000),"")</f>
        <v/>
      </c>
      <c r="L94" s="79" t="str">
        <f>IFERROR((MP_DATA[[#This Row],[D, bottom '[m']]]+#REF!)/(2*#REF!/1000),"")</f>
        <v/>
      </c>
      <c r="AO94" s="79" t="str">
        <f>IFERROR(TP_DATA[[#This Row],[Bottom '[m']]]-TP_DATA[[#This Row],[D, top '[m']]], "")</f>
        <v/>
      </c>
      <c r="AP94" s="79" t="str">
        <f>IFERROR(-(TP_DATA[[#This Row],[D, bottom '[m']]]-TP_DATA[[#This Row],[D, top '[m']]])/(TP_DATA[[#This Row],[Bottom '[m']]]-TP_DATA[[#This Row],[Top '[m']]]),"")</f>
        <v/>
      </c>
      <c r="AQ94" s="79" t="str">
        <f t="shared" si="1"/>
        <v/>
      </c>
      <c r="AR94" s="79" t="str">
        <f>IFERROR((TP_DATA[[#This Row],[D, bottom '[m']]]+TP_DATA[[#This Row],[D, top '[m']]])/(2*TP_DATA[[#This Row],[t '[mm']]]/1000),"")</f>
        <v/>
      </c>
      <c r="AS94" s="79" t="str">
        <f>IFERROR((TP_DATA[[#This Row],[D, bottom '[m']]]+#REF!)/(2*#REF!/1000),"")</f>
        <v/>
      </c>
      <c r="BQ94" s="70">
        <v>64</v>
      </c>
      <c r="BR94">
        <v>52.436000000000007</v>
      </c>
      <c r="BS94">
        <v>50.900000000000006</v>
      </c>
      <c r="BT94">
        <v>7.2519999999999998</v>
      </c>
      <c r="BU94">
        <v>7.2770000000000001</v>
      </c>
      <c r="BV94">
        <v>38.199999999999996</v>
      </c>
      <c r="BW94" s="79">
        <f>IFERROR(TOWER_DATA[[#This Row],[Top '[m']]]-TOWER_DATA[[#This Row],[Bottom '[m']]], "")</f>
        <v>1.5360000000000014</v>
      </c>
      <c r="BX94" s="79">
        <f>IFERROR(-(TOWER_DATA[[#This Row],[D, bottom '[m']]]-TOWER_DATA[[#This Row],[D, top '[m']]])/(TOWER_DATA[[#This Row],[Bottom '[m']]]-TOWER_DATA[[#This Row],[Top '[m']]]),"")</f>
        <v>1.6276041666666883E-2</v>
      </c>
      <c r="BY94" s="79">
        <f t="shared" si="2"/>
        <v>10.456590375877102</v>
      </c>
      <c r="BZ94" s="79">
        <f>IFERROR((TOWER_DATA[[#This Row],[D, bottom '[m']]]+TOWER_DATA[[#This Row],[D, top '[m']]])/(2*TOWER_DATA[[#This Row],[t '[mm']]]/1000),"")</f>
        <v>190.17015706806285</v>
      </c>
      <c r="CA94" s="79" t="str">
        <f>IFERROR((TOWER_DATA[[#This Row],[D, bottom '[m']]]+#REF!)/(2*#REF!/1000),"")</f>
        <v/>
      </c>
      <c r="CB94" s="102">
        <v>21.080000000000002</v>
      </c>
      <c r="CC94" s="102">
        <v>14132</v>
      </c>
      <c r="CD94" s="102" t="s">
        <v>267</v>
      </c>
      <c r="CF94" s="77">
        <v>64</v>
      </c>
      <c r="CG94" s="77">
        <v>52.436000000000007</v>
      </c>
      <c r="CH94" s="77">
        <v>50.900000000000006</v>
      </c>
      <c r="CI94" s="77">
        <v>7.2519999999999998</v>
      </c>
      <c r="CJ94" s="77">
        <v>7.2770000000000001</v>
      </c>
      <c r="CK94" s="77">
        <v>38.199999999999996</v>
      </c>
      <c r="CM94" s="77">
        <v>21.080000000000002</v>
      </c>
      <c r="CN94" s="77">
        <v>14132</v>
      </c>
      <c r="CO94" s="77" t="s">
        <v>267</v>
      </c>
      <c r="DF94" s="79"/>
      <c r="DG94" s="79"/>
    </row>
    <row r="95" spans="2:111" x14ac:dyDescent="0.25">
      <c r="B95" s="79"/>
      <c r="D95" s="79"/>
      <c r="F95" s="79"/>
      <c r="H95" s="79" t="str">
        <f>IFERROR(MP_DATA[[#This Row],[Bottom '[m']]]-MP_DATA[[#This Row],[D, top '[m']]], "")</f>
        <v/>
      </c>
      <c r="I95" t="str">
        <f>IFERROR(-(MP_DATA[[#This Row],[D, bottom '[m']]]-MP_DATA[[#This Row],[D, top '[m']]])/(MP_DATA[[#This Row],[Bottom '[m']]]-MP_DATA[[#This Row],[Top '[m']]]),"")</f>
        <v/>
      </c>
      <c r="J95" s="79" t="str">
        <f t="shared" si="4"/>
        <v/>
      </c>
      <c r="K95" s="79" t="str">
        <f>IFERROR((MP_DATA[[#This Row],[D, bottom '[m']]]+MP_DATA[[#This Row],[D, top '[m']]])/(2*MP_DATA[[#This Row],[t '[mm']]]/1000),"")</f>
        <v/>
      </c>
      <c r="L95" s="79" t="str">
        <f>IFERROR((MP_DATA[[#This Row],[D, bottom '[m']]]+#REF!)/(2*#REF!/1000),"")</f>
        <v/>
      </c>
      <c r="AO95" s="79" t="str">
        <f>IFERROR(TP_DATA[[#This Row],[Bottom '[m']]]-TP_DATA[[#This Row],[D, top '[m']]], "")</f>
        <v/>
      </c>
      <c r="AP95" s="79" t="str">
        <f>IFERROR(-(TP_DATA[[#This Row],[D, bottom '[m']]]-TP_DATA[[#This Row],[D, top '[m']]])/(TP_DATA[[#This Row],[Bottom '[m']]]-TP_DATA[[#This Row],[Top '[m']]]),"")</f>
        <v/>
      </c>
      <c r="AQ95" s="79" t="str">
        <f t="shared" ref="AQ95:AQ101" si="5">IF(7850/1000*(1/3)*PI()*ABS(AJ95-AK95)*((AL95/2)^2+(AL95/2)*(AM95/2)+(AM95/2)^2-(AL95/2-AN95/1000)^2-(AL95/2-AN95/1000)*(AM95/2-AN95/1000)-(AM95/2-AN95/1000)^2)=0,"",7850/1000*(1/3)*PI()*ABS(AJ95-AK95)*((AL95/2)^2+(AL95/2)*(AM95/2)+(AM95/2)^2-(AL95/2-AN95/1000)^2-(AL95/2-AN95/1000)*(AM95/2-AN95/1000)-(AM95/2-AN95/1000)^2))</f>
        <v/>
      </c>
      <c r="AR95" s="79" t="str">
        <f>IFERROR((TP_DATA[[#This Row],[D, bottom '[m']]]+TP_DATA[[#This Row],[D, top '[m']]])/(2*TP_DATA[[#This Row],[t '[mm']]]/1000),"")</f>
        <v/>
      </c>
      <c r="AS95" s="79" t="str">
        <f>IFERROR((TP_DATA[[#This Row],[D, bottom '[m']]]+#REF!)/(2*#REF!/1000),"")</f>
        <v/>
      </c>
      <c r="BQ95" s="70">
        <v>65</v>
      </c>
      <c r="BR95">
        <v>50.900000000000006</v>
      </c>
      <c r="BS95">
        <v>49.718000000000004</v>
      </c>
      <c r="BT95">
        <v>7.2770000000000001</v>
      </c>
      <c r="BU95">
        <v>7.2919999999999998</v>
      </c>
      <c r="BV95">
        <v>38.199999999999996</v>
      </c>
      <c r="BW95" s="79">
        <f>IFERROR(TOWER_DATA[[#This Row],[Top '[m']]]-TOWER_DATA[[#This Row],[Bottom '[m']]], "")</f>
        <v>1.1820000000000022</v>
      </c>
      <c r="BX95" s="79">
        <f>IFERROR(-(TOWER_DATA[[#This Row],[D, bottom '[m']]]-TOWER_DATA[[#This Row],[D, top '[m']]])/(TOWER_DATA[[#This Row],[Bottom '[m']]]-TOWER_DATA[[#This Row],[Top '[m']]]),"")</f>
        <v>1.2690355329948945E-2</v>
      </c>
      <c r="BY95" s="79">
        <f t="shared" ref="BY95:BY120" si="6">IF(7850/1000*(1/3)*PI()*ABS(BR95-BS95)*((BT95/2)^2+(BT95/2)*(BU95/2)+(BU95/2)^2-(BT95/2-BV95/1000)^2-(BT95/2-BV95/1000)*(BU95/2-BV95/1000)-(BU95/2-BV95/1000)^2)=0,"",7850/1000*(1/3)*PI()*ABS(BR95-BS95)*((BT95/2)^2+(BT95/2)*(BU95/2)+(BU95/2)^2-(BT95/2-BV95/1000)^2-(BT95/2-BV95/1000)*(BU95/2-BV95/1000)-(BU95/2-BV95/1000)^2))</f>
        <v>8.0689435830434757</v>
      </c>
      <c r="BZ95" s="79">
        <f>IFERROR((TOWER_DATA[[#This Row],[D, bottom '[m']]]+TOWER_DATA[[#This Row],[D, top '[m']]])/(2*TOWER_DATA[[#This Row],[t '[mm']]]/1000),"")</f>
        <v>190.69371727748691</v>
      </c>
      <c r="CA95" s="79" t="str">
        <f>IFERROR((TOWER_DATA[[#This Row],[D, bottom '[m']]]+#REF!)/(2*#REF!/1000),"")</f>
        <v/>
      </c>
      <c r="CB95" s="102">
        <v>20.900000000000002</v>
      </c>
      <c r="CC95" s="102">
        <v>28000</v>
      </c>
      <c r="CD95" s="102" t="s">
        <v>100</v>
      </c>
      <c r="CF95" s="77">
        <v>65</v>
      </c>
      <c r="CG95" s="77">
        <v>50.900000000000006</v>
      </c>
      <c r="CH95" s="77">
        <v>49.718000000000004</v>
      </c>
      <c r="CI95" s="77">
        <v>7.2770000000000001</v>
      </c>
      <c r="CJ95" s="77">
        <v>7.2919999999999998</v>
      </c>
      <c r="CK95" s="77">
        <v>38.199999999999996</v>
      </c>
      <c r="CM95" s="77">
        <v>20.900000000000002</v>
      </c>
      <c r="CN95" s="77">
        <v>28000</v>
      </c>
      <c r="CO95" s="77" t="s">
        <v>100</v>
      </c>
      <c r="DF95" s="79"/>
      <c r="DG95" s="79"/>
    </row>
    <row r="96" spans="2:111" x14ac:dyDescent="0.25">
      <c r="B96" s="79"/>
      <c r="C96" s="79"/>
      <c r="D96" s="79"/>
      <c r="E96" s="79"/>
      <c r="F96" s="79"/>
      <c r="G96" s="79"/>
      <c r="H96" s="79" t="str">
        <f>IFERROR(MP_DATA[[#This Row],[Bottom '[m']]]-MP_DATA[[#This Row],[D, top '[m']]], "")</f>
        <v/>
      </c>
      <c r="I96" s="79" t="str">
        <f>IFERROR(-(MP_DATA[[#This Row],[D, bottom '[m']]]-MP_DATA[[#This Row],[D, top '[m']]])/(MP_DATA[[#This Row],[Bottom '[m']]]-MP_DATA[[#This Row],[Top '[m']]]),"")</f>
        <v/>
      </c>
      <c r="J96" s="79" t="str">
        <f t="shared" si="4"/>
        <v/>
      </c>
      <c r="K96" s="79" t="str">
        <f>IFERROR((MP_DATA[[#This Row],[D, bottom '[m']]]+MP_DATA[[#This Row],[D, top '[m']]])/(2*MP_DATA[[#This Row],[t '[mm']]]/1000),"")</f>
        <v/>
      </c>
      <c r="L96" s="79" t="str">
        <f>IFERROR((MP_DATA[[#This Row],[D, bottom '[m']]]+#REF!)/(2*#REF!/1000),"")</f>
        <v/>
      </c>
      <c r="AO96" s="79" t="str">
        <f>IFERROR(TP_DATA[[#This Row],[Bottom '[m']]]-TP_DATA[[#This Row],[D, top '[m']]], "")</f>
        <v/>
      </c>
      <c r="AP96" s="79" t="str">
        <f>IFERROR(-(TP_DATA[[#This Row],[D, bottom '[m']]]-TP_DATA[[#This Row],[D, top '[m']]])/(TP_DATA[[#This Row],[Bottom '[m']]]-TP_DATA[[#This Row],[Top '[m']]]),"")</f>
        <v/>
      </c>
      <c r="AQ96" s="79" t="str">
        <f t="shared" si="5"/>
        <v/>
      </c>
      <c r="AR96" s="79" t="str">
        <f>IFERROR((TP_DATA[[#This Row],[D, bottom '[m']]]+TP_DATA[[#This Row],[D, top '[m']]])/(2*TP_DATA[[#This Row],[t '[mm']]]/1000),"")</f>
        <v/>
      </c>
      <c r="AS96" s="79" t="str">
        <f>IFERROR((TP_DATA[[#This Row],[D, bottom '[m']]]+#REF!)/(2*#REF!/1000),"")</f>
        <v/>
      </c>
      <c r="BQ96" s="70">
        <v>66</v>
      </c>
      <c r="BR96">
        <v>49.718000000000004</v>
      </c>
      <c r="BS96">
        <v>49.674999999999997</v>
      </c>
      <c r="BT96">
        <v>7.2919999999999998</v>
      </c>
      <c r="BU96">
        <v>7.2919999999999998</v>
      </c>
      <c r="BV96">
        <v>34.5</v>
      </c>
      <c r="BW96" s="79">
        <f>IFERROR(TOWER_DATA[[#This Row],[Top '[m']]]-TOWER_DATA[[#This Row],[Bottom '[m']]], "")</f>
        <v>4.3000000000006366E-2</v>
      </c>
      <c r="BX96" s="79">
        <f>IFERROR(-(TOWER_DATA[[#This Row],[D, bottom '[m']]]-TOWER_DATA[[#This Row],[D, top '[m']]])/(TOWER_DATA[[#This Row],[Bottom '[m']]]-TOWER_DATA[[#This Row],[Top '[m']]]),"")</f>
        <v>0</v>
      </c>
      <c r="BY96" s="79">
        <f t="shared" si="6"/>
        <v>0.26551809567018186</v>
      </c>
      <c r="BZ96" s="79">
        <f>IFERROR((TOWER_DATA[[#This Row],[D, bottom '[m']]]+TOWER_DATA[[#This Row],[D, top '[m']]])/(2*TOWER_DATA[[#This Row],[t '[mm']]]/1000),"")</f>
        <v>211.36231884057969</v>
      </c>
      <c r="CA96" s="79" t="str">
        <f>IFERROR((TOWER_DATA[[#This Row],[D, bottom '[m']]]+#REF!)/(2*#REF!/1000),"")</f>
        <v/>
      </c>
      <c r="CB96" s="102"/>
      <c r="CC96" s="102"/>
      <c r="CD96" s="102"/>
      <c r="CF96" s="77">
        <v>66</v>
      </c>
      <c r="CG96" s="77">
        <v>49.718000000000004</v>
      </c>
      <c r="CH96" s="77">
        <v>49.674999999999997</v>
      </c>
      <c r="CI96" s="77">
        <v>7.2919999999999998</v>
      </c>
      <c r="CJ96" s="77">
        <v>7.2919999999999998</v>
      </c>
      <c r="CK96" s="77">
        <v>34.5</v>
      </c>
      <c r="CM96" s="77"/>
      <c r="CN96" s="77"/>
      <c r="CO96" s="77"/>
      <c r="DF96" s="79"/>
      <c r="DG96" s="79"/>
    </row>
    <row r="97" spans="2:111" x14ac:dyDescent="0.25">
      <c r="B97" s="79"/>
      <c r="C97" s="79"/>
      <c r="D97" s="79"/>
      <c r="E97" s="79"/>
      <c r="F97" s="79"/>
      <c r="G97" s="79"/>
      <c r="H97" s="79" t="str">
        <f>IFERROR(MP_DATA[[#This Row],[Bottom '[m']]]-MP_DATA[[#This Row],[D, top '[m']]], "")</f>
        <v/>
      </c>
      <c r="I97" s="79" t="str">
        <f>IFERROR(-(MP_DATA[[#This Row],[D, bottom '[m']]]-MP_DATA[[#This Row],[D, top '[m']]])/(MP_DATA[[#This Row],[Bottom '[m']]]-MP_DATA[[#This Row],[Top '[m']]]),"")</f>
        <v/>
      </c>
      <c r="J97" s="79" t="str">
        <f t="shared" si="4"/>
        <v/>
      </c>
      <c r="K97" s="79" t="str">
        <f>IFERROR((MP_DATA[[#This Row],[D, bottom '[m']]]+MP_DATA[[#This Row],[D, top '[m']]])/(2*MP_DATA[[#This Row],[t '[mm']]]/1000),"")</f>
        <v/>
      </c>
      <c r="L97" s="79" t="str">
        <f>IFERROR((MP_DATA[[#This Row],[D, bottom '[m']]]+#REF!)/(2*#REF!/1000),"")</f>
        <v/>
      </c>
      <c r="AO97" s="79" t="str">
        <f>IFERROR(TP_DATA[[#This Row],[Bottom '[m']]]-TP_DATA[[#This Row],[D, top '[m']]], "")</f>
        <v/>
      </c>
      <c r="AP97" s="79" t="str">
        <f>IFERROR(-(TP_DATA[[#This Row],[D, bottom '[m']]]-TP_DATA[[#This Row],[D, top '[m']]])/(TP_DATA[[#This Row],[Bottom '[m']]]-TP_DATA[[#This Row],[Top '[m']]]),"")</f>
        <v/>
      </c>
      <c r="AQ97" s="79" t="str">
        <f t="shared" si="5"/>
        <v/>
      </c>
      <c r="AR97" s="79" t="str">
        <f>IFERROR((TP_DATA[[#This Row],[D, bottom '[m']]]+TP_DATA[[#This Row],[D, top '[m']]])/(2*TP_DATA[[#This Row],[t '[mm']]]/1000),"")</f>
        <v/>
      </c>
      <c r="AS97" s="79" t="str">
        <f>IFERROR((TP_DATA[[#This Row],[D, bottom '[m']]]+#REF!)/(2*#REF!/1000),"")</f>
        <v/>
      </c>
      <c r="BQ97" s="70">
        <v>67</v>
      </c>
      <c r="BR97">
        <v>49.674999999999997</v>
      </c>
      <c r="BS97">
        <v>47</v>
      </c>
      <c r="BT97">
        <v>7.2919999999999998</v>
      </c>
      <c r="BU97">
        <v>7.335</v>
      </c>
      <c r="BV97">
        <v>34.5</v>
      </c>
      <c r="BW97" s="79">
        <f>IFERROR(TOWER_DATA[[#This Row],[Top '[m']]]-TOWER_DATA[[#This Row],[Bottom '[m']]], "")</f>
        <v>2.6749999999999972</v>
      </c>
      <c r="BX97" s="79">
        <f>IFERROR(-(TOWER_DATA[[#This Row],[D, bottom '[m']]]-TOWER_DATA[[#This Row],[D, top '[m']]])/(TOWER_DATA[[#This Row],[Bottom '[m']]]-TOWER_DATA[[#This Row],[Top '[m']]]),"")</f>
        <v>1.6074766355140258E-2</v>
      </c>
      <c r="BY97" s="79">
        <f t="shared" si="6"/>
        <v>16.566628376977938</v>
      </c>
      <c r="BZ97" s="79">
        <f>IFERROR((TOWER_DATA[[#This Row],[D, bottom '[m']]]+TOWER_DATA[[#This Row],[D, top '[m']]])/(2*TOWER_DATA[[#This Row],[t '[mm']]]/1000),"")</f>
        <v>211.98550724637678</v>
      </c>
      <c r="CA97" s="79" t="str">
        <f>IFERROR((TOWER_DATA[[#This Row],[D, bottom '[m']]]+#REF!)/(2*#REF!/1000),"")</f>
        <v/>
      </c>
      <c r="CB97" s="102"/>
      <c r="CC97" s="102"/>
      <c r="CD97" s="102"/>
      <c r="CF97" s="77">
        <v>67</v>
      </c>
      <c r="CG97" s="77">
        <v>49.674999999999997</v>
      </c>
      <c r="CH97" s="77">
        <v>47</v>
      </c>
      <c r="CI97" s="77">
        <v>7.2919999999999998</v>
      </c>
      <c r="CJ97" s="77">
        <v>7.335</v>
      </c>
      <c r="CK97" s="77">
        <v>34.5</v>
      </c>
      <c r="CM97" s="77"/>
      <c r="CN97" s="77"/>
      <c r="CO97" s="77"/>
      <c r="DF97" s="79"/>
      <c r="DG97" s="79"/>
    </row>
    <row r="98" spans="2:111" x14ac:dyDescent="0.25">
      <c r="B98" s="79"/>
      <c r="C98" s="79"/>
      <c r="D98" s="79"/>
      <c r="E98" s="79"/>
      <c r="F98" s="79"/>
      <c r="G98" s="79"/>
      <c r="H98" s="79" t="str">
        <f>IFERROR(MP_DATA[[#This Row],[Bottom '[m']]]-MP_DATA[[#This Row],[D, top '[m']]], "")</f>
        <v/>
      </c>
      <c r="I98" s="79" t="str">
        <f>IFERROR(-(MP_DATA[[#This Row],[D, bottom '[m']]]-MP_DATA[[#This Row],[D, top '[m']]])/(MP_DATA[[#This Row],[Bottom '[m']]]-MP_DATA[[#This Row],[Top '[m']]]),"")</f>
        <v/>
      </c>
      <c r="J98" s="79" t="str">
        <f t="shared" si="4"/>
        <v/>
      </c>
      <c r="K98" s="79" t="str">
        <f>IFERROR((MP_DATA[[#This Row],[D, bottom '[m']]]+MP_DATA[[#This Row],[D, top '[m']]])/(2*MP_DATA[[#This Row],[t '[mm']]]/1000),"")</f>
        <v/>
      </c>
      <c r="L98" s="79" t="str">
        <f>IFERROR((MP_DATA[[#This Row],[D, bottom '[m']]]+#REF!)/(2*#REF!/1000),"")</f>
        <v/>
      </c>
      <c r="AO98" s="79" t="str">
        <f>IFERROR(TP_DATA[[#This Row],[Bottom '[m']]]-TP_DATA[[#This Row],[D, top '[m']]], "")</f>
        <v/>
      </c>
      <c r="AP98" s="79" t="str">
        <f>IFERROR(-(TP_DATA[[#This Row],[D, bottom '[m']]]-TP_DATA[[#This Row],[D, top '[m']]])/(TP_DATA[[#This Row],[Bottom '[m']]]-TP_DATA[[#This Row],[Top '[m']]]),"")</f>
        <v/>
      </c>
      <c r="AQ98" s="79" t="str">
        <f t="shared" si="5"/>
        <v/>
      </c>
      <c r="AR98" s="79" t="str">
        <f>IFERROR((TP_DATA[[#This Row],[D, bottom '[m']]]+TP_DATA[[#This Row],[D, top '[m']]])/(2*TP_DATA[[#This Row],[t '[mm']]]/1000),"")</f>
        <v/>
      </c>
      <c r="AS98" s="79" t="str">
        <f>IFERROR((TP_DATA[[#This Row],[D, bottom '[m']]]+#REF!)/(2*#REF!/1000),"")</f>
        <v/>
      </c>
      <c r="BQ98" s="70">
        <v>68</v>
      </c>
      <c r="BR98">
        <v>47</v>
      </c>
      <c r="BS98">
        <v>45.564000000000007</v>
      </c>
      <c r="BT98">
        <v>7.335</v>
      </c>
      <c r="BU98">
        <v>7.3579999999999997</v>
      </c>
      <c r="BV98">
        <v>35</v>
      </c>
      <c r="BW98" s="79">
        <f>IFERROR(TOWER_DATA[[#This Row],[Top '[m']]]-TOWER_DATA[[#This Row],[Bottom '[m']]], "")</f>
        <v>1.4359999999999928</v>
      </c>
      <c r="BX98" s="79">
        <f>IFERROR(-(TOWER_DATA[[#This Row],[D, bottom '[m']]]-TOWER_DATA[[#This Row],[D, top '[m']]])/(TOWER_DATA[[#This Row],[Bottom '[m']]]-TOWER_DATA[[#This Row],[Top '[m']]]),"")</f>
        <v>1.6016713091921868E-2</v>
      </c>
      <c r="BY98" s="79">
        <f t="shared" si="6"/>
        <v>9.0625099838538912</v>
      </c>
      <c r="BZ98" s="79">
        <f>IFERROR((TOWER_DATA[[#This Row],[D, bottom '[m']]]+TOWER_DATA[[#This Row],[D, top '[m']]])/(2*TOWER_DATA[[#This Row],[t '[mm']]]/1000),"")</f>
        <v>209.89999999999998</v>
      </c>
      <c r="CA98" s="79" t="str">
        <f>IFERROR((TOWER_DATA[[#This Row],[D, bottom '[m']]]+#REF!)/(2*#REF!/1000),"")</f>
        <v/>
      </c>
      <c r="CB98" s="102"/>
      <c r="CC98" s="102"/>
      <c r="CD98" s="102"/>
      <c r="CF98" s="77">
        <v>68</v>
      </c>
      <c r="CG98" s="77">
        <v>47</v>
      </c>
      <c r="CH98" s="77">
        <v>45.564000000000007</v>
      </c>
      <c r="CI98" s="77">
        <v>7.335</v>
      </c>
      <c r="CJ98" s="77">
        <v>7.3579999999999997</v>
      </c>
      <c r="CK98" s="77">
        <v>35</v>
      </c>
      <c r="CM98" s="77"/>
      <c r="CN98" s="77"/>
      <c r="CO98" s="77"/>
      <c r="DF98" s="79"/>
      <c r="DG98" s="79"/>
    </row>
    <row r="99" spans="2:111" x14ac:dyDescent="0.25">
      <c r="B99" s="79"/>
      <c r="C99" s="79"/>
      <c r="D99" s="79"/>
      <c r="E99" s="79"/>
      <c r="F99" s="79"/>
      <c r="G99" s="79"/>
      <c r="H99" s="79" t="str">
        <f>IFERROR(MP_DATA[[#This Row],[Bottom '[m']]]-MP_DATA[[#This Row],[D, top '[m']]], "")</f>
        <v/>
      </c>
      <c r="I99" s="79" t="str">
        <f>IFERROR(-(MP_DATA[[#This Row],[D, bottom '[m']]]-MP_DATA[[#This Row],[D, top '[m']]])/(MP_DATA[[#This Row],[Bottom '[m']]]-MP_DATA[[#This Row],[Top '[m']]]),"")</f>
        <v/>
      </c>
      <c r="J99" s="79" t="str">
        <f t="shared" si="4"/>
        <v/>
      </c>
      <c r="K99" s="79" t="str">
        <f>IFERROR((MP_DATA[[#This Row],[D, bottom '[m']]]+MP_DATA[[#This Row],[D, top '[m']]])/(2*MP_DATA[[#This Row],[t '[mm']]]/1000),"")</f>
        <v/>
      </c>
      <c r="L99" s="79" t="str">
        <f>IFERROR((MP_DATA[[#This Row],[D, bottom '[m']]]+#REF!)/(2*#REF!/1000),"")</f>
        <v/>
      </c>
      <c r="AO99" s="79" t="str">
        <f>IFERROR(TP_DATA[[#This Row],[Bottom '[m']]]-TP_DATA[[#This Row],[D, top '[m']]], "")</f>
        <v/>
      </c>
      <c r="AP99" s="79" t="str">
        <f>IFERROR(-(TP_DATA[[#This Row],[D, bottom '[m']]]-TP_DATA[[#This Row],[D, top '[m']]])/(TP_DATA[[#This Row],[Bottom '[m']]]-TP_DATA[[#This Row],[Top '[m']]]),"")</f>
        <v/>
      </c>
      <c r="AQ99" s="79" t="str">
        <f t="shared" si="5"/>
        <v/>
      </c>
      <c r="AR99" s="79" t="str">
        <f>IFERROR((TP_DATA[[#This Row],[D, bottom '[m']]]+TP_DATA[[#This Row],[D, top '[m']]])/(2*TP_DATA[[#This Row],[t '[mm']]]/1000),"")</f>
        <v/>
      </c>
      <c r="AS99" s="79" t="str">
        <f>IFERROR((TP_DATA[[#This Row],[D, bottom '[m']]]+#REF!)/(2*#REF!/1000),"")</f>
        <v/>
      </c>
      <c r="BQ99" s="70">
        <v>69</v>
      </c>
      <c r="BR99">
        <v>45.564000000000007</v>
      </c>
      <c r="BS99">
        <v>44.282000000000004</v>
      </c>
      <c r="BT99">
        <v>7.3579999999999997</v>
      </c>
      <c r="BU99">
        <v>7.3789999999999996</v>
      </c>
      <c r="BV99">
        <v>35</v>
      </c>
      <c r="BW99" s="79">
        <f>IFERROR(TOWER_DATA[[#This Row],[Top '[m']]]-TOWER_DATA[[#This Row],[Bottom '[m']]], "")</f>
        <v>1.2820000000000036</v>
      </c>
      <c r="BX99" s="79">
        <f>IFERROR(-(TOWER_DATA[[#This Row],[D, bottom '[m']]]-TOWER_DATA[[#This Row],[D, top '[m']]])/(TOWER_DATA[[#This Row],[Bottom '[m']]]-TOWER_DATA[[#This Row],[Top '[m']]]),"")</f>
        <v>1.6380655226208931E-2</v>
      </c>
      <c r="BY99" s="79">
        <f t="shared" si="6"/>
        <v>8.1149695638373931</v>
      </c>
      <c r="BZ99" s="79">
        <f>IFERROR((TOWER_DATA[[#This Row],[D, bottom '[m']]]+TOWER_DATA[[#This Row],[D, top '[m']]])/(2*TOWER_DATA[[#This Row],[t '[mm']]]/1000),"")</f>
        <v>210.52857142857138</v>
      </c>
      <c r="CA99" s="79" t="str">
        <f>IFERROR((TOWER_DATA[[#This Row],[D, bottom '[m']]]+#REF!)/(2*#REF!/1000),"")</f>
        <v/>
      </c>
      <c r="CB99" s="102"/>
      <c r="CC99" s="102"/>
      <c r="CD99" s="102"/>
      <c r="CF99" s="77">
        <v>69</v>
      </c>
      <c r="CG99" s="77">
        <v>45.564000000000007</v>
      </c>
      <c r="CH99" s="77">
        <v>44.282000000000004</v>
      </c>
      <c r="CI99" s="77">
        <v>7.3579999999999997</v>
      </c>
      <c r="CJ99" s="77">
        <v>7.3789999999999996</v>
      </c>
      <c r="CK99" s="77">
        <v>35</v>
      </c>
      <c r="CM99" s="77"/>
      <c r="CN99" s="77"/>
      <c r="CO99" s="77"/>
      <c r="DF99" s="79"/>
      <c r="DG99" s="79"/>
    </row>
    <row r="100" spans="2:111" x14ac:dyDescent="0.25">
      <c r="B100" s="79"/>
      <c r="C100" s="79"/>
      <c r="D100" s="79"/>
      <c r="E100" s="79"/>
      <c r="F100" s="79"/>
      <c r="G100" s="79"/>
      <c r="H100" s="79" t="str">
        <f>IFERROR(MP_DATA[[#This Row],[Bottom '[m']]]-MP_DATA[[#This Row],[D, top '[m']]], "")</f>
        <v/>
      </c>
      <c r="I100" s="79" t="str">
        <f>IFERROR(-(MP_DATA[[#This Row],[D, bottom '[m']]]-MP_DATA[[#This Row],[D, top '[m']]])/(MP_DATA[[#This Row],[Bottom '[m']]]-MP_DATA[[#This Row],[Top '[m']]]),"")</f>
        <v/>
      </c>
      <c r="J100" s="79" t="str">
        <f t="shared" si="4"/>
        <v/>
      </c>
      <c r="K100" s="79" t="str">
        <f>IFERROR((MP_DATA[[#This Row],[D, bottom '[m']]]+MP_DATA[[#This Row],[D, top '[m']]])/(2*MP_DATA[[#This Row],[t '[mm']]]/1000),"")</f>
        <v/>
      </c>
      <c r="L100" s="79" t="str">
        <f>IFERROR((MP_DATA[[#This Row],[D, bottom '[m']]]+#REF!)/(2*#REF!/1000),"")</f>
        <v/>
      </c>
      <c r="AO100" s="79" t="str">
        <f>IFERROR(TP_DATA[[#This Row],[Bottom '[m']]]-TP_DATA[[#This Row],[D, top '[m']]], "")</f>
        <v/>
      </c>
      <c r="AP100" s="79" t="str">
        <f>IFERROR(-(TP_DATA[[#This Row],[D, bottom '[m']]]-TP_DATA[[#This Row],[D, top '[m']]])/(TP_DATA[[#This Row],[Bottom '[m']]]-TP_DATA[[#This Row],[Top '[m']]]),"")</f>
        <v/>
      </c>
      <c r="AQ100" s="79" t="str">
        <f t="shared" si="5"/>
        <v/>
      </c>
      <c r="AR100" s="79" t="str">
        <f>IFERROR((TP_DATA[[#This Row],[D, bottom '[m']]]+TP_DATA[[#This Row],[D, top '[m']]])/(2*TP_DATA[[#This Row],[t '[mm']]]/1000),"")</f>
        <v/>
      </c>
      <c r="AS100" s="79" t="str">
        <f>IFERROR((TP_DATA[[#This Row],[D, bottom '[m']]]+#REF!)/(2*#REF!/1000),"")</f>
        <v/>
      </c>
      <c r="BQ100" s="70">
        <v>70</v>
      </c>
      <c r="BR100">
        <v>44.282000000000004</v>
      </c>
      <c r="BS100">
        <v>41.561000000000007</v>
      </c>
      <c r="BT100">
        <v>7.3789999999999996</v>
      </c>
      <c r="BU100">
        <v>7.4249999999999998</v>
      </c>
      <c r="BV100">
        <v>35.799999999999997</v>
      </c>
      <c r="BW100" s="79">
        <f>IFERROR(TOWER_DATA[[#This Row],[Top '[m']]]-TOWER_DATA[[#This Row],[Bottom '[m']]], "")</f>
        <v>2.7209999999999965</v>
      </c>
      <c r="BX100" s="79">
        <f>IFERROR(-(TOWER_DATA[[#This Row],[D, bottom '[m']]]-TOWER_DATA[[#This Row],[D, top '[m']]])/(TOWER_DATA[[#This Row],[Bottom '[m']]]-TOWER_DATA[[#This Row],[Top '[m']]]),"")</f>
        <v>1.6905549430356603E-2</v>
      </c>
      <c r="BY100" s="79">
        <f t="shared" si="6"/>
        <v>17.695979401197722</v>
      </c>
      <c r="BZ100" s="79">
        <f>IFERROR((TOWER_DATA[[#This Row],[D, bottom '[m']]]+TOWER_DATA[[#This Row],[D, top '[m']]])/(2*TOWER_DATA[[#This Row],[t '[mm']]]/1000),"")</f>
        <v>206.75977653631284</v>
      </c>
      <c r="CA100" s="79" t="str">
        <f>IFERROR((TOWER_DATA[[#This Row],[D, bottom '[m']]]+#REF!)/(2*#REF!/1000),"")</f>
        <v/>
      </c>
      <c r="CB100" s="102"/>
      <c r="CC100" s="102"/>
      <c r="CD100" s="102"/>
      <c r="CF100" s="77">
        <v>70</v>
      </c>
      <c r="CG100" s="77">
        <v>44.282000000000004</v>
      </c>
      <c r="CH100" s="77">
        <v>41.561000000000007</v>
      </c>
      <c r="CI100" s="77">
        <v>7.3789999999999996</v>
      </c>
      <c r="CJ100" s="77">
        <v>7.4249999999999998</v>
      </c>
      <c r="CK100" s="77">
        <v>35.799999999999997</v>
      </c>
      <c r="CM100" s="77"/>
      <c r="CN100" s="77"/>
      <c r="CO100" s="77"/>
      <c r="DF100" s="79" t="str">
        <f>IF(7850/1000*(1/3)*PI()*ABS(CZ100-DA100)*((DB100/2)^2+(DB100/2)*(DC100/2)+(DC100/2)^2-(DB100/2-DE100/1000)^2-(DB100/2-DE100/1000)*(DC100/2-DE100/1000)-(DC100/2-DE100/1000)^2)=0,"",7850/1000*(1/3)*PI()*ABS(CZ100-DA100)*((DB100/2)^2+(DB100/2)*(DC100/2)+(DC100/2)^2-(DB100/2-DE100/1000)^2-(DB100/2-DE100/1000)*(DC100/2-DE100/1000)-(DC100/2-DE100/1000)^2))</f>
        <v/>
      </c>
      <c r="DG100" s="79"/>
    </row>
    <row r="101" spans="2:111" x14ac:dyDescent="0.25">
      <c r="B101" s="79"/>
      <c r="C101" s="79"/>
      <c r="D101" s="79"/>
      <c r="E101" s="79"/>
      <c r="F101" s="79"/>
      <c r="G101" s="79"/>
      <c r="H101" s="79" t="str">
        <f>IFERROR(MP_DATA[[#This Row],[Bottom '[m']]]-MP_DATA[[#This Row],[D, top '[m']]], "")</f>
        <v/>
      </c>
      <c r="I101" s="79" t="str">
        <f>IFERROR(-(MP_DATA[[#This Row],[D, bottom '[m']]]-MP_DATA[[#This Row],[D, top '[m']]])/(MP_DATA[[#This Row],[Bottom '[m']]]-MP_DATA[[#This Row],[Top '[m']]]),"")</f>
        <v/>
      </c>
      <c r="J101" s="79" t="str">
        <f t="shared" si="4"/>
        <v/>
      </c>
      <c r="K101" s="79" t="str">
        <f>IFERROR((MP_DATA[[#This Row],[D, bottom '[m']]]+MP_DATA[[#This Row],[D, top '[m']]])/(2*MP_DATA[[#This Row],[t '[mm']]]/1000),"")</f>
        <v/>
      </c>
      <c r="L101" s="79" t="str">
        <f>IFERROR((MP_DATA[[#This Row],[D, bottom '[m']]]+#REF!)/(2*#REF!/1000),"")</f>
        <v/>
      </c>
      <c r="AO101" s="79" t="str">
        <f>IFERROR(TP_DATA[[#This Row],[Bottom '[m']]]-TP_DATA[[#This Row],[D, top '[m']]], "")</f>
        <v/>
      </c>
      <c r="AP101" s="79" t="str">
        <f>IFERROR(-(TP_DATA[[#This Row],[D, bottom '[m']]]-TP_DATA[[#This Row],[D, top '[m']]])/(TP_DATA[[#This Row],[Bottom '[m']]]-TP_DATA[[#This Row],[Top '[m']]]),"")</f>
        <v/>
      </c>
      <c r="AQ101" s="79" t="str">
        <f t="shared" si="5"/>
        <v/>
      </c>
      <c r="AR101" s="79" t="str">
        <f>IFERROR((TP_DATA[[#This Row],[D, bottom '[m']]]+TP_DATA[[#This Row],[D, top '[m']]])/(2*TP_DATA[[#This Row],[t '[mm']]]/1000),"")</f>
        <v/>
      </c>
      <c r="AS101" s="79" t="str">
        <f>IFERROR((TP_DATA[[#This Row],[D, bottom '[m']]]+#REF!)/(2*#REF!/1000),"")</f>
        <v/>
      </c>
      <c r="BQ101" s="70">
        <v>71</v>
      </c>
      <c r="BR101">
        <v>41.561000000000007</v>
      </c>
      <c r="BS101">
        <v>40.900000000000006</v>
      </c>
      <c r="BT101">
        <v>7.4249999999999998</v>
      </c>
      <c r="BU101">
        <v>7.4349999999999996</v>
      </c>
      <c r="BV101">
        <v>39</v>
      </c>
      <c r="BW101" s="79">
        <f>IFERROR(TOWER_DATA[[#This Row],[Top '[m']]]-TOWER_DATA[[#This Row],[Bottom '[m']]], "")</f>
        <v>0.66100000000000136</v>
      </c>
      <c r="BX101" s="79">
        <f>IFERROR(-(TOWER_DATA[[#This Row],[D, bottom '[m']]]-TOWER_DATA[[#This Row],[D, top '[m']]])/(TOWER_DATA[[#This Row],[Bottom '[m']]]-TOWER_DATA[[#This Row],[Top '[m']]]),"")</f>
        <v>1.5128593040846848E-2</v>
      </c>
      <c r="BY101" s="79">
        <f t="shared" si="6"/>
        <v>4.6988198876939959</v>
      </c>
      <c r="BZ101" s="79">
        <f>IFERROR((TOWER_DATA[[#This Row],[D, bottom '[m']]]+TOWER_DATA[[#This Row],[D, top '[m']]])/(2*TOWER_DATA[[#This Row],[t '[mm']]]/1000),"")</f>
        <v>190.5128205128205</v>
      </c>
      <c r="CA101" s="79" t="str">
        <f>IFERROR((TOWER_DATA[[#This Row],[D, bottom '[m']]]+#REF!)/(2*#REF!/1000),"")</f>
        <v/>
      </c>
      <c r="CB101" s="102"/>
      <c r="CC101" s="102"/>
      <c r="CD101" s="102"/>
      <c r="CF101" s="77">
        <v>71</v>
      </c>
      <c r="CG101" s="77">
        <v>41.561000000000007</v>
      </c>
      <c r="CH101" s="77">
        <v>40.900000000000006</v>
      </c>
      <c r="CI101" s="77">
        <v>7.4249999999999998</v>
      </c>
      <c r="CJ101" s="77">
        <v>7.4349999999999996</v>
      </c>
      <c r="CK101" s="77">
        <v>39</v>
      </c>
      <c r="CM101" s="77"/>
      <c r="CN101" s="77"/>
      <c r="CO101" s="77"/>
      <c r="DF101" s="79" t="str">
        <f>IF(7850/1000*(1/3)*PI()*ABS(CZ101-DA101)*((DB101/2)^2+(DB101/2)*(DC101/2)+(DC101/2)^2-(DB101/2-DE101/1000)^2-(DB101/2-DE101/1000)*(DC101/2-DE101/1000)-(DC101/2-DE101/1000)^2)=0,"",7850/1000*(1/3)*PI()*ABS(CZ101-DA101)*((DB101/2)^2+(DB101/2)*(DC101/2)+(DC101/2)^2-(DB101/2-DE101/1000)^2-(DB101/2-DE101/1000)*(DC101/2-DE101/1000)-(DC101/2-DE101/1000)^2))</f>
        <v/>
      </c>
      <c r="DG101" s="79"/>
    </row>
    <row r="102" spans="2:111" x14ac:dyDescent="0.25">
      <c r="B102" s="79"/>
      <c r="C102" s="79"/>
      <c r="D102" s="79"/>
      <c r="E102" s="79"/>
      <c r="F102" s="79"/>
      <c r="G102" s="79"/>
      <c r="H102" s="79" t="str">
        <f>IFERROR(MP_DATA[[#This Row],[Bottom '[m']]]-MP_DATA[[#This Row],[D, top '[m']]], "")</f>
        <v/>
      </c>
      <c r="I102" s="79" t="str">
        <f>IFERROR(-(MP_DATA[[#This Row],[D, bottom '[m']]]-MP_DATA[[#This Row],[D, top '[m']]])/(MP_DATA[[#This Row],[Bottom '[m']]]-MP_DATA[[#This Row],[Top '[m']]]),"")</f>
        <v/>
      </c>
      <c r="J102" s="79" t="str">
        <f t="shared" si="4"/>
        <v/>
      </c>
      <c r="K102" s="79" t="str">
        <f>IFERROR((MP_DATA[[#This Row],[D, bottom '[m']]]+MP_DATA[[#This Row],[D, top '[m']]])/(2*MP_DATA[[#This Row],[t '[mm']]]/1000),"")</f>
        <v/>
      </c>
      <c r="L102" s="79" t="str">
        <f>IFERROR((MP_DATA[[#This Row],[D, bottom '[m']]]+#REF!)/(2*#REF!/1000),"")</f>
        <v/>
      </c>
      <c r="AO102" s="79" t="str">
        <f>IFERROR(TP_DATA[[#This Row],[Bottom '[m']]]-TP_DATA[[#This Row],[D, top '[m']]], "")</f>
        <v/>
      </c>
      <c r="AP102" s="79" t="str">
        <f>IFERROR(-(TP_DATA[[#This Row],[D, bottom '[m']]]-TP_DATA[[#This Row],[D, top '[m']]])/(TP_DATA[[#This Row],[Bottom '[m']]]-TP_DATA[[#This Row],[Top '[m']]]),"")</f>
        <v/>
      </c>
      <c r="AQ102" s="79" t="str">
        <f t="shared" ref="AQ102:AQ135" si="7">IF(7850/1000*(1/3)*PI()*ABS(AJ102-AK102)*((AL102/2)^2+(AL102/2)*(AM102/2)+(AM102/2)^2-(AL102/2-AN102/1000)^2-(AL102/2-AN102/1000)*(AM102/2-AN102/1000)-(AM102/2-AN102/1000)^2)=0,"",7850/1000*(1/3)*PI()*ABS(AJ102-AK102)*((AL102/2)^2+(AL102/2)*(AM102/2)+(AM102/2)^2-(AL102/2-AN102/1000)^2-(AL102/2-AN102/1000)*(AM102/2-AN102/1000)-(AM102/2-AN102/1000)^2))</f>
        <v/>
      </c>
      <c r="AR102" s="79" t="str">
        <f>IFERROR((TP_DATA[[#This Row],[D, bottom '[m']]]+TP_DATA[[#This Row],[D, top '[m']]])/(2*TP_DATA[[#This Row],[t '[mm']]]/1000),"")</f>
        <v/>
      </c>
      <c r="AS102" s="79" t="str">
        <f>IFERROR((TP_DATA[[#This Row],[D, bottom '[m']]]+#REF!)/(2*#REF!/1000),"")</f>
        <v/>
      </c>
      <c r="BQ102" s="70">
        <v>72</v>
      </c>
      <c r="BR102">
        <v>40.900000000000006</v>
      </c>
      <c r="BS102">
        <v>38.775000000000006</v>
      </c>
      <c r="BT102">
        <v>7.4349999999999996</v>
      </c>
      <c r="BU102">
        <v>7.476</v>
      </c>
      <c r="BV102">
        <v>39</v>
      </c>
      <c r="BW102" s="79">
        <f>IFERROR(TOWER_DATA[[#This Row],[Top '[m']]]-TOWER_DATA[[#This Row],[Bottom '[m']]], "")</f>
        <v>2.125</v>
      </c>
      <c r="BX102" s="79">
        <f>IFERROR(-(TOWER_DATA[[#This Row],[D, bottom '[m']]]-TOWER_DATA[[#This Row],[D, top '[m']]])/(TOWER_DATA[[#This Row],[Bottom '[m']]]-TOWER_DATA[[#This Row],[Top '[m']]]),"")</f>
        <v>1.9294117647058996E-2</v>
      </c>
      <c r="BY102" s="79">
        <f t="shared" si="6"/>
        <v>15.158005904941108</v>
      </c>
      <c r="BZ102" s="79">
        <f>IFERROR((TOWER_DATA[[#This Row],[D, bottom '[m']]]+TOWER_DATA[[#This Row],[D, top '[m']]])/(2*TOWER_DATA[[#This Row],[t '[mm']]]/1000),"")</f>
        <v>191.16666666666666</v>
      </c>
      <c r="CA102" s="79" t="str">
        <f>IFERROR((TOWER_DATA[[#This Row],[D, bottom '[m']]]+#REF!)/(2*#REF!/1000),"")</f>
        <v/>
      </c>
      <c r="CB102" s="102"/>
      <c r="CC102" s="102"/>
      <c r="CD102" s="102"/>
      <c r="CF102" s="77">
        <v>72</v>
      </c>
      <c r="CG102" s="77">
        <v>40.900000000000006</v>
      </c>
      <c r="CH102" s="77">
        <v>38.775000000000006</v>
      </c>
      <c r="CI102" s="77">
        <v>7.4349999999999996</v>
      </c>
      <c r="CJ102" s="77">
        <v>7.476</v>
      </c>
      <c r="CK102" s="77">
        <v>39</v>
      </c>
      <c r="CM102" s="77"/>
      <c r="CN102" s="77"/>
      <c r="CO102" s="77"/>
      <c r="DF102" s="79" t="str">
        <f>IF(7850/1000*(1/3)*PI()*ABS(CZ102-DA102)*((DB102/2)^2+(DB102/2)*(DC102/2)+(DC102/2)^2-(DB102/2-DE102/1000)^2-(DB102/2-DE102/1000)*(DC102/2-DE102/1000)-(DC102/2-DE102/1000)^2)=0,"",7850/1000*(1/3)*PI()*ABS(CZ102-DA102)*((DB102/2)^2+(DB102/2)*(DC102/2)+(DC102/2)^2-(DB102/2-DE102/1000)^2-(DB102/2-DE102/1000)*(DC102/2-DE102/1000)-(DC102/2-DE102/1000)^2))</f>
        <v/>
      </c>
      <c r="DG102" s="79"/>
    </row>
    <row r="103" spans="2:111" x14ac:dyDescent="0.25">
      <c r="B103" s="79"/>
      <c r="C103" s="79"/>
      <c r="D103" s="79"/>
      <c r="E103" s="79"/>
      <c r="F103" s="79"/>
      <c r="G103" s="79"/>
      <c r="H103" s="79" t="str">
        <f>IFERROR(MP_DATA[[#This Row],[Bottom '[m']]]-MP_DATA[[#This Row],[D, top '[m']]], "")</f>
        <v/>
      </c>
      <c r="I103" s="79" t="str">
        <f>IFERROR(-(MP_DATA[[#This Row],[D, bottom '[m']]]-MP_DATA[[#This Row],[D, top '[m']]])/(MP_DATA[[#This Row],[Bottom '[m']]]-MP_DATA[[#This Row],[Top '[m']]]),"")</f>
        <v/>
      </c>
      <c r="J103" s="79" t="str">
        <f t="shared" si="4"/>
        <v/>
      </c>
      <c r="K103" s="79" t="str">
        <f>IFERROR((MP_DATA[[#This Row],[D, bottom '[m']]]+MP_DATA[[#This Row],[D, top '[m']]])/(2*MP_DATA[[#This Row],[t '[mm']]]/1000),"")</f>
        <v/>
      </c>
      <c r="L103" s="79" t="str">
        <f>IFERROR((MP_DATA[[#This Row],[D, bottom '[m']]]+#REF!)/(2*#REF!/1000),"")</f>
        <v/>
      </c>
      <c r="AO103" s="79" t="str">
        <f>IFERROR(TP_DATA[[#This Row],[Bottom '[m']]]-TP_DATA[[#This Row],[D, top '[m']]], "")</f>
        <v/>
      </c>
      <c r="AP103" s="79" t="str">
        <f>IFERROR(-(TP_DATA[[#This Row],[D, bottom '[m']]]-TP_DATA[[#This Row],[D, top '[m']]])/(TP_DATA[[#This Row],[Bottom '[m']]]-TP_DATA[[#This Row],[Top '[m']]]),"")</f>
        <v/>
      </c>
      <c r="AQ103" s="79" t="str">
        <f t="shared" si="7"/>
        <v/>
      </c>
      <c r="AR103" s="79" t="str">
        <f>IFERROR((TP_DATA[[#This Row],[D, bottom '[m']]]+TP_DATA[[#This Row],[D, top '[m']]])/(2*TP_DATA[[#This Row],[t '[mm']]]/1000),"")</f>
        <v/>
      </c>
      <c r="AS103" s="79" t="str">
        <f>IFERROR((TP_DATA[[#This Row],[D, bottom '[m']]]+#REF!)/(2*#REF!/1000),"")</f>
        <v/>
      </c>
      <c r="BQ103" s="70">
        <v>73</v>
      </c>
      <c r="BR103">
        <v>38.775000000000006</v>
      </c>
      <c r="BS103">
        <v>38.725000000000001</v>
      </c>
      <c r="BT103">
        <v>7.476</v>
      </c>
      <c r="BU103">
        <v>7.476</v>
      </c>
      <c r="BV103">
        <v>46</v>
      </c>
      <c r="BW103" s="79">
        <f>IFERROR(TOWER_DATA[[#This Row],[Top '[m']]]-TOWER_DATA[[#This Row],[Bottom '[m']]], "")</f>
        <v>5.0000000000004263E-2</v>
      </c>
      <c r="BX103" s="79">
        <f>IFERROR(-(TOWER_DATA[[#This Row],[D, bottom '[m']]]-TOWER_DATA[[#This Row],[D, top '[m']]])/(TOWER_DATA[[#This Row],[Bottom '[m']]]-TOWER_DATA[[#This Row],[Top '[m']]]),"")</f>
        <v>0</v>
      </c>
      <c r="BY103" s="79">
        <f t="shared" si="6"/>
        <v>0.42144041332902277</v>
      </c>
      <c r="BZ103" s="79">
        <f>IFERROR((TOWER_DATA[[#This Row],[D, bottom '[m']]]+TOWER_DATA[[#This Row],[D, top '[m']]])/(2*TOWER_DATA[[#This Row],[t '[mm']]]/1000),"")</f>
        <v>162.52173913043478</v>
      </c>
      <c r="CA103" s="79" t="str">
        <f>IFERROR((TOWER_DATA[[#This Row],[D, bottom '[m']]]+#REF!)/(2*#REF!/1000),"")</f>
        <v/>
      </c>
      <c r="CB103" s="102"/>
      <c r="CC103" s="102"/>
      <c r="CD103" s="102"/>
      <c r="CF103" s="77">
        <v>73</v>
      </c>
      <c r="CG103" s="77">
        <v>38.775000000000006</v>
      </c>
      <c r="CH103" s="77">
        <v>38.725000000000001</v>
      </c>
      <c r="CI103" s="77">
        <v>7.476</v>
      </c>
      <c r="CJ103" s="77">
        <v>7.476</v>
      </c>
      <c r="CK103" s="77">
        <v>46</v>
      </c>
      <c r="CM103" s="77"/>
      <c r="CN103" s="77"/>
      <c r="CO103" s="77"/>
      <c r="DF103" s="79" t="str">
        <f t="shared" ref="DF103:DF136" si="8">IF(7850/1000*(1/3)*PI()*ABS(CZ103-DA103)*((DB103/2)^2+(DB103/2)*(DC103/2)+(DC103/2)^2-(DB103/2-DE103/1000)^2-(DB103/2-DE103/1000)*(DC103/2-DE103/1000)-(DC103/2-DE103/1000)^2)=0,"",7850/1000*(1/3)*PI()*ABS(CZ103-DA103)*((DB103/2)^2+(DB103/2)*(DC103/2)+(DC103/2)^2-(DB103/2-DE103/1000)^2-(DB103/2-DE103/1000)*(DC103/2-DE103/1000)-(DC103/2-DE103/1000)^2))</f>
        <v/>
      </c>
      <c r="DG103" s="79"/>
    </row>
    <row r="104" spans="2:111" x14ac:dyDescent="0.25">
      <c r="B104" s="79"/>
      <c r="C104" s="79"/>
      <c r="D104" s="79"/>
      <c r="E104" s="79"/>
      <c r="F104" s="79"/>
      <c r="G104" s="79"/>
      <c r="H104" s="79" t="str">
        <f>IFERROR(MP_DATA[[#This Row],[Bottom '[m']]]-MP_DATA[[#This Row],[D, top '[m']]], "")</f>
        <v/>
      </c>
      <c r="I104" s="79" t="str">
        <f>IFERROR(-(MP_DATA[[#This Row],[D, bottom '[m']]]-MP_DATA[[#This Row],[D, top '[m']]])/(MP_DATA[[#This Row],[Bottom '[m']]]-MP_DATA[[#This Row],[Top '[m']]]),"")</f>
        <v/>
      </c>
      <c r="J104" s="79" t="str">
        <f t="shared" si="4"/>
        <v/>
      </c>
      <c r="K104" s="79" t="str">
        <f>IFERROR((MP_DATA[[#This Row],[D, bottom '[m']]]+MP_DATA[[#This Row],[D, top '[m']]])/(2*MP_DATA[[#This Row],[t '[mm']]]/1000),"")</f>
        <v/>
      </c>
      <c r="L104" s="79" t="str">
        <f>IFERROR((MP_DATA[[#This Row],[D, bottom '[m']]]+#REF!)/(2*#REF!/1000),"")</f>
        <v/>
      </c>
      <c r="AO104" s="79" t="str">
        <f>IFERROR(TP_DATA[[#This Row],[Bottom '[m']]]-TP_DATA[[#This Row],[D, top '[m']]], "")</f>
        <v/>
      </c>
      <c r="AP104" s="79" t="str">
        <f>IFERROR(-(TP_DATA[[#This Row],[D, bottom '[m']]]-TP_DATA[[#This Row],[D, top '[m']]])/(TP_DATA[[#This Row],[Bottom '[m']]]-TP_DATA[[#This Row],[Top '[m']]]),"")</f>
        <v/>
      </c>
      <c r="AQ104" s="79" t="str">
        <f t="shared" si="7"/>
        <v/>
      </c>
      <c r="AR104" s="79" t="str">
        <f>IFERROR((TP_DATA[[#This Row],[D, bottom '[m']]]+TP_DATA[[#This Row],[D, top '[m']]])/(2*TP_DATA[[#This Row],[t '[mm']]]/1000),"")</f>
        <v/>
      </c>
      <c r="AS104" s="79" t="str">
        <f>IFERROR((TP_DATA[[#This Row],[D, bottom '[m']]]+#REF!)/(2*#REF!/1000),"")</f>
        <v/>
      </c>
      <c r="BQ104" s="70">
        <v>74</v>
      </c>
      <c r="BR104">
        <v>38.725000000000001</v>
      </c>
      <c r="BS104">
        <v>38.540000000000006</v>
      </c>
      <c r="BT104">
        <v>7.476</v>
      </c>
      <c r="BU104">
        <v>7.476</v>
      </c>
      <c r="BV104">
        <v>46</v>
      </c>
      <c r="BW104" s="79">
        <f>IFERROR(TOWER_DATA[[#This Row],[Top '[m']]]-TOWER_DATA[[#This Row],[Bottom '[m']]], "")</f>
        <v>0.18499999999999517</v>
      </c>
      <c r="BX104" s="79">
        <f>IFERROR(-(TOWER_DATA[[#This Row],[D, bottom '[m']]]-TOWER_DATA[[#This Row],[D, top '[m']]])/(TOWER_DATA[[#This Row],[Bottom '[m']]]-TOWER_DATA[[#This Row],[Top '[m']]]),"")</f>
        <v>0</v>
      </c>
      <c r="BY104" s="79">
        <f t="shared" si="6"/>
        <v>1.5593295293172105</v>
      </c>
      <c r="BZ104" s="79">
        <f>IFERROR((TOWER_DATA[[#This Row],[D, bottom '[m']]]+TOWER_DATA[[#This Row],[D, top '[m']]])/(2*TOWER_DATA[[#This Row],[t '[mm']]]/1000),"")</f>
        <v>162.52173913043478</v>
      </c>
      <c r="CA104" s="79" t="str">
        <f>IFERROR((TOWER_DATA[[#This Row],[D, bottom '[m']]]+#REF!)/(2*#REF!/1000),"")</f>
        <v/>
      </c>
      <c r="CB104" s="102"/>
      <c r="CC104" s="102"/>
      <c r="CD104" s="102"/>
      <c r="CF104" s="77">
        <v>74</v>
      </c>
      <c r="CG104" s="77">
        <v>38.725000000000001</v>
      </c>
      <c r="CH104" s="77">
        <v>38.540000000000006</v>
      </c>
      <c r="CI104" s="77">
        <v>7.476</v>
      </c>
      <c r="CJ104" s="77">
        <v>7.476</v>
      </c>
      <c r="CK104" s="77">
        <v>46</v>
      </c>
      <c r="CM104" s="77"/>
      <c r="CN104" s="77"/>
      <c r="CO104" s="77"/>
      <c r="DF104" s="79" t="str">
        <f t="shared" si="8"/>
        <v/>
      </c>
      <c r="DG104" s="79"/>
    </row>
    <row r="105" spans="2:111" x14ac:dyDescent="0.25">
      <c r="B105" s="79"/>
      <c r="D105" s="79"/>
      <c r="F105" s="79"/>
      <c r="H105" s="79" t="str">
        <f>IFERROR(MP_DATA[[#This Row],[Bottom '[m']]]-MP_DATA[[#This Row],[D, top '[m']]], "")</f>
        <v/>
      </c>
      <c r="I105" t="str">
        <f>IFERROR(-(MP_DATA[[#This Row],[D, bottom '[m']]]-MP_DATA[[#This Row],[D, top '[m']]])/(MP_DATA[[#This Row],[Bottom '[m']]]-MP_DATA[[#This Row],[Top '[m']]]),"")</f>
        <v/>
      </c>
      <c r="J105" s="79" t="str">
        <f t="shared" si="4"/>
        <v/>
      </c>
      <c r="K105" s="79" t="str">
        <f>IFERROR((MP_DATA[[#This Row],[D, bottom '[m']]]+MP_DATA[[#This Row],[D, top '[m']]])/(2*MP_DATA[[#This Row],[t '[mm']]]/1000),"")</f>
        <v/>
      </c>
      <c r="L105" s="79" t="str">
        <f>IFERROR((MP_DATA[[#This Row],[D, bottom '[m']]]+#REF!)/(2*#REF!/1000),"")</f>
        <v/>
      </c>
      <c r="AO105" s="79" t="str">
        <f>IFERROR(TP_DATA[[#This Row],[Bottom '[m']]]-TP_DATA[[#This Row],[D, top '[m']]], "")</f>
        <v/>
      </c>
      <c r="AP105" s="79" t="str">
        <f>IFERROR(-(TP_DATA[[#This Row],[D, bottom '[m']]]-TP_DATA[[#This Row],[D, top '[m']]])/(TP_DATA[[#This Row],[Bottom '[m']]]-TP_DATA[[#This Row],[Top '[m']]]),"")</f>
        <v/>
      </c>
      <c r="AQ105" s="79" t="str">
        <f t="shared" si="7"/>
        <v/>
      </c>
      <c r="AR105" s="79" t="str">
        <f>IFERROR((TP_DATA[[#This Row],[D, bottom '[m']]]+TP_DATA[[#This Row],[D, top '[m']]])/(2*TP_DATA[[#This Row],[t '[mm']]]/1000),"")</f>
        <v/>
      </c>
      <c r="AS105" s="79" t="str">
        <f>IFERROR((TP_DATA[[#This Row],[D, bottom '[m']]]+#REF!)/(2*#REF!/1000),"")</f>
        <v/>
      </c>
      <c r="BQ105" s="70">
        <v>75</v>
      </c>
      <c r="BR105">
        <v>38.540000000000006</v>
      </c>
      <c r="BS105">
        <v>38.355000000000004</v>
      </c>
      <c r="BT105">
        <v>7.476</v>
      </c>
      <c r="BU105">
        <v>7.476</v>
      </c>
      <c r="BV105">
        <v>46</v>
      </c>
      <c r="BW105" s="79">
        <f>IFERROR(TOWER_DATA[[#This Row],[Top '[m']]]-TOWER_DATA[[#This Row],[Bottom '[m']]], "")</f>
        <v>0.18500000000000227</v>
      </c>
      <c r="BX105" s="79">
        <f>IFERROR(-(TOWER_DATA[[#This Row],[D, bottom '[m']]]-TOWER_DATA[[#This Row],[D, top '[m']]])/(TOWER_DATA[[#This Row],[Bottom '[m']]]-TOWER_DATA[[#This Row],[Top '[m']]]),"")</f>
        <v>0</v>
      </c>
      <c r="BY105" s="79">
        <f t="shared" si="6"/>
        <v>1.5593295293172704</v>
      </c>
      <c r="BZ105" s="79">
        <f>IFERROR((TOWER_DATA[[#This Row],[D, bottom '[m']]]+TOWER_DATA[[#This Row],[D, top '[m']]])/(2*TOWER_DATA[[#This Row],[t '[mm']]]/1000),"")</f>
        <v>162.52173913043478</v>
      </c>
      <c r="CA105" s="79" t="str">
        <f>IFERROR((TOWER_DATA[[#This Row],[D, bottom '[m']]]+#REF!)/(2*#REF!/1000),"")</f>
        <v/>
      </c>
      <c r="CB105" s="102"/>
      <c r="CC105" s="102"/>
      <c r="CD105" s="102"/>
      <c r="CF105" s="77">
        <v>75</v>
      </c>
      <c r="CG105" s="77">
        <v>38.540000000000006</v>
      </c>
      <c r="CH105" s="77">
        <v>38.355000000000004</v>
      </c>
      <c r="CI105" s="77">
        <v>7.476</v>
      </c>
      <c r="CJ105" s="77">
        <v>7.476</v>
      </c>
      <c r="CK105" s="77">
        <v>46</v>
      </c>
      <c r="CM105" s="77"/>
      <c r="CN105" s="77"/>
      <c r="CO105" s="77"/>
      <c r="DF105" s="79" t="str">
        <f t="shared" si="8"/>
        <v/>
      </c>
      <c r="DG105" s="79"/>
    </row>
    <row r="106" spans="2:111" x14ac:dyDescent="0.25">
      <c r="B106" s="79"/>
      <c r="D106" s="79"/>
      <c r="F106" s="79"/>
      <c r="H106" s="79" t="str">
        <f>IFERROR(MP_DATA[[#This Row],[Bottom '[m']]]-MP_DATA[[#This Row],[D, top '[m']]], "")</f>
        <v/>
      </c>
      <c r="I106" t="str">
        <f>IFERROR(-(MP_DATA[[#This Row],[D, bottom '[m']]]-MP_DATA[[#This Row],[D, top '[m']]])/(MP_DATA[[#This Row],[Bottom '[m']]]-MP_DATA[[#This Row],[Top '[m']]]),"")</f>
        <v/>
      </c>
      <c r="J106" s="79" t="str">
        <f t="shared" si="4"/>
        <v/>
      </c>
      <c r="K106" s="79" t="str">
        <f>IFERROR((MP_DATA[[#This Row],[D, bottom '[m']]]+MP_DATA[[#This Row],[D, top '[m']]])/(2*MP_DATA[[#This Row],[t '[mm']]]/1000),"")</f>
        <v/>
      </c>
      <c r="L106" s="79" t="str">
        <f>IFERROR((MP_DATA[[#This Row],[D, bottom '[m']]]+#REF!)/(2*#REF!/1000),"")</f>
        <v/>
      </c>
      <c r="AO106" s="79" t="str">
        <f>IFERROR(TP_DATA[[#This Row],[Bottom '[m']]]-TP_DATA[[#This Row],[D, top '[m']]], "")</f>
        <v/>
      </c>
      <c r="AP106" s="79" t="str">
        <f>IFERROR(-(TP_DATA[[#This Row],[D, bottom '[m']]]-TP_DATA[[#This Row],[D, top '[m']]])/(TP_DATA[[#This Row],[Bottom '[m']]]-TP_DATA[[#This Row],[Top '[m']]]),"")</f>
        <v/>
      </c>
      <c r="AQ106" s="79" t="str">
        <f t="shared" si="7"/>
        <v/>
      </c>
      <c r="AR106" s="79" t="str">
        <f>IFERROR((TP_DATA[[#This Row],[D, bottom '[m']]]+TP_DATA[[#This Row],[D, top '[m']]])/(2*TP_DATA[[#This Row],[t '[mm']]]/1000),"")</f>
        <v/>
      </c>
      <c r="AS106" s="79" t="str">
        <f>IFERROR((TP_DATA[[#This Row],[D, bottom '[m']]]+#REF!)/(2*#REF!/1000),"")</f>
        <v/>
      </c>
      <c r="BQ106" s="70">
        <v>76</v>
      </c>
      <c r="BR106">
        <v>38.355000000000004</v>
      </c>
      <c r="BS106">
        <v>38.305000000000007</v>
      </c>
      <c r="BT106">
        <v>7.476</v>
      </c>
      <c r="BU106">
        <v>7.4740000000000002</v>
      </c>
      <c r="BV106">
        <v>46</v>
      </c>
      <c r="BW106" s="79">
        <f>IFERROR(TOWER_DATA[[#This Row],[Top '[m']]]-TOWER_DATA[[#This Row],[Bottom '[m']]], "")</f>
        <v>4.9999999999997158E-2</v>
      </c>
      <c r="BX106" s="79">
        <f>IFERROR(-(TOWER_DATA[[#This Row],[D, bottom '[m']]]-TOWER_DATA[[#This Row],[D, top '[m']]])/(TOWER_DATA[[#This Row],[Bottom '[m']]]-TOWER_DATA[[#This Row],[Top '[m']]]),"")</f>
        <v>-3.9999999999997871E-2</v>
      </c>
      <c r="BY106" s="79">
        <f t="shared" si="6"/>
        <v>0.42138369187360242</v>
      </c>
      <c r="BZ106" s="79">
        <f>IFERROR((TOWER_DATA[[#This Row],[D, bottom '[m']]]+TOWER_DATA[[#This Row],[D, top '[m']]])/(2*TOWER_DATA[[#This Row],[t '[mm']]]/1000),"")</f>
        <v>162.5</v>
      </c>
      <c r="CA106" s="79" t="str">
        <f>IFERROR((TOWER_DATA[[#This Row],[D, bottom '[m']]]+#REF!)/(2*#REF!/1000),"")</f>
        <v/>
      </c>
      <c r="CB106" s="102"/>
      <c r="CC106" s="102"/>
      <c r="CD106" s="102"/>
      <c r="CF106" s="77">
        <v>76</v>
      </c>
      <c r="CG106" s="77">
        <v>38.355000000000004</v>
      </c>
      <c r="CH106" s="77">
        <v>38.305000000000007</v>
      </c>
      <c r="CI106" s="77">
        <v>7.476</v>
      </c>
      <c r="CJ106" s="77">
        <v>7.4740000000000002</v>
      </c>
      <c r="CK106" s="77">
        <v>46</v>
      </c>
      <c r="CM106" s="77"/>
      <c r="CN106" s="77"/>
      <c r="CO106" s="77"/>
      <c r="DF106" s="79" t="str">
        <f t="shared" si="8"/>
        <v/>
      </c>
      <c r="DG106" s="79"/>
    </row>
    <row r="107" spans="2:111" x14ac:dyDescent="0.25">
      <c r="B107" s="79"/>
      <c r="D107" s="79"/>
      <c r="F107" s="79"/>
      <c r="H107" s="79" t="str">
        <f>IFERROR(MP_DATA[[#This Row],[Bottom '[m']]]-MP_DATA[[#This Row],[D, top '[m']]], "")</f>
        <v/>
      </c>
      <c r="I107" t="str">
        <f>IFERROR(-(MP_DATA[[#This Row],[D, bottom '[m']]]-MP_DATA[[#This Row],[D, top '[m']]])/(MP_DATA[[#This Row],[Bottom '[m']]]-MP_DATA[[#This Row],[Top '[m']]]),"")</f>
        <v/>
      </c>
      <c r="J107" s="79" t="str">
        <f t="shared" si="4"/>
        <v/>
      </c>
      <c r="K107" s="79" t="str">
        <f>IFERROR((MP_DATA[[#This Row],[D, bottom '[m']]]+MP_DATA[[#This Row],[D, top '[m']]])/(2*MP_DATA[[#This Row],[t '[mm']]]/1000),"")</f>
        <v/>
      </c>
      <c r="L107" s="79" t="str">
        <f>IFERROR((MP_DATA[[#This Row],[D, bottom '[m']]]+#REF!)/(2*#REF!/1000),"")</f>
        <v/>
      </c>
      <c r="AO107" s="79" t="str">
        <f>IFERROR(TP_DATA[[#This Row],[Bottom '[m']]]-TP_DATA[[#This Row],[D, top '[m']]], "")</f>
        <v/>
      </c>
      <c r="AP107" s="79" t="str">
        <f>IFERROR(-(TP_DATA[[#This Row],[D, bottom '[m']]]-TP_DATA[[#This Row],[D, top '[m']]])/(TP_DATA[[#This Row],[Bottom '[m']]]-TP_DATA[[#This Row],[Top '[m']]]),"")</f>
        <v/>
      </c>
      <c r="AQ107" s="79" t="str">
        <f t="shared" si="7"/>
        <v/>
      </c>
      <c r="AR107" s="79" t="str">
        <f>IFERROR((TP_DATA[[#This Row],[D, bottom '[m']]]+TP_DATA[[#This Row],[D, top '[m']]])/(2*TP_DATA[[#This Row],[t '[mm']]]/1000),"")</f>
        <v/>
      </c>
      <c r="AS107" s="79" t="str">
        <f>IFERROR((TP_DATA[[#This Row],[D, bottom '[m']]]+#REF!)/(2*#REF!/1000),"")</f>
        <v/>
      </c>
      <c r="BQ107" s="70">
        <v>77</v>
      </c>
      <c r="BR107">
        <v>38.305000000000007</v>
      </c>
      <c r="BS107">
        <v>37.343000000000004</v>
      </c>
      <c r="BT107">
        <v>7.4740000000000002</v>
      </c>
      <c r="BU107">
        <v>7.4740000000000002</v>
      </c>
      <c r="BV107">
        <v>44.1</v>
      </c>
      <c r="BW107" s="79">
        <f>IFERROR(TOWER_DATA[[#This Row],[Top '[m']]]-TOWER_DATA[[#This Row],[Bottom '[m']]], "")</f>
        <v>0.9620000000000033</v>
      </c>
      <c r="BX107" s="79">
        <f>IFERROR(-(TOWER_DATA[[#This Row],[D, bottom '[m']]]-TOWER_DATA[[#This Row],[D, top '[m']]])/(TOWER_DATA[[#This Row],[Bottom '[m']]]-TOWER_DATA[[#This Row],[Top '[m']]]),"")</f>
        <v>0</v>
      </c>
      <c r="BY107" s="79">
        <f t="shared" si="6"/>
        <v>7.7734920638760601</v>
      </c>
      <c r="BZ107" s="79">
        <f>IFERROR((TOWER_DATA[[#This Row],[D, bottom '[m']]]+TOWER_DATA[[#This Row],[D, top '[m']]])/(2*TOWER_DATA[[#This Row],[t '[mm']]]/1000),"")</f>
        <v>169.47845804988663</v>
      </c>
      <c r="CA107" s="79" t="str">
        <f>IFERROR((TOWER_DATA[[#This Row],[D, bottom '[m']]]+#REF!)/(2*#REF!/1000),"")</f>
        <v/>
      </c>
      <c r="CB107" s="102"/>
      <c r="CC107" s="102"/>
      <c r="CD107" s="102"/>
      <c r="CF107" s="77">
        <v>77</v>
      </c>
      <c r="CG107" s="77">
        <v>38.305000000000007</v>
      </c>
      <c r="CH107" s="77">
        <v>37.343000000000004</v>
      </c>
      <c r="CI107" s="77">
        <v>7.4740000000000002</v>
      </c>
      <c r="CJ107" s="77">
        <v>7.4740000000000002</v>
      </c>
      <c r="CK107" s="77">
        <v>44.1</v>
      </c>
      <c r="CM107" s="77"/>
      <c r="CN107" s="77"/>
      <c r="CO107" s="77"/>
      <c r="DF107" s="79" t="str">
        <f t="shared" si="8"/>
        <v/>
      </c>
      <c r="DG107" s="79"/>
    </row>
    <row r="108" spans="2:111" x14ac:dyDescent="0.25">
      <c r="B108" s="79"/>
      <c r="D108" s="79"/>
      <c r="F108" s="79"/>
      <c r="H108" s="79" t="str">
        <f>IFERROR(MP_DATA[[#This Row],[Bottom '[m']]]-MP_DATA[[#This Row],[D, top '[m']]], "")</f>
        <v/>
      </c>
      <c r="I108" t="str">
        <f>IFERROR(-(MP_DATA[[#This Row],[D, bottom '[m']]]-MP_DATA[[#This Row],[D, top '[m']]])/(MP_DATA[[#This Row],[Bottom '[m']]]-MP_DATA[[#This Row],[Top '[m']]]),"")</f>
        <v/>
      </c>
      <c r="J108" s="79" t="str">
        <f t="shared" si="4"/>
        <v/>
      </c>
      <c r="K108" s="79" t="str">
        <f>IFERROR((MP_DATA[[#This Row],[D, bottom '[m']]]+MP_DATA[[#This Row],[D, top '[m']]])/(2*MP_DATA[[#This Row],[t '[mm']]]/1000),"")</f>
        <v/>
      </c>
      <c r="L108" s="79" t="str">
        <f>IFERROR((MP_DATA[[#This Row],[D, bottom '[m']]]+#REF!)/(2*#REF!/1000),"")</f>
        <v/>
      </c>
      <c r="AO108" s="79" t="str">
        <f>IFERROR(TP_DATA[[#This Row],[Bottom '[m']]]-TP_DATA[[#This Row],[D, top '[m']]], "")</f>
        <v/>
      </c>
      <c r="AP108" s="79" t="str">
        <f>IFERROR(-(TP_DATA[[#This Row],[D, bottom '[m']]]-TP_DATA[[#This Row],[D, top '[m']]])/(TP_DATA[[#This Row],[Bottom '[m']]]-TP_DATA[[#This Row],[Top '[m']]]),"")</f>
        <v/>
      </c>
      <c r="AQ108" s="79" t="str">
        <f t="shared" si="7"/>
        <v/>
      </c>
      <c r="AR108" s="79" t="str">
        <f>IFERROR((TP_DATA[[#This Row],[D, bottom '[m']]]+TP_DATA[[#This Row],[D, top '[m']]])/(2*TP_DATA[[#This Row],[t '[mm']]]/1000),"")</f>
        <v/>
      </c>
      <c r="AS108" s="79" t="str">
        <f>IFERROR((TP_DATA[[#This Row],[D, bottom '[m']]]+#REF!)/(2*#REF!/1000),"")</f>
        <v/>
      </c>
      <c r="BQ108" s="70">
        <v>78</v>
      </c>
      <c r="BR108">
        <v>37.343000000000004</v>
      </c>
      <c r="BS108">
        <v>35.43</v>
      </c>
      <c r="BT108">
        <v>7.4740000000000002</v>
      </c>
      <c r="BU108">
        <v>7.476</v>
      </c>
      <c r="BV108">
        <v>44.1</v>
      </c>
      <c r="BW108" s="79">
        <f>IFERROR(TOWER_DATA[[#This Row],[Top '[m']]]-TOWER_DATA[[#This Row],[Bottom '[m']]], "")</f>
        <v>1.9130000000000038</v>
      </c>
      <c r="BX108" s="79">
        <f>IFERROR(-(TOWER_DATA[[#This Row],[D, bottom '[m']]]-TOWER_DATA[[#This Row],[D, top '[m']]])/(TOWER_DATA[[#This Row],[Bottom '[m']]]-TOWER_DATA[[#This Row],[Top '[m']]]),"")</f>
        <v>1.0454783063250266E-3</v>
      </c>
      <c r="BY108" s="79">
        <f t="shared" si="6"/>
        <v>15.460178569581235</v>
      </c>
      <c r="BZ108" s="79">
        <f>IFERROR((TOWER_DATA[[#This Row],[D, bottom '[m']]]+TOWER_DATA[[#This Row],[D, top '[m']]])/(2*TOWER_DATA[[#This Row],[t '[mm']]]/1000),"")</f>
        <v>169.50113378684807</v>
      </c>
      <c r="CA108" s="79" t="str">
        <f>IFERROR((TOWER_DATA[[#This Row],[D, bottom '[m']]]+#REF!)/(2*#REF!/1000),"")</f>
        <v/>
      </c>
      <c r="CB108" s="102"/>
      <c r="CC108" s="102"/>
      <c r="CD108" s="102"/>
      <c r="CF108" s="77">
        <v>78</v>
      </c>
      <c r="CG108" s="77">
        <v>37.343000000000004</v>
      </c>
      <c r="CH108" s="77">
        <v>35.43</v>
      </c>
      <c r="CI108" s="77">
        <v>7.4740000000000002</v>
      </c>
      <c r="CJ108" s="77">
        <v>7.476</v>
      </c>
      <c r="CK108" s="77">
        <v>44.1</v>
      </c>
      <c r="CM108" s="77"/>
      <c r="CN108" s="77"/>
      <c r="CO108" s="77"/>
      <c r="DF108" s="79" t="str">
        <f t="shared" si="8"/>
        <v/>
      </c>
      <c r="DG108" s="79"/>
    </row>
    <row r="109" spans="2:111" x14ac:dyDescent="0.25">
      <c r="B109" s="79"/>
      <c r="C109" s="79"/>
      <c r="D109" s="79"/>
      <c r="E109" s="79"/>
      <c r="F109" s="79"/>
      <c r="G109" s="79"/>
      <c r="H109" s="79" t="str">
        <f>IFERROR(MP_DATA[[#This Row],[Bottom '[m']]]-MP_DATA[[#This Row],[D, top '[m']]], "")</f>
        <v/>
      </c>
      <c r="I109" s="79" t="str">
        <f>IFERROR(-(MP_DATA[[#This Row],[D, bottom '[m']]]-MP_DATA[[#This Row],[D, top '[m']]])/(MP_DATA[[#This Row],[Bottom '[m']]]-MP_DATA[[#This Row],[Top '[m']]]),"")</f>
        <v/>
      </c>
      <c r="J109" s="79" t="str">
        <f t="shared" si="4"/>
        <v/>
      </c>
      <c r="K109" s="79" t="str">
        <f>IFERROR((MP_DATA[[#This Row],[D, bottom '[m']]]+MP_DATA[[#This Row],[D, top '[m']]])/(2*MP_DATA[[#This Row],[t '[mm']]]/1000),"")</f>
        <v/>
      </c>
      <c r="L109" s="79" t="str">
        <f>IFERROR((MP_DATA[[#This Row],[D, bottom '[m']]]+#REF!)/(2*#REF!/1000),"")</f>
        <v/>
      </c>
      <c r="AO109" s="79" t="str">
        <f>IFERROR(TP_DATA[[#This Row],[Bottom '[m']]]-TP_DATA[[#This Row],[D, top '[m']]], "")</f>
        <v/>
      </c>
      <c r="AP109" s="79" t="str">
        <f>IFERROR(-(TP_DATA[[#This Row],[D, bottom '[m']]]-TP_DATA[[#This Row],[D, top '[m']]])/(TP_DATA[[#This Row],[Bottom '[m']]]-TP_DATA[[#This Row],[Top '[m']]]),"")</f>
        <v/>
      </c>
      <c r="AQ109" s="79" t="str">
        <f t="shared" si="7"/>
        <v/>
      </c>
      <c r="AR109" s="79" t="str">
        <f>IFERROR((TP_DATA[[#This Row],[D, bottom '[m']]]+TP_DATA[[#This Row],[D, top '[m']]])/(2*TP_DATA[[#This Row],[t '[mm']]]/1000),"")</f>
        <v/>
      </c>
      <c r="AS109" s="79" t="str">
        <f>IFERROR((TP_DATA[[#This Row],[D, bottom '[m']]]+#REF!)/(2*#REF!/1000),"")</f>
        <v/>
      </c>
      <c r="BQ109" s="70">
        <v>79</v>
      </c>
      <c r="BR109">
        <v>35.43</v>
      </c>
      <c r="BS109">
        <v>33.231999999999999</v>
      </c>
      <c r="BT109">
        <v>7.476</v>
      </c>
      <c r="BU109">
        <v>7.476</v>
      </c>
      <c r="BV109">
        <v>45.6</v>
      </c>
      <c r="BW109" s="79">
        <f>IFERROR(TOWER_DATA[[#This Row],[Top '[m']]]-TOWER_DATA[[#This Row],[Bottom '[m']]], "")</f>
        <v>2.1980000000000004</v>
      </c>
      <c r="BX109" s="79">
        <f>IFERROR(-(TOWER_DATA[[#This Row],[D, bottom '[m']]]-TOWER_DATA[[#This Row],[D, top '[m']]])/(TOWER_DATA[[#This Row],[Bottom '[m']]]-TOWER_DATA[[#This Row],[Top '[m']]]),"")</f>
        <v>0</v>
      </c>
      <c r="BY109" s="79">
        <f t="shared" si="6"/>
        <v>18.36640910818716</v>
      </c>
      <c r="BZ109" s="79">
        <f>IFERROR((TOWER_DATA[[#This Row],[D, bottom '[m']]]+TOWER_DATA[[#This Row],[D, top '[m']]])/(2*TOWER_DATA[[#This Row],[t '[mm']]]/1000),"")</f>
        <v>163.94736842105263</v>
      </c>
      <c r="CA109" s="79" t="str">
        <f>IFERROR((TOWER_DATA[[#This Row],[D, bottom '[m']]]+#REF!)/(2*#REF!/1000),"")</f>
        <v/>
      </c>
      <c r="CB109" s="102"/>
      <c r="CC109" s="102"/>
      <c r="CD109" s="102"/>
      <c r="CF109" s="77">
        <v>79</v>
      </c>
      <c r="CG109" s="77">
        <v>35.43</v>
      </c>
      <c r="CH109" s="77">
        <v>33.231999999999999</v>
      </c>
      <c r="CI109" s="77">
        <v>7.476</v>
      </c>
      <c r="CJ109" s="77">
        <v>7.476</v>
      </c>
      <c r="CK109" s="77">
        <v>45.6</v>
      </c>
      <c r="CM109" s="77"/>
      <c r="CN109" s="77"/>
      <c r="CO109" s="77"/>
      <c r="DF109" s="79" t="str">
        <f t="shared" si="8"/>
        <v/>
      </c>
      <c r="DG109" s="79"/>
    </row>
    <row r="110" spans="2:111" x14ac:dyDescent="0.25">
      <c r="B110" s="79"/>
      <c r="C110" s="79"/>
      <c r="D110" s="79"/>
      <c r="E110" s="79"/>
      <c r="F110" s="79"/>
      <c r="G110" s="79"/>
      <c r="H110" s="79" t="str">
        <f>IFERROR(MP_DATA[[#This Row],[Bottom '[m']]]-MP_DATA[[#This Row],[D, top '[m']]], "")</f>
        <v/>
      </c>
      <c r="I110" s="79" t="str">
        <f>IFERROR(-(MP_DATA[[#This Row],[D, bottom '[m']]]-MP_DATA[[#This Row],[D, top '[m']]])/(MP_DATA[[#This Row],[Bottom '[m']]]-MP_DATA[[#This Row],[Top '[m']]]),"")</f>
        <v/>
      </c>
      <c r="J110" s="79" t="str">
        <f t="shared" si="4"/>
        <v/>
      </c>
      <c r="K110" s="79" t="str">
        <f>IFERROR((MP_DATA[[#This Row],[D, bottom '[m']]]+MP_DATA[[#This Row],[D, top '[m']]])/(2*MP_DATA[[#This Row],[t '[mm']]]/1000),"")</f>
        <v/>
      </c>
      <c r="L110" s="79" t="str">
        <f>IFERROR((MP_DATA[[#This Row],[D, bottom '[m']]]+#REF!)/(2*#REF!/1000),"")</f>
        <v/>
      </c>
      <c r="AO110" s="79" t="str">
        <f>IFERROR(TP_DATA[[#This Row],[Bottom '[m']]]-TP_DATA[[#This Row],[D, top '[m']]], "")</f>
        <v/>
      </c>
      <c r="AP110" s="79" t="str">
        <f>IFERROR(-(TP_DATA[[#This Row],[D, bottom '[m']]]-TP_DATA[[#This Row],[D, top '[m']]])/(TP_DATA[[#This Row],[Bottom '[m']]]-TP_DATA[[#This Row],[Top '[m']]]),"")</f>
        <v/>
      </c>
      <c r="AQ110" s="79" t="str">
        <f t="shared" si="7"/>
        <v/>
      </c>
      <c r="AR110" s="79" t="str">
        <f>IFERROR((TP_DATA[[#This Row],[D, bottom '[m']]]+TP_DATA[[#This Row],[D, top '[m']]])/(2*TP_DATA[[#This Row],[t '[mm']]]/1000),"")</f>
        <v/>
      </c>
      <c r="AS110" s="79" t="str">
        <f>IFERROR((TP_DATA[[#This Row],[D, bottom '[m']]]+#REF!)/(2*#REF!/1000),"")</f>
        <v/>
      </c>
      <c r="BQ110" s="70">
        <v>80</v>
      </c>
      <c r="BR110">
        <v>33.231999999999999</v>
      </c>
      <c r="BS110">
        <v>32.5</v>
      </c>
      <c r="BT110">
        <v>7.476</v>
      </c>
      <c r="BU110">
        <v>7.4770000000000003</v>
      </c>
      <c r="BV110">
        <v>45.6</v>
      </c>
      <c r="BW110" s="79">
        <f>IFERROR(TOWER_DATA[[#This Row],[Top '[m']]]-TOWER_DATA[[#This Row],[Bottom '[m']]], "")</f>
        <v>0.73199999999999932</v>
      </c>
      <c r="BX110" s="79">
        <f>IFERROR(-(TOWER_DATA[[#This Row],[D, bottom '[m']]]-TOWER_DATA[[#This Row],[D, top '[m']]])/(TOWER_DATA[[#This Row],[Bottom '[m']]]-TOWER_DATA[[#This Row],[Top '[m']]]),"")</f>
        <v>1.3661202185796925E-3</v>
      </c>
      <c r="BY110" s="79">
        <f t="shared" si="6"/>
        <v>6.1169773172667181</v>
      </c>
      <c r="BZ110" s="79">
        <f>IFERROR((TOWER_DATA[[#This Row],[D, bottom '[m']]]+TOWER_DATA[[#This Row],[D, top '[m']]])/(2*TOWER_DATA[[#This Row],[t '[mm']]]/1000),"")</f>
        <v>163.95833333333331</v>
      </c>
      <c r="CA110" s="79" t="str">
        <f>IFERROR((TOWER_DATA[[#This Row],[D, bottom '[m']]]+#REF!)/(2*#REF!/1000),"")</f>
        <v/>
      </c>
      <c r="CB110" s="102"/>
      <c r="CC110" s="102"/>
      <c r="CD110" s="102"/>
      <c r="CF110" s="77">
        <v>80</v>
      </c>
      <c r="CG110" s="77">
        <v>33.231999999999999</v>
      </c>
      <c r="CH110" s="77">
        <v>32.5</v>
      </c>
      <c r="CI110" s="77">
        <v>7.476</v>
      </c>
      <c r="CJ110" s="77">
        <v>7.4770000000000003</v>
      </c>
      <c r="CK110" s="77">
        <v>45.6</v>
      </c>
      <c r="CM110" s="77"/>
      <c r="CN110" s="77"/>
      <c r="CO110" s="77"/>
      <c r="DF110" s="79" t="str">
        <f t="shared" si="8"/>
        <v/>
      </c>
      <c r="DG110" s="79"/>
    </row>
    <row r="111" spans="2:111" x14ac:dyDescent="0.25">
      <c r="B111" s="79"/>
      <c r="C111" s="79"/>
      <c r="D111" s="79"/>
      <c r="E111" s="79"/>
      <c r="F111" s="79"/>
      <c r="G111" s="79"/>
      <c r="H111" s="79" t="str">
        <f>IFERROR(MP_DATA[[#This Row],[Bottom '[m']]]-MP_DATA[[#This Row],[D, top '[m']]], "")</f>
        <v/>
      </c>
      <c r="I111" s="79" t="str">
        <f>IFERROR(-(MP_DATA[[#This Row],[D, bottom '[m']]]-MP_DATA[[#This Row],[D, top '[m']]])/(MP_DATA[[#This Row],[Bottom '[m']]]-MP_DATA[[#This Row],[Top '[m']]]),"")</f>
        <v/>
      </c>
      <c r="J111" s="79" t="str">
        <f t="shared" si="4"/>
        <v/>
      </c>
      <c r="K111" s="79" t="str">
        <f>IFERROR((MP_DATA[[#This Row],[D, bottom '[m']]]+MP_DATA[[#This Row],[D, top '[m']]])/(2*MP_DATA[[#This Row],[t '[mm']]]/1000),"")</f>
        <v/>
      </c>
      <c r="L111" s="79" t="str">
        <f>IFERROR((MP_DATA[[#This Row],[D, bottom '[m']]]+#REF!)/(2*#REF!/1000),"")</f>
        <v/>
      </c>
      <c r="AO111" s="79" t="str">
        <f>IFERROR(TP_DATA[[#This Row],[Bottom '[m']]]-TP_DATA[[#This Row],[D, top '[m']]], "")</f>
        <v/>
      </c>
      <c r="AP111" s="79" t="str">
        <f>IFERROR(-(TP_DATA[[#This Row],[D, bottom '[m']]]-TP_DATA[[#This Row],[D, top '[m']]])/(TP_DATA[[#This Row],[Bottom '[m']]]-TP_DATA[[#This Row],[Top '[m']]]),"")</f>
        <v/>
      </c>
      <c r="AQ111" s="79" t="str">
        <f t="shared" si="7"/>
        <v/>
      </c>
      <c r="AR111" s="79" t="str">
        <f>IFERROR((TP_DATA[[#This Row],[D, bottom '[m']]]+TP_DATA[[#This Row],[D, top '[m']]])/(2*TP_DATA[[#This Row],[t '[mm']]]/1000),"")</f>
        <v/>
      </c>
      <c r="AS111" s="79" t="str">
        <f>IFERROR((TP_DATA[[#This Row],[D, bottom '[m']]]+#REF!)/(2*#REF!/1000),"")</f>
        <v/>
      </c>
      <c r="BQ111" s="70">
        <v>81</v>
      </c>
      <c r="BR111">
        <v>32.5</v>
      </c>
      <c r="BS111">
        <v>30.9</v>
      </c>
      <c r="BT111">
        <v>7.4770000000000003</v>
      </c>
      <c r="BU111">
        <v>7.4770000000000003</v>
      </c>
      <c r="BV111">
        <v>47.1</v>
      </c>
      <c r="BW111" s="79">
        <f>IFERROR(TOWER_DATA[[#This Row],[Top '[m']]]-TOWER_DATA[[#This Row],[Bottom '[m']]], "")</f>
        <v>1.6000000000000014</v>
      </c>
      <c r="BX111" s="79">
        <f>IFERROR(-(TOWER_DATA[[#This Row],[D, bottom '[m']]]-TOWER_DATA[[#This Row],[D, top '[m']]])/(TOWER_DATA[[#This Row],[Bottom '[m']]]-TOWER_DATA[[#This Row],[Top '[m']]]),"")</f>
        <v>0</v>
      </c>
      <c r="BY111" s="79">
        <f t="shared" si="6"/>
        <v>13.808400911123877</v>
      </c>
      <c r="BZ111" s="79">
        <f>IFERROR((TOWER_DATA[[#This Row],[D, bottom '[m']]]+TOWER_DATA[[#This Row],[D, top '[m']]])/(2*TOWER_DATA[[#This Row],[t '[mm']]]/1000),"")</f>
        <v>158.74734607218684</v>
      </c>
      <c r="CA111" s="79" t="str">
        <f>IFERROR((TOWER_DATA[[#This Row],[D, bottom '[m']]]+#REF!)/(2*#REF!/1000),"")</f>
        <v/>
      </c>
      <c r="CB111" s="102"/>
      <c r="CC111" s="102"/>
      <c r="CD111" s="102"/>
      <c r="CF111" s="77">
        <v>81</v>
      </c>
      <c r="CG111" s="77">
        <v>32.5</v>
      </c>
      <c r="CH111" s="77">
        <v>30.9</v>
      </c>
      <c r="CI111" s="77">
        <v>7.4770000000000003</v>
      </c>
      <c r="CJ111" s="77">
        <v>7.4770000000000003</v>
      </c>
      <c r="CK111" s="77">
        <v>47.1</v>
      </c>
      <c r="CM111" s="77"/>
      <c r="CN111" s="77"/>
      <c r="CO111" s="77"/>
      <c r="DF111" s="79" t="str">
        <f t="shared" si="8"/>
        <v/>
      </c>
      <c r="DG111" s="79"/>
    </row>
    <row r="112" spans="2:111" x14ac:dyDescent="0.25">
      <c r="B112" s="79"/>
      <c r="C112" s="79"/>
      <c r="D112" s="79"/>
      <c r="E112" s="79"/>
      <c r="F112" s="79"/>
      <c r="G112" s="79"/>
      <c r="H112" s="79" t="str">
        <f>IFERROR(MP_DATA[[#This Row],[Bottom '[m']]]-MP_DATA[[#This Row],[D, top '[m']]], "")</f>
        <v/>
      </c>
      <c r="I112" s="79" t="str">
        <f>IFERROR(-(MP_DATA[[#This Row],[D, bottom '[m']]]-MP_DATA[[#This Row],[D, top '[m']]])/(MP_DATA[[#This Row],[Bottom '[m']]]-MP_DATA[[#This Row],[Top '[m']]]),"")</f>
        <v/>
      </c>
      <c r="J112" s="79" t="str">
        <f t="shared" si="4"/>
        <v/>
      </c>
      <c r="K112" s="79" t="str">
        <f>IFERROR((MP_DATA[[#This Row],[D, bottom '[m']]]+MP_DATA[[#This Row],[D, top '[m']]])/(2*MP_DATA[[#This Row],[t '[mm']]]/1000),"")</f>
        <v/>
      </c>
      <c r="L112" s="79" t="str">
        <f>IFERROR((MP_DATA[[#This Row],[D, bottom '[m']]]+#REF!)/(2*#REF!/1000),"")</f>
        <v/>
      </c>
      <c r="AO112" s="79" t="str">
        <f>IFERROR(TP_DATA[[#This Row],[Bottom '[m']]]-TP_DATA[[#This Row],[D, top '[m']]], "")</f>
        <v/>
      </c>
      <c r="AP112" s="79" t="str">
        <f>IFERROR(-(TP_DATA[[#This Row],[D, bottom '[m']]]-TP_DATA[[#This Row],[D, top '[m']]])/(TP_DATA[[#This Row],[Bottom '[m']]]-TP_DATA[[#This Row],[Top '[m']]]),"")</f>
        <v/>
      </c>
      <c r="AQ112" s="79" t="str">
        <f t="shared" si="7"/>
        <v/>
      </c>
      <c r="AR112" s="79" t="str">
        <f>IFERROR((TP_DATA[[#This Row],[D, bottom '[m']]]+TP_DATA[[#This Row],[D, top '[m']]])/(2*TP_DATA[[#This Row],[t '[mm']]]/1000),"")</f>
        <v/>
      </c>
      <c r="AS112" s="79" t="str">
        <f>IFERROR((TP_DATA[[#This Row],[D, bottom '[m']]]+#REF!)/(2*#REF!/1000),"")</f>
        <v/>
      </c>
      <c r="BQ112" s="70">
        <v>82</v>
      </c>
      <c r="BR112">
        <v>30.9</v>
      </c>
      <c r="BS112">
        <v>29.569999999999997</v>
      </c>
      <c r="BT112">
        <v>7.4770000000000003</v>
      </c>
      <c r="BU112">
        <v>7.4790000000000001</v>
      </c>
      <c r="BV112">
        <v>47.1</v>
      </c>
      <c r="BW112" s="79">
        <f>IFERROR(TOWER_DATA[[#This Row],[Top '[m']]]-TOWER_DATA[[#This Row],[Bottom '[m']]], "")</f>
        <v>1.3300000000000018</v>
      </c>
      <c r="BX112" s="79">
        <f>IFERROR(-(TOWER_DATA[[#This Row],[D, bottom '[m']]]-TOWER_DATA[[#This Row],[D, top '[m']]])/(TOWER_DATA[[#This Row],[Bottom '[m']]]-TOWER_DATA[[#This Row],[Top '[m']]]),"")</f>
        <v>1.5037593984960729E-3</v>
      </c>
      <c r="BY112" s="79">
        <f t="shared" si="6"/>
        <v>11.47977812786228</v>
      </c>
      <c r="BZ112" s="79">
        <f>IFERROR((TOWER_DATA[[#This Row],[D, bottom '[m']]]+TOWER_DATA[[#This Row],[D, top '[m']]])/(2*TOWER_DATA[[#This Row],[t '[mm']]]/1000),"")</f>
        <v>158.76857749469212</v>
      </c>
      <c r="CA112" s="79" t="str">
        <f>IFERROR((TOWER_DATA[[#This Row],[D, bottom '[m']]]+#REF!)/(2*#REF!/1000),"")</f>
        <v/>
      </c>
      <c r="CB112" s="102"/>
      <c r="CC112" s="102"/>
      <c r="CD112" s="102"/>
      <c r="CF112" s="77">
        <v>82</v>
      </c>
      <c r="CG112" s="77">
        <v>30.9</v>
      </c>
      <c r="CH112" s="77">
        <v>29.569999999999997</v>
      </c>
      <c r="CI112" s="77">
        <v>7.4770000000000003</v>
      </c>
      <c r="CJ112" s="77">
        <v>7.4790000000000001</v>
      </c>
      <c r="CK112" s="77">
        <v>47.1</v>
      </c>
      <c r="CM112" s="77"/>
      <c r="CN112" s="77"/>
      <c r="CO112" s="77"/>
      <c r="DF112" s="79" t="str">
        <f t="shared" si="8"/>
        <v/>
      </c>
      <c r="DG112" s="79"/>
    </row>
    <row r="113" spans="2:111" x14ac:dyDescent="0.25">
      <c r="B113" s="79"/>
      <c r="C113" s="79"/>
      <c r="D113" s="79"/>
      <c r="E113" s="79"/>
      <c r="F113" s="79"/>
      <c r="G113" s="79"/>
      <c r="H113" s="79" t="str">
        <f>IFERROR(MP_DATA[[#This Row],[Bottom '[m']]]-MP_DATA[[#This Row],[D, top '[m']]], "")</f>
        <v/>
      </c>
      <c r="I113" s="79" t="str">
        <f>IFERROR(-(MP_DATA[[#This Row],[D, bottom '[m']]]-MP_DATA[[#This Row],[D, top '[m']]])/(MP_DATA[[#This Row],[Bottom '[m']]]-MP_DATA[[#This Row],[Top '[m']]]),"")</f>
        <v/>
      </c>
      <c r="J113" s="79" t="str">
        <f t="shared" si="4"/>
        <v/>
      </c>
      <c r="K113" s="79" t="str">
        <f>IFERROR((MP_DATA[[#This Row],[D, bottom '[m']]]+MP_DATA[[#This Row],[D, top '[m']]])/(2*MP_DATA[[#This Row],[t '[mm']]]/1000),"")</f>
        <v/>
      </c>
      <c r="L113" s="79" t="str">
        <f>IFERROR((MP_DATA[[#This Row],[D, bottom '[m']]]+#REF!)/(2*#REF!/1000),"")</f>
        <v/>
      </c>
      <c r="AO113" s="79" t="str">
        <f>IFERROR(TP_DATA[[#This Row],[Bottom '[m']]]-TP_DATA[[#This Row],[D, top '[m']]], "")</f>
        <v/>
      </c>
      <c r="AP113" s="79" t="str">
        <f>IFERROR(-(TP_DATA[[#This Row],[D, bottom '[m']]]-TP_DATA[[#This Row],[D, top '[m']]])/(TP_DATA[[#This Row],[Bottom '[m']]]-TP_DATA[[#This Row],[Top '[m']]]),"")</f>
        <v/>
      </c>
      <c r="AQ113" s="79" t="str">
        <f t="shared" si="7"/>
        <v/>
      </c>
      <c r="AR113" s="79" t="str">
        <f>IFERROR((TP_DATA[[#This Row],[D, bottom '[m']]]+TP_DATA[[#This Row],[D, top '[m']]])/(2*TP_DATA[[#This Row],[t '[mm']]]/1000),"")</f>
        <v/>
      </c>
      <c r="AS113" s="79" t="str">
        <f>IFERROR((TP_DATA[[#This Row],[D, bottom '[m']]]+#REF!)/(2*#REF!/1000),"")</f>
        <v/>
      </c>
      <c r="BQ113" s="70">
        <v>83</v>
      </c>
      <c r="BR113">
        <v>29.569999999999997</v>
      </c>
      <c r="BS113">
        <v>29.120999999999999</v>
      </c>
      <c r="BT113">
        <v>7.4790000000000001</v>
      </c>
      <c r="BU113">
        <v>7.4790000000000001</v>
      </c>
      <c r="BV113">
        <v>49</v>
      </c>
      <c r="BW113" s="79">
        <f>IFERROR(TOWER_DATA[[#This Row],[Top '[m']]]-TOWER_DATA[[#This Row],[Bottom '[m']]], "")</f>
        <v>0.44899999999999807</v>
      </c>
      <c r="BX113" s="79">
        <f>IFERROR(-(TOWER_DATA[[#This Row],[D, bottom '[m']]]-TOWER_DATA[[#This Row],[D, top '[m']]])/(TOWER_DATA[[#This Row],[Bottom '[m']]]-TOWER_DATA[[#This Row],[Top '[m']]]),"")</f>
        <v>0</v>
      </c>
      <c r="BY113" s="79">
        <f t="shared" si="6"/>
        <v>4.0313524059352366</v>
      </c>
      <c r="BZ113" s="79">
        <f>IFERROR((TOWER_DATA[[#This Row],[D, bottom '[m']]]+TOWER_DATA[[#This Row],[D, top '[m']]])/(2*TOWER_DATA[[#This Row],[t '[mm']]]/1000),"")</f>
        <v>152.63265306122449</v>
      </c>
      <c r="CA113" s="79" t="str">
        <f>IFERROR((TOWER_DATA[[#This Row],[D, bottom '[m']]]+#REF!)/(2*#REF!/1000),"")</f>
        <v/>
      </c>
      <c r="CB113" s="102"/>
      <c r="CC113" s="102"/>
      <c r="CD113" s="102"/>
      <c r="CF113" s="77">
        <v>83</v>
      </c>
      <c r="CG113" s="77">
        <v>29.569999999999997</v>
      </c>
      <c r="CH113" s="77">
        <v>29.120999999999999</v>
      </c>
      <c r="CI113" s="77">
        <v>7.4790000000000001</v>
      </c>
      <c r="CJ113" s="77">
        <v>7.4790000000000001</v>
      </c>
      <c r="CK113" s="77">
        <v>49</v>
      </c>
      <c r="CM113" s="77"/>
      <c r="CN113" s="77"/>
      <c r="CO113" s="77"/>
      <c r="DF113" s="79" t="str">
        <f t="shared" si="8"/>
        <v/>
      </c>
      <c r="DG113" s="79"/>
    </row>
    <row r="114" spans="2:111" x14ac:dyDescent="0.25">
      <c r="B114" s="79"/>
      <c r="C114" s="79"/>
      <c r="D114" s="79"/>
      <c r="E114" s="79"/>
      <c r="F114" s="79"/>
      <c r="G114" s="79"/>
      <c r="H114" s="79" t="str">
        <f>IFERROR(MP_DATA[[#This Row],[Bottom '[m']]]-MP_DATA[[#This Row],[D, top '[m']]], "")</f>
        <v/>
      </c>
      <c r="I114" s="79" t="str">
        <f>IFERROR(-(MP_DATA[[#This Row],[D, bottom '[m']]]-MP_DATA[[#This Row],[D, top '[m']]])/(MP_DATA[[#This Row],[Bottom '[m']]]-MP_DATA[[#This Row],[Top '[m']]]),"")</f>
        <v/>
      </c>
      <c r="J114" s="79" t="str">
        <f t="shared" si="4"/>
        <v/>
      </c>
      <c r="K114" s="79" t="str">
        <f>IFERROR((MP_DATA[[#This Row],[D, bottom '[m']]]+MP_DATA[[#This Row],[D, top '[m']]])/(2*MP_DATA[[#This Row],[t '[mm']]]/1000),"")</f>
        <v/>
      </c>
      <c r="L114" s="79" t="str">
        <f>IFERROR((MP_DATA[[#This Row],[D, bottom '[m']]]+#REF!)/(2*#REF!/1000),"")</f>
        <v/>
      </c>
      <c r="AO114" s="79" t="str">
        <f>IFERROR(TP_DATA[[#This Row],[Bottom '[m']]]-TP_DATA[[#This Row],[D, top '[m']]], "")</f>
        <v/>
      </c>
      <c r="AP114" s="79" t="str">
        <f>IFERROR(-(TP_DATA[[#This Row],[D, bottom '[m']]]-TP_DATA[[#This Row],[D, top '[m']]])/(TP_DATA[[#This Row],[Bottom '[m']]]-TP_DATA[[#This Row],[Top '[m']]]),"")</f>
        <v/>
      </c>
      <c r="AQ114" s="79" t="str">
        <f t="shared" si="7"/>
        <v/>
      </c>
      <c r="AR114" s="79" t="str">
        <f>IFERROR((TP_DATA[[#This Row],[D, bottom '[m']]]+TP_DATA[[#This Row],[D, top '[m']]])/(2*TP_DATA[[#This Row],[t '[mm']]]/1000),"")</f>
        <v/>
      </c>
      <c r="AS114" s="79" t="str">
        <f>IFERROR((TP_DATA[[#This Row],[D, bottom '[m']]]+#REF!)/(2*#REF!/1000),"")</f>
        <v/>
      </c>
      <c r="BQ114" s="70">
        <v>84</v>
      </c>
      <c r="BR114">
        <v>29.120999999999999</v>
      </c>
      <c r="BS114">
        <v>26.639999999999997</v>
      </c>
      <c r="BT114">
        <v>7.4790000000000001</v>
      </c>
      <c r="BU114">
        <v>7.5</v>
      </c>
      <c r="BV114">
        <v>49</v>
      </c>
      <c r="BW114" s="79">
        <f>IFERROR(TOWER_DATA[[#This Row],[Top '[m']]]-TOWER_DATA[[#This Row],[Bottom '[m']]], "")</f>
        <v>2.4810000000000016</v>
      </c>
      <c r="BX114" s="79">
        <f>IFERROR(-(TOWER_DATA[[#This Row],[D, bottom '[m']]]-TOWER_DATA[[#This Row],[D, top '[m']]])/(TOWER_DATA[[#This Row],[Bottom '[m']]]-TOWER_DATA[[#This Row],[Top '[m']]]),"")</f>
        <v>8.4643288996371999E-3</v>
      </c>
      <c r="BY114" s="79">
        <f t="shared" si="6"/>
        <v>22.307170912766217</v>
      </c>
      <c r="BZ114" s="79">
        <f>IFERROR((TOWER_DATA[[#This Row],[D, bottom '[m']]]+TOWER_DATA[[#This Row],[D, top '[m']]])/(2*TOWER_DATA[[#This Row],[t '[mm']]]/1000),"")</f>
        <v>152.84693877551018</v>
      </c>
      <c r="CA114" s="79" t="str">
        <f>IFERROR((TOWER_DATA[[#This Row],[D, bottom '[m']]]+#REF!)/(2*#REF!/1000),"")</f>
        <v/>
      </c>
      <c r="CB114" s="102"/>
      <c r="CC114" s="102"/>
      <c r="CD114" s="102"/>
      <c r="CF114" s="77">
        <v>84</v>
      </c>
      <c r="CG114" s="77">
        <v>29.120999999999999</v>
      </c>
      <c r="CH114" s="77">
        <v>26.639999999999997</v>
      </c>
      <c r="CI114" s="77">
        <v>7.4790000000000001</v>
      </c>
      <c r="CJ114" s="77">
        <v>7.5</v>
      </c>
      <c r="CK114" s="77">
        <v>49</v>
      </c>
      <c r="CM114" s="77"/>
      <c r="CN114" s="77"/>
      <c r="CO114" s="77"/>
      <c r="DF114" s="79" t="str">
        <f t="shared" si="8"/>
        <v/>
      </c>
      <c r="DG114" s="79"/>
    </row>
    <row r="115" spans="2:111" x14ac:dyDescent="0.25">
      <c r="B115" s="79"/>
      <c r="C115" s="79"/>
      <c r="D115" s="79"/>
      <c r="E115" s="79"/>
      <c r="F115" s="79"/>
      <c r="G115" s="79"/>
      <c r="H115" s="79" t="str">
        <f>IFERROR(MP_DATA[[#This Row],[Bottom '[m']]]-MP_DATA[[#This Row],[D, top '[m']]], "")</f>
        <v/>
      </c>
      <c r="I115" s="79" t="str">
        <f>IFERROR(-(MP_DATA[[#This Row],[D, bottom '[m']]]-MP_DATA[[#This Row],[D, top '[m']]])/(MP_DATA[[#This Row],[Bottom '[m']]]-MP_DATA[[#This Row],[Top '[m']]]),"")</f>
        <v/>
      </c>
      <c r="J115" s="79" t="str">
        <f t="shared" si="4"/>
        <v/>
      </c>
      <c r="K115" s="79" t="str">
        <f>IFERROR((MP_DATA[[#This Row],[D, bottom '[m']]]+MP_DATA[[#This Row],[D, top '[m']]])/(2*MP_DATA[[#This Row],[t '[mm']]]/1000),"")</f>
        <v/>
      </c>
      <c r="L115" s="79" t="str">
        <f>IFERROR((MP_DATA[[#This Row],[D, bottom '[m']]]+#REF!)/(2*#REF!/1000),"")</f>
        <v/>
      </c>
      <c r="AO115" s="79" t="str">
        <f>IFERROR(TP_DATA[[#This Row],[Bottom '[m']]]-TP_DATA[[#This Row],[D, top '[m']]], "")</f>
        <v/>
      </c>
      <c r="AP115" s="79" t="str">
        <f>IFERROR(-(TP_DATA[[#This Row],[D, bottom '[m']]]-TP_DATA[[#This Row],[D, top '[m']]])/(TP_DATA[[#This Row],[Bottom '[m']]]-TP_DATA[[#This Row],[Top '[m']]]),"")</f>
        <v/>
      </c>
      <c r="AQ115" s="79" t="str">
        <f t="shared" si="7"/>
        <v/>
      </c>
      <c r="AR115" s="79" t="str">
        <f>IFERROR((TP_DATA[[#This Row],[D, bottom '[m']]]+TP_DATA[[#This Row],[D, top '[m']]])/(2*TP_DATA[[#This Row],[t '[mm']]]/1000),"")</f>
        <v/>
      </c>
      <c r="AS115" s="79" t="str">
        <f>IFERROR((TP_DATA[[#This Row],[D, bottom '[m']]]+#REF!)/(2*#REF!/1000),"")</f>
        <v/>
      </c>
      <c r="BQ115" s="70">
        <v>85</v>
      </c>
      <c r="BR115">
        <v>26.639999999999997</v>
      </c>
      <c r="BS115">
        <v>25.05</v>
      </c>
      <c r="BT115">
        <v>7.5</v>
      </c>
      <c r="BU115">
        <v>7.5</v>
      </c>
      <c r="BV115">
        <v>70</v>
      </c>
      <c r="BW115" s="79">
        <f>IFERROR(TOWER_DATA[[#This Row],[Top '[m']]]-TOWER_DATA[[#This Row],[Bottom '[m']]], "")</f>
        <v>1.5899999999999963</v>
      </c>
      <c r="BX115" s="79">
        <f>IFERROR(-(TOWER_DATA[[#This Row],[D, bottom '[m']]]-TOWER_DATA[[#This Row],[D, top '[m']]])/(TOWER_DATA[[#This Row],[Bottom '[m']]]-TOWER_DATA[[#This Row],[Top '[m']]]),"")</f>
        <v>0</v>
      </c>
      <c r="BY115" s="79">
        <f t="shared" si="6"/>
        <v>20.394051305876623</v>
      </c>
      <c r="BZ115" s="79">
        <f>IFERROR((TOWER_DATA[[#This Row],[D, bottom '[m']]]+TOWER_DATA[[#This Row],[D, top '[m']]])/(2*TOWER_DATA[[#This Row],[t '[mm']]]/1000),"")</f>
        <v>107.14285714285714</v>
      </c>
      <c r="CA115" s="79" t="str">
        <f>IFERROR((TOWER_DATA[[#This Row],[D, bottom '[m']]]+#REF!)/(2*#REF!/1000),"")</f>
        <v/>
      </c>
      <c r="CB115" s="102"/>
      <c r="CC115" s="102"/>
      <c r="CD115" s="102"/>
      <c r="CF115" s="77">
        <v>85</v>
      </c>
      <c r="CG115" s="77">
        <v>26.639999999999997</v>
      </c>
      <c r="CH115" s="77">
        <v>25.05</v>
      </c>
      <c r="CI115" s="77">
        <v>7.5</v>
      </c>
      <c r="CJ115" s="77">
        <v>7.5</v>
      </c>
      <c r="CK115" s="77">
        <v>70</v>
      </c>
      <c r="CM115" s="77"/>
      <c r="CN115" s="77"/>
      <c r="CO115" s="77"/>
      <c r="DF115" s="79" t="str">
        <f t="shared" si="8"/>
        <v/>
      </c>
      <c r="DG115" s="79"/>
    </row>
    <row r="116" spans="2:111" x14ac:dyDescent="0.25">
      <c r="B116" s="79"/>
      <c r="C116" s="79"/>
      <c r="D116" s="79"/>
      <c r="E116" s="79"/>
      <c r="F116" s="79"/>
      <c r="G116" s="79"/>
      <c r="H116" s="79" t="str">
        <f>IFERROR(MP_DATA[[#This Row],[Bottom '[m']]]-MP_DATA[[#This Row],[D, top '[m']]], "")</f>
        <v/>
      </c>
      <c r="I116" s="79" t="str">
        <f>IFERROR(-(MP_DATA[[#This Row],[D, bottom '[m']]]-MP_DATA[[#This Row],[D, top '[m']]])/(MP_DATA[[#This Row],[Bottom '[m']]]-MP_DATA[[#This Row],[Top '[m']]]),"")</f>
        <v/>
      </c>
      <c r="J116" s="79" t="str">
        <f t="shared" si="4"/>
        <v/>
      </c>
      <c r="K116" s="79" t="str">
        <f>IFERROR((MP_DATA[[#This Row],[D, bottom '[m']]]+MP_DATA[[#This Row],[D, top '[m']]])/(2*MP_DATA[[#This Row],[t '[mm']]]/1000),"")</f>
        <v/>
      </c>
      <c r="L116" s="79" t="str">
        <f>IFERROR((MP_DATA[[#This Row],[D, bottom '[m']]]+#REF!)/(2*#REF!/1000),"")</f>
        <v/>
      </c>
      <c r="AO116" s="79" t="str">
        <f>IFERROR(TP_DATA[[#This Row],[Bottom '[m']]]-TP_DATA[[#This Row],[D, top '[m']]], "")</f>
        <v/>
      </c>
      <c r="AP116" s="79" t="str">
        <f>IFERROR(-(TP_DATA[[#This Row],[D, bottom '[m']]]-TP_DATA[[#This Row],[D, top '[m']]])/(TP_DATA[[#This Row],[Bottom '[m']]]-TP_DATA[[#This Row],[Top '[m']]]),"")</f>
        <v/>
      </c>
      <c r="AQ116" s="79" t="str">
        <f t="shared" si="7"/>
        <v/>
      </c>
      <c r="AR116" s="79" t="str">
        <f>IFERROR((TP_DATA[[#This Row],[D, bottom '[m']]]+TP_DATA[[#This Row],[D, top '[m']]])/(2*TP_DATA[[#This Row],[t '[mm']]]/1000),"")</f>
        <v/>
      </c>
      <c r="AS116" s="79" t="str">
        <f>IFERROR((TP_DATA[[#This Row],[D, bottom '[m']]]+#REF!)/(2*#REF!/1000),"")</f>
        <v/>
      </c>
      <c r="BQ116" s="70">
        <v>86</v>
      </c>
      <c r="BR116">
        <v>25.05</v>
      </c>
      <c r="BS116">
        <v>25.010999999999999</v>
      </c>
      <c r="BT116">
        <v>7.5</v>
      </c>
      <c r="BU116">
        <v>7.5</v>
      </c>
      <c r="BV116">
        <v>70</v>
      </c>
      <c r="BW116" s="79">
        <f>IFERROR(TOWER_DATA[[#This Row],[Top '[m']]]-TOWER_DATA[[#This Row],[Bottom '[m']]], "")</f>
        <v>3.9000000000001478E-2</v>
      </c>
      <c r="BX116" s="79">
        <f>IFERROR(-(TOWER_DATA[[#This Row],[D, bottom '[m']]]-TOWER_DATA[[#This Row],[D, top '[m']]])/(TOWER_DATA[[#This Row],[Bottom '[m']]]-TOWER_DATA[[#This Row],[Top '[m']]]),"")</f>
        <v>0</v>
      </c>
      <c r="BY116" s="79">
        <f t="shared" si="6"/>
        <v>0.50023144712529577</v>
      </c>
      <c r="BZ116" s="79">
        <f>IFERROR((TOWER_DATA[[#This Row],[D, bottom '[m']]]+TOWER_DATA[[#This Row],[D, top '[m']]])/(2*TOWER_DATA[[#This Row],[t '[mm']]]/1000),"")</f>
        <v>107.14285714285714</v>
      </c>
      <c r="CA116" s="79" t="str">
        <f>IFERROR((TOWER_DATA[[#This Row],[D, bottom '[m']]]+#REF!)/(2*#REF!/1000),"")</f>
        <v/>
      </c>
      <c r="CB116" s="102"/>
      <c r="CC116" s="102"/>
      <c r="CD116" s="102"/>
      <c r="CF116" s="77">
        <v>86</v>
      </c>
      <c r="CG116" s="77">
        <v>25.05</v>
      </c>
      <c r="CH116" s="77">
        <v>25.010999999999999</v>
      </c>
      <c r="CI116" s="77">
        <v>7.5</v>
      </c>
      <c r="CJ116" s="77">
        <v>7.5</v>
      </c>
      <c r="CK116" s="77">
        <v>70</v>
      </c>
      <c r="CM116" s="77"/>
      <c r="CN116" s="77"/>
      <c r="CO116" s="77"/>
      <c r="DF116" s="79" t="str">
        <f t="shared" si="8"/>
        <v/>
      </c>
      <c r="DG116" s="79"/>
    </row>
    <row r="117" spans="2:111" x14ac:dyDescent="0.25">
      <c r="B117" s="79"/>
      <c r="C117" s="79"/>
      <c r="D117" s="79"/>
      <c r="E117" s="79"/>
      <c r="F117" s="79"/>
      <c r="G117" s="79"/>
      <c r="H117" s="79" t="str">
        <f>IFERROR(MP_DATA[[#This Row],[Bottom '[m']]]-MP_DATA[[#This Row],[D, top '[m']]], "")</f>
        <v/>
      </c>
      <c r="I117" s="79" t="str">
        <f>IFERROR(-(MP_DATA[[#This Row],[D, bottom '[m']]]-MP_DATA[[#This Row],[D, top '[m']]])/(MP_DATA[[#This Row],[Bottom '[m']]]-MP_DATA[[#This Row],[Top '[m']]]),"")</f>
        <v/>
      </c>
      <c r="J117" s="79" t="str">
        <f t="shared" si="4"/>
        <v/>
      </c>
      <c r="K117" s="79" t="str">
        <f>IFERROR((MP_DATA[[#This Row],[D, bottom '[m']]]+MP_DATA[[#This Row],[D, top '[m']]])/(2*MP_DATA[[#This Row],[t '[mm']]]/1000),"")</f>
        <v/>
      </c>
      <c r="L117" s="79" t="str">
        <f>IFERROR((MP_DATA[[#This Row],[D, bottom '[m']]]+#REF!)/(2*#REF!/1000),"")</f>
        <v/>
      </c>
      <c r="AO117" s="79" t="str">
        <f>IFERROR(TP_DATA[[#This Row],[Bottom '[m']]]-TP_DATA[[#This Row],[D, top '[m']]], "")</f>
        <v/>
      </c>
      <c r="AP117" s="79" t="str">
        <f>IFERROR(-(TP_DATA[[#This Row],[D, bottom '[m']]]-TP_DATA[[#This Row],[D, top '[m']]])/(TP_DATA[[#This Row],[Bottom '[m']]]-TP_DATA[[#This Row],[Top '[m']]]),"")</f>
        <v/>
      </c>
      <c r="AQ117" s="79" t="str">
        <f t="shared" si="7"/>
        <v/>
      </c>
      <c r="AR117" s="79" t="str">
        <f>IFERROR((TP_DATA[[#This Row],[D, bottom '[m']]]+TP_DATA[[#This Row],[D, top '[m']]])/(2*TP_DATA[[#This Row],[t '[mm']]]/1000),"")</f>
        <v/>
      </c>
      <c r="AS117" s="79" t="str">
        <f>IFERROR((TP_DATA[[#This Row],[D, bottom '[m']]]+#REF!)/(2*#REF!/1000),"")</f>
        <v/>
      </c>
      <c r="BQ117" s="70">
        <v>87</v>
      </c>
      <c r="BR117">
        <v>25.010999999999999</v>
      </c>
      <c r="BS117">
        <v>22.119999999999997</v>
      </c>
      <c r="BT117">
        <v>7.5</v>
      </c>
      <c r="BU117">
        <v>7.5</v>
      </c>
      <c r="BV117">
        <v>70</v>
      </c>
      <c r="BW117" s="79">
        <f>IFERROR(TOWER_DATA[[#This Row],[Top '[m']]]-TOWER_DATA[[#This Row],[Bottom '[m']]], "")</f>
        <v>2.8910000000000018</v>
      </c>
      <c r="BX117" s="79">
        <f>IFERROR(-(TOWER_DATA[[#This Row],[D, bottom '[m']]]-TOWER_DATA[[#This Row],[D, top '[m']]])/(TOWER_DATA[[#This Row],[Bottom '[m']]]-TOWER_DATA[[#This Row],[Top '[m']]]),"")</f>
        <v>0</v>
      </c>
      <c r="BY117" s="79">
        <f t="shared" si="6"/>
        <v>37.081259324081437</v>
      </c>
      <c r="BZ117" s="79">
        <f>IFERROR((TOWER_DATA[[#This Row],[D, bottom '[m']]]+TOWER_DATA[[#This Row],[D, top '[m']]])/(2*TOWER_DATA[[#This Row],[t '[mm']]]/1000),"")</f>
        <v>107.14285714285714</v>
      </c>
      <c r="CA117" s="79" t="str">
        <f>IFERROR((TOWER_DATA[[#This Row],[D, bottom '[m']]]+#REF!)/(2*#REF!/1000),"")</f>
        <v/>
      </c>
      <c r="CB117" s="102"/>
      <c r="CC117" s="102"/>
      <c r="CD117" s="102"/>
      <c r="CF117" s="77">
        <v>87</v>
      </c>
      <c r="CG117" s="77">
        <v>25.010999999999999</v>
      </c>
      <c r="CH117" s="77">
        <v>22.119999999999997</v>
      </c>
      <c r="CI117" s="77">
        <v>7.5</v>
      </c>
      <c r="CJ117" s="77">
        <v>7.5</v>
      </c>
      <c r="CK117" s="77">
        <v>70</v>
      </c>
      <c r="CM117" s="77"/>
      <c r="CN117" s="77"/>
      <c r="CO117" s="77"/>
      <c r="DF117" s="79" t="str">
        <f t="shared" si="8"/>
        <v/>
      </c>
      <c r="DG117" s="79"/>
    </row>
    <row r="118" spans="2:111" x14ac:dyDescent="0.25">
      <c r="B118" s="79"/>
      <c r="D118" s="79"/>
      <c r="F118" s="79"/>
      <c r="H118" s="79" t="str">
        <f>IFERROR(MP_DATA[[#This Row],[Bottom '[m']]]-MP_DATA[[#This Row],[D, top '[m']]], "")</f>
        <v/>
      </c>
      <c r="I118" t="str">
        <f>IFERROR(-(MP_DATA[[#This Row],[D, bottom '[m']]]-MP_DATA[[#This Row],[D, top '[m']]])/(MP_DATA[[#This Row],[Bottom '[m']]]-MP_DATA[[#This Row],[Top '[m']]]),"")</f>
        <v/>
      </c>
      <c r="J118" s="79" t="str">
        <f t="shared" si="4"/>
        <v/>
      </c>
      <c r="K118" s="79" t="str">
        <f>IFERROR((MP_DATA[[#This Row],[D, bottom '[m']]]+MP_DATA[[#This Row],[D, top '[m']]])/(2*MP_DATA[[#This Row],[t '[mm']]]/1000),"")</f>
        <v/>
      </c>
      <c r="L118" s="79" t="str">
        <f>IFERROR((MP_DATA[[#This Row],[D, bottom '[m']]]+#REF!)/(2*#REF!/1000),"")</f>
        <v/>
      </c>
      <c r="AO118" s="79" t="str">
        <f>IFERROR(TP_DATA[[#This Row],[Bottom '[m']]]-TP_DATA[[#This Row],[D, top '[m']]], "")</f>
        <v/>
      </c>
      <c r="AP118" s="79" t="str">
        <f>IFERROR(-(TP_DATA[[#This Row],[D, bottom '[m']]]-TP_DATA[[#This Row],[D, top '[m']]])/(TP_DATA[[#This Row],[Bottom '[m']]]-TP_DATA[[#This Row],[Top '[m']]]),"")</f>
        <v/>
      </c>
      <c r="AQ118" s="79" t="str">
        <f t="shared" si="7"/>
        <v/>
      </c>
      <c r="AR118" s="79" t="str">
        <f>IFERROR((TP_DATA[[#This Row],[D, bottom '[m']]]+TP_DATA[[#This Row],[D, top '[m']]])/(2*TP_DATA[[#This Row],[t '[mm']]]/1000),"")</f>
        <v/>
      </c>
      <c r="AS118" s="79" t="str">
        <f>IFERROR((TP_DATA[[#This Row],[D, bottom '[m']]]+#REF!)/(2*#REF!/1000),"")</f>
        <v/>
      </c>
      <c r="BQ118" s="70">
        <v>88</v>
      </c>
      <c r="BR118">
        <v>22.119999999999997</v>
      </c>
      <c r="BS118">
        <v>21.139999999999997</v>
      </c>
      <c r="BT118">
        <v>7.5</v>
      </c>
      <c r="BU118">
        <v>7.5</v>
      </c>
      <c r="BV118">
        <v>70</v>
      </c>
      <c r="BW118" s="79">
        <f>IFERROR(TOWER_DATA[[#This Row],[Top '[m']]]-TOWER_DATA[[#This Row],[Bottom '[m']]], "")</f>
        <v>0.98000000000000043</v>
      </c>
      <c r="BX118" s="79">
        <f>IFERROR(-(TOWER_DATA[[#This Row],[D, bottom '[m']]]-TOWER_DATA[[#This Row],[D, top '[m']]])/(TOWER_DATA[[#This Row],[Bottom '[m']]]-TOWER_DATA[[#This Row],[Top '[m']]]),"")</f>
        <v>0</v>
      </c>
      <c r="BY118" s="79">
        <f t="shared" si="6"/>
        <v>12.569918414942858</v>
      </c>
      <c r="BZ118" s="79">
        <f>IFERROR((TOWER_DATA[[#This Row],[D, bottom '[m']]]+TOWER_DATA[[#This Row],[D, top '[m']]])/(2*TOWER_DATA[[#This Row],[t '[mm']]]/1000),"")</f>
        <v>107.14285714285714</v>
      </c>
      <c r="CA118" s="79" t="str">
        <f>IFERROR((TOWER_DATA[[#This Row],[D, bottom '[m']]]+#REF!)/(2*#REF!/1000),"")</f>
        <v/>
      </c>
      <c r="CB118" s="102"/>
      <c r="CC118" s="102"/>
      <c r="CD118" s="102"/>
      <c r="CF118" s="77">
        <v>88</v>
      </c>
      <c r="CG118" s="77">
        <v>22.119999999999997</v>
      </c>
      <c r="CH118" s="77">
        <v>21.139999999999997</v>
      </c>
      <c r="CI118" s="77">
        <v>7.5</v>
      </c>
      <c r="CJ118" s="77">
        <v>7.5</v>
      </c>
      <c r="CK118" s="77">
        <v>70</v>
      </c>
      <c r="CM118" s="77"/>
      <c r="CN118" s="77"/>
      <c r="CO118" s="77"/>
      <c r="DF118" s="79" t="str">
        <f t="shared" si="8"/>
        <v/>
      </c>
      <c r="DG118" s="79"/>
    </row>
    <row r="119" spans="2:111" x14ac:dyDescent="0.25">
      <c r="B119" s="79"/>
      <c r="D119" s="79"/>
      <c r="F119" s="79"/>
      <c r="H119" s="79" t="str">
        <f>IFERROR(MP_DATA[[#This Row],[Bottom '[m']]]-MP_DATA[[#This Row],[D, top '[m']]], "")</f>
        <v/>
      </c>
      <c r="I119" t="str">
        <f>IFERROR(-(MP_DATA[[#This Row],[D, bottom '[m']]]-MP_DATA[[#This Row],[D, top '[m']]])/(MP_DATA[[#This Row],[Bottom '[m']]]-MP_DATA[[#This Row],[Top '[m']]]),"")</f>
        <v/>
      </c>
      <c r="J119" s="79" t="str">
        <f t="shared" si="4"/>
        <v/>
      </c>
      <c r="K119" s="79" t="str">
        <f>IFERROR((MP_DATA[[#This Row],[D, bottom '[m']]]+MP_DATA[[#This Row],[D, top '[m']]])/(2*MP_DATA[[#This Row],[t '[mm']]]/1000),"")</f>
        <v/>
      </c>
      <c r="L119" t="str">
        <f>IFERROR((MP_DATA[[#This Row],[D, bottom '[m']]]+#REF!)/(2*#REF!/1000),"")</f>
        <v/>
      </c>
      <c r="AO119" s="79" t="str">
        <f>IFERROR(TP_DATA[[#This Row],[Bottom '[m']]]-TP_DATA[[#This Row],[D, top '[m']]], "")</f>
        <v/>
      </c>
      <c r="AP119" s="79" t="str">
        <f>IFERROR(-(TP_DATA[[#This Row],[D, bottom '[m']]]-TP_DATA[[#This Row],[D, top '[m']]])/(TP_DATA[[#This Row],[Bottom '[m']]]-TP_DATA[[#This Row],[Top '[m']]]),"")</f>
        <v/>
      </c>
      <c r="AQ119" s="79" t="str">
        <f t="shared" si="7"/>
        <v/>
      </c>
      <c r="AR119" s="79" t="str">
        <f>IFERROR((TP_DATA[[#This Row],[D, bottom '[m']]]+TP_DATA[[#This Row],[D, top '[m']]])/(2*TP_DATA[[#This Row],[t '[mm']]]/1000),"")</f>
        <v/>
      </c>
      <c r="AS119" t="str">
        <f>IFERROR((TP_DATA[[#This Row],[D, bottom '[m']]]+#REF!)/(2*#REF!/1000),"")</f>
        <v/>
      </c>
      <c r="BQ119" s="70">
        <v>89</v>
      </c>
      <c r="BR119">
        <v>21.139999999999997</v>
      </c>
      <c r="BS119">
        <v>21.08</v>
      </c>
      <c r="BT119">
        <v>7.5</v>
      </c>
      <c r="BU119">
        <v>7.5</v>
      </c>
      <c r="BV119">
        <v>70</v>
      </c>
      <c r="BW119" s="79">
        <f>IFERROR(TOWER_DATA[[#This Row],[Top '[m']]]-TOWER_DATA[[#This Row],[Bottom '[m']]], "")</f>
        <v>5.9999999999998721E-2</v>
      </c>
      <c r="BX119" s="79">
        <f>IFERROR(-(TOWER_DATA[[#This Row],[D, bottom '[m']]]-TOWER_DATA[[#This Row],[D, top '[m']]])/(TOWER_DATA[[#This Row],[Bottom '[m']]]-TOWER_DATA[[#This Row],[Top '[m']]]),"")</f>
        <v>0</v>
      </c>
      <c r="BY119" s="79">
        <f t="shared" si="6"/>
        <v>0.76958684173117875</v>
      </c>
      <c r="BZ119" s="79">
        <f>IFERROR((TOWER_DATA[[#This Row],[D, bottom '[m']]]+TOWER_DATA[[#This Row],[D, top '[m']]])/(2*TOWER_DATA[[#This Row],[t '[mm']]]/1000),"")</f>
        <v>107.14285714285714</v>
      </c>
      <c r="CA119" t="str">
        <f>IFERROR((TOWER_DATA[[#This Row],[D, bottom '[m']]]+#REF!)/(2*#REF!/1000),"")</f>
        <v/>
      </c>
      <c r="CB119" s="102"/>
      <c r="CC119" s="102"/>
      <c r="CD119" s="102"/>
      <c r="CF119" s="77">
        <v>89</v>
      </c>
      <c r="CG119" s="77">
        <v>21.139999999999997</v>
      </c>
      <c r="CH119" s="77">
        <v>21.08</v>
      </c>
      <c r="CI119" s="77">
        <v>7.5</v>
      </c>
      <c r="CJ119" s="77">
        <v>7.5</v>
      </c>
      <c r="CK119" s="77">
        <v>70</v>
      </c>
      <c r="CM119" s="77"/>
      <c r="CN119" s="77"/>
      <c r="CO119" s="77"/>
      <c r="DF119" s="79" t="str">
        <f t="shared" si="8"/>
        <v/>
      </c>
      <c r="DG119" s="79"/>
    </row>
    <row r="120" spans="2:111" x14ac:dyDescent="0.25">
      <c r="B120" s="79"/>
      <c r="D120" s="79"/>
      <c r="F120" s="79"/>
      <c r="H120" s="79" t="str">
        <f>IFERROR(MP_DATA[[#This Row],[Bottom '[m']]]-MP_DATA[[#This Row],[D, top '[m']]], "")</f>
        <v/>
      </c>
      <c r="I120" t="str">
        <f>IFERROR(-(MP_DATA[[#This Row],[D, bottom '[m']]]-MP_DATA[[#This Row],[D, top '[m']]])/(MP_DATA[[#This Row],[Bottom '[m']]]-MP_DATA[[#This Row],[Top '[m']]]),"")</f>
        <v/>
      </c>
      <c r="J120" s="79" t="str">
        <f t="shared" si="4"/>
        <v/>
      </c>
      <c r="K120" s="79" t="str">
        <f>IFERROR((MP_DATA[[#This Row],[D, bottom '[m']]]+MP_DATA[[#This Row],[D, top '[m']]])/(2*MP_DATA[[#This Row],[t '[mm']]]/1000),"")</f>
        <v/>
      </c>
      <c r="L120" t="str">
        <f>IFERROR((MP_DATA[[#This Row],[D, bottom '[m']]]+#REF!)/(2*#REF!/1000),"")</f>
        <v/>
      </c>
      <c r="AO120" s="79" t="str">
        <f>IFERROR(TP_DATA[[#This Row],[Bottom '[m']]]-TP_DATA[[#This Row],[D, top '[m']]], "")</f>
        <v/>
      </c>
      <c r="AP120" s="79" t="str">
        <f>IFERROR(-(TP_DATA[[#This Row],[D, bottom '[m']]]-TP_DATA[[#This Row],[D, top '[m']]])/(TP_DATA[[#This Row],[Bottom '[m']]]-TP_DATA[[#This Row],[Top '[m']]]),"")</f>
        <v/>
      </c>
      <c r="AQ120" s="79" t="str">
        <f t="shared" si="7"/>
        <v/>
      </c>
      <c r="AR120" s="79" t="str">
        <f>IFERROR((TP_DATA[[#This Row],[D, bottom '[m']]]+TP_DATA[[#This Row],[D, top '[m']]])/(2*TP_DATA[[#This Row],[t '[mm']]]/1000),"")</f>
        <v/>
      </c>
      <c r="AS120" t="str">
        <f>IFERROR((TP_DATA[[#This Row],[D, bottom '[m']]]+#REF!)/(2*#REF!/1000),"")</f>
        <v/>
      </c>
      <c r="BQ120" s="70">
        <v>90</v>
      </c>
      <c r="BR120">
        <v>21.08</v>
      </c>
      <c r="BS120">
        <v>20.9</v>
      </c>
      <c r="BT120">
        <v>7.5</v>
      </c>
      <c r="BU120">
        <v>7.5</v>
      </c>
      <c r="BV120">
        <v>70</v>
      </c>
      <c r="BW120" s="79">
        <f>IFERROR(TOWER_DATA[[#This Row],[Top '[m']]]-TOWER_DATA[[#This Row],[Bottom '[m']]], "")</f>
        <v>0.17999999999999972</v>
      </c>
      <c r="BX120" s="79">
        <f>IFERROR(-(TOWER_DATA[[#This Row],[D, bottom '[m']]]-TOWER_DATA[[#This Row],[D, top '[m']]])/(TOWER_DATA[[#This Row],[Bottom '[m']]]-TOWER_DATA[[#This Row],[Top '[m']]]),"")</f>
        <v>0</v>
      </c>
      <c r="BY120" s="79">
        <f t="shared" si="6"/>
        <v>2.3087605251935819</v>
      </c>
      <c r="BZ120" s="79">
        <f>IFERROR((TOWER_DATA[[#This Row],[D, bottom '[m']]]+TOWER_DATA[[#This Row],[D, top '[m']]])/(2*TOWER_DATA[[#This Row],[t '[mm']]]/1000),"")</f>
        <v>107.14285714285714</v>
      </c>
      <c r="CA120" t="str">
        <f>IFERROR((TOWER_DATA[[#This Row],[D, bottom '[m']]]+#REF!)/(2*#REF!/1000),"")</f>
        <v/>
      </c>
      <c r="CB120" s="102"/>
      <c r="CC120" s="102"/>
      <c r="CD120" s="102"/>
      <c r="CF120" s="77">
        <v>90</v>
      </c>
      <c r="CG120" s="77">
        <v>21.08</v>
      </c>
      <c r="CH120" s="77">
        <v>20.9</v>
      </c>
      <c r="CI120" s="77">
        <v>7.5</v>
      </c>
      <c r="CJ120" s="77">
        <v>7.5</v>
      </c>
      <c r="CK120" s="77">
        <v>70</v>
      </c>
      <c r="CM120" s="77"/>
      <c r="CN120" s="77"/>
      <c r="CO120" s="77"/>
      <c r="DF120" s="79" t="str">
        <f t="shared" si="8"/>
        <v/>
      </c>
      <c r="DG120" s="79"/>
    </row>
    <row r="121" spans="2:111" x14ac:dyDescent="0.25">
      <c r="B121" s="79"/>
      <c r="D121" s="79"/>
      <c r="F121" s="79"/>
      <c r="H121" s="79" t="str">
        <f>IFERROR(MP_DATA[[#This Row],[Bottom '[m']]]-MP_DATA[[#This Row],[D, top '[m']]], "")</f>
        <v/>
      </c>
      <c r="I121" t="str">
        <f>IFERROR(-(MP_DATA[[#This Row],[D, bottom '[m']]]-MP_DATA[[#This Row],[D, top '[m']]])/(MP_DATA[[#This Row],[Bottom '[m']]]-MP_DATA[[#This Row],[Top '[m']]]),"")</f>
        <v/>
      </c>
      <c r="J121" s="79" t="str">
        <f t="shared" si="4"/>
        <v/>
      </c>
      <c r="K121" s="79" t="str">
        <f>IFERROR((MP_DATA[[#This Row],[D, bottom '[m']]]+MP_DATA[[#This Row],[D, top '[m']]])/(2*MP_DATA[[#This Row],[t '[mm']]]/1000),"")</f>
        <v/>
      </c>
      <c r="L121" t="str">
        <f>IFERROR((MP_DATA[[#This Row],[D, bottom '[m']]]+#REF!)/(2*#REF!/1000),"")</f>
        <v/>
      </c>
      <c r="AO121" s="79" t="str">
        <f>IFERROR(TP_DATA[[#This Row],[Bottom '[m']]]-TP_DATA[[#This Row],[D, top '[m']]], "")</f>
        <v/>
      </c>
      <c r="AP121" s="79" t="str">
        <f>IFERROR(-(TP_DATA[[#This Row],[D, bottom '[m']]]-TP_DATA[[#This Row],[D, top '[m']]])/(TP_DATA[[#This Row],[Bottom '[m']]]-TP_DATA[[#This Row],[Top '[m']]]),"")</f>
        <v/>
      </c>
      <c r="AQ121" s="79" t="str">
        <f t="shared" si="7"/>
        <v/>
      </c>
      <c r="AR121" s="79" t="str">
        <f>IFERROR((TP_DATA[[#This Row],[D, bottom '[m']]]+TP_DATA[[#This Row],[D, top '[m']]])/(2*TP_DATA[[#This Row],[t '[mm']]]/1000),"")</f>
        <v/>
      </c>
      <c r="AS121" t="str">
        <f>IFERROR((TP_DATA[[#This Row],[D, bottom '[m']]]+#REF!)/(2*#REF!/1000),"")</f>
        <v/>
      </c>
      <c r="BW121" s="79" t="str">
        <f>IFERROR(TOWER_DATA[[#This Row],[Top '[m']]]-TOWER_DATA[[#This Row],[Bottom '[m']]], "")</f>
        <v/>
      </c>
      <c r="BX121" s="79" t="str">
        <f>IFERROR(-(TOWER_DATA[[#This Row],[D, bottom '[m']]]-TOWER_DATA[[#This Row],[D, top '[m']]])/(TOWER_DATA[[#This Row],[Bottom '[m']]]-TOWER_DATA[[#This Row],[Top '[m']]]),"")</f>
        <v/>
      </c>
      <c r="BY121" s="79" t="str">
        <f t="shared" ref="BY121:BY145" si="9">IF(7850/1000*(1/3)*PI()*ABS(BR121-BS121)*((BT121/2)^2+(BT121/2)*(BU121/2)+(BU121/2)^2-(BT121/2-BV121/1000)^2-(BT121/2-BV121/1000)*(BU121/2-BV121/1000)-(BU121/2-BV121/1000)^2)=0,"",7850/1000*(1/3)*PI()*ABS(BR121-BS121)*((BT121/2)^2+(BT121/2)*(BU121/2)+(BU121/2)^2-(BT121/2-BV121/1000)^2-(BT121/2-BV121/1000)*(BU121/2-BV121/1000)-(BU121/2-BV121/1000)^2))</f>
        <v/>
      </c>
      <c r="BZ121" s="79" t="str">
        <f>IFERROR((TOWER_DATA[[#This Row],[D, bottom '[m']]]+TOWER_DATA[[#This Row],[D, top '[m']]])/(2*TOWER_DATA[[#This Row],[t '[mm']]]/1000),"")</f>
        <v/>
      </c>
      <c r="CA121" t="str">
        <f>IFERROR((TOWER_DATA[[#This Row],[D, bottom '[m']]]+#REF!)/(2*#REF!/1000),"")</f>
        <v/>
      </c>
      <c r="CB121" s="102"/>
      <c r="CC121" s="102"/>
      <c r="CD121" s="102"/>
      <c r="CM121" s="77"/>
      <c r="CN121" s="77"/>
      <c r="CO121" s="77"/>
      <c r="DF121" s="79" t="str">
        <f t="shared" si="8"/>
        <v/>
      </c>
      <c r="DG121" s="79"/>
    </row>
    <row r="122" spans="2:111" x14ac:dyDescent="0.25">
      <c r="B122" s="79"/>
      <c r="C122" s="79"/>
      <c r="D122" s="79"/>
      <c r="E122" s="79"/>
      <c r="F122" s="79"/>
      <c r="G122" s="79"/>
      <c r="H122" s="79" t="str">
        <f>IFERROR(MP_DATA[[#This Row],[Bottom '[m']]]-MP_DATA[[#This Row],[D, top '[m']]], "")</f>
        <v/>
      </c>
      <c r="I122" s="79" t="str">
        <f>IFERROR(-(MP_DATA[[#This Row],[D, bottom '[m']]]-MP_DATA[[#This Row],[D, top '[m']]])/(MP_DATA[[#This Row],[Bottom '[m']]]-MP_DATA[[#This Row],[Top '[m']]]),"")</f>
        <v/>
      </c>
      <c r="J122" s="79" t="str">
        <f t="shared" si="4"/>
        <v/>
      </c>
      <c r="K122" s="79" t="str">
        <f>IFERROR((MP_DATA[[#This Row],[D, bottom '[m']]]+MP_DATA[[#This Row],[D, top '[m']]])/(2*MP_DATA[[#This Row],[t '[mm']]]/1000),"")</f>
        <v/>
      </c>
      <c r="L122" t="str">
        <f>IFERROR((MP_DATA[[#This Row],[D, bottom '[m']]]+#REF!)/(2*#REF!/1000),"")</f>
        <v/>
      </c>
      <c r="AO122" s="79" t="str">
        <f>IFERROR(TP_DATA[[#This Row],[Bottom '[m']]]-TP_DATA[[#This Row],[D, top '[m']]], "")</f>
        <v/>
      </c>
      <c r="AP122" s="79" t="str">
        <f>IFERROR(-(TP_DATA[[#This Row],[D, bottom '[m']]]-TP_DATA[[#This Row],[D, top '[m']]])/(TP_DATA[[#This Row],[Bottom '[m']]]-TP_DATA[[#This Row],[Top '[m']]]),"")</f>
        <v/>
      </c>
      <c r="AQ122" s="79" t="str">
        <f t="shared" si="7"/>
        <v/>
      </c>
      <c r="AR122" s="79" t="str">
        <f>IFERROR((TP_DATA[[#This Row],[D, bottom '[m']]]+TP_DATA[[#This Row],[D, top '[m']]])/(2*TP_DATA[[#This Row],[t '[mm']]]/1000),"")</f>
        <v/>
      </c>
      <c r="AS122" t="str">
        <f>IFERROR((TP_DATA[[#This Row],[D, bottom '[m']]]+#REF!)/(2*#REF!/1000),"")</f>
        <v/>
      </c>
      <c r="BW122" s="79" t="str">
        <f>IFERROR(TOWER_DATA[[#This Row],[Top '[m']]]-TOWER_DATA[[#This Row],[Bottom '[m']]], "")</f>
        <v/>
      </c>
      <c r="BX122" s="79" t="str">
        <f>IFERROR(-(TOWER_DATA[[#This Row],[D, bottom '[m']]]-TOWER_DATA[[#This Row],[D, top '[m']]])/(TOWER_DATA[[#This Row],[Bottom '[m']]]-TOWER_DATA[[#This Row],[Top '[m']]]),"")</f>
        <v/>
      </c>
      <c r="BY122" s="79" t="str">
        <f t="shared" si="9"/>
        <v/>
      </c>
      <c r="BZ122" s="79" t="str">
        <f>IFERROR((TOWER_DATA[[#This Row],[D, bottom '[m']]]+TOWER_DATA[[#This Row],[D, top '[m']]])/(2*TOWER_DATA[[#This Row],[t '[mm']]]/1000),"")</f>
        <v/>
      </c>
      <c r="CA122" t="str">
        <f>IFERROR((TOWER_DATA[[#This Row],[D, bottom '[m']]]+#REF!)/(2*#REF!/1000),"")</f>
        <v/>
      </c>
      <c r="CB122" s="102"/>
      <c r="CC122" s="102"/>
      <c r="CD122" s="102"/>
      <c r="CM122" s="77"/>
      <c r="CN122" s="77"/>
      <c r="CO122" s="77"/>
      <c r="DF122" s="79" t="str">
        <f t="shared" si="8"/>
        <v/>
      </c>
      <c r="DG122" s="79"/>
    </row>
    <row r="123" spans="2:111" x14ac:dyDescent="0.25">
      <c r="B123" s="79"/>
      <c r="C123" s="79"/>
      <c r="D123" s="79"/>
      <c r="E123" s="79"/>
      <c r="F123" s="79"/>
      <c r="G123" s="79"/>
      <c r="H123" s="79" t="str">
        <f>IFERROR(MP_DATA[[#This Row],[Bottom '[m']]]-MP_DATA[[#This Row],[D, top '[m']]], "")</f>
        <v/>
      </c>
      <c r="I123" s="79" t="str">
        <f>IFERROR(-(MP_DATA[[#This Row],[D, bottom '[m']]]-MP_DATA[[#This Row],[D, top '[m']]])/(MP_DATA[[#This Row],[Bottom '[m']]]-MP_DATA[[#This Row],[Top '[m']]]),"")</f>
        <v/>
      </c>
      <c r="J123" s="79" t="str">
        <f t="shared" si="4"/>
        <v/>
      </c>
      <c r="K123" s="79" t="str">
        <f>IFERROR((MP_DATA[[#This Row],[D, bottom '[m']]]+MP_DATA[[#This Row],[D, top '[m']]])/(2*MP_DATA[[#This Row],[t '[mm']]]/1000),"")</f>
        <v/>
      </c>
      <c r="L123" t="str">
        <f>IFERROR((MP_DATA[[#This Row],[D, bottom '[m']]]+#REF!)/(2*#REF!/1000),"")</f>
        <v/>
      </c>
      <c r="AO123" s="79" t="str">
        <f>IFERROR(TP_DATA[[#This Row],[Bottom '[m']]]-TP_DATA[[#This Row],[D, top '[m']]], "")</f>
        <v/>
      </c>
      <c r="AP123" s="79" t="str">
        <f>IFERROR(-(TP_DATA[[#This Row],[D, bottom '[m']]]-TP_DATA[[#This Row],[D, top '[m']]])/(TP_DATA[[#This Row],[Bottom '[m']]]-TP_DATA[[#This Row],[Top '[m']]]),"")</f>
        <v/>
      </c>
      <c r="AQ123" s="79" t="str">
        <f t="shared" si="7"/>
        <v/>
      </c>
      <c r="AR123" s="79" t="str">
        <f>IFERROR((TP_DATA[[#This Row],[D, bottom '[m']]]+TP_DATA[[#This Row],[D, top '[m']]])/(2*TP_DATA[[#This Row],[t '[mm']]]/1000),"")</f>
        <v/>
      </c>
      <c r="AS123" t="str">
        <f>IFERROR((TP_DATA[[#This Row],[D, bottom '[m']]]+#REF!)/(2*#REF!/1000),"")</f>
        <v/>
      </c>
      <c r="BW123" s="79" t="str">
        <f>IFERROR(TOWER_DATA[[#This Row],[Top '[m']]]-TOWER_DATA[[#This Row],[Bottom '[m']]], "")</f>
        <v/>
      </c>
      <c r="BX123" s="79" t="str">
        <f>IFERROR(-(TOWER_DATA[[#This Row],[D, bottom '[m']]]-TOWER_DATA[[#This Row],[D, top '[m']]])/(TOWER_DATA[[#This Row],[Bottom '[m']]]-TOWER_DATA[[#This Row],[Top '[m']]]),"")</f>
        <v/>
      </c>
      <c r="BY123" s="79" t="str">
        <f t="shared" si="9"/>
        <v/>
      </c>
      <c r="BZ123" s="79" t="str">
        <f>IFERROR((TOWER_DATA[[#This Row],[D, bottom '[m']]]+TOWER_DATA[[#This Row],[D, top '[m']]])/(2*TOWER_DATA[[#This Row],[t '[mm']]]/1000),"")</f>
        <v/>
      </c>
      <c r="CA123" t="str">
        <f>IFERROR((TOWER_DATA[[#This Row],[D, bottom '[m']]]+#REF!)/(2*#REF!/1000),"")</f>
        <v/>
      </c>
      <c r="CB123" s="102"/>
      <c r="CC123" s="102"/>
      <c r="CD123" s="102"/>
      <c r="CM123" s="77"/>
      <c r="CN123" s="77"/>
      <c r="CO123" s="77"/>
      <c r="DF123" s="79" t="str">
        <f t="shared" si="8"/>
        <v/>
      </c>
      <c r="DG123" s="79"/>
    </row>
    <row r="124" spans="2:111" x14ac:dyDescent="0.25">
      <c r="B124" s="79"/>
      <c r="C124" s="79"/>
      <c r="D124" s="79"/>
      <c r="E124" s="79"/>
      <c r="F124" s="79"/>
      <c r="G124" s="79"/>
      <c r="H124" s="79" t="str">
        <f>IFERROR(MP_DATA[[#This Row],[Bottom '[m']]]-MP_DATA[[#This Row],[D, top '[m']]], "")</f>
        <v/>
      </c>
      <c r="I124" s="79" t="str">
        <f>IFERROR(-(MP_DATA[[#This Row],[D, bottom '[m']]]-MP_DATA[[#This Row],[D, top '[m']]])/(MP_DATA[[#This Row],[Bottom '[m']]]-MP_DATA[[#This Row],[Top '[m']]]),"")</f>
        <v/>
      </c>
      <c r="J124" s="79" t="str">
        <f t="shared" si="4"/>
        <v/>
      </c>
      <c r="K124" s="79" t="str">
        <f>IFERROR((MP_DATA[[#This Row],[D, bottom '[m']]]+MP_DATA[[#This Row],[D, top '[m']]])/(2*MP_DATA[[#This Row],[t '[mm']]]/1000),"")</f>
        <v/>
      </c>
      <c r="L124" t="str">
        <f>IFERROR((MP_DATA[[#This Row],[D, bottom '[m']]]+#REF!)/(2*#REF!/1000),"")</f>
        <v/>
      </c>
      <c r="AO124" s="79" t="str">
        <f>IFERROR(TP_DATA[[#This Row],[Bottom '[m']]]-TP_DATA[[#This Row],[D, top '[m']]], "")</f>
        <v/>
      </c>
      <c r="AP124" s="79" t="str">
        <f>IFERROR(-(TP_DATA[[#This Row],[D, bottom '[m']]]-TP_DATA[[#This Row],[D, top '[m']]])/(TP_DATA[[#This Row],[Bottom '[m']]]-TP_DATA[[#This Row],[Top '[m']]]),"")</f>
        <v/>
      </c>
      <c r="AQ124" s="79" t="str">
        <f t="shared" si="7"/>
        <v/>
      </c>
      <c r="AR124" s="79" t="str">
        <f>IFERROR((TP_DATA[[#This Row],[D, bottom '[m']]]+TP_DATA[[#This Row],[D, top '[m']]])/(2*TP_DATA[[#This Row],[t '[mm']]]/1000),"")</f>
        <v/>
      </c>
      <c r="AS124" t="str">
        <f>IFERROR((TP_DATA[[#This Row],[D, bottom '[m']]]+#REF!)/(2*#REF!/1000),"")</f>
        <v/>
      </c>
      <c r="BW124" s="79" t="str">
        <f>IFERROR(TOWER_DATA[[#This Row],[Top '[m']]]-TOWER_DATA[[#This Row],[Bottom '[m']]], "")</f>
        <v/>
      </c>
      <c r="BX124" s="79" t="str">
        <f>IFERROR(-(TOWER_DATA[[#This Row],[D, bottom '[m']]]-TOWER_DATA[[#This Row],[D, top '[m']]])/(TOWER_DATA[[#This Row],[Bottom '[m']]]-TOWER_DATA[[#This Row],[Top '[m']]]),"")</f>
        <v/>
      </c>
      <c r="BY124" s="79" t="str">
        <f t="shared" si="9"/>
        <v/>
      </c>
      <c r="BZ124" s="79" t="str">
        <f>IFERROR((TOWER_DATA[[#This Row],[D, bottom '[m']]]+TOWER_DATA[[#This Row],[D, top '[m']]])/(2*TOWER_DATA[[#This Row],[t '[mm']]]/1000),"")</f>
        <v/>
      </c>
      <c r="CA124" t="str">
        <f>IFERROR((TOWER_DATA[[#This Row],[D, bottom '[m']]]+#REF!)/(2*#REF!/1000),"")</f>
        <v/>
      </c>
      <c r="CB124" s="102"/>
      <c r="CC124" s="102"/>
      <c r="CD124" s="102"/>
      <c r="CM124" s="77"/>
      <c r="CN124" s="77"/>
      <c r="CO124" s="77"/>
      <c r="DF124" s="79" t="str">
        <f t="shared" si="8"/>
        <v/>
      </c>
      <c r="DG124" s="79"/>
    </row>
    <row r="125" spans="2:111" x14ac:dyDescent="0.25">
      <c r="B125" s="79"/>
      <c r="C125" s="79"/>
      <c r="D125" s="79"/>
      <c r="E125" s="79"/>
      <c r="F125" s="79"/>
      <c r="G125" s="79"/>
      <c r="H125" s="79" t="str">
        <f>IFERROR(MP_DATA[[#This Row],[Bottom '[m']]]-MP_DATA[[#This Row],[D, top '[m']]], "")</f>
        <v/>
      </c>
      <c r="I125" s="79" t="str">
        <f>IFERROR(-(MP_DATA[[#This Row],[D, bottom '[m']]]-MP_DATA[[#This Row],[D, top '[m']]])/(MP_DATA[[#This Row],[Bottom '[m']]]-MP_DATA[[#This Row],[Top '[m']]]),"")</f>
        <v/>
      </c>
      <c r="J125" s="79" t="str">
        <f t="shared" si="4"/>
        <v/>
      </c>
      <c r="K125" s="79" t="str">
        <f>IFERROR((MP_DATA[[#This Row],[D, bottom '[m']]]+MP_DATA[[#This Row],[D, top '[m']]])/(2*MP_DATA[[#This Row],[t '[mm']]]/1000),"")</f>
        <v/>
      </c>
      <c r="AO125" s="79" t="str">
        <f>IFERROR(TP_DATA[[#This Row],[Bottom '[m']]]-TP_DATA[[#This Row],[D, top '[m']]], "")</f>
        <v/>
      </c>
      <c r="AP125" s="79" t="str">
        <f>IFERROR(-(TP_DATA[[#This Row],[D, bottom '[m']]]-TP_DATA[[#This Row],[D, top '[m']]])/(TP_DATA[[#This Row],[Bottom '[m']]]-TP_DATA[[#This Row],[Top '[m']]]),"")</f>
        <v/>
      </c>
      <c r="AQ125" s="79" t="str">
        <f t="shared" si="7"/>
        <v/>
      </c>
      <c r="AR125" s="79" t="str">
        <f>IFERROR((TP_DATA[[#This Row],[D, bottom '[m']]]+TP_DATA[[#This Row],[D, top '[m']]])/(2*TP_DATA[[#This Row],[t '[mm']]]/1000),"")</f>
        <v/>
      </c>
      <c r="BW125" s="79" t="str">
        <f>IFERROR(TOWER_DATA[[#This Row],[Top '[m']]]-TOWER_DATA[[#This Row],[Bottom '[m']]], "")</f>
        <v/>
      </c>
      <c r="BX125" s="79" t="str">
        <f>IFERROR(-(TOWER_DATA[[#This Row],[D, bottom '[m']]]-TOWER_DATA[[#This Row],[D, top '[m']]])/(TOWER_DATA[[#This Row],[Bottom '[m']]]-TOWER_DATA[[#This Row],[Top '[m']]]),"")</f>
        <v/>
      </c>
      <c r="BY125" s="79" t="str">
        <f t="shared" si="9"/>
        <v/>
      </c>
      <c r="BZ125" s="79" t="str">
        <f>IFERROR((TOWER_DATA[[#This Row],[D, bottom '[m']]]+TOWER_DATA[[#This Row],[D, top '[m']]])/(2*TOWER_DATA[[#This Row],[t '[mm']]]/1000),"")</f>
        <v/>
      </c>
      <c r="CB125" s="102"/>
      <c r="CC125" s="102"/>
      <c r="CD125" s="102"/>
      <c r="CM125" s="77"/>
      <c r="CN125" s="77"/>
      <c r="CO125" s="77"/>
      <c r="DF125" s="79" t="str">
        <f t="shared" si="8"/>
        <v/>
      </c>
      <c r="DG125" s="79"/>
    </row>
    <row r="126" spans="2:111" x14ac:dyDescent="0.25">
      <c r="B126" s="79"/>
      <c r="C126" s="79"/>
      <c r="D126" s="79"/>
      <c r="E126" s="79"/>
      <c r="F126" s="79"/>
      <c r="G126" s="79"/>
      <c r="H126" s="79" t="str">
        <f>IFERROR(MP_DATA[[#This Row],[Bottom '[m']]]-MP_DATA[[#This Row],[D, top '[m']]], "")</f>
        <v/>
      </c>
      <c r="I126" s="79" t="str">
        <f>IFERROR(-(MP_DATA[[#This Row],[D, bottom '[m']]]-MP_DATA[[#This Row],[D, top '[m']]])/(MP_DATA[[#This Row],[Bottom '[m']]]-MP_DATA[[#This Row],[Top '[m']]]),"")</f>
        <v/>
      </c>
      <c r="J126" s="79" t="str">
        <f t="shared" ref="J126:J157" si="10">IF(7850/1000*(1/3)*PI()*ABS(C185-D185)*((E185/2)^2+(E185/2)*(F185/2)+(F185/2)^2-(E185/2-G185/1000)^2-(E185/2-G185/1000)*(F185/2-G185/1000)-(F185/2-G185/1000)^2)=0,"",7850/1000*(1/3)*PI()*ABS(C185-D185)*((E185/2)^2+(E185/2)*(F185/2)+(F185/2)^2-(E185/2-G185/1000)^2-(E185/2-G185/1000)*(F185/2-G185/1000)-(F185/2-G185/1000)^2))</f>
        <v/>
      </c>
      <c r="K126" s="79" t="str">
        <f>IFERROR((MP_DATA[[#This Row],[D, bottom '[m']]]+MP_DATA[[#This Row],[D, top '[m']]])/(2*MP_DATA[[#This Row],[t '[mm']]]/1000),"")</f>
        <v/>
      </c>
      <c r="AO126" s="79" t="str">
        <f>IFERROR(TP_DATA[[#This Row],[Bottom '[m']]]-TP_DATA[[#This Row],[D, top '[m']]], "")</f>
        <v/>
      </c>
      <c r="AP126" s="79" t="str">
        <f>IFERROR(-(TP_DATA[[#This Row],[D, bottom '[m']]]-TP_DATA[[#This Row],[D, top '[m']]])/(TP_DATA[[#This Row],[Bottom '[m']]]-TP_DATA[[#This Row],[Top '[m']]]),"")</f>
        <v/>
      </c>
      <c r="AQ126" s="79" t="str">
        <f t="shared" si="7"/>
        <v/>
      </c>
      <c r="AR126" s="79" t="str">
        <f>IFERROR((TP_DATA[[#This Row],[D, bottom '[m']]]+TP_DATA[[#This Row],[D, top '[m']]])/(2*TP_DATA[[#This Row],[t '[mm']]]/1000),"")</f>
        <v/>
      </c>
      <c r="BW126" s="79" t="str">
        <f>IFERROR(TOWER_DATA[[#This Row],[Top '[m']]]-TOWER_DATA[[#This Row],[Bottom '[m']]], "")</f>
        <v/>
      </c>
      <c r="BX126" s="79" t="str">
        <f>IFERROR(-(TOWER_DATA[[#This Row],[D, bottom '[m']]]-TOWER_DATA[[#This Row],[D, top '[m']]])/(TOWER_DATA[[#This Row],[Bottom '[m']]]-TOWER_DATA[[#This Row],[Top '[m']]]),"")</f>
        <v/>
      </c>
      <c r="BY126" s="79" t="str">
        <f t="shared" si="9"/>
        <v/>
      </c>
      <c r="BZ126" s="79" t="str">
        <f>IFERROR((TOWER_DATA[[#This Row],[D, bottom '[m']]]+TOWER_DATA[[#This Row],[D, top '[m']]])/(2*TOWER_DATA[[#This Row],[t '[mm']]]/1000),"")</f>
        <v/>
      </c>
      <c r="CB126" s="102"/>
      <c r="CC126" s="102"/>
      <c r="CD126" s="102"/>
      <c r="CM126" s="77"/>
      <c r="CN126" s="77"/>
      <c r="CO126" s="77"/>
      <c r="DF126" s="79" t="str">
        <f t="shared" si="8"/>
        <v/>
      </c>
      <c r="DG126" s="79"/>
    </row>
    <row r="127" spans="2:111" x14ac:dyDescent="0.25">
      <c r="B127" s="79"/>
      <c r="C127" s="79"/>
      <c r="D127" s="79"/>
      <c r="E127" s="79"/>
      <c r="F127" s="79"/>
      <c r="G127" s="79"/>
      <c r="H127" s="79" t="str">
        <f>IFERROR(MP_DATA[[#This Row],[Bottom '[m']]]-MP_DATA[[#This Row],[D, top '[m']]], "")</f>
        <v/>
      </c>
      <c r="I127" s="79" t="str">
        <f>IFERROR(-(MP_DATA[[#This Row],[D, bottom '[m']]]-MP_DATA[[#This Row],[D, top '[m']]])/(MP_DATA[[#This Row],[Bottom '[m']]]-MP_DATA[[#This Row],[Top '[m']]]),"")</f>
        <v/>
      </c>
      <c r="J127" s="79" t="str">
        <f t="shared" si="10"/>
        <v/>
      </c>
      <c r="K127" s="79" t="str">
        <f>IFERROR((MP_DATA[[#This Row],[D, bottom '[m']]]+MP_DATA[[#This Row],[D, top '[m']]])/(2*MP_DATA[[#This Row],[t '[mm']]]/1000),"")</f>
        <v/>
      </c>
      <c r="AO127" s="79" t="str">
        <f>IFERROR(TP_DATA[[#This Row],[Bottom '[m']]]-TP_DATA[[#This Row],[D, top '[m']]], "")</f>
        <v/>
      </c>
      <c r="AP127" s="79" t="str">
        <f>IFERROR(-(TP_DATA[[#This Row],[D, bottom '[m']]]-TP_DATA[[#This Row],[D, top '[m']]])/(TP_DATA[[#This Row],[Bottom '[m']]]-TP_DATA[[#This Row],[Top '[m']]]),"")</f>
        <v/>
      </c>
      <c r="AQ127" s="79" t="str">
        <f t="shared" si="7"/>
        <v/>
      </c>
      <c r="AR127" s="79" t="str">
        <f>IFERROR((TP_DATA[[#This Row],[D, bottom '[m']]]+TP_DATA[[#This Row],[D, top '[m']]])/(2*TP_DATA[[#This Row],[t '[mm']]]/1000),"")</f>
        <v/>
      </c>
      <c r="BW127" s="79" t="str">
        <f>IFERROR(TOWER_DATA[[#This Row],[Top '[m']]]-TOWER_DATA[[#This Row],[Bottom '[m']]], "")</f>
        <v/>
      </c>
      <c r="BX127" s="79" t="str">
        <f>IFERROR(-(TOWER_DATA[[#This Row],[D, bottom '[m']]]-TOWER_DATA[[#This Row],[D, top '[m']]])/(TOWER_DATA[[#This Row],[Bottom '[m']]]-TOWER_DATA[[#This Row],[Top '[m']]]),"")</f>
        <v/>
      </c>
      <c r="BY127" s="79" t="str">
        <f t="shared" si="9"/>
        <v/>
      </c>
      <c r="BZ127" s="79" t="str">
        <f>IFERROR((TOWER_DATA[[#This Row],[D, bottom '[m']]]+TOWER_DATA[[#This Row],[D, top '[m']]])/(2*TOWER_DATA[[#This Row],[t '[mm']]]/1000),"")</f>
        <v/>
      </c>
      <c r="CB127" s="102"/>
      <c r="CC127" s="102"/>
      <c r="CD127" s="102"/>
      <c r="CM127" s="77"/>
      <c r="CN127" s="77"/>
      <c r="CO127" s="77"/>
      <c r="DF127" s="79" t="str">
        <f t="shared" si="8"/>
        <v/>
      </c>
      <c r="DG127" s="79"/>
    </row>
    <row r="128" spans="2:111" x14ac:dyDescent="0.25">
      <c r="B128" s="79"/>
      <c r="C128" s="79"/>
      <c r="D128" s="79"/>
      <c r="E128" s="79"/>
      <c r="F128" s="79"/>
      <c r="G128" s="79"/>
      <c r="H128" s="79" t="str">
        <f>IFERROR(MP_DATA[[#This Row],[Bottom '[m']]]-MP_DATA[[#This Row],[D, top '[m']]], "")</f>
        <v/>
      </c>
      <c r="I128" s="79" t="str">
        <f>IFERROR(-(MP_DATA[[#This Row],[D, bottom '[m']]]-MP_DATA[[#This Row],[D, top '[m']]])/(MP_DATA[[#This Row],[Bottom '[m']]]-MP_DATA[[#This Row],[Top '[m']]]),"")</f>
        <v/>
      </c>
      <c r="J128" s="79" t="str">
        <f t="shared" si="10"/>
        <v/>
      </c>
      <c r="K128" s="79" t="str">
        <f>IFERROR((MP_DATA[[#This Row],[D, bottom '[m']]]+MP_DATA[[#This Row],[D, top '[m']]])/(2*MP_DATA[[#This Row],[t '[mm']]]/1000),"")</f>
        <v/>
      </c>
      <c r="AO128" s="79" t="str">
        <f>IFERROR(TP_DATA[[#This Row],[Bottom '[m']]]-TP_DATA[[#This Row],[D, top '[m']]], "")</f>
        <v/>
      </c>
      <c r="AP128" s="79" t="str">
        <f>IFERROR(-(TP_DATA[[#This Row],[D, bottom '[m']]]-TP_DATA[[#This Row],[D, top '[m']]])/(TP_DATA[[#This Row],[Bottom '[m']]]-TP_DATA[[#This Row],[Top '[m']]]),"")</f>
        <v/>
      </c>
      <c r="AQ128" s="79" t="str">
        <f t="shared" si="7"/>
        <v/>
      </c>
      <c r="AR128" s="79" t="str">
        <f>IFERROR((TP_DATA[[#This Row],[D, bottom '[m']]]+TP_DATA[[#This Row],[D, top '[m']]])/(2*TP_DATA[[#This Row],[t '[mm']]]/1000),"")</f>
        <v/>
      </c>
      <c r="BW128" s="79" t="str">
        <f>IFERROR(TOWER_DATA[[#This Row],[Top '[m']]]-TOWER_DATA[[#This Row],[Bottom '[m']]], "")</f>
        <v/>
      </c>
      <c r="BX128" s="79" t="str">
        <f>IFERROR(-(TOWER_DATA[[#This Row],[D, bottom '[m']]]-TOWER_DATA[[#This Row],[D, top '[m']]])/(TOWER_DATA[[#This Row],[Bottom '[m']]]-TOWER_DATA[[#This Row],[Top '[m']]]),"")</f>
        <v/>
      </c>
      <c r="BY128" s="79" t="str">
        <f t="shared" si="9"/>
        <v/>
      </c>
      <c r="BZ128" s="79" t="str">
        <f>IFERROR((TOWER_DATA[[#This Row],[D, bottom '[m']]]+TOWER_DATA[[#This Row],[D, top '[m']]])/(2*TOWER_DATA[[#This Row],[t '[mm']]]/1000),"")</f>
        <v/>
      </c>
      <c r="CB128" s="102"/>
      <c r="CC128" s="102"/>
      <c r="CD128" s="102"/>
      <c r="CM128" s="77"/>
      <c r="CN128" s="77"/>
      <c r="CO128" s="77"/>
      <c r="DF128" s="79" t="str">
        <f t="shared" si="8"/>
        <v/>
      </c>
      <c r="DG128" s="79"/>
    </row>
    <row r="129" spans="2:111" x14ac:dyDescent="0.25">
      <c r="B129" s="79"/>
      <c r="C129" s="79"/>
      <c r="D129" s="79"/>
      <c r="E129" s="79"/>
      <c r="F129" s="79"/>
      <c r="G129" s="79"/>
      <c r="H129" s="79" t="str">
        <f>IFERROR(MP_DATA[[#This Row],[Bottom '[m']]]-MP_DATA[[#This Row],[D, top '[m']]], "")</f>
        <v/>
      </c>
      <c r="I129" s="79" t="str">
        <f>IFERROR(-(MP_DATA[[#This Row],[D, bottom '[m']]]-MP_DATA[[#This Row],[D, top '[m']]])/(MP_DATA[[#This Row],[Bottom '[m']]]-MP_DATA[[#This Row],[Top '[m']]]),"")</f>
        <v/>
      </c>
      <c r="J129" s="79" t="str">
        <f t="shared" si="10"/>
        <v/>
      </c>
      <c r="K129" s="79" t="str">
        <f>IFERROR((MP_DATA[[#This Row],[D, bottom '[m']]]+MP_DATA[[#This Row],[D, top '[m']]])/(2*MP_DATA[[#This Row],[t '[mm']]]/1000),"")</f>
        <v/>
      </c>
      <c r="AO129" s="79" t="str">
        <f>IFERROR(TP_DATA[[#This Row],[Bottom '[m']]]-TP_DATA[[#This Row],[D, top '[m']]], "")</f>
        <v/>
      </c>
      <c r="AP129" s="79" t="str">
        <f>IFERROR(-(TP_DATA[[#This Row],[D, bottom '[m']]]-TP_DATA[[#This Row],[D, top '[m']]])/(TP_DATA[[#This Row],[Bottom '[m']]]-TP_DATA[[#This Row],[Top '[m']]]),"")</f>
        <v/>
      </c>
      <c r="AQ129" s="79" t="str">
        <f t="shared" si="7"/>
        <v/>
      </c>
      <c r="AR129" s="79" t="str">
        <f>IFERROR((TP_DATA[[#This Row],[D, bottom '[m']]]+TP_DATA[[#This Row],[D, top '[m']]])/(2*TP_DATA[[#This Row],[t '[mm']]]/1000),"")</f>
        <v/>
      </c>
      <c r="BW129" s="79" t="str">
        <f>IFERROR(TOWER_DATA[[#This Row],[Top '[m']]]-TOWER_DATA[[#This Row],[Bottom '[m']]], "")</f>
        <v/>
      </c>
      <c r="BX129" s="79" t="str">
        <f>IFERROR(-(TOWER_DATA[[#This Row],[D, bottom '[m']]]-TOWER_DATA[[#This Row],[D, top '[m']]])/(TOWER_DATA[[#This Row],[Bottom '[m']]]-TOWER_DATA[[#This Row],[Top '[m']]]),"")</f>
        <v/>
      </c>
      <c r="BY129" s="79" t="str">
        <f t="shared" si="9"/>
        <v/>
      </c>
      <c r="BZ129" s="79" t="str">
        <f>IFERROR((TOWER_DATA[[#This Row],[D, bottom '[m']]]+TOWER_DATA[[#This Row],[D, top '[m']]])/(2*TOWER_DATA[[#This Row],[t '[mm']]]/1000),"")</f>
        <v/>
      </c>
      <c r="CB129" s="102"/>
      <c r="CC129" s="102"/>
      <c r="CD129" s="102"/>
      <c r="CM129" s="77"/>
      <c r="CN129" s="77"/>
      <c r="CO129" s="77"/>
      <c r="DF129" s="79" t="str">
        <f t="shared" si="8"/>
        <v/>
      </c>
      <c r="DG129" s="79"/>
    </row>
    <row r="130" spans="2:111" x14ac:dyDescent="0.25">
      <c r="B130" s="79"/>
      <c r="C130" s="79"/>
      <c r="D130" s="79"/>
      <c r="E130" s="79"/>
      <c r="F130" s="79"/>
      <c r="G130" s="79"/>
      <c r="H130" s="79" t="str">
        <f>IFERROR(MP_DATA[[#This Row],[Bottom '[m']]]-MP_DATA[[#This Row],[D, top '[m']]], "")</f>
        <v/>
      </c>
      <c r="I130" s="79" t="str">
        <f>IFERROR(-(MP_DATA[[#This Row],[D, bottom '[m']]]-MP_DATA[[#This Row],[D, top '[m']]])/(MP_DATA[[#This Row],[Bottom '[m']]]-MP_DATA[[#This Row],[Top '[m']]]),"")</f>
        <v/>
      </c>
      <c r="J130" s="79" t="str">
        <f t="shared" si="10"/>
        <v/>
      </c>
      <c r="K130" s="79" t="str">
        <f>IFERROR((MP_DATA[[#This Row],[D, bottom '[m']]]+MP_DATA[[#This Row],[D, top '[m']]])/(2*MP_DATA[[#This Row],[t '[mm']]]/1000),"")</f>
        <v/>
      </c>
      <c r="AO130" s="79" t="str">
        <f>IFERROR(TP_DATA[[#This Row],[Bottom '[m']]]-TP_DATA[[#This Row],[D, top '[m']]], "")</f>
        <v/>
      </c>
      <c r="AP130" s="79" t="str">
        <f>IFERROR(-(TP_DATA[[#This Row],[D, bottom '[m']]]-TP_DATA[[#This Row],[D, top '[m']]])/(TP_DATA[[#This Row],[Bottom '[m']]]-TP_DATA[[#This Row],[Top '[m']]]),"")</f>
        <v/>
      </c>
      <c r="AQ130" s="79" t="str">
        <f t="shared" si="7"/>
        <v/>
      </c>
      <c r="AR130" s="79" t="str">
        <f>IFERROR((TP_DATA[[#This Row],[D, bottom '[m']]]+TP_DATA[[#This Row],[D, top '[m']]])/(2*TP_DATA[[#This Row],[t '[mm']]]/1000),"")</f>
        <v/>
      </c>
      <c r="BW130" s="79" t="str">
        <f>IFERROR(TOWER_DATA[[#This Row],[Top '[m']]]-TOWER_DATA[[#This Row],[Bottom '[m']]], "")</f>
        <v/>
      </c>
      <c r="BX130" s="79" t="str">
        <f>IFERROR(-(TOWER_DATA[[#This Row],[D, bottom '[m']]]-TOWER_DATA[[#This Row],[D, top '[m']]])/(TOWER_DATA[[#This Row],[Bottom '[m']]]-TOWER_DATA[[#This Row],[Top '[m']]]),"")</f>
        <v/>
      </c>
      <c r="BY130" s="79" t="str">
        <f t="shared" si="9"/>
        <v/>
      </c>
      <c r="BZ130" s="79" t="str">
        <f>IFERROR((TOWER_DATA[[#This Row],[D, bottom '[m']]]+TOWER_DATA[[#This Row],[D, top '[m']]])/(2*TOWER_DATA[[#This Row],[t '[mm']]]/1000),"")</f>
        <v/>
      </c>
      <c r="CB130" s="102"/>
      <c r="CC130" s="102"/>
      <c r="CD130" s="102"/>
      <c r="CM130" s="77"/>
      <c r="CN130" s="77"/>
      <c r="CO130" s="77"/>
      <c r="DF130" s="79" t="str">
        <f t="shared" si="8"/>
        <v/>
      </c>
      <c r="DG130" s="79"/>
    </row>
    <row r="131" spans="2:111" x14ac:dyDescent="0.25">
      <c r="B131" s="79"/>
      <c r="D131" s="79"/>
      <c r="F131" s="79"/>
      <c r="H131" s="79" t="str">
        <f>IFERROR(MP_DATA[[#This Row],[Bottom '[m']]]-MP_DATA[[#This Row],[D, top '[m']]], "")</f>
        <v/>
      </c>
      <c r="I131" t="str">
        <f>IFERROR(-(MP_DATA[[#This Row],[D, bottom '[m']]]-MP_DATA[[#This Row],[D, top '[m']]])/(MP_DATA[[#This Row],[Bottom '[m']]]-MP_DATA[[#This Row],[Top '[m']]]),"")</f>
        <v/>
      </c>
      <c r="J131" s="79" t="str">
        <f t="shared" si="10"/>
        <v/>
      </c>
      <c r="K131" s="79" t="str">
        <f>IFERROR((MP_DATA[[#This Row],[D, bottom '[m']]]+MP_DATA[[#This Row],[D, top '[m']]])/(2*MP_DATA[[#This Row],[t '[mm']]]/1000),"")</f>
        <v/>
      </c>
      <c r="AO131" s="79" t="str">
        <f>IFERROR(TP_DATA[[#This Row],[Bottom '[m']]]-TP_DATA[[#This Row],[D, top '[m']]], "")</f>
        <v/>
      </c>
      <c r="AP131" s="79" t="str">
        <f>IFERROR(-(TP_DATA[[#This Row],[D, bottom '[m']]]-TP_DATA[[#This Row],[D, top '[m']]])/(TP_DATA[[#This Row],[Bottom '[m']]]-TP_DATA[[#This Row],[Top '[m']]]),"")</f>
        <v/>
      </c>
      <c r="AQ131" s="79" t="str">
        <f t="shared" si="7"/>
        <v/>
      </c>
      <c r="AR131" s="79" t="str">
        <f>IFERROR((TP_DATA[[#This Row],[D, bottom '[m']]]+TP_DATA[[#This Row],[D, top '[m']]])/(2*TP_DATA[[#This Row],[t '[mm']]]/1000),"")</f>
        <v/>
      </c>
      <c r="BW131" s="79" t="str">
        <f>IFERROR(TOWER_DATA[[#This Row],[Top '[m']]]-TOWER_DATA[[#This Row],[Bottom '[m']]], "")</f>
        <v/>
      </c>
      <c r="BX131" s="79" t="str">
        <f>IFERROR(-(TOWER_DATA[[#This Row],[D, bottom '[m']]]-TOWER_DATA[[#This Row],[D, top '[m']]])/(TOWER_DATA[[#This Row],[Bottom '[m']]]-TOWER_DATA[[#This Row],[Top '[m']]]),"")</f>
        <v/>
      </c>
      <c r="BY131" s="79" t="str">
        <f t="shared" si="9"/>
        <v/>
      </c>
      <c r="BZ131" s="79" t="str">
        <f>IFERROR((TOWER_DATA[[#This Row],[D, bottom '[m']]]+TOWER_DATA[[#This Row],[D, top '[m']]])/(2*TOWER_DATA[[#This Row],[t '[mm']]]/1000),"")</f>
        <v/>
      </c>
      <c r="CB131" s="102"/>
      <c r="CC131" s="102"/>
      <c r="CD131" s="102"/>
      <c r="CM131" s="77"/>
      <c r="CN131" s="77"/>
      <c r="CO131" s="77"/>
      <c r="DF131" s="79" t="str">
        <f t="shared" si="8"/>
        <v/>
      </c>
      <c r="DG131" s="79"/>
    </row>
    <row r="132" spans="2:111" x14ac:dyDescent="0.25">
      <c r="B132" s="79"/>
      <c r="D132" s="79"/>
      <c r="F132" s="79"/>
      <c r="H132" s="79" t="str">
        <f>IFERROR(MP_DATA[[#This Row],[Bottom '[m']]]-MP_DATA[[#This Row],[D, top '[m']]], "")</f>
        <v/>
      </c>
      <c r="I132" t="str">
        <f>IFERROR(-(MP_DATA[[#This Row],[D, bottom '[m']]]-MP_DATA[[#This Row],[D, top '[m']]])/(MP_DATA[[#This Row],[Bottom '[m']]]-MP_DATA[[#This Row],[Top '[m']]]),"")</f>
        <v/>
      </c>
      <c r="J132" s="79" t="str">
        <f t="shared" si="10"/>
        <v/>
      </c>
      <c r="K132" s="79" t="str">
        <f>IFERROR((MP_DATA[[#This Row],[D, bottom '[m']]]+MP_DATA[[#This Row],[D, top '[m']]])/(2*MP_DATA[[#This Row],[t '[mm']]]/1000),"")</f>
        <v/>
      </c>
      <c r="AO132" s="79" t="str">
        <f>IFERROR(TP_DATA[[#This Row],[Bottom '[m']]]-TP_DATA[[#This Row],[D, top '[m']]], "")</f>
        <v/>
      </c>
      <c r="AP132" s="79" t="str">
        <f>IFERROR(-(TP_DATA[[#This Row],[D, bottom '[m']]]-TP_DATA[[#This Row],[D, top '[m']]])/(TP_DATA[[#This Row],[Bottom '[m']]]-TP_DATA[[#This Row],[Top '[m']]]),"")</f>
        <v/>
      </c>
      <c r="AQ132" s="79" t="str">
        <f t="shared" si="7"/>
        <v/>
      </c>
      <c r="AR132" s="79" t="str">
        <f>IFERROR((TP_DATA[[#This Row],[D, bottom '[m']]]+TP_DATA[[#This Row],[D, top '[m']]])/(2*TP_DATA[[#This Row],[t '[mm']]]/1000),"")</f>
        <v/>
      </c>
      <c r="BW132" s="79" t="str">
        <f>IFERROR(TOWER_DATA[[#This Row],[Top '[m']]]-TOWER_DATA[[#This Row],[Bottom '[m']]], "")</f>
        <v/>
      </c>
      <c r="BX132" s="79" t="str">
        <f>IFERROR(-(TOWER_DATA[[#This Row],[D, bottom '[m']]]-TOWER_DATA[[#This Row],[D, top '[m']]])/(TOWER_DATA[[#This Row],[Bottom '[m']]]-TOWER_DATA[[#This Row],[Top '[m']]]),"")</f>
        <v/>
      </c>
      <c r="BY132" s="79" t="str">
        <f t="shared" si="9"/>
        <v/>
      </c>
      <c r="BZ132" s="79" t="str">
        <f>IFERROR((TOWER_DATA[[#This Row],[D, bottom '[m']]]+TOWER_DATA[[#This Row],[D, top '[m']]])/(2*TOWER_DATA[[#This Row],[t '[mm']]]/1000),"")</f>
        <v/>
      </c>
      <c r="CB132" s="102"/>
      <c r="CC132" s="102"/>
      <c r="CD132" s="102"/>
      <c r="CM132" s="77"/>
      <c r="CN132" s="77"/>
      <c r="CO132" s="77"/>
      <c r="DF132" s="79" t="str">
        <f t="shared" si="8"/>
        <v/>
      </c>
      <c r="DG132" s="79"/>
    </row>
    <row r="133" spans="2:111" x14ac:dyDescent="0.25">
      <c r="B133" s="79"/>
      <c r="D133" s="79"/>
      <c r="F133" s="79"/>
      <c r="H133" s="79" t="str">
        <f>IFERROR(MP_DATA[[#This Row],[Bottom '[m']]]-MP_DATA[[#This Row],[D, top '[m']]], "")</f>
        <v/>
      </c>
      <c r="I133" t="str">
        <f>IFERROR(-(MP_DATA[[#This Row],[D, bottom '[m']]]-MP_DATA[[#This Row],[D, top '[m']]])/(MP_DATA[[#This Row],[Bottom '[m']]]-MP_DATA[[#This Row],[Top '[m']]]),"")</f>
        <v/>
      </c>
      <c r="J133" s="79" t="str">
        <f t="shared" si="10"/>
        <v/>
      </c>
      <c r="K133" s="79" t="str">
        <f>IFERROR((MP_DATA[[#This Row],[D, bottom '[m']]]+MP_DATA[[#This Row],[D, top '[m']]])/(2*MP_DATA[[#This Row],[t '[mm']]]/1000),"")</f>
        <v/>
      </c>
      <c r="AO133" s="79" t="str">
        <f>IFERROR(TP_DATA[[#This Row],[Bottom '[m']]]-TP_DATA[[#This Row],[D, top '[m']]], "")</f>
        <v/>
      </c>
      <c r="AP133" s="79" t="str">
        <f>IFERROR(-(TP_DATA[[#This Row],[D, bottom '[m']]]-TP_DATA[[#This Row],[D, top '[m']]])/(TP_DATA[[#This Row],[Bottom '[m']]]-TP_DATA[[#This Row],[Top '[m']]]),"")</f>
        <v/>
      </c>
      <c r="AQ133" s="79" t="str">
        <f t="shared" si="7"/>
        <v/>
      </c>
      <c r="AR133" s="79" t="str">
        <f>IFERROR((TP_DATA[[#This Row],[D, bottom '[m']]]+TP_DATA[[#This Row],[D, top '[m']]])/(2*TP_DATA[[#This Row],[t '[mm']]]/1000),"")</f>
        <v/>
      </c>
      <c r="BW133" s="79" t="str">
        <f>IFERROR(TOWER_DATA[[#This Row],[Top '[m']]]-TOWER_DATA[[#This Row],[Bottom '[m']]], "")</f>
        <v/>
      </c>
      <c r="BX133" s="79" t="str">
        <f>IFERROR(-(TOWER_DATA[[#This Row],[D, bottom '[m']]]-TOWER_DATA[[#This Row],[D, top '[m']]])/(TOWER_DATA[[#This Row],[Bottom '[m']]]-TOWER_DATA[[#This Row],[Top '[m']]]),"")</f>
        <v/>
      </c>
      <c r="BY133" s="79" t="str">
        <f t="shared" si="9"/>
        <v/>
      </c>
      <c r="BZ133" s="79" t="str">
        <f>IFERROR((TOWER_DATA[[#This Row],[D, bottom '[m']]]+TOWER_DATA[[#This Row],[D, top '[m']]])/(2*TOWER_DATA[[#This Row],[t '[mm']]]/1000),"")</f>
        <v/>
      </c>
      <c r="CB133" s="102"/>
      <c r="CC133" s="102"/>
      <c r="CD133" s="102"/>
      <c r="CM133" s="77"/>
      <c r="CN133" s="77"/>
      <c r="CO133" s="77"/>
      <c r="DF133" s="79" t="str">
        <f t="shared" si="8"/>
        <v/>
      </c>
      <c r="DG133" s="79"/>
    </row>
    <row r="134" spans="2:111" x14ac:dyDescent="0.25">
      <c r="B134" s="79"/>
      <c r="D134" s="79"/>
      <c r="F134" s="79"/>
      <c r="H134" s="79" t="str">
        <f>IFERROR(MP_DATA[[#This Row],[Bottom '[m']]]-MP_DATA[[#This Row],[D, top '[m']]], "")</f>
        <v/>
      </c>
      <c r="I134" t="str">
        <f>IFERROR(-(MP_DATA[[#This Row],[D, bottom '[m']]]-MP_DATA[[#This Row],[D, top '[m']]])/(MP_DATA[[#This Row],[Bottom '[m']]]-MP_DATA[[#This Row],[Top '[m']]]),"")</f>
        <v/>
      </c>
      <c r="J134" s="79" t="str">
        <f t="shared" si="10"/>
        <v/>
      </c>
      <c r="K134" s="79" t="str">
        <f>IFERROR((MP_DATA[[#This Row],[D, bottom '[m']]]+MP_DATA[[#This Row],[D, top '[m']]])/(2*MP_DATA[[#This Row],[t '[mm']]]/1000),"")</f>
        <v/>
      </c>
      <c r="AO134" s="79" t="str">
        <f>IFERROR(TP_DATA[[#This Row],[Bottom '[m']]]-TP_DATA[[#This Row],[D, top '[m']]], "")</f>
        <v/>
      </c>
      <c r="AP134" s="79" t="str">
        <f>IFERROR(-(TP_DATA[[#This Row],[D, bottom '[m']]]-TP_DATA[[#This Row],[D, top '[m']]])/(TP_DATA[[#This Row],[Bottom '[m']]]-TP_DATA[[#This Row],[Top '[m']]]),"")</f>
        <v/>
      </c>
      <c r="AQ134" s="79" t="str">
        <f t="shared" si="7"/>
        <v/>
      </c>
      <c r="AR134" s="79" t="str">
        <f>IFERROR((TP_DATA[[#This Row],[D, bottom '[m']]]+TP_DATA[[#This Row],[D, top '[m']]])/(2*TP_DATA[[#This Row],[t '[mm']]]/1000),"")</f>
        <v/>
      </c>
      <c r="BW134" s="79" t="str">
        <f>IFERROR(TOWER_DATA[[#This Row],[Top '[m']]]-TOWER_DATA[[#This Row],[Bottom '[m']]], "")</f>
        <v/>
      </c>
      <c r="BX134" s="79" t="str">
        <f>IFERROR(-(TOWER_DATA[[#This Row],[D, bottom '[m']]]-TOWER_DATA[[#This Row],[D, top '[m']]])/(TOWER_DATA[[#This Row],[Bottom '[m']]]-TOWER_DATA[[#This Row],[Top '[m']]]),"")</f>
        <v/>
      </c>
      <c r="BY134" s="79" t="str">
        <f t="shared" si="9"/>
        <v/>
      </c>
      <c r="BZ134" s="79" t="str">
        <f>IFERROR((TOWER_DATA[[#This Row],[D, bottom '[m']]]+TOWER_DATA[[#This Row],[D, top '[m']]])/(2*TOWER_DATA[[#This Row],[t '[mm']]]/1000),"")</f>
        <v/>
      </c>
      <c r="CB134" s="102"/>
      <c r="CC134" s="102"/>
      <c r="CD134" s="102"/>
      <c r="DF134" s="79" t="str">
        <f t="shared" si="8"/>
        <v/>
      </c>
      <c r="DG134" s="79"/>
    </row>
    <row r="135" spans="2:111" x14ac:dyDescent="0.25">
      <c r="B135" s="79"/>
      <c r="C135" s="79"/>
      <c r="D135" s="79"/>
      <c r="E135" s="79"/>
      <c r="F135" s="79"/>
      <c r="G135" s="79"/>
      <c r="H135" s="79" t="str">
        <f>IFERROR(MP_DATA[[#This Row],[Bottom '[m']]]-MP_DATA[[#This Row],[D, top '[m']]], "")</f>
        <v/>
      </c>
      <c r="I135" s="79" t="str">
        <f>IFERROR(-(MP_DATA[[#This Row],[D, bottom '[m']]]-MP_DATA[[#This Row],[D, top '[m']]])/(MP_DATA[[#This Row],[Bottom '[m']]]-MP_DATA[[#This Row],[Top '[m']]]),"")</f>
        <v/>
      </c>
      <c r="J135" s="79" t="str">
        <f t="shared" si="10"/>
        <v/>
      </c>
      <c r="K135" s="79" t="str">
        <f>IFERROR((MP_DATA[[#This Row],[D, bottom '[m']]]+MP_DATA[[#This Row],[D, top '[m']]])/(2*MP_DATA[[#This Row],[t '[mm']]]/1000),"")</f>
        <v/>
      </c>
      <c r="AO135" s="79" t="str">
        <f>IFERROR(TP_DATA[[#This Row],[Bottom '[m']]]-TP_DATA[[#This Row],[D, top '[m']]], "")</f>
        <v/>
      </c>
      <c r="AP135" s="79" t="str">
        <f>IFERROR(-(TP_DATA[[#This Row],[D, bottom '[m']]]-TP_DATA[[#This Row],[D, top '[m']]])/(TP_DATA[[#This Row],[Bottom '[m']]]-TP_DATA[[#This Row],[Top '[m']]]),"")</f>
        <v/>
      </c>
      <c r="AQ135" s="79" t="str">
        <f t="shared" si="7"/>
        <v/>
      </c>
      <c r="AR135" s="79" t="str">
        <f>IFERROR((TP_DATA[[#This Row],[D, bottom '[m']]]+TP_DATA[[#This Row],[D, top '[m']]])/(2*TP_DATA[[#This Row],[t '[mm']]]/1000),"")</f>
        <v/>
      </c>
      <c r="BW135" s="79" t="str">
        <f>IFERROR(TOWER_DATA[[#This Row],[Top '[m']]]-TOWER_DATA[[#This Row],[Bottom '[m']]], "")</f>
        <v/>
      </c>
      <c r="BX135" s="79" t="str">
        <f>IFERROR(-(TOWER_DATA[[#This Row],[D, bottom '[m']]]-TOWER_DATA[[#This Row],[D, top '[m']]])/(TOWER_DATA[[#This Row],[Bottom '[m']]]-TOWER_DATA[[#This Row],[Top '[m']]]),"")</f>
        <v/>
      </c>
      <c r="BY135" s="79" t="str">
        <f t="shared" si="9"/>
        <v/>
      </c>
      <c r="BZ135" s="79" t="str">
        <f>IFERROR((TOWER_DATA[[#This Row],[D, bottom '[m']]]+TOWER_DATA[[#This Row],[D, top '[m']]])/(2*TOWER_DATA[[#This Row],[t '[mm']]]/1000),"")</f>
        <v/>
      </c>
      <c r="CB135" s="102"/>
      <c r="CC135" s="102"/>
      <c r="CD135" s="102"/>
      <c r="DF135" s="79" t="str">
        <f t="shared" si="8"/>
        <v/>
      </c>
      <c r="DG135" s="79"/>
    </row>
    <row r="136" spans="2:111" x14ac:dyDescent="0.25">
      <c r="B136" s="79"/>
      <c r="C136" s="79"/>
      <c r="D136" s="79"/>
      <c r="E136" s="79"/>
      <c r="F136" s="79"/>
      <c r="G136" s="79"/>
      <c r="H136" s="79" t="str">
        <f>IFERROR(MP_DATA[[#This Row],[Bottom '[m']]]-MP_DATA[[#This Row],[D, top '[m']]], "")</f>
        <v/>
      </c>
      <c r="I136" s="79" t="str">
        <f>IFERROR(-(MP_DATA[[#This Row],[D, bottom '[m']]]-MP_DATA[[#This Row],[D, top '[m']]])/(MP_DATA[[#This Row],[Bottom '[m']]]-MP_DATA[[#This Row],[Top '[m']]]),"")</f>
        <v/>
      </c>
      <c r="J136" s="79" t="str">
        <f t="shared" si="10"/>
        <v/>
      </c>
      <c r="K136" s="79" t="str">
        <f>IFERROR((MP_DATA[[#This Row],[D, bottom '[m']]]+MP_DATA[[#This Row],[D, top '[m']]])/(2*MP_DATA[[#This Row],[t '[mm']]]/1000),"")</f>
        <v/>
      </c>
      <c r="AO136" s="79" t="str">
        <f>IFERROR(TP_DATA[[#This Row],[Bottom '[m']]]-TP_DATA[[#This Row],[D, top '[m']]], "")</f>
        <v/>
      </c>
      <c r="AP136" s="79" t="str">
        <f>IFERROR(-(TP_DATA[[#This Row],[D, bottom '[m']]]-TP_DATA[[#This Row],[D, top '[m']]])/(TP_DATA[[#This Row],[Bottom '[m']]]-TP_DATA[[#This Row],[Top '[m']]]),"")</f>
        <v/>
      </c>
      <c r="AQ136" s="79" t="str">
        <f t="shared" ref="AQ136:AQ143" si="11">IF(7850/1000*(1/3)*PI()*ABS(AJ136-AK136)*((AL136/2)^2+(AL136/2)*(AM136/2)+(AM136/2)^2-(AL136/2-AN136/1000)^2-(AL136/2-AN136/1000)*(AM136/2-AN136/1000)-(AM136/2-AN136/1000)^2)=0,"",7850/1000*(1/3)*PI()*ABS(AJ136-AK136)*((AL136/2)^2+(AL136/2)*(AM136/2)+(AM136/2)^2-(AL136/2-AN136/1000)^2-(AL136/2-AN136/1000)*(AM136/2-AN136/1000)-(AM136/2-AN136/1000)^2))</f>
        <v/>
      </c>
      <c r="AR136" s="79" t="str">
        <f>IFERROR((TP_DATA[[#This Row],[D, bottom '[m']]]+TP_DATA[[#This Row],[D, top '[m']]])/(2*TP_DATA[[#This Row],[t '[mm']]]/1000),"")</f>
        <v/>
      </c>
      <c r="BW136" s="79" t="str">
        <f>IFERROR(TOWER_DATA[[#This Row],[Top '[m']]]-TOWER_DATA[[#This Row],[Bottom '[m']]], "")</f>
        <v/>
      </c>
      <c r="BX136" s="79" t="str">
        <f>IFERROR(-(TOWER_DATA[[#This Row],[D, bottom '[m']]]-TOWER_DATA[[#This Row],[D, top '[m']]])/(TOWER_DATA[[#This Row],[Bottom '[m']]]-TOWER_DATA[[#This Row],[Top '[m']]]),"")</f>
        <v/>
      </c>
      <c r="BY136" s="79" t="str">
        <f t="shared" si="9"/>
        <v/>
      </c>
      <c r="BZ136" s="79" t="str">
        <f>IFERROR((TOWER_DATA[[#This Row],[D, bottom '[m']]]+TOWER_DATA[[#This Row],[D, top '[m']]])/(2*TOWER_DATA[[#This Row],[t '[mm']]]/1000),"")</f>
        <v/>
      </c>
      <c r="CB136" s="102"/>
      <c r="CC136" s="102"/>
      <c r="CD136" s="102"/>
      <c r="DF136" s="79" t="str">
        <f t="shared" si="8"/>
        <v/>
      </c>
      <c r="DG136" s="79"/>
    </row>
    <row r="137" spans="2:111" x14ac:dyDescent="0.25">
      <c r="B137" s="79"/>
      <c r="C137" s="79"/>
      <c r="D137" s="79"/>
      <c r="E137" s="79"/>
      <c r="F137" s="79"/>
      <c r="G137" s="79"/>
      <c r="H137" s="79" t="str">
        <f>IFERROR(MP_DATA[[#This Row],[Bottom '[m']]]-MP_DATA[[#This Row],[D, top '[m']]], "")</f>
        <v/>
      </c>
      <c r="I137" s="79" t="str">
        <f>IFERROR(-(MP_DATA[[#This Row],[D, bottom '[m']]]-MP_DATA[[#This Row],[D, top '[m']]])/(MP_DATA[[#This Row],[Bottom '[m']]]-MP_DATA[[#This Row],[Top '[m']]]),"")</f>
        <v/>
      </c>
      <c r="J137" s="79" t="str">
        <f t="shared" si="10"/>
        <v/>
      </c>
      <c r="K137" s="79" t="str">
        <f>IFERROR((MP_DATA[[#This Row],[D, bottom '[m']]]+MP_DATA[[#This Row],[D, top '[m']]])/(2*MP_DATA[[#This Row],[t '[mm']]]/1000),"")</f>
        <v/>
      </c>
      <c r="AO137" s="79" t="str">
        <f>IFERROR(TP_DATA[[#This Row],[Bottom '[m']]]-TP_DATA[[#This Row],[D, top '[m']]], "")</f>
        <v/>
      </c>
      <c r="AP137" s="79" t="str">
        <f>IFERROR(-(TP_DATA[[#This Row],[D, bottom '[m']]]-TP_DATA[[#This Row],[D, top '[m']]])/(TP_DATA[[#This Row],[Bottom '[m']]]-TP_DATA[[#This Row],[Top '[m']]]),"")</f>
        <v/>
      </c>
      <c r="AQ137" s="79" t="str">
        <f t="shared" si="11"/>
        <v/>
      </c>
      <c r="AR137" s="79" t="str">
        <f>IFERROR((TP_DATA[[#This Row],[D, bottom '[m']]]+TP_DATA[[#This Row],[D, top '[m']]])/(2*TP_DATA[[#This Row],[t '[mm']]]/1000),"")</f>
        <v/>
      </c>
      <c r="BW137" s="79" t="str">
        <f>IFERROR(TOWER_DATA[[#This Row],[Top '[m']]]-TOWER_DATA[[#This Row],[Bottom '[m']]], "")</f>
        <v/>
      </c>
      <c r="BX137" s="79" t="str">
        <f>IFERROR(-(TOWER_DATA[[#This Row],[D, bottom '[m']]]-TOWER_DATA[[#This Row],[D, top '[m']]])/(TOWER_DATA[[#This Row],[Bottom '[m']]]-TOWER_DATA[[#This Row],[Top '[m']]]),"")</f>
        <v/>
      </c>
      <c r="BY137" s="79" t="str">
        <f t="shared" si="9"/>
        <v/>
      </c>
      <c r="BZ137" s="79" t="str">
        <f>IFERROR((TOWER_DATA[[#This Row],[D, bottom '[m']]]+TOWER_DATA[[#This Row],[D, top '[m']]])/(2*TOWER_DATA[[#This Row],[t '[mm']]]/1000),"")</f>
        <v/>
      </c>
      <c r="CB137" s="102"/>
      <c r="CC137" s="102"/>
      <c r="CD137" s="102"/>
      <c r="DF137" s="79" t="str">
        <f t="shared" ref="DF137:DF146" si="12">IF(7850/1000*(1/3)*PI()*ABS(CZ137-DA137)*((DB137/2)^2+(DB137/2)*(DC137/2)+(DC137/2)^2-(DB137/2-DE137/1000)^2-(DB137/2-DE137/1000)*(DC137/2-DE137/1000)-(DC137/2-DE137/1000)^2)=0,"",7850/1000*(1/3)*PI()*ABS(CZ137-DA137)*((DB137/2)^2+(DB137/2)*(DC137/2)+(DC137/2)^2-(DB137/2-DE137/1000)^2-(DB137/2-DE137/1000)*(DC137/2-DE137/1000)-(DC137/2-DE137/1000)^2))</f>
        <v/>
      </c>
      <c r="DG137" s="79"/>
    </row>
    <row r="138" spans="2:111" x14ac:dyDescent="0.25">
      <c r="B138" s="79"/>
      <c r="C138" s="79"/>
      <c r="D138" s="79"/>
      <c r="E138" s="79"/>
      <c r="F138" s="79"/>
      <c r="G138" s="79"/>
      <c r="H138" s="79" t="str">
        <f>IFERROR(MP_DATA[[#This Row],[Bottom '[m']]]-MP_DATA[[#This Row],[D, top '[m']]], "")</f>
        <v/>
      </c>
      <c r="I138" s="79" t="str">
        <f>IFERROR(-(MP_DATA[[#This Row],[D, bottom '[m']]]-MP_DATA[[#This Row],[D, top '[m']]])/(MP_DATA[[#This Row],[Bottom '[m']]]-MP_DATA[[#This Row],[Top '[m']]]),"")</f>
        <v/>
      </c>
      <c r="J138" s="79" t="str">
        <f t="shared" si="10"/>
        <v/>
      </c>
      <c r="K138" s="79" t="str">
        <f>IFERROR((MP_DATA[[#This Row],[D, bottom '[m']]]+MP_DATA[[#This Row],[D, top '[m']]])/(2*MP_DATA[[#This Row],[t '[mm']]]/1000),"")</f>
        <v/>
      </c>
      <c r="AO138" s="79" t="str">
        <f>IFERROR(TP_DATA[[#This Row],[Bottom '[m']]]-TP_DATA[[#This Row],[D, top '[m']]], "")</f>
        <v/>
      </c>
      <c r="AP138" s="79" t="str">
        <f>IFERROR(-(TP_DATA[[#This Row],[D, bottom '[m']]]-TP_DATA[[#This Row],[D, top '[m']]])/(TP_DATA[[#This Row],[Bottom '[m']]]-TP_DATA[[#This Row],[Top '[m']]]),"")</f>
        <v/>
      </c>
      <c r="AQ138" s="79" t="str">
        <f t="shared" si="11"/>
        <v/>
      </c>
      <c r="AR138" s="79" t="str">
        <f>IFERROR((TP_DATA[[#This Row],[D, bottom '[m']]]+TP_DATA[[#This Row],[D, top '[m']]])/(2*TP_DATA[[#This Row],[t '[mm']]]/1000),"")</f>
        <v/>
      </c>
      <c r="BW138" s="79" t="str">
        <f>IFERROR(TOWER_DATA[[#This Row],[Top '[m']]]-TOWER_DATA[[#This Row],[Bottom '[m']]], "")</f>
        <v/>
      </c>
      <c r="BX138" s="79" t="str">
        <f>IFERROR(-(TOWER_DATA[[#This Row],[D, bottom '[m']]]-TOWER_DATA[[#This Row],[D, top '[m']]])/(TOWER_DATA[[#This Row],[Bottom '[m']]]-TOWER_DATA[[#This Row],[Top '[m']]]),"")</f>
        <v/>
      </c>
      <c r="BY138" s="79" t="str">
        <f t="shared" si="9"/>
        <v/>
      </c>
      <c r="BZ138" s="79" t="str">
        <f>IFERROR((TOWER_DATA[[#This Row],[D, bottom '[m']]]+TOWER_DATA[[#This Row],[D, top '[m']]])/(2*TOWER_DATA[[#This Row],[t '[mm']]]/1000),"")</f>
        <v/>
      </c>
      <c r="CB138" s="102"/>
      <c r="CC138" s="102"/>
      <c r="CD138" s="102"/>
      <c r="DF138" s="79" t="str">
        <f t="shared" si="12"/>
        <v/>
      </c>
      <c r="DG138" s="79"/>
    </row>
    <row r="139" spans="2:111" x14ac:dyDescent="0.25">
      <c r="B139" s="79"/>
      <c r="C139" s="79"/>
      <c r="D139" s="79"/>
      <c r="E139" s="79"/>
      <c r="F139" s="79"/>
      <c r="G139" s="79"/>
      <c r="H139" s="79" t="str">
        <f>IFERROR(MP_DATA[[#This Row],[Bottom '[m']]]-MP_DATA[[#This Row],[D, top '[m']]], "")</f>
        <v/>
      </c>
      <c r="I139" s="79" t="str">
        <f>IFERROR(-(MP_DATA[[#This Row],[D, bottom '[m']]]-MP_DATA[[#This Row],[D, top '[m']]])/(MP_DATA[[#This Row],[Bottom '[m']]]-MP_DATA[[#This Row],[Top '[m']]]),"")</f>
        <v/>
      </c>
      <c r="J139" s="79" t="str">
        <f t="shared" si="10"/>
        <v/>
      </c>
      <c r="K139" s="79" t="str">
        <f>IFERROR((MP_DATA[[#This Row],[D, bottom '[m']]]+MP_DATA[[#This Row],[D, top '[m']]])/(2*MP_DATA[[#This Row],[t '[mm']]]/1000),"")</f>
        <v/>
      </c>
      <c r="AO139" s="79" t="str">
        <f>IFERROR(TP_DATA[[#This Row],[Bottom '[m']]]-TP_DATA[[#This Row],[D, top '[m']]], "")</f>
        <v/>
      </c>
      <c r="AP139" s="79" t="str">
        <f>IFERROR(-(TP_DATA[[#This Row],[D, bottom '[m']]]-TP_DATA[[#This Row],[D, top '[m']]])/(TP_DATA[[#This Row],[Bottom '[m']]]-TP_DATA[[#This Row],[Top '[m']]]),"")</f>
        <v/>
      </c>
      <c r="AQ139" s="79" t="str">
        <f t="shared" si="11"/>
        <v/>
      </c>
      <c r="AR139" s="79" t="str">
        <f>IFERROR((TP_DATA[[#This Row],[D, bottom '[m']]]+TP_DATA[[#This Row],[D, top '[m']]])/(2*TP_DATA[[#This Row],[t '[mm']]]/1000),"")</f>
        <v/>
      </c>
      <c r="BW139" s="79" t="str">
        <f>IFERROR(TOWER_DATA[[#This Row],[Top '[m']]]-TOWER_DATA[[#This Row],[Bottom '[m']]], "")</f>
        <v/>
      </c>
      <c r="BX139" s="79" t="str">
        <f>IFERROR(-(TOWER_DATA[[#This Row],[D, bottom '[m']]]-TOWER_DATA[[#This Row],[D, top '[m']]])/(TOWER_DATA[[#This Row],[Bottom '[m']]]-TOWER_DATA[[#This Row],[Top '[m']]]),"")</f>
        <v/>
      </c>
      <c r="BY139" s="79" t="str">
        <f t="shared" si="9"/>
        <v/>
      </c>
      <c r="BZ139" s="79" t="str">
        <f>IFERROR((TOWER_DATA[[#This Row],[D, bottom '[m']]]+TOWER_DATA[[#This Row],[D, top '[m']]])/(2*TOWER_DATA[[#This Row],[t '[mm']]]/1000),"")</f>
        <v/>
      </c>
      <c r="CB139" s="102"/>
      <c r="CC139" s="102"/>
      <c r="CD139" s="102"/>
      <c r="DF139" s="79" t="str">
        <f t="shared" si="12"/>
        <v/>
      </c>
      <c r="DG139" s="79"/>
    </row>
    <row r="140" spans="2:111" x14ac:dyDescent="0.25">
      <c r="B140" s="79"/>
      <c r="C140" s="79"/>
      <c r="D140" s="79"/>
      <c r="E140" s="79"/>
      <c r="F140" s="79"/>
      <c r="G140" s="79"/>
      <c r="H140" s="79" t="str">
        <f>IFERROR(MP_DATA[[#This Row],[Bottom '[m']]]-MP_DATA[[#This Row],[D, top '[m']]], "")</f>
        <v/>
      </c>
      <c r="I140" s="79" t="str">
        <f>IFERROR(-(MP_DATA[[#This Row],[D, bottom '[m']]]-MP_DATA[[#This Row],[D, top '[m']]])/(MP_DATA[[#This Row],[Bottom '[m']]]-MP_DATA[[#This Row],[Top '[m']]]),"")</f>
        <v/>
      </c>
      <c r="J140" s="79" t="str">
        <f t="shared" si="10"/>
        <v/>
      </c>
      <c r="K140" s="79" t="str">
        <f>IFERROR((MP_DATA[[#This Row],[D, bottom '[m']]]+MP_DATA[[#This Row],[D, top '[m']]])/(2*MP_DATA[[#This Row],[t '[mm']]]/1000),"")</f>
        <v/>
      </c>
      <c r="AO140" s="79" t="str">
        <f>IFERROR(TP_DATA[[#This Row],[Bottom '[m']]]-TP_DATA[[#This Row],[D, top '[m']]], "")</f>
        <v/>
      </c>
      <c r="AP140" s="79" t="str">
        <f>IFERROR(-(TP_DATA[[#This Row],[D, bottom '[m']]]-TP_DATA[[#This Row],[D, top '[m']]])/(TP_DATA[[#This Row],[Bottom '[m']]]-TP_DATA[[#This Row],[Top '[m']]]),"")</f>
        <v/>
      </c>
      <c r="AQ140" s="79" t="str">
        <f t="shared" si="11"/>
        <v/>
      </c>
      <c r="AR140" s="79" t="str">
        <f>IFERROR((TP_DATA[[#This Row],[D, bottom '[m']]]+TP_DATA[[#This Row],[D, top '[m']]])/(2*TP_DATA[[#This Row],[t '[mm']]]/1000),"")</f>
        <v/>
      </c>
      <c r="BW140" s="79" t="str">
        <f>IFERROR(TOWER_DATA[[#This Row],[Top '[m']]]-TOWER_DATA[[#This Row],[Bottom '[m']]], "")</f>
        <v/>
      </c>
      <c r="BX140" s="79" t="str">
        <f>IFERROR(-(TOWER_DATA[[#This Row],[D, bottom '[m']]]-TOWER_DATA[[#This Row],[D, top '[m']]])/(TOWER_DATA[[#This Row],[Bottom '[m']]]-TOWER_DATA[[#This Row],[Top '[m']]]),"")</f>
        <v/>
      </c>
      <c r="BY140" s="79" t="str">
        <f t="shared" si="9"/>
        <v/>
      </c>
      <c r="BZ140" s="79" t="str">
        <f>IFERROR((TOWER_DATA[[#This Row],[D, bottom '[m']]]+TOWER_DATA[[#This Row],[D, top '[m']]])/(2*TOWER_DATA[[#This Row],[t '[mm']]]/1000),"")</f>
        <v/>
      </c>
      <c r="CB140" s="102"/>
      <c r="CC140" s="102"/>
      <c r="CD140" s="102"/>
      <c r="DF140" s="79" t="str">
        <f t="shared" si="12"/>
        <v/>
      </c>
      <c r="DG140" s="79"/>
    </row>
    <row r="141" spans="2:111" x14ac:dyDescent="0.25">
      <c r="B141" s="79"/>
      <c r="C141" s="79"/>
      <c r="D141" s="79"/>
      <c r="E141" s="79"/>
      <c r="F141" s="79"/>
      <c r="G141" s="79"/>
      <c r="H141" s="79" t="str">
        <f>IFERROR(MP_DATA[[#This Row],[Bottom '[m']]]-MP_DATA[[#This Row],[D, top '[m']]], "")</f>
        <v/>
      </c>
      <c r="I141" s="79" t="str">
        <f>IFERROR(-(MP_DATA[[#This Row],[D, bottom '[m']]]-MP_DATA[[#This Row],[D, top '[m']]])/(MP_DATA[[#This Row],[Bottom '[m']]]-MP_DATA[[#This Row],[Top '[m']]]),"")</f>
        <v/>
      </c>
      <c r="J141" s="79" t="str">
        <f t="shared" si="10"/>
        <v/>
      </c>
      <c r="K141" s="79" t="str">
        <f>IFERROR((MP_DATA[[#This Row],[D, bottom '[m']]]+MP_DATA[[#This Row],[D, top '[m']]])/(2*MP_DATA[[#This Row],[t '[mm']]]/1000),"")</f>
        <v/>
      </c>
      <c r="AO141" s="79" t="str">
        <f>IFERROR(TP_DATA[[#This Row],[Bottom '[m']]]-TP_DATA[[#This Row],[D, top '[m']]], "")</f>
        <v/>
      </c>
      <c r="AP141" s="79" t="str">
        <f>IFERROR(-(TP_DATA[[#This Row],[D, bottom '[m']]]-TP_DATA[[#This Row],[D, top '[m']]])/(TP_DATA[[#This Row],[Bottom '[m']]]-TP_DATA[[#This Row],[Top '[m']]]),"")</f>
        <v/>
      </c>
      <c r="AQ141" s="79" t="str">
        <f t="shared" si="11"/>
        <v/>
      </c>
      <c r="AR141" s="79" t="str">
        <f>IFERROR((TP_DATA[[#This Row],[D, bottom '[m']]]+TP_DATA[[#This Row],[D, top '[m']]])/(2*TP_DATA[[#This Row],[t '[mm']]]/1000),"")</f>
        <v/>
      </c>
      <c r="BW141" s="79" t="str">
        <f>IFERROR(TOWER_DATA[[#This Row],[Top '[m']]]-TOWER_DATA[[#This Row],[Bottom '[m']]], "")</f>
        <v/>
      </c>
      <c r="BX141" s="79" t="str">
        <f>IFERROR(-(TOWER_DATA[[#This Row],[D, bottom '[m']]]-TOWER_DATA[[#This Row],[D, top '[m']]])/(TOWER_DATA[[#This Row],[Bottom '[m']]]-TOWER_DATA[[#This Row],[Top '[m']]]),"")</f>
        <v/>
      </c>
      <c r="BY141" s="79" t="str">
        <f t="shared" si="9"/>
        <v/>
      </c>
      <c r="BZ141" s="79" t="str">
        <f>IFERROR((TOWER_DATA[[#This Row],[D, bottom '[m']]]+TOWER_DATA[[#This Row],[D, top '[m']]])/(2*TOWER_DATA[[#This Row],[t '[mm']]]/1000),"")</f>
        <v/>
      </c>
      <c r="CB141" s="102"/>
      <c r="CC141" s="102"/>
      <c r="CD141" s="102"/>
      <c r="DF141" s="79" t="str">
        <f t="shared" si="12"/>
        <v/>
      </c>
      <c r="DG141" s="79"/>
    </row>
    <row r="142" spans="2:111" x14ac:dyDescent="0.25">
      <c r="B142" s="79"/>
      <c r="C142" s="79"/>
      <c r="D142" s="79"/>
      <c r="E142" s="79"/>
      <c r="F142" s="79"/>
      <c r="G142" s="79"/>
      <c r="H142" s="79" t="str">
        <f>IFERROR(MP_DATA[[#This Row],[Bottom '[m']]]-MP_DATA[[#This Row],[D, top '[m']]], "")</f>
        <v/>
      </c>
      <c r="I142" s="79" t="str">
        <f>IFERROR(-(MP_DATA[[#This Row],[D, bottom '[m']]]-MP_DATA[[#This Row],[D, top '[m']]])/(MP_DATA[[#This Row],[Bottom '[m']]]-MP_DATA[[#This Row],[Top '[m']]]),"")</f>
        <v/>
      </c>
      <c r="J142" s="79" t="str">
        <f t="shared" si="10"/>
        <v/>
      </c>
      <c r="K142" s="79" t="str">
        <f>IFERROR((MP_DATA[[#This Row],[D, bottom '[m']]]+MP_DATA[[#This Row],[D, top '[m']]])/(2*MP_DATA[[#This Row],[t '[mm']]]/1000),"")</f>
        <v/>
      </c>
      <c r="AO142" s="79" t="str">
        <f>IFERROR(TP_DATA[[#This Row],[Bottom '[m']]]-TP_DATA[[#This Row],[D, top '[m']]], "")</f>
        <v/>
      </c>
      <c r="AP142" s="79" t="str">
        <f>IFERROR(-(TP_DATA[[#This Row],[D, bottom '[m']]]-TP_DATA[[#This Row],[D, top '[m']]])/(TP_DATA[[#This Row],[Bottom '[m']]]-TP_DATA[[#This Row],[Top '[m']]]),"")</f>
        <v/>
      </c>
      <c r="AQ142" s="79" t="str">
        <f t="shared" si="11"/>
        <v/>
      </c>
      <c r="AR142" s="79" t="str">
        <f>IFERROR((TP_DATA[[#This Row],[D, bottom '[m']]]+TP_DATA[[#This Row],[D, top '[m']]])/(2*TP_DATA[[#This Row],[t '[mm']]]/1000),"")</f>
        <v/>
      </c>
      <c r="BW142" s="79" t="str">
        <f>IFERROR(TOWER_DATA[[#This Row],[Top '[m']]]-TOWER_DATA[[#This Row],[Bottom '[m']]], "")</f>
        <v/>
      </c>
      <c r="BX142" s="79" t="str">
        <f>IFERROR(-(TOWER_DATA[[#This Row],[D, bottom '[m']]]-TOWER_DATA[[#This Row],[D, top '[m']]])/(TOWER_DATA[[#This Row],[Bottom '[m']]]-TOWER_DATA[[#This Row],[Top '[m']]]),"")</f>
        <v/>
      </c>
      <c r="BY142" s="79" t="str">
        <f t="shared" si="9"/>
        <v/>
      </c>
      <c r="BZ142" s="79" t="str">
        <f>IFERROR((TOWER_DATA[[#This Row],[D, bottom '[m']]]+TOWER_DATA[[#This Row],[D, top '[m']]])/(2*TOWER_DATA[[#This Row],[t '[mm']]]/1000),"")</f>
        <v/>
      </c>
      <c r="CB142" s="102"/>
      <c r="CC142" s="102"/>
      <c r="CD142" s="102"/>
      <c r="DF142" s="79" t="str">
        <f t="shared" si="12"/>
        <v/>
      </c>
      <c r="DG142" s="79"/>
    </row>
    <row r="143" spans="2:111" x14ac:dyDescent="0.25">
      <c r="B143" s="79"/>
      <c r="C143" s="79"/>
      <c r="D143" s="79"/>
      <c r="E143" s="79"/>
      <c r="F143" s="79"/>
      <c r="G143" s="79"/>
      <c r="H143" s="79" t="str">
        <f>IFERROR(MP_DATA[[#This Row],[Bottom '[m']]]-MP_DATA[[#This Row],[D, top '[m']]], "")</f>
        <v/>
      </c>
      <c r="I143" s="79" t="str">
        <f>IFERROR(-(MP_DATA[[#This Row],[D, bottom '[m']]]-MP_DATA[[#This Row],[D, top '[m']]])/(MP_DATA[[#This Row],[Bottom '[m']]]-MP_DATA[[#This Row],[Top '[m']]]),"")</f>
        <v/>
      </c>
      <c r="J143" s="79" t="str">
        <f t="shared" si="10"/>
        <v/>
      </c>
      <c r="K143" s="79" t="str">
        <f>IFERROR((MP_DATA[[#This Row],[D, bottom '[m']]]+MP_DATA[[#This Row],[D, top '[m']]])/(2*MP_DATA[[#This Row],[t '[mm']]]/1000),"")</f>
        <v/>
      </c>
      <c r="AO143" s="79" t="str">
        <f>IFERROR(TP_DATA[[#This Row],[Bottom '[m']]]-TP_DATA[[#This Row],[D, top '[m']]], "")</f>
        <v/>
      </c>
      <c r="AP143" s="79" t="str">
        <f>IFERROR(-(TP_DATA[[#This Row],[D, bottom '[m']]]-TP_DATA[[#This Row],[D, top '[m']]])/(TP_DATA[[#This Row],[Bottom '[m']]]-TP_DATA[[#This Row],[Top '[m']]]),"")</f>
        <v/>
      </c>
      <c r="AQ143" s="79" t="str">
        <f t="shared" si="11"/>
        <v/>
      </c>
      <c r="AR143" s="79" t="str">
        <f>IFERROR((TP_DATA[[#This Row],[D, bottom '[m']]]+TP_DATA[[#This Row],[D, top '[m']]])/(2*TP_DATA[[#This Row],[t '[mm']]]/1000),"")</f>
        <v/>
      </c>
      <c r="BW143" s="79" t="str">
        <f>IFERROR(TOWER_DATA[[#This Row],[Top '[m']]]-TOWER_DATA[[#This Row],[Bottom '[m']]], "")</f>
        <v/>
      </c>
      <c r="BX143" s="79" t="str">
        <f>IFERROR(-(TOWER_DATA[[#This Row],[D, bottom '[m']]]-TOWER_DATA[[#This Row],[D, top '[m']]])/(TOWER_DATA[[#This Row],[Bottom '[m']]]-TOWER_DATA[[#This Row],[Top '[m']]]),"")</f>
        <v/>
      </c>
      <c r="BY143" s="79" t="str">
        <f t="shared" si="9"/>
        <v/>
      </c>
      <c r="BZ143" s="79" t="str">
        <f>IFERROR((TOWER_DATA[[#This Row],[D, bottom '[m']]]+TOWER_DATA[[#This Row],[D, top '[m']]])/(2*TOWER_DATA[[#This Row],[t '[mm']]]/1000),"")</f>
        <v/>
      </c>
      <c r="CB143" s="102"/>
      <c r="CC143" s="102"/>
      <c r="CD143" s="102"/>
      <c r="DF143" s="79" t="str">
        <f t="shared" si="12"/>
        <v/>
      </c>
      <c r="DG143" s="79"/>
    </row>
    <row r="144" spans="2:111" x14ac:dyDescent="0.25">
      <c r="B144" s="79"/>
      <c r="D144" s="79"/>
      <c r="F144" s="79"/>
      <c r="H144" s="79" t="str">
        <f>IFERROR(MP_DATA[[#This Row],[Bottom '[m']]]-MP_DATA[[#This Row],[D, top '[m']]], "")</f>
        <v/>
      </c>
      <c r="I144" t="str">
        <f>IFERROR(-(MP_DATA[[#This Row],[D, bottom '[m']]]-MP_DATA[[#This Row],[D, top '[m']]])/(MP_DATA[[#This Row],[Bottom '[m']]]-MP_DATA[[#This Row],[Top '[m']]]),"")</f>
        <v/>
      </c>
      <c r="K144" s="79" t="str">
        <f>IFERROR((MP_DATA[[#This Row],[D, bottom '[m']]]+MP_DATA[[#This Row],[D, top '[m']]])/(2*MP_DATA[[#This Row],[t '[mm']]]/1000),"")</f>
        <v/>
      </c>
      <c r="AO144" s="79" t="str">
        <f>IFERROR(TP_DATA[[#This Row],[Bottom '[m']]]-TP_DATA[[#This Row],[D, top '[m']]], "")</f>
        <v/>
      </c>
      <c r="AP144" s="79" t="str">
        <f>IFERROR(-(TP_DATA[[#This Row],[D, bottom '[m']]]-TP_DATA[[#This Row],[D, top '[m']]])/(TP_DATA[[#This Row],[Bottom '[m']]]-TP_DATA[[#This Row],[Top '[m']]]),"")</f>
        <v/>
      </c>
      <c r="AR144" s="79" t="str">
        <f>IFERROR((TP_DATA[[#This Row],[D, bottom '[m']]]+TP_DATA[[#This Row],[D, top '[m']]])/(2*TP_DATA[[#This Row],[t '[mm']]]/1000),"")</f>
        <v/>
      </c>
      <c r="BW144" s="79" t="str">
        <f>IFERROR(TOWER_DATA[[#This Row],[Top '[m']]]-TOWER_DATA[[#This Row],[Bottom '[m']]], "")</f>
        <v/>
      </c>
      <c r="BX144" s="79" t="str">
        <f>IFERROR(-(TOWER_DATA[[#This Row],[D, bottom '[m']]]-TOWER_DATA[[#This Row],[D, top '[m']]])/(TOWER_DATA[[#This Row],[Bottom '[m']]]-TOWER_DATA[[#This Row],[Top '[m']]]),"")</f>
        <v/>
      </c>
      <c r="BY144" s="79" t="str">
        <f t="shared" si="9"/>
        <v/>
      </c>
      <c r="BZ144" s="79" t="str">
        <f>IFERROR((TOWER_DATA[[#This Row],[D, bottom '[m']]]+TOWER_DATA[[#This Row],[D, top '[m']]])/(2*TOWER_DATA[[#This Row],[t '[mm']]]/1000),"")</f>
        <v/>
      </c>
      <c r="CB144" s="102"/>
      <c r="CC144" s="102"/>
      <c r="CD144" s="102"/>
      <c r="DF144" s="79" t="str">
        <f t="shared" si="12"/>
        <v/>
      </c>
      <c r="DG144" s="79"/>
    </row>
    <row r="145" spans="2:111" x14ac:dyDescent="0.25">
      <c r="B145" s="79"/>
      <c r="D145" s="79"/>
      <c r="F145" s="79"/>
      <c r="H145" s="79" t="str">
        <f>IFERROR(MP_DATA[[#This Row],[Bottom '[m']]]-MP_DATA[[#This Row],[D, top '[m']]], "")</f>
        <v/>
      </c>
      <c r="I145" t="str">
        <f>IFERROR(-(MP_DATA[[#This Row],[D, bottom '[m']]]-MP_DATA[[#This Row],[D, top '[m']]])/(MP_DATA[[#This Row],[Bottom '[m']]]-MP_DATA[[#This Row],[Top '[m']]]),"")</f>
        <v/>
      </c>
      <c r="K145" s="79" t="str">
        <f>IFERROR((MP_DATA[[#This Row],[D, bottom '[m']]]+MP_DATA[[#This Row],[D, top '[m']]])/(2*MP_DATA[[#This Row],[t '[mm']]]/1000),"")</f>
        <v/>
      </c>
      <c r="AO145" s="79" t="str">
        <f>IFERROR(TP_DATA[[#This Row],[Bottom '[m']]]-TP_DATA[[#This Row],[D, top '[m']]], "")</f>
        <v/>
      </c>
      <c r="AP145" s="79" t="str">
        <f>IFERROR(-(TP_DATA[[#This Row],[D, bottom '[m']]]-TP_DATA[[#This Row],[D, top '[m']]])/(TP_DATA[[#This Row],[Bottom '[m']]]-TP_DATA[[#This Row],[Top '[m']]]),"")</f>
        <v/>
      </c>
      <c r="AR145" s="79" t="str">
        <f>IFERROR((TP_DATA[[#This Row],[D, bottom '[m']]]+TP_DATA[[#This Row],[D, top '[m']]])/(2*TP_DATA[[#This Row],[t '[mm']]]/1000),"")</f>
        <v/>
      </c>
      <c r="BW145" s="79" t="str">
        <f>IFERROR(TOWER_DATA[[#This Row],[Top '[m']]]-TOWER_DATA[[#This Row],[Bottom '[m']]], "")</f>
        <v/>
      </c>
      <c r="BX145" s="79" t="str">
        <f>IFERROR(-(TOWER_DATA[[#This Row],[D, bottom '[m']]]-TOWER_DATA[[#This Row],[D, top '[m']]])/(TOWER_DATA[[#This Row],[Bottom '[m']]]-TOWER_DATA[[#This Row],[Top '[m']]]),"")</f>
        <v/>
      </c>
      <c r="BY145" s="79" t="str">
        <f t="shared" si="9"/>
        <v/>
      </c>
      <c r="BZ145" s="79" t="str">
        <f>IFERROR((TOWER_DATA[[#This Row],[D, bottom '[m']]]+TOWER_DATA[[#This Row],[D, top '[m']]])/(2*TOWER_DATA[[#This Row],[t '[mm']]]/1000),"")</f>
        <v/>
      </c>
      <c r="CB145" s="102"/>
      <c r="CC145" s="102"/>
      <c r="CD145" s="102"/>
      <c r="DF145" s="79" t="str">
        <f t="shared" si="12"/>
        <v/>
      </c>
      <c r="DG145" s="79"/>
    </row>
    <row r="146" spans="2:111" x14ac:dyDescent="0.25">
      <c r="B146" s="79"/>
      <c r="D146" s="79"/>
      <c r="F146" s="79"/>
      <c r="H146" s="79" t="str">
        <f>IFERROR(MP_DATA[[#This Row],[Bottom '[m']]]-MP_DATA[[#This Row],[D, top '[m']]], "")</f>
        <v/>
      </c>
      <c r="I146" t="str">
        <f>IFERROR(-(MP_DATA[[#This Row],[D, bottom '[m']]]-MP_DATA[[#This Row],[D, top '[m']]])/(MP_DATA[[#This Row],[Bottom '[m']]]-MP_DATA[[#This Row],[Top '[m']]]),"")</f>
        <v/>
      </c>
      <c r="K146" s="79" t="str">
        <f>IFERROR((MP_DATA[[#This Row],[D, bottom '[m']]]+MP_DATA[[#This Row],[D, top '[m']]])/(2*MP_DATA[[#This Row],[t '[mm']]]/1000),"")</f>
        <v/>
      </c>
      <c r="AO146" s="79" t="str">
        <f>IFERROR(TP_DATA[[#This Row],[Bottom '[m']]]-TP_DATA[[#This Row],[D, top '[m']]], "")</f>
        <v/>
      </c>
      <c r="AP146" s="79" t="str">
        <f>IFERROR(-(TP_DATA[[#This Row],[D, bottom '[m']]]-TP_DATA[[#This Row],[D, top '[m']]])/(TP_DATA[[#This Row],[Bottom '[m']]]-TP_DATA[[#This Row],[Top '[m']]]),"")</f>
        <v/>
      </c>
      <c r="AR146" s="79" t="str">
        <f>IFERROR((TP_DATA[[#This Row],[D, bottom '[m']]]+TP_DATA[[#This Row],[D, top '[m']]])/(2*TP_DATA[[#This Row],[t '[mm']]]/1000),"")</f>
        <v/>
      </c>
      <c r="BW146" s="79" t="str">
        <f>IFERROR(TOWER_DATA[[#This Row],[Top '[m']]]-TOWER_DATA[[#This Row],[Bottom '[m']]], "")</f>
        <v/>
      </c>
      <c r="BX146" s="79" t="str">
        <f>IFERROR(-(TOWER_DATA[[#This Row],[D, bottom '[m']]]-TOWER_DATA[[#This Row],[D, top '[m']]])/(TOWER_DATA[[#This Row],[Bottom '[m']]]-TOWER_DATA[[#This Row],[Top '[m']]]),"")</f>
        <v/>
      </c>
      <c r="BZ146" s="79" t="str">
        <f>IFERROR((TOWER_DATA[[#This Row],[D, bottom '[m']]]+TOWER_DATA[[#This Row],[D, top '[m']]])/(2*TOWER_DATA[[#This Row],[t '[mm']]]/1000),"")</f>
        <v/>
      </c>
      <c r="CB146" s="102"/>
      <c r="CC146" s="102"/>
      <c r="CD146" s="102"/>
      <c r="DF146" s="79" t="str">
        <f t="shared" si="12"/>
        <v/>
      </c>
      <c r="DG146" s="79"/>
    </row>
    <row r="147" spans="2:111" x14ac:dyDescent="0.25">
      <c r="B147" s="79"/>
      <c r="D147" s="79"/>
      <c r="F147" s="79"/>
      <c r="H147" s="79" t="str">
        <f>IFERROR(MP_DATA[[#This Row],[Bottom '[m']]]-MP_DATA[[#This Row],[D, top '[m']]], "")</f>
        <v/>
      </c>
      <c r="I147" t="str">
        <f>IFERROR(-(MP_DATA[[#This Row],[D, bottom '[m']]]-MP_DATA[[#This Row],[D, top '[m']]])/(MP_DATA[[#This Row],[Bottom '[m']]]-MP_DATA[[#This Row],[Top '[m']]]),"")</f>
        <v/>
      </c>
      <c r="K147" s="79" t="str">
        <f>IFERROR((MP_DATA[[#This Row],[D, bottom '[m']]]+MP_DATA[[#This Row],[D, top '[m']]])/(2*MP_DATA[[#This Row],[t '[mm']]]/1000),"")</f>
        <v/>
      </c>
      <c r="AO147" s="79" t="str">
        <f>IFERROR(TP_DATA[[#This Row],[Bottom '[m']]]-TP_DATA[[#This Row],[D, top '[m']]], "")</f>
        <v/>
      </c>
      <c r="AP147" s="79" t="str">
        <f>IFERROR(-(TP_DATA[[#This Row],[D, bottom '[m']]]-TP_DATA[[#This Row],[D, top '[m']]])/(TP_DATA[[#This Row],[Bottom '[m']]]-TP_DATA[[#This Row],[Top '[m']]]),"")</f>
        <v/>
      </c>
      <c r="AR147" s="79" t="str">
        <f>IFERROR((TP_DATA[[#This Row],[D, bottom '[m']]]+TP_DATA[[#This Row],[D, top '[m']]])/(2*TP_DATA[[#This Row],[t '[mm']]]/1000),"")</f>
        <v/>
      </c>
      <c r="BW147" s="79" t="str">
        <f>IFERROR(TOWER_DATA[[#This Row],[Top '[m']]]-TOWER_DATA[[#This Row],[Bottom '[m']]], "")</f>
        <v/>
      </c>
      <c r="BX147" s="79" t="str">
        <f>IFERROR(-(TOWER_DATA[[#This Row],[D, bottom '[m']]]-TOWER_DATA[[#This Row],[D, top '[m']]])/(TOWER_DATA[[#This Row],[Bottom '[m']]]-TOWER_DATA[[#This Row],[Top '[m']]]),"")</f>
        <v/>
      </c>
      <c r="BZ147" s="79" t="str">
        <f>IFERROR((TOWER_DATA[[#This Row],[D, bottom '[m']]]+TOWER_DATA[[#This Row],[D, top '[m']]])/(2*TOWER_DATA[[#This Row],[t '[mm']]]/1000),"")</f>
        <v/>
      </c>
      <c r="CB147" s="102"/>
      <c r="CC147" s="102"/>
      <c r="CD147" s="102"/>
    </row>
    <row r="148" spans="2:111" x14ac:dyDescent="0.25">
      <c r="H148" s="79" t="str">
        <f>IFERROR(MP_DATA[[#This Row],[Bottom '[m']]]-MP_DATA[[#This Row],[D, top '[m']]], "")</f>
        <v/>
      </c>
      <c r="I148" s="79" t="str">
        <f>IFERROR(-(MP_DATA[[#This Row],[D, bottom '[m']]]-MP_DATA[[#This Row],[D, top '[m']]])/(MP_DATA[[#This Row],[Bottom '[m']]]-MP_DATA[[#This Row],[Top '[m']]]),"")</f>
        <v/>
      </c>
      <c r="K148" s="79" t="str">
        <f>IFERROR((MP_DATA[[#This Row],[D, bottom '[m']]]+MP_DATA[[#This Row],[D, top '[m']]])/(2*MP_DATA[[#This Row],[t '[mm']]]/1000),"")</f>
        <v/>
      </c>
      <c r="AO148" s="79" t="str">
        <f>IFERROR(TP_DATA[[#This Row],[Bottom '[m']]]-TP_DATA[[#This Row],[D, top '[m']]], "")</f>
        <v/>
      </c>
      <c r="AP148" s="79" t="str">
        <f>IFERROR(-(TP_DATA[[#This Row],[D, bottom '[m']]]-TP_DATA[[#This Row],[D, top '[m']]])/(TP_DATA[[#This Row],[Bottom '[m']]]-TP_DATA[[#This Row],[Top '[m']]]),"")</f>
        <v/>
      </c>
      <c r="AR148" s="79" t="str">
        <f>IFERROR((TP_DATA[[#This Row],[D, bottom '[m']]]+TP_DATA[[#This Row],[D, top '[m']]])/(2*TP_DATA[[#This Row],[t '[mm']]]/1000),"")</f>
        <v/>
      </c>
      <c r="BW148" s="79" t="str">
        <f>IFERROR(TOWER_DATA[[#This Row],[Top '[m']]]-TOWER_DATA[[#This Row],[Bottom '[m']]], "")</f>
        <v/>
      </c>
      <c r="BX148" s="79" t="str">
        <f>IFERROR(-(TOWER_DATA[[#This Row],[D, bottom '[m']]]-TOWER_DATA[[#This Row],[D, top '[m']]])/(TOWER_DATA[[#This Row],[Bottom '[m']]]-TOWER_DATA[[#This Row],[Top '[m']]]),"")</f>
        <v/>
      </c>
      <c r="BZ148" s="79" t="str">
        <f>IFERROR((TOWER_DATA[[#This Row],[D, bottom '[m']]]+TOWER_DATA[[#This Row],[D, top '[m']]])/(2*TOWER_DATA[[#This Row],[t '[mm']]]/1000),"")</f>
        <v/>
      </c>
      <c r="CB148" s="102"/>
      <c r="CC148" s="102"/>
      <c r="CD148" s="102"/>
    </row>
    <row r="149" spans="2:111" x14ac:dyDescent="0.25">
      <c r="H149" s="79" t="str">
        <f>IFERROR(MP_DATA[[#This Row],[Bottom '[m']]]-MP_DATA[[#This Row],[D, top '[m']]], "")</f>
        <v/>
      </c>
      <c r="I149" s="79" t="str">
        <f>IFERROR(-(MP_DATA[[#This Row],[D, bottom '[m']]]-MP_DATA[[#This Row],[D, top '[m']]])/(MP_DATA[[#This Row],[Bottom '[m']]]-MP_DATA[[#This Row],[Top '[m']]]),"")</f>
        <v/>
      </c>
      <c r="K149" s="79" t="str">
        <f>IFERROR((MP_DATA[[#This Row],[D, bottom '[m']]]+MP_DATA[[#This Row],[D, top '[m']]])/(2*MP_DATA[[#This Row],[t '[mm']]]/1000),"")</f>
        <v/>
      </c>
      <c r="AO149" s="79" t="str">
        <f>IFERROR(TP_DATA[[#This Row],[Bottom '[m']]]-TP_DATA[[#This Row],[D, top '[m']]], "")</f>
        <v/>
      </c>
      <c r="AP149" s="79" t="str">
        <f>IFERROR(-(TP_DATA[[#This Row],[D, bottom '[m']]]-TP_DATA[[#This Row],[D, top '[m']]])/(TP_DATA[[#This Row],[Bottom '[m']]]-TP_DATA[[#This Row],[Top '[m']]]),"")</f>
        <v/>
      </c>
      <c r="AR149" s="79" t="str">
        <f>IFERROR((TP_DATA[[#This Row],[D, bottom '[m']]]+TP_DATA[[#This Row],[D, top '[m']]])/(2*TP_DATA[[#This Row],[t '[mm']]]/1000),"")</f>
        <v/>
      </c>
      <c r="BW149" s="79" t="str">
        <f>IFERROR(TOWER_DATA[[#This Row],[Top '[m']]]-TOWER_DATA[[#This Row],[Bottom '[m']]], "")</f>
        <v/>
      </c>
      <c r="BX149" s="79" t="str">
        <f>IFERROR(-(TOWER_DATA[[#This Row],[D, bottom '[m']]]-TOWER_DATA[[#This Row],[D, top '[m']]])/(TOWER_DATA[[#This Row],[Bottom '[m']]]-TOWER_DATA[[#This Row],[Top '[m']]]),"")</f>
        <v/>
      </c>
      <c r="BZ149" s="79" t="str">
        <f>IFERROR((TOWER_DATA[[#This Row],[D, bottom '[m']]]+TOWER_DATA[[#This Row],[D, top '[m']]])/(2*TOWER_DATA[[#This Row],[t '[mm']]]/1000),"")</f>
        <v/>
      </c>
      <c r="CB149" s="102"/>
      <c r="CC149" s="102"/>
      <c r="CD149" s="102"/>
    </row>
    <row r="150" spans="2:111" x14ac:dyDescent="0.25">
      <c r="H150" s="79" t="str">
        <f>IFERROR(MP_DATA[[#This Row],[Bottom '[m']]]-MP_DATA[[#This Row],[D, top '[m']]], "")</f>
        <v/>
      </c>
      <c r="K150" s="79" t="str">
        <f>IFERROR((MP_DATA[[#This Row],[D, bottom '[m']]]+MP_DATA[[#This Row],[D, top '[m']]])/(2*MP_DATA[[#This Row],[t '[mm']]]/1000),"")</f>
        <v/>
      </c>
      <c r="BH150" s="79"/>
      <c r="BI150" s="79"/>
      <c r="BJ150" s="79"/>
      <c r="BK150" s="79"/>
      <c r="CB150" s="102"/>
      <c r="CC150" s="102"/>
      <c r="CD150" s="102"/>
    </row>
    <row r="151" spans="2:111" x14ac:dyDescent="0.25">
      <c r="BH151" s="79"/>
      <c r="BI151" s="79"/>
      <c r="BJ151" s="79"/>
      <c r="BK151" s="79"/>
      <c r="CB151" s="102"/>
      <c r="CC151" s="102"/>
      <c r="CD151" s="102"/>
    </row>
    <row r="152" spans="2:111" x14ac:dyDescent="0.25">
      <c r="CB152" s="102"/>
      <c r="CC152" s="102"/>
      <c r="CD152" s="102"/>
    </row>
    <row r="153" spans="2:111" x14ac:dyDescent="0.25">
      <c r="CB153" s="102"/>
      <c r="CC153" s="102"/>
      <c r="CD153" s="102"/>
    </row>
    <row r="154" spans="2:111" x14ac:dyDescent="0.25">
      <c r="CB154" s="102"/>
      <c r="CC154" s="102"/>
      <c r="CD154" s="102"/>
    </row>
    <row r="155" spans="2:111" x14ac:dyDescent="0.25">
      <c r="CB155" s="102"/>
      <c r="CC155" s="102"/>
      <c r="CD155" s="102"/>
    </row>
    <row r="156" spans="2:111" x14ac:dyDescent="0.25">
      <c r="CB156" s="102"/>
      <c r="CC156" s="102"/>
      <c r="CD156" s="102"/>
    </row>
    <row r="157" spans="2:111" x14ac:dyDescent="0.25">
      <c r="CB157" s="102"/>
      <c r="CC157" s="102"/>
      <c r="CD157" s="102"/>
    </row>
    <row r="158" spans="2:111" x14ac:dyDescent="0.25">
      <c r="CB158" s="102"/>
      <c r="CC158" s="102"/>
      <c r="CD158" s="102"/>
    </row>
    <row r="159" spans="2:111" x14ac:dyDescent="0.25">
      <c r="CB159" s="102"/>
      <c r="CC159" s="102"/>
      <c r="CD159" s="102"/>
    </row>
    <row r="160" spans="2:111" x14ac:dyDescent="0.25">
      <c r="CB160" s="102"/>
      <c r="CC160" s="102"/>
      <c r="CD160" s="102"/>
    </row>
    <row r="161" spans="80:82" x14ac:dyDescent="0.25">
      <c r="CB161" s="102"/>
      <c r="CC161" s="102"/>
      <c r="CD161" s="102"/>
    </row>
    <row r="162" spans="80:82" x14ac:dyDescent="0.25">
      <c r="CB162" s="102"/>
      <c r="CC162" s="102"/>
      <c r="CD162" s="102"/>
    </row>
    <row r="163" spans="80:82" x14ac:dyDescent="0.25">
      <c r="CB163" s="102"/>
      <c r="CC163" s="102"/>
      <c r="CD163" s="102"/>
    </row>
    <row r="164" spans="80:82" x14ac:dyDescent="0.25">
      <c r="CB164" s="102"/>
      <c r="CC164" s="102"/>
      <c r="CD164" s="102"/>
    </row>
    <row r="165" spans="80:82" x14ac:dyDescent="0.25">
      <c r="CB165" s="102"/>
      <c r="CC165" s="102"/>
      <c r="CD165" s="102"/>
    </row>
    <row r="166" spans="80:82" x14ac:dyDescent="0.25">
      <c r="CB166" s="102"/>
      <c r="CC166" s="102"/>
      <c r="CD166" s="102"/>
    </row>
    <row r="167" spans="80:82" x14ac:dyDescent="0.25">
      <c r="CB167" s="102"/>
      <c r="CC167" s="102"/>
      <c r="CD167" s="102"/>
    </row>
    <row r="168" spans="80:82" x14ac:dyDescent="0.25">
      <c r="CB168" s="102"/>
      <c r="CC168" s="102"/>
      <c r="CD168" s="102"/>
    </row>
    <row r="169" spans="80:82" x14ac:dyDescent="0.25">
      <c r="CB169" s="102"/>
      <c r="CC169" s="102"/>
      <c r="CD169" s="102"/>
    </row>
    <row r="170" spans="80:82" x14ac:dyDescent="0.25">
      <c r="CB170" s="102"/>
      <c r="CC170" s="102"/>
      <c r="CD170" s="102"/>
    </row>
    <row r="171" spans="80:82" x14ac:dyDescent="0.25">
      <c r="CB171" s="102"/>
      <c r="CC171" s="102"/>
      <c r="CD171" s="102"/>
    </row>
    <row r="172" spans="80:82" x14ac:dyDescent="0.25">
      <c r="CB172" s="102"/>
      <c r="CC172" s="102"/>
      <c r="CD172" s="102"/>
    </row>
    <row r="173" spans="80:82" x14ac:dyDescent="0.25">
      <c r="CB173" s="102"/>
      <c r="CC173" s="102"/>
      <c r="CD173" s="102"/>
    </row>
    <row r="174" spans="80:82" x14ac:dyDescent="0.25">
      <c r="CB174" s="102"/>
      <c r="CC174" s="102"/>
      <c r="CD174" s="102"/>
    </row>
    <row r="175" spans="80:82" x14ac:dyDescent="0.25">
      <c r="CB175" s="102"/>
      <c r="CC175" s="102"/>
      <c r="CD175" s="102"/>
    </row>
    <row r="176" spans="80:82" x14ac:dyDescent="0.25">
      <c r="CB176" s="102"/>
      <c r="CC176" s="102"/>
      <c r="CD176" s="102"/>
    </row>
    <row r="177" spans="80:82" x14ac:dyDescent="0.25">
      <c r="CB177" s="102"/>
      <c r="CC177" s="102"/>
      <c r="CD177" s="102"/>
    </row>
    <row r="178" spans="80:82" x14ac:dyDescent="0.25">
      <c r="CB178" s="102"/>
      <c r="CC178" s="102"/>
      <c r="CD178" s="102"/>
    </row>
    <row r="179" spans="80:82" x14ac:dyDescent="0.25">
      <c r="CB179" s="102"/>
      <c r="CC179" s="102"/>
      <c r="CD179" s="102"/>
    </row>
    <row r="180" spans="80:82" x14ac:dyDescent="0.25">
      <c r="CB180" s="102"/>
      <c r="CC180" s="102"/>
      <c r="CD180" s="102"/>
    </row>
    <row r="181" spans="80:82" x14ac:dyDescent="0.25">
      <c r="CB181" s="102"/>
      <c r="CC181" s="102"/>
      <c r="CD181" s="102"/>
    </row>
    <row r="182" spans="80:82" x14ac:dyDescent="0.25">
      <c r="CB182" s="102"/>
      <c r="CC182" s="102"/>
      <c r="CD182" s="102"/>
    </row>
    <row r="183" spans="80:82" x14ac:dyDescent="0.25">
      <c r="CB183" s="102"/>
      <c r="CC183" s="102"/>
      <c r="CD183" s="102"/>
    </row>
    <row r="184" spans="80:82" x14ac:dyDescent="0.25">
      <c r="CB184" s="102"/>
      <c r="CC184" s="102"/>
      <c r="CD184" s="102"/>
    </row>
    <row r="185" spans="80:82" x14ac:dyDescent="0.25">
      <c r="CB185" s="102"/>
      <c r="CC185" s="102"/>
      <c r="CD185" s="102"/>
    </row>
    <row r="186" spans="80:82" x14ac:dyDescent="0.25">
      <c r="CB186" s="102"/>
      <c r="CC186" s="102"/>
      <c r="CD186" s="102"/>
    </row>
    <row r="187" spans="80:82" x14ac:dyDescent="0.25">
      <c r="CB187" s="102"/>
      <c r="CC187" s="102"/>
      <c r="CD187" s="102"/>
    </row>
    <row r="188" spans="80:82" x14ac:dyDescent="0.25">
      <c r="CB188" s="102"/>
      <c r="CC188" s="102"/>
      <c r="CD188" s="102"/>
    </row>
    <row r="189" spans="80:82" x14ac:dyDescent="0.25">
      <c r="CB189" s="102"/>
      <c r="CC189" s="102"/>
      <c r="CD189" s="102"/>
    </row>
    <row r="190" spans="80:82" x14ac:dyDescent="0.25">
      <c r="CB190" s="102"/>
      <c r="CC190" s="102"/>
      <c r="CD190" s="102"/>
    </row>
    <row r="191" spans="80:82" x14ac:dyDescent="0.25">
      <c r="CB191" s="102"/>
      <c r="CC191" s="102"/>
      <c r="CD191" s="102"/>
    </row>
    <row r="192" spans="80:82" x14ac:dyDescent="0.25">
      <c r="CB192" s="102"/>
      <c r="CC192" s="102"/>
      <c r="CD192" s="102"/>
    </row>
    <row r="193" spans="80:82" x14ac:dyDescent="0.25">
      <c r="CB193" s="102"/>
      <c r="CC193" s="102"/>
      <c r="CD193" s="102"/>
    </row>
    <row r="194" spans="80:82" x14ac:dyDescent="0.25">
      <c r="CB194" s="102"/>
      <c r="CC194" s="102"/>
      <c r="CD194" s="102"/>
    </row>
    <row r="195" spans="80:82" x14ac:dyDescent="0.25">
      <c r="CB195" s="102"/>
      <c r="CC195" s="102"/>
      <c r="CD195" s="102"/>
    </row>
    <row r="196" spans="80:82" x14ac:dyDescent="0.25">
      <c r="CB196" s="102"/>
      <c r="CC196" s="102"/>
      <c r="CD196" s="102"/>
    </row>
    <row r="197" spans="80:82" x14ac:dyDescent="0.25">
      <c r="CB197" s="102"/>
      <c r="CC197" s="102"/>
      <c r="CD197" s="102"/>
    </row>
    <row r="198" spans="80:82" x14ac:dyDescent="0.25">
      <c r="CB198" s="102"/>
      <c r="CC198" s="102"/>
      <c r="CD198" s="102"/>
    </row>
    <row r="199" spans="80:82" x14ac:dyDescent="0.25">
      <c r="CB199" s="102"/>
      <c r="CC199" s="102"/>
      <c r="CD199" s="102"/>
    </row>
    <row r="200" spans="80:82" x14ac:dyDescent="0.25">
      <c r="CB200" s="102"/>
      <c r="CC200" s="102"/>
      <c r="CD200" s="102"/>
    </row>
    <row r="201" spans="80:82" x14ac:dyDescent="0.25">
      <c r="CB201" s="102"/>
      <c r="CC201" s="102"/>
      <c r="CD201" s="102"/>
    </row>
    <row r="202" spans="80:82" x14ac:dyDescent="0.25">
      <c r="CB202" s="102"/>
      <c r="CC202" s="102"/>
      <c r="CD202" s="102"/>
    </row>
    <row r="203" spans="80:82" x14ac:dyDescent="0.25">
      <c r="CB203" s="102"/>
      <c r="CC203" s="102"/>
      <c r="CD203" s="102"/>
    </row>
    <row r="204" spans="80:82" x14ac:dyDescent="0.25">
      <c r="CB204" s="102"/>
      <c r="CC204" s="102"/>
      <c r="CD204" s="102"/>
    </row>
    <row r="205" spans="80:82" x14ac:dyDescent="0.25">
      <c r="CB205" s="102"/>
      <c r="CC205" s="102"/>
      <c r="CD205" s="102"/>
    </row>
    <row r="206" spans="80:82" x14ac:dyDescent="0.25">
      <c r="CB206" s="102"/>
      <c r="CC206" s="102"/>
      <c r="CD206" s="102"/>
    </row>
    <row r="207" spans="80:82" x14ac:dyDescent="0.25">
      <c r="CB207" s="102"/>
      <c r="CC207" s="102"/>
      <c r="CD207" s="102"/>
    </row>
    <row r="208" spans="80:82" x14ac:dyDescent="0.25">
      <c r="CB208" s="102"/>
      <c r="CC208" s="102"/>
      <c r="CD208" s="102"/>
    </row>
    <row r="209" spans="80:82" x14ac:dyDescent="0.25">
      <c r="CB209" s="102"/>
      <c r="CC209" s="102"/>
      <c r="CD209" s="102"/>
    </row>
    <row r="210" spans="80:82" x14ac:dyDescent="0.25">
      <c r="CB210" s="102"/>
      <c r="CC210" s="102"/>
      <c r="CD210" s="102"/>
    </row>
    <row r="211" spans="80:82" x14ac:dyDescent="0.25">
      <c r="CB211" s="102"/>
      <c r="CC211" s="102"/>
      <c r="CD211" s="102"/>
    </row>
    <row r="212" spans="80:82" x14ac:dyDescent="0.25">
      <c r="CB212" s="102"/>
      <c r="CC212" s="102"/>
      <c r="CD212" s="102"/>
    </row>
    <row r="213" spans="80:82" x14ac:dyDescent="0.25">
      <c r="CB213" s="102"/>
      <c r="CC213" s="102"/>
      <c r="CD213" s="102"/>
    </row>
    <row r="214" spans="80:82" x14ac:dyDescent="0.25">
      <c r="CB214" s="102"/>
      <c r="CC214" s="102"/>
      <c r="CD214" s="102"/>
    </row>
    <row r="215" spans="80:82" x14ac:dyDescent="0.25">
      <c r="CB215" s="102"/>
      <c r="CC215" s="102"/>
      <c r="CD215" s="102"/>
    </row>
    <row r="216" spans="80:82" x14ac:dyDescent="0.25">
      <c r="CB216" s="102"/>
      <c r="CC216" s="102"/>
      <c r="CD216" s="102"/>
    </row>
    <row r="217" spans="80:82" x14ac:dyDescent="0.25">
      <c r="CB217" s="102"/>
      <c r="CC217" s="102"/>
      <c r="CD217" s="102"/>
    </row>
    <row r="218" spans="80:82" x14ac:dyDescent="0.25">
      <c r="CB218" s="102"/>
      <c r="CC218" s="102"/>
      <c r="CD218" s="102"/>
    </row>
    <row r="219" spans="80:82" x14ac:dyDescent="0.25">
      <c r="CB219" s="102"/>
      <c r="CC219" s="102"/>
      <c r="CD219" s="102"/>
    </row>
    <row r="220" spans="80:82" x14ac:dyDescent="0.25">
      <c r="CB220" s="102"/>
      <c r="CC220" s="102"/>
      <c r="CD220" s="102"/>
    </row>
    <row r="221" spans="80:82" x14ac:dyDescent="0.25">
      <c r="CB221" s="102"/>
      <c r="CC221" s="102"/>
      <c r="CD221" s="102"/>
    </row>
    <row r="222" spans="80:82" x14ac:dyDescent="0.25">
      <c r="CB222" s="102"/>
      <c r="CC222" s="102"/>
      <c r="CD222" s="102"/>
    </row>
    <row r="223" spans="80:82" x14ac:dyDescent="0.25">
      <c r="CB223" s="102"/>
      <c r="CC223" s="102"/>
      <c r="CD223" s="102"/>
    </row>
    <row r="224" spans="80:82" x14ac:dyDescent="0.25">
      <c r="CB224" s="102"/>
      <c r="CC224" s="102"/>
      <c r="CD224" s="102"/>
    </row>
    <row r="225" spans="80:82" x14ac:dyDescent="0.25">
      <c r="CB225" s="102"/>
      <c r="CC225" s="102"/>
      <c r="CD225" s="102"/>
    </row>
    <row r="226" spans="80:82" x14ac:dyDescent="0.25">
      <c r="CB226" s="102"/>
      <c r="CC226" s="102"/>
      <c r="CD226" s="102"/>
    </row>
    <row r="227" spans="80:82" x14ac:dyDescent="0.25">
      <c r="CB227" s="102"/>
      <c r="CC227" s="102"/>
      <c r="CD227" s="102"/>
    </row>
    <row r="228" spans="80:82" x14ac:dyDescent="0.25">
      <c r="CB228" s="102"/>
      <c r="CC228" s="102"/>
      <c r="CD228" s="102"/>
    </row>
    <row r="229" spans="80:82" x14ac:dyDescent="0.25">
      <c r="CB229" s="102"/>
      <c r="CC229" s="102"/>
      <c r="CD229" s="102"/>
    </row>
    <row r="230" spans="80:82" x14ac:dyDescent="0.25">
      <c r="CB230" s="102"/>
      <c r="CC230" s="102"/>
      <c r="CD230" s="102"/>
    </row>
    <row r="231" spans="80:82" x14ac:dyDescent="0.25">
      <c r="CB231" s="102"/>
      <c r="CC231" s="102"/>
      <c r="CD231" s="102"/>
    </row>
    <row r="232" spans="80:82" x14ac:dyDescent="0.25">
      <c r="CB232" s="102"/>
      <c r="CC232" s="102"/>
      <c r="CD232" s="102"/>
    </row>
    <row r="233" spans="80:82" x14ac:dyDescent="0.25">
      <c r="CB233" s="102"/>
      <c r="CC233" s="102"/>
      <c r="CD233" s="102"/>
    </row>
    <row r="234" spans="80:82" x14ac:dyDescent="0.25">
      <c r="CB234" s="102"/>
      <c r="CC234" s="102"/>
      <c r="CD234" s="102"/>
    </row>
    <row r="235" spans="80:82" x14ac:dyDescent="0.25">
      <c r="CB235" s="102"/>
      <c r="CC235" s="102"/>
      <c r="CD235" s="102"/>
    </row>
    <row r="236" spans="80:82" x14ac:dyDescent="0.25">
      <c r="CB236" s="102"/>
      <c r="CC236" s="102"/>
      <c r="CD236" s="102"/>
    </row>
    <row r="237" spans="80:82" x14ac:dyDescent="0.25">
      <c r="CB237" s="102"/>
      <c r="CC237" s="102"/>
      <c r="CD237" s="102"/>
    </row>
    <row r="238" spans="80:82" x14ac:dyDescent="0.25">
      <c r="CB238" s="102"/>
      <c r="CC238" s="102"/>
      <c r="CD238" s="102"/>
    </row>
    <row r="239" spans="80:82" x14ac:dyDescent="0.25">
      <c r="CB239" s="102"/>
      <c r="CC239" s="102"/>
      <c r="CD239" s="102"/>
    </row>
    <row r="240" spans="80:82" x14ac:dyDescent="0.25">
      <c r="CB240" s="102"/>
      <c r="CC240" s="102"/>
      <c r="CD240" s="102"/>
    </row>
    <row r="241" spans="80:82" x14ac:dyDescent="0.25">
      <c r="CB241" s="102"/>
      <c r="CC241" s="102"/>
      <c r="CD241" s="102"/>
    </row>
    <row r="242" spans="80:82" x14ac:dyDescent="0.25">
      <c r="CB242" s="102"/>
      <c r="CC242" s="102"/>
      <c r="CD242" s="102"/>
    </row>
    <row r="243" spans="80:82" x14ac:dyDescent="0.25">
      <c r="CB243" s="102"/>
      <c r="CC243" s="102"/>
      <c r="CD243" s="102"/>
    </row>
    <row r="244" spans="80:82" x14ac:dyDescent="0.25">
      <c r="CB244" s="102"/>
      <c r="CC244" s="102"/>
      <c r="CD244" s="102"/>
    </row>
    <row r="245" spans="80:82" x14ac:dyDescent="0.25">
      <c r="CB245" s="102"/>
      <c r="CC245" s="102"/>
      <c r="CD245" s="102"/>
    </row>
    <row r="246" spans="80:82" x14ac:dyDescent="0.25">
      <c r="CB246" s="102"/>
      <c r="CC246" s="102"/>
      <c r="CD246" s="102"/>
    </row>
    <row r="247" spans="80:82" x14ac:dyDescent="0.25">
      <c r="CB247" s="102"/>
      <c r="CC247" s="102"/>
      <c r="CD247" s="102"/>
    </row>
    <row r="248" spans="80:82" x14ac:dyDescent="0.25">
      <c r="CB248" s="102"/>
      <c r="CC248" s="102"/>
      <c r="CD248" s="102"/>
    </row>
    <row r="249" spans="80:82" x14ac:dyDescent="0.25">
      <c r="CB249" s="102"/>
      <c r="CC249" s="102"/>
      <c r="CD249" s="102"/>
    </row>
    <row r="250" spans="80:82" x14ac:dyDescent="0.25">
      <c r="CB250" s="102"/>
      <c r="CC250" s="102"/>
      <c r="CD250" s="102"/>
    </row>
    <row r="251" spans="80:82" x14ac:dyDescent="0.25">
      <c r="CB251" s="102"/>
      <c r="CC251" s="102"/>
      <c r="CD251" s="102"/>
    </row>
    <row r="252" spans="80:82" x14ac:dyDescent="0.25">
      <c r="CB252" s="102"/>
      <c r="CC252" s="102"/>
      <c r="CD252" s="102"/>
    </row>
    <row r="253" spans="80:82" x14ac:dyDescent="0.25">
      <c r="CB253" s="102"/>
      <c r="CC253" s="102"/>
      <c r="CD253" s="102"/>
    </row>
    <row r="254" spans="80:82" x14ac:dyDescent="0.25">
      <c r="CB254" s="102"/>
      <c r="CC254" s="102"/>
      <c r="CD254" s="102"/>
    </row>
    <row r="255" spans="80:82" x14ac:dyDescent="0.25">
      <c r="CB255" s="102"/>
      <c r="CC255" s="102"/>
      <c r="CD255" s="102"/>
    </row>
    <row r="256" spans="80:82" x14ac:dyDescent="0.25">
      <c r="CB256" s="102"/>
      <c r="CC256" s="102"/>
      <c r="CD256" s="102"/>
    </row>
    <row r="257" spans="80:82" x14ac:dyDescent="0.25">
      <c r="CB257" s="102"/>
      <c r="CC257" s="102"/>
      <c r="CD257" s="102"/>
    </row>
    <row r="258" spans="80:82" x14ac:dyDescent="0.25">
      <c r="CB258" s="102"/>
      <c r="CC258" s="102"/>
      <c r="CD258" s="102"/>
    </row>
    <row r="259" spans="80:82" x14ac:dyDescent="0.25">
      <c r="CB259" s="102"/>
      <c r="CC259" s="102"/>
      <c r="CD259" s="102"/>
    </row>
    <row r="260" spans="80:82" x14ac:dyDescent="0.25">
      <c r="CB260" s="102"/>
      <c r="CC260" s="102"/>
      <c r="CD260" s="102"/>
    </row>
    <row r="261" spans="80:82" x14ac:dyDescent="0.25">
      <c r="CB261" s="102"/>
      <c r="CC261" s="102"/>
      <c r="CD261" s="102"/>
    </row>
    <row r="262" spans="80:82" x14ac:dyDescent="0.25">
      <c r="CB262" s="102"/>
      <c r="CC262" s="102"/>
      <c r="CD262" s="102"/>
    </row>
    <row r="263" spans="80:82" x14ac:dyDescent="0.25">
      <c r="CB263" s="102"/>
      <c r="CC263" s="102"/>
      <c r="CD263" s="102"/>
    </row>
    <row r="264" spans="80:82" x14ac:dyDescent="0.25">
      <c r="CB264" s="102"/>
      <c r="CC264" s="102"/>
      <c r="CD264" s="102"/>
    </row>
    <row r="265" spans="80:82" x14ac:dyDescent="0.25">
      <c r="CB265" s="102"/>
      <c r="CC265" s="102"/>
      <c r="CD265" s="102"/>
    </row>
    <row r="266" spans="80:82" x14ac:dyDescent="0.25">
      <c r="CB266" s="102"/>
      <c r="CC266" s="102"/>
      <c r="CD266" s="102"/>
    </row>
    <row r="267" spans="80:82" x14ac:dyDescent="0.25">
      <c r="CB267" s="102"/>
      <c r="CC267" s="102"/>
      <c r="CD267" s="102"/>
    </row>
    <row r="268" spans="80:82" x14ac:dyDescent="0.25">
      <c r="CB268" s="102"/>
      <c r="CC268" s="102"/>
      <c r="CD268" s="102"/>
    </row>
    <row r="269" spans="80:82" x14ac:dyDescent="0.25">
      <c r="CB269" s="102"/>
      <c r="CC269" s="102"/>
      <c r="CD269" s="102"/>
    </row>
    <row r="270" spans="80:82" x14ac:dyDescent="0.25">
      <c r="CB270" s="102"/>
      <c r="CC270" s="102"/>
      <c r="CD270" s="102"/>
    </row>
    <row r="271" spans="80:82" x14ac:dyDescent="0.25">
      <c r="CB271" s="102"/>
      <c r="CC271" s="102"/>
      <c r="CD271" s="102"/>
    </row>
    <row r="272" spans="80:82" x14ac:dyDescent="0.25">
      <c r="CB272" s="102"/>
      <c r="CC272" s="102"/>
      <c r="CD272" s="102"/>
    </row>
    <row r="273" spans="80:82" x14ac:dyDescent="0.25">
      <c r="CB273" s="102"/>
      <c r="CC273" s="102"/>
      <c r="CD273" s="102"/>
    </row>
    <row r="274" spans="80:82" x14ac:dyDescent="0.25">
      <c r="CB274" s="102"/>
      <c r="CC274" s="102"/>
      <c r="CD274" s="102"/>
    </row>
    <row r="275" spans="80:82" x14ac:dyDescent="0.25">
      <c r="CB275" s="102"/>
      <c r="CC275" s="102"/>
      <c r="CD275" s="102"/>
    </row>
    <row r="276" spans="80:82" x14ac:dyDescent="0.25">
      <c r="CB276" s="102"/>
      <c r="CC276" s="102"/>
      <c r="CD276" s="102"/>
    </row>
    <row r="277" spans="80:82" x14ac:dyDescent="0.25">
      <c r="CB277" s="102"/>
      <c r="CC277" s="102"/>
      <c r="CD277" s="102"/>
    </row>
    <row r="278" spans="80:82" x14ac:dyDescent="0.25">
      <c r="CB278" s="102"/>
      <c r="CC278" s="102"/>
      <c r="CD278" s="102"/>
    </row>
    <row r="279" spans="80:82" x14ac:dyDescent="0.25">
      <c r="CB279" s="102"/>
      <c r="CC279" s="102"/>
      <c r="CD279" s="102"/>
    </row>
    <row r="280" spans="80:82" x14ac:dyDescent="0.25">
      <c r="CB280" s="102"/>
      <c r="CC280" s="102"/>
      <c r="CD280" s="102"/>
    </row>
    <row r="281" spans="80:82" x14ac:dyDescent="0.25">
      <c r="CB281" s="102"/>
      <c r="CC281" s="102"/>
      <c r="CD281" s="102"/>
    </row>
    <row r="282" spans="80:82" x14ac:dyDescent="0.25">
      <c r="CB282" s="102"/>
      <c r="CC282" s="102"/>
      <c r="CD282" s="102"/>
    </row>
    <row r="283" spans="80:82" x14ac:dyDescent="0.25">
      <c r="CB283" s="102"/>
      <c r="CC283" s="102"/>
      <c r="CD283" s="102"/>
    </row>
    <row r="284" spans="80:82" x14ac:dyDescent="0.25">
      <c r="CB284" s="102"/>
      <c r="CC284" s="102"/>
      <c r="CD284" s="102"/>
    </row>
    <row r="285" spans="80:82" x14ac:dyDescent="0.25">
      <c r="CB285" s="102"/>
      <c r="CC285" s="102"/>
      <c r="CD285" s="102"/>
    </row>
    <row r="286" spans="80:82" x14ac:dyDescent="0.25">
      <c r="CB286" s="102"/>
      <c r="CC286" s="102"/>
      <c r="CD286" s="102"/>
    </row>
    <row r="287" spans="80:82" x14ac:dyDescent="0.25">
      <c r="CB287" s="102"/>
      <c r="CC287" s="102"/>
      <c r="CD287" s="102"/>
    </row>
    <row r="288" spans="80:82" x14ac:dyDescent="0.25">
      <c r="CB288" s="102"/>
      <c r="CC288" s="102"/>
      <c r="CD288" s="102"/>
    </row>
    <row r="289" spans="80:82" x14ac:dyDescent="0.25">
      <c r="CB289" s="102"/>
      <c r="CC289" s="102"/>
      <c r="CD289" s="102"/>
    </row>
    <row r="290" spans="80:82" x14ac:dyDescent="0.25">
      <c r="CB290" s="102"/>
      <c r="CC290" s="102"/>
      <c r="CD290" s="102"/>
    </row>
    <row r="291" spans="80:82" x14ac:dyDescent="0.25">
      <c r="CB291" s="102"/>
      <c r="CC291" s="102"/>
      <c r="CD291" s="102"/>
    </row>
    <row r="292" spans="80:82" x14ac:dyDescent="0.25">
      <c r="CB292" s="102"/>
      <c r="CC292" s="102"/>
      <c r="CD292" s="102"/>
    </row>
    <row r="293" spans="80:82" x14ac:dyDescent="0.25">
      <c r="CB293" s="102"/>
      <c r="CC293" s="102"/>
      <c r="CD293" s="102"/>
    </row>
    <row r="294" spans="80:82" x14ac:dyDescent="0.25">
      <c r="CB294" s="102"/>
      <c r="CC294" s="102"/>
      <c r="CD294" s="102"/>
    </row>
    <row r="295" spans="80:82" x14ac:dyDescent="0.25">
      <c r="CB295" s="102"/>
      <c r="CC295" s="102"/>
      <c r="CD295" s="102"/>
    </row>
    <row r="296" spans="80:82" x14ac:dyDescent="0.25">
      <c r="CB296" s="102"/>
      <c r="CC296" s="102"/>
      <c r="CD296" s="102"/>
    </row>
    <row r="297" spans="80:82" x14ac:dyDescent="0.25">
      <c r="CB297" s="102"/>
      <c r="CC297" s="102"/>
      <c r="CD297" s="102"/>
    </row>
    <row r="298" spans="80:82" x14ac:dyDescent="0.25">
      <c r="CB298" s="102"/>
      <c r="CC298" s="102"/>
      <c r="CD298" s="102"/>
    </row>
    <row r="299" spans="80:82" x14ac:dyDescent="0.25">
      <c r="CB299" s="102"/>
      <c r="CC299" s="102"/>
      <c r="CD299" s="102"/>
    </row>
    <row r="300" spans="80:82" x14ac:dyDescent="0.25">
      <c r="CB300" s="102"/>
      <c r="CC300" s="102"/>
      <c r="CD300" s="102"/>
    </row>
    <row r="301" spans="80:82" x14ac:dyDescent="0.25">
      <c r="CB301" s="102"/>
      <c r="CC301" s="102"/>
      <c r="CD301" s="102"/>
    </row>
    <row r="302" spans="80:82" x14ac:dyDescent="0.25">
      <c r="CB302" s="102"/>
      <c r="CC302" s="102"/>
      <c r="CD302" s="102"/>
    </row>
    <row r="303" spans="80:82" x14ac:dyDescent="0.25">
      <c r="CB303" s="102"/>
      <c r="CC303" s="102"/>
      <c r="CD303" s="102"/>
    </row>
    <row r="304" spans="80:82" x14ac:dyDescent="0.25">
      <c r="CB304" s="102"/>
      <c r="CC304" s="102"/>
      <c r="CD304" s="102"/>
    </row>
    <row r="305" spans="80:82" x14ac:dyDescent="0.25">
      <c r="CB305" s="102"/>
      <c r="CC305" s="102"/>
      <c r="CD305" s="102"/>
    </row>
    <row r="306" spans="80:82" x14ac:dyDescent="0.25">
      <c r="CB306" s="102"/>
      <c r="CC306" s="102"/>
      <c r="CD306" s="102"/>
    </row>
    <row r="307" spans="80:82" x14ac:dyDescent="0.25">
      <c r="CB307" s="102"/>
      <c r="CC307" s="102"/>
      <c r="CD307" s="102"/>
    </row>
    <row r="308" spans="80:82" x14ac:dyDescent="0.25">
      <c r="CB308" s="102"/>
      <c r="CC308" s="102"/>
      <c r="CD308" s="102"/>
    </row>
    <row r="309" spans="80:82" x14ac:dyDescent="0.25">
      <c r="CB309" s="102"/>
      <c r="CC309" s="102"/>
      <c r="CD309" s="102"/>
    </row>
    <row r="310" spans="80:82" x14ac:dyDescent="0.25">
      <c r="CB310" s="102"/>
      <c r="CC310" s="102"/>
      <c r="CD310" s="102"/>
    </row>
    <row r="311" spans="80:82" x14ac:dyDescent="0.25">
      <c r="CB311" s="102"/>
      <c r="CC311" s="102"/>
      <c r="CD311" s="102"/>
    </row>
    <row r="312" spans="80:82" x14ac:dyDescent="0.25">
      <c r="CB312" s="102"/>
      <c r="CC312" s="102"/>
      <c r="CD312" s="102"/>
    </row>
    <row r="313" spans="80:82" x14ac:dyDescent="0.25">
      <c r="CB313" s="102"/>
      <c r="CC313" s="102"/>
      <c r="CD313" s="102"/>
    </row>
    <row r="314" spans="80:82" x14ac:dyDescent="0.25">
      <c r="CB314" s="102"/>
      <c r="CC314" s="102"/>
      <c r="CD314" s="102"/>
    </row>
    <row r="315" spans="80:82" x14ac:dyDescent="0.25">
      <c r="CB315" s="102"/>
      <c r="CC315" s="102"/>
      <c r="CD315" s="102"/>
    </row>
    <row r="316" spans="80:82" x14ac:dyDescent="0.25">
      <c r="CB316" s="102"/>
      <c r="CC316" s="102"/>
      <c r="CD316" s="102"/>
    </row>
    <row r="317" spans="80:82" x14ac:dyDescent="0.25">
      <c r="CB317" s="102"/>
      <c r="CC317" s="102"/>
      <c r="CD317" s="102"/>
    </row>
    <row r="318" spans="80:82" x14ac:dyDescent="0.25">
      <c r="CB318" s="102"/>
      <c r="CC318" s="102"/>
      <c r="CD318" s="102"/>
    </row>
    <row r="319" spans="80:82" x14ac:dyDescent="0.25">
      <c r="CB319" s="102"/>
      <c r="CC319" s="102"/>
      <c r="CD319" s="102"/>
    </row>
    <row r="320" spans="80:82" x14ac:dyDescent="0.25">
      <c r="CB320" s="102"/>
      <c r="CC320" s="102"/>
      <c r="CD320" s="102"/>
    </row>
    <row r="321" spans="80:82" x14ac:dyDescent="0.25">
      <c r="CB321" s="102"/>
      <c r="CC321" s="102"/>
      <c r="CD321" s="102"/>
    </row>
    <row r="322" spans="80:82" x14ac:dyDescent="0.25">
      <c r="CB322" s="102"/>
      <c r="CC322" s="102"/>
      <c r="CD322" s="102"/>
    </row>
    <row r="323" spans="80:82" x14ac:dyDescent="0.25">
      <c r="CB323" s="102"/>
      <c r="CC323" s="102"/>
      <c r="CD323" s="102"/>
    </row>
    <row r="324" spans="80:82" x14ac:dyDescent="0.25">
      <c r="CB324" s="102"/>
      <c r="CC324" s="102"/>
      <c r="CD324" s="102"/>
    </row>
    <row r="325" spans="80:82" x14ac:dyDescent="0.25">
      <c r="CB325" s="102"/>
      <c r="CC325" s="102"/>
      <c r="CD325" s="102"/>
    </row>
    <row r="326" spans="80:82" x14ac:dyDescent="0.25">
      <c r="CB326" s="102"/>
      <c r="CC326" s="102"/>
      <c r="CD326" s="102"/>
    </row>
    <row r="327" spans="80:82" x14ac:dyDescent="0.25">
      <c r="CB327" s="102"/>
      <c r="CC327" s="102"/>
      <c r="CD327" s="102"/>
    </row>
    <row r="328" spans="80:82" x14ac:dyDescent="0.25">
      <c r="CB328" s="102"/>
      <c r="CC328" s="102"/>
      <c r="CD328" s="102"/>
    </row>
    <row r="329" spans="80:82" x14ac:dyDescent="0.25">
      <c r="CB329" s="102"/>
      <c r="CC329" s="102"/>
      <c r="CD329" s="102"/>
    </row>
  </sheetData>
  <protectedRanges>
    <protectedRange sqref="CB31:CD55" name="Bereich1"/>
    <protectedRange sqref="DI25:DJ25 CY25:CZ25 DM25:DO25 DC25:DE25" name="Bereich1_1"/>
    <protectedRange sqref="C31:D32 D110:F120 D33:D109 C33:C120" name="Eingaben2"/>
    <protectedRange sqref="G99:G120" name="Eingaben2_1"/>
    <protectedRange sqref="E84:G98 E99:F109" name="Eingaben2_2"/>
    <protectedRange sqref="G76 E76 E31:G75" name="Eingaben2_4"/>
    <protectedRange sqref="E77:E83 G77:G83 F76:F82" name="Eingaben2_1_2"/>
  </protectedRanges>
  <dataConsolidate/>
  <phoneticPr fontId="10" type="noConversion"/>
  <conditionalFormatting sqref="B2008">
    <cfRule type="expression" dxfId="21" priority="13">
      <formula>B2007&lt;&gt;_xludf.INDIRECT("B" &amp; _xludf.ROW() + 200)</formula>
    </cfRule>
  </conditionalFormatting>
  <conditionalFormatting sqref="I150:J150 J144:J149 L127:L150 AI62:AN149 BQ121:BV208 CY100:DE187 H151:L174 B148:G233">
    <cfRule type="expression" dxfId="20" priority="15">
      <formula>#REF!&lt;&gt;_xludf.INDIRECT(_xludf.ADDRESS(_xludf.ROW()-200,_xludf.COLUMN()))</formula>
    </cfRule>
  </conditionalFormatting>
  <conditionalFormatting sqref="H189">
    <cfRule type="expression" dxfId="19" priority="17">
      <formula>#REF!&lt;&gt;_xludf.INDIRECT(_xludf.ADDRESS(_xludf.ROW()-200,_xludf.COLUMN()))</formula>
    </cfRule>
  </conditionalFormatting>
  <conditionalFormatting sqref="D235">
    <cfRule type="expression" dxfId="18" priority="20">
      <formula>#REF!&lt;&gt;_xludf.INDIRECT(_xludf.ADDRESS(_xludf.ROW()-200,_xludf.COLUMN()))</formula>
    </cfRule>
  </conditionalFormatting>
  <conditionalFormatting sqref="B234:B238 H175:H179">
    <cfRule type="expression" dxfId="17" priority="38">
      <formula>#REF!&lt;&gt;_xludf.INDIRECT(_xludf.ADDRESS(_xludf.ROW()-200,_xludf.COLUMN()))</formula>
    </cfRule>
  </conditionalFormatting>
  <conditionalFormatting sqref="AQ144:AQ149 AS127:AS149">
    <cfRule type="expression" dxfId="16" priority="3">
      <formula>#REF!&lt;&gt;_xludf.INDIRECT(_xludf.ADDRESS(_xludf.ROW()-200,_xludf.COLUMN()))</formula>
    </cfRule>
  </conditionalFormatting>
  <conditionalFormatting sqref="BY146:BY149 CA127:CA149">
    <cfRule type="expression" dxfId="15" priority="2">
      <formula>#REF!&lt;&gt;_xludf.INDIRECT(_xludf.ADDRESS(_xludf.ROW()-200,_xludf.COLUMN()))</formula>
    </cfRule>
  </conditionalFormatting>
  <conditionalFormatting sqref="DF147:DG150">
    <cfRule type="expression" dxfId="14" priority="1">
      <formula>#REF!&lt;&gt;_xludf.INDIRECT(_xludf.ADDRESS(_xludf.ROW()-200,_xludf.COLUMN()))</formula>
    </cfRule>
  </conditionalFormatting>
  <conditionalFormatting sqref="H190:H197 H180:H188 I180:L197">
    <cfRule type="expression" dxfId="13" priority="44">
      <formula>H35&lt;&gt;_xludf.INDIRECT(_xludf.ADDRESS(_xludf.ROW()-200,_xludf.COLUMN()))</formula>
    </cfRule>
  </conditionalFormatting>
  <conditionalFormatting sqref="G249">
    <cfRule type="expression" dxfId="12" priority="50">
      <formula>H44&lt;&gt;_xludf.INDIRECT(_xludf.ADDRESS(_xludf.ROW()-200,_xludf.COLUMN()))</formula>
    </cfRule>
  </conditionalFormatting>
  <conditionalFormatting sqref="I175:L179">
    <cfRule type="expression" dxfId="11" priority="51">
      <formula>H30&lt;&gt;_xludf.INDIRECT(_xludf.ADDRESS(_xludf.ROW()-200,_xludf.COLUMN()))</formula>
    </cfRule>
  </conditionalFormatting>
  <conditionalFormatting sqref="E235">
    <cfRule type="expression" dxfId="10" priority="56">
      <formula>C31&lt;&gt;_xludf.INDIRECT(_xludf.ADDRESS(_xludf.ROW()-200,_xludf.COLUMN()))</formula>
    </cfRule>
  </conditionalFormatting>
  <conditionalFormatting sqref="G239:G248 B239:F256 G250:G256">
    <cfRule type="expression" dxfId="9" priority="59">
      <formula>B35&lt;&gt;_xludf.INDIRECT(_xludf.ADDRESS(_xludf.ROW()-200,_xludf.COLUMN()))</formula>
    </cfRule>
  </conditionalFormatting>
  <conditionalFormatting sqref="C235:C238 D236:E238 C234:G234 F235:G238">
    <cfRule type="expression" dxfId="8" priority="62">
      <formula>B30&lt;&gt;_xludf.INDIRECT(_xludf.ADDRESS(_xludf.ROW()-200,_xludf.COLUMN()))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4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19</xdr:row>
                    <xdr:rowOff>228600</xdr:rowOff>
                  </from>
                  <to>
                    <xdr:col>2</xdr:col>
                    <xdr:colOff>190500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18</xdr:row>
                    <xdr:rowOff>28575</xdr:rowOff>
                  </from>
                  <to>
                    <xdr:col>1</xdr:col>
                    <xdr:colOff>1076325</xdr:colOff>
                    <xdr:row>18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23</xdr:row>
                    <xdr:rowOff>19050</xdr:rowOff>
                  </from>
                  <to>
                    <xdr:col>14</xdr:col>
                    <xdr:colOff>1343025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361950</xdr:colOff>
                    <xdr:row>22</xdr:row>
                    <xdr:rowOff>171450</xdr:rowOff>
                  </from>
                  <to>
                    <xdr:col>11</xdr:col>
                    <xdr:colOff>819150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19050</xdr:colOff>
                    <xdr:row>4</xdr:row>
                    <xdr:rowOff>95250</xdr:rowOff>
                  </from>
                  <to>
                    <xdr:col>2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19</xdr:row>
                    <xdr:rowOff>161925</xdr:rowOff>
                  </from>
                  <to>
                    <xdr:col>36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28575</xdr:colOff>
                    <xdr:row>18</xdr:row>
                    <xdr:rowOff>28575</xdr:rowOff>
                  </from>
                  <to>
                    <xdr:col>34</xdr:col>
                    <xdr:colOff>800100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23</xdr:row>
                    <xdr:rowOff>19050</xdr:rowOff>
                  </from>
                  <to>
                    <xdr:col>47</xdr:col>
                    <xdr:colOff>1343025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276225</xdr:colOff>
                    <xdr:row>23</xdr:row>
                    <xdr:rowOff>47625</xdr:rowOff>
                  </from>
                  <to>
                    <xdr:col>45</xdr:col>
                    <xdr:colOff>762000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19</xdr:row>
                    <xdr:rowOff>161925</xdr:rowOff>
                  </from>
                  <to>
                    <xdr:col>70</xdr:col>
                    <xdr:colOff>390525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18</xdr:row>
                    <xdr:rowOff>38100</xdr:rowOff>
                  </from>
                  <to>
                    <xdr:col>68</xdr:col>
                    <xdr:colOff>790575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866775</xdr:colOff>
                    <xdr:row>23</xdr:row>
                    <xdr:rowOff>19050</xdr:rowOff>
                  </from>
                  <to>
                    <xdr:col>81</xdr:col>
                    <xdr:colOff>2171700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333375</xdr:colOff>
                    <xdr:row>22</xdr:row>
                    <xdr:rowOff>171450</xdr:rowOff>
                  </from>
                  <to>
                    <xdr:col>80</xdr:col>
                    <xdr:colOff>809625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1095375</xdr:colOff>
                    <xdr:row>18</xdr:row>
                    <xdr:rowOff>28575</xdr:rowOff>
                  </from>
                  <to>
                    <xdr:col>1</xdr:col>
                    <xdr:colOff>2552700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18</xdr:row>
                    <xdr:rowOff>19050</xdr:rowOff>
                  </from>
                  <to>
                    <xdr:col>35</xdr:col>
                    <xdr:colOff>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819150</xdr:colOff>
                    <xdr:row>18</xdr:row>
                    <xdr:rowOff>19050</xdr:rowOff>
                  </from>
                  <to>
                    <xdr:col>69</xdr:col>
                    <xdr:colOff>9525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66675</xdr:colOff>
                    <xdr:row>6</xdr:row>
                    <xdr:rowOff>19050</xdr:rowOff>
                  </from>
                  <to>
                    <xdr:col>3</xdr:col>
                    <xdr:colOff>876300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57150</xdr:colOff>
                    <xdr:row>4</xdr:row>
                    <xdr:rowOff>38100</xdr:rowOff>
                  </from>
                  <to>
                    <xdr:col>3</xdr:col>
                    <xdr:colOff>942975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28575</xdr:colOff>
                    <xdr:row>20</xdr:row>
                    <xdr:rowOff>0</xdr:rowOff>
                  </from>
                  <to>
                    <xdr:col>7</xdr:col>
                    <xdr:colOff>704850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57150</xdr:colOff>
                    <xdr:row>20</xdr:row>
                    <xdr:rowOff>0</xdr:rowOff>
                  </from>
                  <to>
                    <xdr:col>42</xdr:col>
                    <xdr:colOff>733425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102</xdr:col>
                    <xdr:colOff>38100</xdr:colOff>
                    <xdr:row>19</xdr:row>
                    <xdr:rowOff>161925</xdr:rowOff>
                  </from>
                  <to>
                    <xdr:col>104</xdr:col>
                    <xdr:colOff>152400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102</xdr:col>
                    <xdr:colOff>38100</xdr:colOff>
                    <xdr:row>18</xdr:row>
                    <xdr:rowOff>38100</xdr:rowOff>
                  </from>
                  <to>
                    <xdr:col>102</xdr:col>
                    <xdr:colOff>790575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106</xdr:col>
                    <xdr:colOff>857250</xdr:colOff>
                    <xdr:row>19</xdr:row>
                    <xdr:rowOff>28575</xdr:rowOff>
                  </from>
                  <to>
                    <xdr:col>108</xdr:col>
                    <xdr:colOff>1590675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102</xdr:col>
                    <xdr:colOff>819150</xdr:colOff>
                    <xdr:row>18</xdr:row>
                    <xdr:rowOff>19050</xdr:rowOff>
                  </from>
                  <to>
                    <xdr:col>103</xdr:col>
                    <xdr:colOff>9525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9" name="Button 44">
              <controlPr defaultSize="0" print="0" autoFill="0" autoPict="0" macro="[0]!import_Masses_from_GConverter">
                <anchor moveWithCells="1" sizeWithCells="1">
                  <from>
                    <xdr:col>1</xdr:col>
                    <xdr:colOff>9525</xdr:colOff>
                    <xdr:row>9</xdr:row>
                    <xdr:rowOff>114300</xdr:rowOff>
                  </from>
                  <to>
                    <xdr:col>2</xdr:col>
                    <xdr:colOff>276225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0" name="Import_GeomConv_useMP">
              <controlPr defaultSize="0" autoFill="0" autoLine="0" autoPict="0">
                <anchor moveWithCells="1">
                  <from>
                    <xdr:col>3</xdr:col>
                    <xdr:colOff>57150</xdr:colOff>
                    <xdr:row>9</xdr:row>
                    <xdr:rowOff>38100</xdr:rowOff>
                  </from>
                  <to>
                    <xdr:col>3</xdr:col>
                    <xdr:colOff>942975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1" name="Import_GeomConv_useTP">
              <controlPr defaultSize="0" autoFill="0" autoLine="0" autoPict="0">
                <anchor moveWithCells="1">
                  <from>
                    <xdr:col>3</xdr:col>
                    <xdr:colOff>57150</xdr:colOff>
                    <xdr:row>10</xdr:row>
                    <xdr:rowOff>47625</xdr:rowOff>
                  </from>
                  <to>
                    <xdr:col>3</xdr:col>
                    <xdr:colOff>866775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2" name="Import_GeomConv_useTOWER">
              <controlPr defaultSize="0" autoFill="0" autoLine="0" autoPict="0">
                <anchor moveWithCells="1">
                  <from>
                    <xdr:col>3</xdr:col>
                    <xdr:colOff>57150</xdr:colOff>
                    <xdr:row>11</xdr:row>
                    <xdr:rowOff>76200</xdr:rowOff>
                  </from>
                  <to>
                    <xdr:col>3</xdr:col>
                    <xdr:colOff>866775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6"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T454"/>
  <sheetViews>
    <sheetView zoomScale="85" zoomScaleNormal="85" workbookViewId="0">
      <selection activeCell="F8" sqref="F8"/>
    </sheetView>
  </sheetViews>
  <sheetFormatPr baseColWidth="10" defaultColWidth="14.42578125" defaultRowHeight="15" x14ac:dyDescent="0.25"/>
  <cols>
    <col min="1" max="1" width="14.42578125" style="51"/>
    <col min="2" max="2" width="16.7109375" style="51" customWidth="1"/>
    <col min="3" max="6" width="14.42578125" style="51"/>
    <col min="7" max="7" width="19.7109375" style="51" customWidth="1"/>
    <col min="8" max="9" width="14.42578125" style="51"/>
    <col min="10" max="10" width="14.42578125" style="51" customWidth="1"/>
    <col min="11" max="13" width="14.42578125" style="51"/>
    <col min="14" max="14" width="22.140625" style="51" customWidth="1"/>
    <col min="15" max="15" width="10.28515625" style="55" customWidth="1"/>
    <col min="16" max="16" width="23.85546875" style="55" customWidth="1"/>
    <col min="17" max="17" width="12.7109375" style="55" customWidth="1"/>
    <col min="18" max="18" width="58.7109375" style="55" customWidth="1"/>
    <col min="19" max="19" width="13" style="51" customWidth="1"/>
    <col min="20" max="20" width="14.42578125" style="51" customWidth="1"/>
    <col min="21" max="21" width="19.28515625" style="51" customWidth="1"/>
    <col min="22" max="22" width="14.42578125" style="51"/>
    <col min="23" max="23" width="17.7109375" style="51" customWidth="1"/>
    <col min="24" max="26" width="14.42578125" style="51"/>
    <col min="27" max="27" width="19" customWidth="1"/>
    <col min="28" max="28" width="18.42578125" customWidth="1"/>
    <col min="30" max="30" width="22.7109375" customWidth="1"/>
    <col min="32" max="32" width="20.42578125" customWidth="1"/>
    <col min="36" max="37" width="14.42578125" style="51"/>
    <col min="38" max="38" width="20.42578125" style="51" customWidth="1"/>
    <col min="39" max="39" width="26.7109375" style="51" customWidth="1"/>
    <col min="40" max="40" width="17.42578125" style="51" customWidth="1"/>
    <col min="41" max="16384" width="14.42578125" style="51"/>
  </cols>
  <sheetData>
    <row r="2" spans="2:46" ht="15" customHeight="1" x14ac:dyDescent="0.25">
      <c r="B2" s="51" t="s">
        <v>27</v>
      </c>
      <c r="C2" s="51" t="s">
        <v>116</v>
      </c>
      <c r="D2" s="55" t="s">
        <v>117</v>
      </c>
      <c r="E2" s="55"/>
      <c r="F2" s="55"/>
      <c r="G2" s="55"/>
      <c r="H2" s="55"/>
      <c r="I2" s="55" t="s">
        <v>138</v>
      </c>
      <c r="J2" s="51" t="s">
        <v>116</v>
      </c>
      <c r="K2" s="51" t="s">
        <v>117</v>
      </c>
      <c r="M2" s="55"/>
      <c r="N2" s="55"/>
    </row>
    <row r="3" spans="2:46" x14ac:dyDescent="0.25">
      <c r="B3" s="82" t="s">
        <v>131</v>
      </c>
      <c r="C3" s="84" t="s">
        <v>264</v>
      </c>
      <c r="D3" s="87" t="s">
        <v>84</v>
      </c>
      <c r="E3" s="55"/>
      <c r="I3" t="s">
        <v>78</v>
      </c>
      <c r="J3" s="69">
        <f>SUMIF(WHOLE_STRUCTURE[Affiliation], "TOWER", J14:J2252)</f>
        <v>691.70737506686044</v>
      </c>
      <c r="K3" s="51" t="s">
        <v>6</v>
      </c>
      <c r="M3" s="55"/>
      <c r="N3" s="55"/>
    </row>
    <row r="4" spans="2:46" ht="15" customHeight="1" x14ac:dyDescent="0.25">
      <c r="B4" s="82" t="s">
        <v>130</v>
      </c>
      <c r="C4" s="84" t="s">
        <v>49</v>
      </c>
      <c r="D4" s="87" t="s">
        <v>84</v>
      </c>
      <c r="I4" t="s">
        <v>92</v>
      </c>
      <c r="J4" s="69">
        <f>SUMIF(WHOLE_STRUCTURE[Affiliation], "TP", J14:J2252)</f>
        <v>186.6207794303341</v>
      </c>
      <c r="K4" s="51" t="s">
        <v>6</v>
      </c>
      <c r="L4" s="55"/>
      <c r="M4" s="55"/>
      <c r="N4" s="55"/>
    </row>
    <row r="5" spans="2:46" ht="15" customHeight="1" x14ac:dyDescent="0.25">
      <c r="B5" s="83" t="s">
        <v>216</v>
      </c>
      <c r="C5" s="85">
        <v>0.1</v>
      </c>
      <c r="D5" s="86" t="s">
        <v>132</v>
      </c>
      <c r="I5" t="s">
        <v>69</v>
      </c>
      <c r="J5" s="69">
        <f>SUMIF(WHOLE_STRUCTURE[Affiliation], "MP", J14:J2252)</f>
        <v>1732.2296836474418</v>
      </c>
      <c r="K5" s="51" t="s">
        <v>6</v>
      </c>
      <c r="M5" s="55"/>
      <c r="N5" s="55"/>
    </row>
    <row r="6" spans="2:46" x14ac:dyDescent="0.25">
      <c r="B6" s="82" t="s">
        <v>133</v>
      </c>
      <c r="C6" s="84">
        <v>-43.5</v>
      </c>
      <c r="D6" s="87" t="s">
        <v>132</v>
      </c>
      <c r="I6" t="s">
        <v>126</v>
      </c>
      <c r="J6" s="69" t="str" cm="1">
        <f t="array" ref="J6">RNA[Power '[MW']]</f>
        <v>//</v>
      </c>
      <c r="K6" s="51" t="s">
        <v>6</v>
      </c>
      <c r="M6" s="55"/>
      <c r="N6" s="55"/>
      <c r="AB6" s="93"/>
      <c r="AC6" s="93"/>
    </row>
    <row r="7" spans="2:46" ht="15" customHeight="1" x14ac:dyDescent="0.25">
      <c r="I7" t="s">
        <v>129</v>
      </c>
      <c r="J7" s="69">
        <f>SUM(Q14:Q1048576)</f>
        <v>405056</v>
      </c>
      <c r="K7" s="51" t="s">
        <v>6</v>
      </c>
      <c r="M7" s="55"/>
      <c r="N7" s="55"/>
      <c r="AM7" s="51" t="s">
        <v>254</v>
      </c>
    </row>
    <row r="8" spans="2:46" ht="15" customHeight="1" x14ac:dyDescent="0.25">
      <c r="B8" s="108" t="s">
        <v>207</v>
      </c>
      <c r="C8" s="84">
        <f xml:space="preserve"> INDEX(WHOLE_STRUCTURE[Top '[m']], 1) + INDEX(RNA[Vertical Offset TT to HH '[m']],1)</f>
        <v>147.08999999999997</v>
      </c>
      <c r="D8" s="87" t="s">
        <v>132</v>
      </c>
      <c r="I8" t="s">
        <v>137</v>
      </c>
      <c r="J8" s="69">
        <f>SUM(J3:J7)</f>
        <v>407666.55783814465</v>
      </c>
      <c r="K8" s="51" t="s">
        <v>6</v>
      </c>
      <c r="M8" s="55"/>
      <c r="N8" s="55"/>
    </row>
    <row r="9" spans="2:46" ht="15" customHeight="1" x14ac:dyDescent="0.25">
      <c r="I9"/>
      <c r="J9" s="69"/>
      <c r="M9" s="55"/>
      <c r="N9" s="55"/>
    </row>
    <row r="10" spans="2:46" ht="15" customHeight="1" x14ac:dyDescent="0.25">
      <c r="B10"/>
      <c r="C10"/>
      <c r="D10"/>
      <c r="E10"/>
      <c r="F10"/>
      <c r="G10"/>
      <c r="H10"/>
      <c r="L10"/>
      <c r="M10"/>
      <c r="N10"/>
      <c r="O10"/>
      <c r="P10"/>
      <c r="Q10"/>
    </row>
    <row r="11" spans="2:46" ht="31.9" customHeight="1" x14ac:dyDescent="0.5">
      <c r="B11" s="68" t="s">
        <v>108</v>
      </c>
      <c r="O11" s="68" t="s">
        <v>109</v>
      </c>
      <c r="T11" s="68" t="s">
        <v>111</v>
      </c>
      <c r="AA11" s="68" t="s">
        <v>126</v>
      </c>
      <c r="AK11" s="68" t="s">
        <v>20</v>
      </c>
      <c r="AQ11" s="68" t="s">
        <v>110</v>
      </c>
    </row>
    <row r="14" spans="2:46" x14ac:dyDescent="0.25">
      <c r="B14" s="51" t="s">
        <v>1</v>
      </c>
      <c r="C14" s="51" t="s">
        <v>94</v>
      </c>
      <c r="D14" s="51" t="s">
        <v>91</v>
      </c>
      <c r="E14" s="51" t="s">
        <v>105</v>
      </c>
      <c r="F14" s="51" t="s">
        <v>104</v>
      </c>
      <c r="G14" s="51" t="s">
        <v>85</v>
      </c>
      <c r="H14" s="51" t="s">
        <v>86</v>
      </c>
      <c r="I14" s="51" t="s">
        <v>87</v>
      </c>
      <c r="J14" s="51" t="s">
        <v>93</v>
      </c>
      <c r="K14" s="51" t="s">
        <v>9</v>
      </c>
      <c r="L14" s="51" t="s">
        <v>10</v>
      </c>
      <c r="M14" s="51" t="s">
        <v>12</v>
      </c>
      <c r="O14" s="55" t="s">
        <v>94</v>
      </c>
      <c r="P14" t="s">
        <v>107</v>
      </c>
      <c r="Q14" t="s">
        <v>96</v>
      </c>
      <c r="R14" s="55" t="s">
        <v>19</v>
      </c>
      <c r="T14" s="66" t="s">
        <v>94</v>
      </c>
      <c r="U14" s="57" t="s">
        <v>107</v>
      </c>
      <c r="V14" s="57" t="s">
        <v>128</v>
      </c>
      <c r="W14" s="67" t="s">
        <v>19</v>
      </c>
      <c r="AA14" t="s">
        <v>80</v>
      </c>
      <c r="AB14" t="s">
        <v>139</v>
      </c>
      <c r="AC14" t="s">
        <v>140</v>
      </c>
      <c r="AD14" t="s">
        <v>218</v>
      </c>
      <c r="AE14" t="s">
        <v>227</v>
      </c>
      <c r="AF14" t="s">
        <v>228</v>
      </c>
      <c r="AG14" t="s">
        <v>237</v>
      </c>
      <c r="AH14" t="s">
        <v>236</v>
      </c>
      <c r="AI14" s="97" t="s">
        <v>19</v>
      </c>
      <c r="AK14" s="51" t="s">
        <v>104</v>
      </c>
      <c r="AL14" s="51" t="s">
        <v>105</v>
      </c>
      <c r="AM14" s="51" t="s">
        <v>112</v>
      </c>
      <c r="AN14" s="51" t="s">
        <v>253</v>
      </c>
      <c r="AO14" s="51" t="s">
        <v>252</v>
      </c>
      <c r="AQ14" s="51" t="s">
        <v>104</v>
      </c>
      <c r="AR14" s="51" t="s">
        <v>105</v>
      </c>
      <c r="AS14" s="51" t="s">
        <v>17</v>
      </c>
      <c r="AT14" s="51" t="s">
        <v>18</v>
      </c>
    </row>
    <row r="15" spans="2:46" x14ac:dyDescent="0.25">
      <c r="B15" s="51">
        <v>1</v>
      </c>
      <c r="C15" s="51" t="s">
        <v>78</v>
      </c>
      <c r="D15" s="51">
        <v>1</v>
      </c>
      <c r="E15" s="51">
        <v>140.49999999999997</v>
      </c>
      <c r="F15" s="51">
        <v>140.32499999999996</v>
      </c>
      <c r="G15" s="51">
        <v>5.6159999999999997</v>
      </c>
      <c r="H15" s="51">
        <v>5.6159999999999997</v>
      </c>
      <c r="I15" s="51">
        <v>42</v>
      </c>
      <c r="J15" s="54">
        <f t="shared" ref="J15:J41" si="0">IF(7850/1000*(1/3)*PI()*ABS(E15-F15)*((G15/2)^2+(G15/2)*(H15/2)+(H15/2)^2-(G15/2-I15/1000)^2-(G15/2-I15/1000)*(H15/2-I15/1000)-(H15/2-I15/1000)^2)=0,"",7850/1000*(1/3)*PI()*ABS(E15-F15)*((G15/2)^2+(G15/2)*(H15/2)+(H15/2)^2-(G15/2-I15/1000)^2-(G15/2-I15/1000)*(H15/2-I15/1000)-(H15/2-I15/1000)^2))</f>
        <v>1.0103546228354485</v>
      </c>
      <c r="K15" s="53">
        <f>IFERROR(WHOLE_STRUCTURE[[#This Row],[Bottom '[m']]]-WHOLE_STRUCTURE[[#This Row],[D, top '[m']]], "")</f>
        <v>134.70899999999995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133.71428571428569</v>
      </c>
      <c r="O15" s="55" t="s">
        <v>78</v>
      </c>
      <c r="P15" s="55">
        <v>140.49999999999997</v>
      </c>
      <c r="Q15" s="55">
        <v>6154</v>
      </c>
      <c r="R15" s="55" t="s">
        <v>267</v>
      </c>
      <c r="U15" s="69"/>
      <c r="V15" s="69"/>
      <c r="AA15" s="58" t="s">
        <v>255</v>
      </c>
      <c r="AB15" s="58" t="s">
        <v>156</v>
      </c>
      <c r="AC15" s="58" t="s">
        <v>156</v>
      </c>
      <c r="AD15" s="60">
        <v>1394251</v>
      </c>
      <c r="AE15" s="60">
        <v>382420000</v>
      </c>
      <c r="AF15" s="60">
        <v>639730000</v>
      </c>
      <c r="AG15" s="60">
        <v>6.59</v>
      </c>
      <c r="AH15" s="60">
        <v>5.74</v>
      </c>
      <c r="AI15" s="60" t="s">
        <v>271</v>
      </c>
      <c r="AK15" s="51">
        <v>139</v>
      </c>
      <c r="AL15" s="51">
        <v>4.5999999999999996</v>
      </c>
      <c r="AM15" s="51">
        <v>0</v>
      </c>
      <c r="AN15" s="51">
        <v>1325</v>
      </c>
      <c r="AO15" s="51">
        <v>0.5</v>
      </c>
      <c r="AQ15" s="51">
        <v>20</v>
      </c>
      <c r="AR15" s="51">
        <v>6.5</v>
      </c>
      <c r="AS15" s="51">
        <v>0.9</v>
      </c>
      <c r="AT15" s="51">
        <v>2</v>
      </c>
    </row>
    <row r="16" spans="2:46" x14ac:dyDescent="0.25">
      <c r="B16" s="51">
        <v>2</v>
      </c>
      <c r="C16" s="51" t="s">
        <v>78</v>
      </c>
      <c r="D16" s="51">
        <v>2</v>
      </c>
      <c r="E16" s="51">
        <v>140.32499999999996</v>
      </c>
      <c r="F16" s="51">
        <v>140.27499999999998</v>
      </c>
      <c r="G16" s="51">
        <v>5.6159999999999997</v>
      </c>
      <c r="H16" s="51">
        <v>5.609</v>
      </c>
      <c r="I16" s="51">
        <v>42</v>
      </c>
      <c r="J16" s="54">
        <f t="shared" si="0"/>
        <v>0.28849148733930929</v>
      </c>
      <c r="K16" s="53">
        <f>IFERROR(WHOLE_STRUCTURE[[#This Row],[Bottom '[m']]]-WHOLE_STRUCTURE[[#This Row],[D, top '[m']]], "")</f>
        <v>134.65899999999999</v>
      </c>
      <c r="L16" s="54">
        <f>IFERROR(-(WHOLE_STRUCTURE[[#This Row],[D, bottom '[m']]]-WHOLE_STRUCTURE[[#This Row],[D, top '[m']]])/(WHOLE_STRUCTURE[[#This Row],[Bottom '[m']]]-WHOLE_STRUCTURE[[#This Row],[Top '[m']]]),"")</f>
        <v>-0.1400000000000412</v>
      </c>
      <c r="M16" s="52">
        <f>IFERROR((WHOLE_STRUCTURE[[#This Row],[D, bottom '[m']]]+WHOLE_STRUCTURE[[#This Row],[D, top '[m']]])/(2*WHOLE_STRUCTURE[[#This Row],[t '[mm']]]/1000),"")</f>
        <v>133.63095238095238</v>
      </c>
      <c r="O16" s="55" t="s">
        <v>78</v>
      </c>
      <c r="P16" s="55">
        <v>140.32499999999996</v>
      </c>
      <c r="Q16" s="55">
        <v>5</v>
      </c>
      <c r="R16" s="55" t="s">
        <v>267</v>
      </c>
      <c r="AK16" s="51">
        <f>IF(ISBLANK(AL16),"",AL15)</f>
        <v>4.5999999999999996</v>
      </c>
      <c r="AL16" s="51">
        <v>-9.6</v>
      </c>
      <c r="AM16" s="51">
        <v>250</v>
      </c>
      <c r="AN16" s="51">
        <v>1325</v>
      </c>
      <c r="AO16" s="51">
        <v>0.5</v>
      </c>
      <c r="AQ16" s="51">
        <f>IF(ISBLANK(AR16),"",AR15)</f>
        <v>6.5</v>
      </c>
      <c r="AR16" s="51">
        <v>-22</v>
      </c>
      <c r="AS16" s="51">
        <v>0.9</v>
      </c>
      <c r="AT16" s="51">
        <v>2</v>
      </c>
    </row>
    <row r="17" spans="2:43" x14ac:dyDescent="0.25">
      <c r="B17" s="51">
        <v>3</v>
      </c>
      <c r="C17" s="51" t="s">
        <v>78</v>
      </c>
      <c r="D17" s="51">
        <v>3</v>
      </c>
      <c r="E17" s="51">
        <v>140.27499999999998</v>
      </c>
      <c r="F17" s="51">
        <v>138.62499999999997</v>
      </c>
      <c r="G17" s="51">
        <v>5.609</v>
      </c>
      <c r="H17" s="51">
        <v>5.9039999999999999</v>
      </c>
      <c r="I17" s="51">
        <v>35</v>
      </c>
      <c r="J17" s="54">
        <f t="shared" si="0"/>
        <v>8.1485703675329084</v>
      </c>
      <c r="K17" s="53">
        <f>IFERROR(WHOLE_STRUCTURE[[#This Row],[Bottom '[m']]]-WHOLE_STRUCTURE[[#This Row],[D, top '[m']]], "")</f>
        <v>133.01599999999996</v>
      </c>
      <c r="L17" s="54">
        <f>IFERROR(-(WHOLE_STRUCTURE[[#This Row],[D, bottom '[m']]]-WHOLE_STRUCTURE[[#This Row],[D, top '[m']]])/(WHOLE_STRUCTURE[[#This Row],[Bottom '[m']]]-WHOLE_STRUCTURE[[#This Row],[Top '[m']]]),"")</f>
        <v>0.17878787878787814</v>
      </c>
      <c r="M17" s="52">
        <f>IFERROR((WHOLE_STRUCTURE[[#This Row],[D, bottom '[m']]]+WHOLE_STRUCTURE[[#This Row],[D, top '[m']]])/(2*WHOLE_STRUCTURE[[#This Row],[t '[mm']]]/1000),"")</f>
        <v>164.47142857142856</v>
      </c>
      <c r="O17" s="55" t="s">
        <v>78</v>
      </c>
      <c r="P17" s="55">
        <v>140.27499999999998</v>
      </c>
      <c r="Q17" s="55">
        <v>2</v>
      </c>
      <c r="R17" s="55" t="s">
        <v>267</v>
      </c>
      <c r="AK17" s="51">
        <f t="shared" ref="AK17" si="1">IF(ISBLANK(AL17),"",AL16)</f>
        <v>-9.6</v>
      </c>
      <c r="AL17" s="51">
        <v>-22</v>
      </c>
      <c r="AM17" s="51">
        <v>100</v>
      </c>
      <c r="AN17" s="51">
        <v>1325</v>
      </c>
      <c r="AO17" s="51">
        <v>0.5</v>
      </c>
      <c r="AQ17" s="51" t="str">
        <f t="shared" ref="AQ17" si="2">IF(ISBLANK(AR17),"",AR16)</f>
        <v/>
      </c>
    </row>
    <row r="18" spans="2:43" x14ac:dyDescent="0.25">
      <c r="B18" s="51">
        <v>4</v>
      </c>
      <c r="C18" s="51" t="s">
        <v>78</v>
      </c>
      <c r="D18" s="51">
        <v>4</v>
      </c>
      <c r="E18" s="51">
        <v>138.62499999999997</v>
      </c>
      <c r="F18" s="51">
        <v>136.97499999999997</v>
      </c>
      <c r="G18" s="51">
        <v>5.9039999999999999</v>
      </c>
      <c r="H18" s="51">
        <v>6.258</v>
      </c>
      <c r="I18" s="51">
        <v>40</v>
      </c>
      <c r="J18" s="54">
        <f t="shared" si="0"/>
        <v>9.8326889482561182</v>
      </c>
      <c r="K18" s="53">
        <f>IFERROR(WHOLE_STRUCTURE[[#This Row],[Bottom '[m']]]-WHOLE_STRUCTURE[[#This Row],[D, top '[m']]], "")</f>
        <v>131.07099999999997</v>
      </c>
      <c r="L18" s="54">
        <f>IFERROR(-(WHOLE_STRUCTURE[[#This Row],[D, bottom '[m']]]-WHOLE_STRUCTURE[[#This Row],[D, top '[m']]])/(WHOLE_STRUCTURE[[#This Row],[Bottom '[m']]]-WHOLE_STRUCTURE[[#This Row],[Top '[m']]]),"")</f>
        <v>0.21454545454545387</v>
      </c>
      <c r="M18" s="52">
        <f>IFERROR((WHOLE_STRUCTURE[[#This Row],[D, bottom '[m']]]+WHOLE_STRUCTURE[[#This Row],[D, top '[m']]])/(2*WHOLE_STRUCTURE[[#This Row],[t '[mm']]]/1000),"")</f>
        <v>152.02499999999998</v>
      </c>
      <c r="O18" s="55" t="s">
        <v>78</v>
      </c>
      <c r="P18" s="55">
        <v>138.23499999999999</v>
      </c>
      <c r="Q18" s="55">
        <v>1981</v>
      </c>
      <c r="R18" s="55" t="s">
        <v>267</v>
      </c>
      <c r="T18" s="56" t="s">
        <v>94</v>
      </c>
      <c r="U18" s="57" t="s">
        <v>105</v>
      </c>
      <c r="V18" s="57" t="s">
        <v>104</v>
      </c>
      <c r="W18" s="57" t="s">
        <v>85</v>
      </c>
      <c r="X18" s="57" t="s">
        <v>86</v>
      </c>
      <c r="Y18" s="57" t="s">
        <v>87</v>
      </c>
    </row>
    <row r="19" spans="2:43" x14ac:dyDescent="0.25">
      <c r="B19" s="51">
        <v>5</v>
      </c>
      <c r="C19" s="51" t="s">
        <v>78</v>
      </c>
      <c r="D19" s="51">
        <v>5</v>
      </c>
      <c r="E19" s="51">
        <v>136.97499999999997</v>
      </c>
      <c r="F19" s="51">
        <v>136.38899999999998</v>
      </c>
      <c r="G19" s="51">
        <v>6.258</v>
      </c>
      <c r="H19" s="51">
        <v>6.258</v>
      </c>
      <c r="I19" s="51">
        <v>58</v>
      </c>
      <c r="J19" s="54">
        <f t="shared" si="0"/>
        <v>5.1968098755337806</v>
      </c>
      <c r="K19" s="53">
        <f>IFERROR(WHOLE_STRUCTURE[[#This Row],[Bottom '[m']]]-WHOLE_STRUCTURE[[#This Row],[D, top '[m']]], "")</f>
        <v>130.13099999999997</v>
      </c>
      <c r="L19" s="54">
        <f>IFERROR(-(WHOLE_STRUCTURE[[#This Row],[D, bottom '[m']]]-WHOLE_STRUCTURE[[#This Row],[D, top '[m']]])/(WHOLE_STRUCTURE[[#This Row],[Bottom '[m']]]-WHOLE_STRUCTURE[[#This Row],[Top '[m']]]),"")</f>
        <v>0</v>
      </c>
      <c r="M19" s="52">
        <f>IFERROR((WHOLE_STRUCTURE[[#This Row],[D, bottom '[m']]]+WHOLE_STRUCTURE[[#This Row],[D, top '[m']]])/(2*WHOLE_STRUCTURE[[#This Row],[t '[mm']]]/1000),"")</f>
        <v>107.89655172413792</v>
      </c>
      <c r="O19" s="55" t="s">
        <v>78</v>
      </c>
      <c r="P19" s="55">
        <v>136.58499999999998</v>
      </c>
      <c r="Q19" s="55">
        <v>82</v>
      </c>
      <c r="R19" s="55" t="s">
        <v>267</v>
      </c>
      <c r="T19" s="58"/>
      <c r="U19" s="58"/>
      <c r="V19" s="58"/>
      <c r="W19" s="58"/>
      <c r="X19" s="59"/>
      <c r="Y19" s="60"/>
    </row>
    <row r="20" spans="2:43" x14ac:dyDescent="0.25">
      <c r="B20" s="51">
        <v>6</v>
      </c>
      <c r="C20" s="51" t="s">
        <v>78</v>
      </c>
      <c r="D20" s="51">
        <v>6</v>
      </c>
      <c r="E20" s="51">
        <v>136.38899999999998</v>
      </c>
      <c r="F20" s="51">
        <v>135.29999999999998</v>
      </c>
      <c r="G20" s="51">
        <v>6.258</v>
      </c>
      <c r="H20" s="51">
        <v>6.258</v>
      </c>
      <c r="I20" s="51">
        <v>58</v>
      </c>
      <c r="J20" s="54">
        <f t="shared" si="0"/>
        <v>9.6575528233044903</v>
      </c>
      <c r="K20" s="53">
        <f>IFERROR(WHOLE_STRUCTURE[[#This Row],[Bottom '[m']]]-WHOLE_STRUCTURE[[#This Row],[D, top '[m']]], "")</f>
        <v>129.04199999999997</v>
      </c>
      <c r="L20" s="54">
        <f>IFERROR(-(WHOLE_STRUCTURE[[#This Row],[D, bottom '[m']]]-WHOLE_STRUCTURE[[#This Row],[D, top '[m']]])/(WHOLE_STRUCTURE[[#This Row],[Bottom '[m']]]-WHOLE_STRUCTURE[[#This Row],[Top '[m']]]),"")</f>
        <v>0</v>
      </c>
      <c r="M20" s="52">
        <f>IFERROR((WHOLE_STRUCTURE[[#This Row],[D, bottom '[m']]]+WHOLE_STRUCTURE[[#This Row],[D, top '[m']]])/(2*WHOLE_STRUCTURE[[#This Row],[t '[mm']]]/1000),"")</f>
        <v>107.89655172413792</v>
      </c>
      <c r="O20" s="55" t="s">
        <v>78</v>
      </c>
      <c r="P20" s="55">
        <v>135.999</v>
      </c>
      <c r="Q20" s="55">
        <v>88</v>
      </c>
      <c r="R20" s="55" t="s">
        <v>267</v>
      </c>
      <c r="T20" s="58"/>
      <c r="U20" s="58"/>
      <c r="V20" s="58"/>
      <c r="W20" s="58"/>
      <c r="X20" s="59"/>
      <c r="Y20" s="58"/>
    </row>
    <row r="21" spans="2:43" x14ac:dyDescent="0.25">
      <c r="B21" s="51">
        <v>7</v>
      </c>
      <c r="C21" s="51" t="s">
        <v>78</v>
      </c>
      <c r="D21" s="51">
        <v>7</v>
      </c>
      <c r="E21" s="51">
        <v>135.29999999999998</v>
      </c>
      <c r="F21" s="51">
        <v>133.47499999999997</v>
      </c>
      <c r="G21" s="51">
        <v>6.258</v>
      </c>
      <c r="H21" s="51">
        <v>6.2229999999999999</v>
      </c>
      <c r="I21" s="51">
        <v>58</v>
      </c>
      <c r="J21" s="54">
        <f t="shared" si="0"/>
        <v>16.138921784175626</v>
      </c>
      <c r="K21" s="53">
        <f>IFERROR(WHOLE_STRUCTURE[[#This Row],[Bottom '[m']]]-WHOLE_STRUCTURE[[#This Row],[D, top '[m']]], "")</f>
        <v>127.21699999999997</v>
      </c>
      <c r="L21" s="54">
        <f>IFERROR(-(WHOLE_STRUCTURE[[#This Row],[D, bottom '[m']]]-WHOLE_STRUCTURE[[#This Row],[D, top '[m']]])/(WHOLE_STRUCTURE[[#This Row],[Bottom '[m']]]-WHOLE_STRUCTURE[[#This Row],[Top '[m']]]),"")</f>
        <v>-1.9178082191780719E-2</v>
      </c>
      <c r="M21" s="52">
        <f>IFERROR((WHOLE_STRUCTURE[[#This Row],[D, bottom '[m']]]+WHOLE_STRUCTURE[[#This Row],[D, top '[m']]])/(2*WHOLE_STRUCTURE[[#This Row],[t '[mm']]]/1000),"")</f>
        <v>107.59482758620689</v>
      </c>
      <c r="O21" s="55" t="s">
        <v>78</v>
      </c>
      <c r="P21" s="55">
        <v>134.91</v>
      </c>
      <c r="Q21" s="55">
        <v>41600</v>
      </c>
      <c r="R21" s="55" t="s">
        <v>267</v>
      </c>
    </row>
    <row r="22" spans="2:43" x14ac:dyDescent="0.25">
      <c r="B22" s="51">
        <v>8</v>
      </c>
      <c r="C22" s="51" t="s">
        <v>78</v>
      </c>
      <c r="D22" s="51">
        <v>8</v>
      </c>
      <c r="E22" s="51">
        <v>133.47499999999997</v>
      </c>
      <c r="F22" s="51">
        <v>131.23999999999998</v>
      </c>
      <c r="G22" s="51">
        <v>6.2229999999999999</v>
      </c>
      <c r="H22" s="51">
        <v>6.2229999999999999</v>
      </c>
      <c r="I22" s="51">
        <v>23</v>
      </c>
      <c r="J22" s="54">
        <f t="shared" si="0"/>
        <v>7.8598920693133492</v>
      </c>
      <c r="K22" s="53">
        <f>IFERROR(WHOLE_STRUCTURE[[#This Row],[Bottom '[m']]]-WHOLE_STRUCTURE[[#This Row],[D, top '[m']]], "")</f>
        <v>125.01699999999998</v>
      </c>
      <c r="L22" s="54">
        <f>IFERROR(-(WHOLE_STRUCTURE[[#This Row],[D, bottom '[m']]]-WHOLE_STRUCTURE[[#This Row],[D, top '[m']]])/(WHOLE_STRUCTURE[[#This Row],[Bottom '[m']]]-WHOLE_STRUCTURE[[#This Row],[Top '[m']]]),"")</f>
        <v>0</v>
      </c>
      <c r="M22" s="52">
        <f>IFERROR((WHOLE_STRUCTURE[[#This Row],[D, bottom '[m']]]+WHOLE_STRUCTURE[[#This Row],[D, top '[m']]])/(2*WHOLE_STRUCTURE[[#This Row],[t '[mm']]]/1000),"")</f>
        <v>270.56521739130437</v>
      </c>
      <c r="O22" s="55" t="s">
        <v>78</v>
      </c>
      <c r="P22" s="55">
        <v>133.08499999999998</v>
      </c>
      <c r="Q22" s="55">
        <v>88</v>
      </c>
      <c r="R22" s="55" t="s">
        <v>267</v>
      </c>
    </row>
    <row r="23" spans="2:43" x14ac:dyDescent="0.25">
      <c r="B23" s="51">
        <v>9</v>
      </c>
      <c r="C23" s="51" t="s">
        <v>78</v>
      </c>
      <c r="D23" s="51">
        <v>9</v>
      </c>
      <c r="E23" s="51">
        <v>131.23999999999998</v>
      </c>
      <c r="F23" s="51">
        <v>130.89999999999998</v>
      </c>
      <c r="G23" s="51">
        <v>6.2229999999999999</v>
      </c>
      <c r="H23" s="51">
        <v>6.2229999999999999</v>
      </c>
      <c r="I23" s="51">
        <v>23</v>
      </c>
      <c r="J23" s="54">
        <f t="shared" si="0"/>
        <v>1.1956882790007084</v>
      </c>
      <c r="K23" s="53">
        <f>IFERROR(WHOLE_STRUCTURE[[#This Row],[Bottom '[m']]]-WHOLE_STRUCTURE[[#This Row],[D, top '[m']]], "")</f>
        <v>124.67699999999998</v>
      </c>
      <c r="L23" s="54">
        <f>IFERROR(-(WHOLE_STRUCTURE[[#This Row],[D, bottom '[m']]]-WHOLE_STRUCTURE[[#This Row],[D, top '[m']]])/(WHOLE_STRUCTURE[[#This Row],[Bottom '[m']]]-WHOLE_STRUCTURE[[#This Row],[Top '[m']]]),"")</f>
        <v>0</v>
      </c>
      <c r="M23" s="52">
        <f>IFERROR((WHOLE_STRUCTURE[[#This Row],[D, bottom '[m']]]+WHOLE_STRUCTURE[[#This Row],[D, top '[m']]])/(2*WHOLE_STRUCTURE[[#This Row],[t '[mm']]]/1000),"")</f>
        <v>270.56521739130437</v>
      </c>
      <c r="O23" s="55" t="s">
        <v>78</v>
      </c>
      <c r="P23" s="55">
        <v>131.23999999999998</v>
      </c>
      <c r="Q23" s="55">
        <v>92</v>
      </c>
      <c r="R23" s="55" t="s">
        <v>267</v>
      </c>
    </row>
    <row r="24" spans="2:43" x14ac:dyDescent="0.25">
      <c r="B24" s="51">
        <v>10</v>
      </c>
      <c r="C24" s="51" t="s">
        <v>78</v>
      </c>
      <c r="D24" s="51">
        <v>10</v>
      </c>
      <c r="E24" s="51">
        <v>130.89999999999998</v>
      </c>
      <c r="F24" s="51">
        <v>128.48999999999998</v>
      </c>
      <c r="G24" s="51">
        <v>6.2229999999999999</v>
      </c>
      <c r="H24" s="51">
        <v>6.2229999999999999</v>
      </c>
      <c r="I24" s="51">
        <v>23</v>
      </c>
      <c r="J24" s="54">
        <f t="shared" si="0"/>
        <v>8.475319859975512</v>
      </c>
      <c r="K24" s="53">
        <f>IFERROR(WHOLE_STRUCTURE[[#This Row],[Bottom '[m']]]-WHOLE_STRUCTURE[[#This Row],[D, top '[m']]], "")</f>
        <v>122.26699999999998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270.56521739130437</v>
      </c>
      <c r="O24" s="55" t="s">
        <v>78</v>
      </c>
      <c r="P24" s="55">
        <v>130.89999999999998</v>
      </c>
      <c r="Q24" s="55">
        <v>138</v>
      </c>
      <c r="R24" s="55" t="s">
        <v>267</v>
      </c>
    </row>
    <row r="25" spans="2:43" x14ac:dyDescent="0.25">
      <c r="B25" s="51">
        <v>11</v>
      </c>
      <c r="C25" s="51" t="s">
        <v>78</v>
      </c>
      <c r="D25" s="51">
        <v>11</v>
      </c>
      <c r="E25" s="51">
        <v>128.48999999999998</v>
      </c>
      <c r="F25" s="51">
        <v>125.74000000000001</v>
      </c>
      <c r="G25" s="51">
        <v>6.2229999999999999</v>
      </c>
      <c r="H25" s="51">
        <v>6.2229999999999999</v>
      </c>
      <c r="I25" s="51">
        <v>23</v>
      </c>
      <c r="J25" s="54">
        <f t="shared" si="0"/>
        <v>9.6710081389761218</v>
      </c>
      <c r="K25" s="53">
        <f>IFERROR(WHOLE_STRUCTURE[[#This Row],[Bottom '[m']]]-WHOLE_STRUCTURE[[#This Row],[D, top '[m']]], "")</f>
        <v>119.51700000000001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270.56521739130437</v>
      </c>
      <c r="O25" s="55" t="s">
        <v>78</v>
      </c>
      <c r="P25" s="55">
        <v>125.74</v>
      </c>
      <c r="Q25" s="55">
        <v>138</v>
      </c>
      <c r="R25" s="55" t="s">
        <v>267</v>
      </c>
    </row>
    <row r="26" spans="2:43" x14ac:dyDescent="0.25">
      <c r="B26" s="51">
        <v>12</v>
      </c>
      <c r="C26" s="51" t="s">
        <v>78</v>
      </c>
      <c r="D26" s="51">
        <v>12</v>
      </c>
      <c r="E26" s="51">
        <v>125.74000000000001</v>
      </c>
      <c r="F26" s="51">
        <v>123.667</v>
      </c>
      <c r="G26" s="51">
        <v>6.2229999999999999</v>
      </c>
      <c r="H26" s="51">
        <v>6.2229999999999999</v>
      </c>
      <c r="I26" s="51">
        <v>23</v>
      </c>
      <c r="J26" s="54">
        <f t="shared" si="0"/>
        <v>7.2901817716719197</v>
      </c>
      <c r="K26" s="53">
        <f>IFERROR(WHOLE_STRUCTURE[[#This Row],[Bottom '[m']]]-WHOLE_STRUCTURE[[#This Row],[D, top '[m']]], "")</f>
        <v>117.444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270.56521739130437</v>
      </c>
      <c r="O26" s="55" t="s">
        <v>78</v>
      </c>
      <c r="P26" s="55">
        <v>123.66699999999999</v>
      </c>
      <c r="Q26" s="55">
        <v>147</v>
      </c>
      <c r="R26" s="55" t="s">
        <v>267</v>
      </c>
    </row>
    <row r="27" spans="2:43" x14ac:dyDescent="0.25">
      <c r="B27" s="51">
        <v>13</v>
      </c>
      <c r="C27" s="51" t="s">
        <v>78</v>
      </c>
      <c r="D27" s="51">
        <v>13</v>
      </c>
      <c r="E27" s="51">
        <v>123.667</v>
      </c>
      <c r="F27" s="51">
        <v>122.81</v>
      </c>
      <c r="G27" s="51">
        <v>6.2229999999999999</v>
      </c>
      <c r="H27" s="51">
        <v>6.2229999999999999</v>
      </c>
      <c r="I27" s="51">
        <v>23</v>
      </c>
      <c r="J27" s="54">
        <f t="shared" si="0"/>
        <v>3.0138378091282236</v>
      </c>
      <c r="K27" s="53">
        <f>IFERROR(WHOLE_STRUCTURE[[#This Row],[Bottom '[m']]]-WHOLE_STRUCTURE[[#This Row],[D, top '[m']]], "")</f>
        <v>116.587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270.56521739130437</v>
      </c>
      <c r="O27" s="55" t="s">
        <v>78</v>
      </c>
      <c r="P27" s="55">
        <v>120.89999999999999</v>
      </c>
      <c r="Q27" s="55">
        <v>147</v>
      </c>
      <c r="R27" s="55" t="s">
        <v>267</v>
      </c>
    </row>
    <row r="28" spans="2:43" x14ac:dyDescent="0.25">
      <c r="B28" s="51">
        <v>14</v>
      </c>
      <c r="C28" s="51" t="s">
        <v>78</v>
      </c>
      <c r="D28" s="51">
        <v>14</v>
      </c>
      <c r="E28" s="51">
        <v>122.81</v>
      </c>
      <c r="F28" s="51">
        <v>120.9</v>
      </c>
      <c r="G28" s="51">
        <v>6.2229999999999999</v>
      </c>
      <c r="H28" s="51">
        <v>6.2229999999999999</v>
      </c>
      <c r="I28" s="51">
        <v>23</v>
      </c>
      <c r="J28" s="54">
        <f t="shared" si="0"/>
        <v>6.7169547437980182</v>
      </c>
      <c r="K28" s="53">
        <f>IFERROR(WHOLE_STRUCTURE[[#This Row],[Bottom '[m']]]-WHOLE_STRUCTURE[[#This Row],[D, top '[m']]], "")</f>
        <v>114.67700000000001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270.56521739130437</v>
      </c>
      <c r="O28" s="55" t="s">
        <v>78</v>
      </c>
      <c r="P28" s="55">
        <v>119.88</v>
      </c>
      <c r="Q28" s="55">
        <v>1060</v>
      </c>
      <c r="R28" s="55" t="s">
        <v>267</v>
      </c>
    </row>
    <row r="29" spans="2:43" x14ac:dyDescent="0.25">
      <c r="B29" s="51">
        <v>15</v>
      </c>
      <c r="C29" s="51" t="s">
        <v>78</v>
      </c>
      <c r="D29" s="51">
        <v>15</v>
      </c>
      <c r="E29" s="51">
        <v>120.9</v>
      </c>
      <c r="F29" s="51">
        <v>119.88000000000001</v>
      </c>
      <c r="G29" s="51">
        <v>6.2229999999999999</v>
      </c>
      <c r="H29" s="51">
        <v>6.2229999999999999</v>
      </c>
      <c r="I29" s="51">
        <v>23</v>
      </c>
      <c r="J29" s="54">
        <f t="shared" si="0"/>
        <v>3.587064837002075</v>
      </c>
      <c r="K29" s="53">
        <f>IFERROR(WHOLE_STRUCTURE[[#This Row],[Bottom '[m']]]-WHOLE_STRUCTURE[[#This Row],[D, top '[m']]], "")</f>
        <v>113.65700000000001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270.56521739130437</v>
      </c>
      <c r="O29" s="55" t="s">
        <v>78</v>
      </c>
      <c r="P29" s="55">
        <v>116.94999999999999</v>
      </c>
      <c r="Q29" s="55">
        <v>147</v>
      </c>
      <c r="R29" s="55" t="s">
        <v>267</v>
      </c>
    </row>
    <row r="30" spans="2:43" x14ac:dyDescent="0.25">
      <c r="B30" s="51">
        <v>16</v>
      </c>
      <c r="C30" s="51" t="s">
        <v>78</v>
      </c>
      <c r="D30" s="51">
        <v>16</v>
      </c>
      <c r="E30" s="51">
        <v>119.88000000000001</v>
      </c>
      <c r="F30" s="51">
        <v>116.95</v>
      </c>
      <c r="G30" s="51">
        <v>6.2229999999999999</v>
      </c>
      <c r="H30" s="51">
        <v>6.2229999999999999</v>
      </c>
      <c r="I30" s="51">
        <v>23</v>
      </c>
      <c r="J30" s="54">
        <f t="shared" si="0"/>
        <v>10.304019580800142</v>
      </c>
      <c r="K30" s="53">
        <f>IFERROR(WHOLE_STRUCTURE[[#This Row],[Bottom '[m']]]-WHOLE_STRUCTURE[[#This Row],[D, top '[m']]], "")</f>
        <v>110.727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270.56521739130437</v>
      </c>
      <c r="O30" s="55" t="s">
        <v>78</v>
      </c>
      <c r="P30" s="55">
        <v>115.446</v>
      </c>
      <c r="Q30" s="55">
        <v>147</v>
      </c>
      <c r="R30" s="55" t="s">
        <v>267</v>
      </c>
    </row>
    <row r="31" spans="2:43" x14ac:dyDescent="0.25">
      <c r="B31" s="51">
        <v>17</v>
      </c>
      <c r="C31" s="51" t="s">
        <v>78</v>
      </c>
      <c r="D31" s="51">
        <v>17</v>
      </c>
      <c r="E31" s="51">
        <v>116.95</v>
      </c>
      <c r="F31" s="51">
        <v>115.44600000000001</v>
      </c>
      <c r="G31" s="51">
        <v>6.2229999999999999</v>
      </c>
      <c r="H31" s="51">
        <v>6.2229999999999999</v>
      </c>
      <c r="I31" s="51">
        <v>23</v>
      </c>
      <c r="J31" s="54">
        <f t="shared" si="0"/>
        <v>5.2891622694618716</v>
      </c>
      <c r="K31" s="53">
        <f>IFERROR(WHOLE_STRUCTURE[[#This Row],[Bottom '[m']]]-WHOLE_STRUCTURE[[#This Row],[D, top '[m']]], "")</f>
        <v>109.22300000000001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270.56521739130437</v>
      </c>
      <c r="O31" s="55" t="s">
        <v>78</v>
      </c>
      <c r="P31" s="55">
        <v>111.08999999999999</v>
      </c>
      <c r="Q31" s="55">
        <v>147</v>
      </c>
      <c r="R31" s="55" t="s">
        <v>267</v>
      </c>
    </row>
    <row r="32" spans="2:43" x14ac:dyDescent="0.25">
      <c r="B32" s="51">
        <v>18</v>
      </c>
      <c r="C32" s="51" t="s">
        <v>78</v>
      </c>
      <c r="D32" s="51">
        <v>18</v>
      </c>
      <c r="E32" s="51">
        <v>115.44600000000001</v>
      </c>
      <c r="F32" s="51">
        <v>114.02000000000001</v>
      </c>
      <c r="G32" s="51">
        <v>6.2229999999999999</v>
      </c>
      <c r="H32" s="51">
        <v>6.2240000000000002</v>
      </c>
      <c r="I32" s="51">
        <v>23</v>
      </c>
      <c r="J32" s="54">
        <f t="shared" si="0"/>
        <v>5.0152617353149624</v>
      </c>
      <c r="K32" s="53">
        <f>IFERROR(WHOLE_STRUCTURE[[#This Row],[Bottom '[m']]]-WHOLE_STRUCTURE[[#This Row],[D, top '[m']]], "")</f>
        <v>107.79700000000001</v>
      </c>
      <c r="L32" s="54">
        <f>IFERROR(-(WHOLE_STRUCTURE[[#This Row],[D, bottom '[m']]]-WHOLE_STRUCTURE[[#This Row],[D, top '[m']]])/(WHOLE_STRUCTURE[[#This Row],[Bottom '[m']]]-WHOLE_STRUCTURE[[#This Row],[Top '[m']]]),"")</f>
        <v>7.0126227208999476E-4</v>
      </c>
      <c r="M32" s="52">
        <f>IFERROR((WHOLE_STRUCTURE[[#This Row],[D, bottom '[m']]]+WHOLE_STRUCTURE[[#This Row],[D, top '[m']]])/(2*WHOLE_STRUCTURE[[#This Row],[t '[mm']]]/1000),"")</f>
        <v>270.58695652173913</v>
      </c>
      <c r="O32" s="55" t="s">
        <v>78</v>
      </c>
      <c r="P32" s="55">
        <v>110.89999999999999</v>
      </c>
      <c r="Q32" s="55">
        <v>147</v>
      </c>
      <c r="R32" s="55" t="s">
        <v>267</v>
      </c>
    </row>
    <row r="33" spans="2:18" x14ac:dyDescent="0.25">
      <c r="B33" s="51">
        <v>19</v>
      </c>
      <c r="C33" s="51" t="s">
        <v>78</v>
      </c>
      <c r="D33" s="51">
        <v>19</v>
      </c>
      <c r="E33" s="51">
        <v>114.02000000000001</v>
      </c>
      <c r="F33" s="51">
        <v>111.09</v>
      </c>
      <c r="G33" s="51">
        <v>6.2240000000000002</v>
      </c>
      <c r="H33" s="51">
        <v>6.2249999999999996</v>
      </c>
      <c r="I33" s="51">
        <v>24</v>
      </c>
      <c r="J33" s="54">
        <f t="shared" si="0"/>
        <v>10.752887530560983</v>
      </c>
      <c r="K33" s="53">
        <f>IFERROR(WHOLE_STRUCTURE[[#This Row],[Bottom '[m']]]-WHOLE_STRUCTURE[[#This Row],[D, top '[m']]], "")</f>
        <v>104.866</v>
      </c>
      <c r="L33" s="54">
        <f>IFERROR(-(WHOLE_STRUCTURE[[#This Row],[D, bottom '[m']]]-WHOLE_STRUCTURE[[#This Row],[D, top '[m']]])/(WHOLE_STRUCTURE[[#This Row],[Bottom '[m']]]-WHOLE_STRUCTURE[[#This Row],[Top '[m']]]),"")</f>
        <v>3.412969283274551E-4</v>
      </c>
      <c r="M33" s="52">
        <f>IFERROR((WHOLE_STRUCTURE[[#This Row],[D, bottom '[m']]]+WHOLE_STRUCTURE[[#This Row],[D, top '[m']]])/(2*WHOLE_STRUCTURE[[#This Row],[t '[mm']]]/1000),"")</f>
        <v>259.35416666666669</v>
      </c>
      <c r="O33" s="55" t="s">
        <v>78</v>
      </c>
      <c r="P33" s="55">
        <v>107.22399999999999</v>
      </c>
      <c r="Q33" s="55">
        <v>147</v>
      </c>
      <c r="R33" s="55" t="s">
        <v>267</v>
      </c>
    </row>
    <row r="34" spans="2:18" x14ac:dyDescent="0.25">
      <c r="B34" s="51">
        <v>20</v>
      </c>
      <c r="C34" s="51" t="s">
        <v>78</v>
      </c>
      <c r="D34" s="51">
        <v>20</v>
      </c>
      <c r="E34" s="51">
        <v>111.09</v>
      </c>
      <c r="F34" s="51">
        <v>110.9</v>
      </c>
      <c r="G34" s="51">
        <v>6.2249999999999996</v>
      </c>
      <c r="H34" s="51">
        <v>6.2249999999999996</v>
      </c>
      <c r="I34" s="51">
        <v>25</v>
      </c>
      <c r="J34" s="54">
        <f t="shared" si="0"/>
        <v>0.72628124363851332</v>
      </c>
      <c r="K34" s="53">
        <f>IFERROR(WHOLE_STRUCTURE[[#This Row],[Bottom '[m']]]-WHOLE_STRUCTURE[[#This Row],[D, top '[m']]], "")</f>
        <v>104.67500000000001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248.99999999999997</v>
      </c>
      <c r="O34" s="55" t="s">
        <v>78</v>
      </c>
      <c r="P34" s="55">
        <v>102.3</v>
      </c>
      <c r="Q34" s="55">
        <v>147</v>
      </c>
      <c r="R34" s="55" t="s">
        <v>267</v>
      </c>
    </row>
    <row r="35" spans="2:18" x14ac:dyDescent="0.25">
      <c r="B35" s="51">
        <v>21</v>
      </c>
      <c r="C35" s="51" t="s">
        <v>78</v>
      </c>
      <c r="D35" s="51">
        <v>21</v>
      </c>
      <c r="E35" s="51">
        <v>110.9</v>
      </c>
      <c r="F35" s="51">
        <v>108.16000000000001</v>
      </c>
      <c r="G35" s="51">
        <v>6.2249999999999996</v>
      </c>
      <c r="H35" s="51">
        <v>6.226</v>
      </c>
      <c r="I35" s="51">
        <v>25</v>
      </c>
      <c r="J35" s="54">
        <f t="shared" si="0"/>
        <v>10.474584696294533</v>
      </c>
      <c r="K35" s="53">
        <f>IFERROR(WHOLE_STRUCTURE[[#This Row],[Bottom '[m']]]-WHOLE_STRUCTURE[[#This Row],[D, top '[m']]], "")</f>
        <v>101.93500000000002</v>
      </c>
      <c r="L35" s="54">
        <f>IFERROR(-(WHOLE_STRUCTURE[[#This Row],[D, bottom '[m']]]-WHOLE_STRUCTURE[[#This Row],[D, top '[m']]])/(WHOLE_STRUCTURE[[#This Row],[Bottom '[m']]]-WHOLE_STRUCTURE[[#This Row],[Top '[m']]]),"")</f>
        <v>3.6496350364975758E-4</v>
      </c>
      <c r="M35" s="52">
        <f>IFERROR((WHOLE_STRUCTURE[[#This Row],[D, bottom '[m']]]+WHOLE_STRUCTURE[[#This Row],[D, top '[m']]])/(2*WHOLE_STRUCTURE[[#This Row],[t '[mm']]]/1000),"")</f>
        <v>249.02</v>
      </c>
      <c r="O35" s="55" t="s">
        <v>78</v>
      </c>
      <c r="P35" s="55">
        <v>102.25999999999999</v>
      </c>
      <c r="Q35" s="55">
        <v>5610</v>
      </c>
      <c r="R35" s="55" t="s">
        <v>267</v>
      </c>
    </row>
    <row r="36" spans="2:18" x14ac:dyDescent="0.25">
      <c r="B36" s="51">
        <v>22</v>
      </c>
      <c r="C36" s="51" t="s">
        <v>78</v>
      </c>
      <c r="D36" s="51">
        <v>22</v>
      </c>
      <c r="E36" s="51">
        <v>108.16000000000001</v>
      </c>
      <c r="F36" s="51">
        <v>107.224</v>
      </c>
      <c r="G36" s="51">
        <v>6.226</v>
      </c>
      <c r="H36" s="51">
        <v>6.226</v>
      </c>
      <c r="I36" s="51">
        <v>26</v>
      </c>
      <c r="J36" s="54">
        <f t="shared" si="0"/>
        <v>3.7210063884604585</v>
      </c>
      <c r="K36" s="53">
        <f>IFERROR(WHOLE_STRUCTURE[[#This Row],[Bottom '[m']]]-WHOLE_STRUCTURE[[#This Row],[D, top '[m']]], "")</f>
        <v>100.998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239.46153846153848</v>
      </c>
      <c r="O36" s="55" t="s">
        <v>78</v>
      </c>
      <c r="P36" s="55">
        <v>102.1</v>
      </c>
      <c r="Q36" s="55">
        <v>8160</v>
      </c>
      <c r="R36" s="55" t="s">
        <v>267</v>
      </c>
    </row>
    <row r="37" spans="2:18" x14ac:dyDescent="0.25">
      <c r="B37" s="51">
        <v>23</v>
      </c>
      <c r="C37" s="51" t="s">
        <v>78</v>
      </c>
      <c r="D37" s="51">
        <v>23</v>
      </c>
      <c r="E37" s="51">
        <v>107.224</v>
      </c>
      <c r="F37" s="51">
        <v>105.23</v>
      </c>
      <c r="G37" s="51">
        <v>6.226</v>
      </c>
      <c r="H37" s="51">
        <v>6.226</v>
      </c>
      <c r="I37" s="51">
        <v>26</v>
      </c>
      <c r="J37" s="54">
        <f t="shared" si="0"/>
        <v>7.9270157463569424</v>
      </c>
      <c r="K37" s="53">
        <f>IFERROR(WHOLE_STRUCTURE[[#This Row],[Bottom '[m']]]-WHOLE_STRUCTURE[[#This Row],[D, top '[m']]], "")</f>
        <v>99.004000000000005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239.46153846153848</v>
      </c>
      <c r="O37" s="55" t="s">
        <v>78</v>
      </c>
      <c r="P37" s="55">
        <v>101.94</v>
      </c>
      <c r="Q37" s="55">
        <v>5</v>
      </c>
      <c r="R37" s="55" t="s">
        <v>267</v>
      </c>
    </row>
    <row r="38" spans="2:18" x14ac:dyDescent="0.25">
      <c r="B38" s="51">
        <v>24</v>
      </c>
      <c r="C38" s="51" t="s">
        <v>78</v>
      </c>
      <c r="D38" s="51">
        <v>24</v>
      </c>
      <c r="E38" s="51">
        <v>105.23</v>
      </c>
      <c r="F38" s="51">
        <v>102.30000000000001</v>
      </c>
      <c r="G38" s="51">
        <v>6.226</v>
      </c>
      <c r="H38" s="51">
        <v>6.2279999999999998</v>
      </c>
      <c r="I38" s="51">
        <v>26</v>
      </c>
      <c r="J38" s="54">
        <f t="shared" si="0"/>
        <v>11.64990084806473</v>
      </c>
      <c r="K38" s="53">
        <f>IFERROR(WHOLE_STRUCTURE[[#This Row],[Bottom '[m']]]-WHOLE_STRUCTURE[[#This Row],[D, top '[m']]], "")</f>
        <v>96.074000000000012</v>
      </c>
      <c r="L38" s="54">
        <f>IFERROR(-(WHOLE_STRUCTURE[[#This Row],[D, bottom '[m']]]-WHOLE_STRUCTURE[[#This Row],[D, top '[m']]])/(WHOLE_STRUCTURE[[#This Row],[Bottom '[m']]]-WHOLE_STRUCTURE[[#This Row],[Top '[m']]]),"")</f>
        <v>6.825938566552166E-4</v>
      </c>
      <c r="M38" s="52">
        <f>IFERROR((WHOLE_STRUCTURE[[#This Row],[D, bottom '[m']]]+WHOLE_STRUCTURE[[#This Row],[D, top '[m']]])/(2*WHOLE_STRUCTURE[[#This Row],[t '[mm']]]/1000),"")</f>
        <v>239.50000000000003</v>
      </c>
      <c r="O38" s="55" t="s">
        <v>78</v>
      </c>
      <c r="P38" s="55">
        <v>101.89999999999999</v>
      </c>
      <c r="Q38" s="55">
        <v>1</v>
      </c>
      <c r="R38" s="55" t="s">
        <v>267</v>
      </c>
    </row>
    <row r="39" spans="2:18" x14ac:dyDescent="0.25">
      <c r="B39" s="51">
        <v>25</v>
      </c>
      <c r="C39" s="51" t="s">
        <v>78</v>
      </c>
      <c r="D39" s="51">
        <v>25</v>
      </c>
      <c r="E39" s="51">
        <v>102.30000000000001</v>
      </c>
      <c r="F39" s="51">
        <v>102.26</v>
      </c>
      <c r="G39" s="51">
        <v>6.2279999999999998</v>
      </c>
      <c r="H39" s="51">
        <v>6.2279999999999998</v>
      </c>
      <c r="I39" s="51">
        <v>28</v>
      </c>
      <c r="J39" s="54">
        <f t="shared" si="0"/>
        <v>0.17124947218426703</v>
      </c>
      <c r="K39" s="53">
        <f>IFERROR(WHOLE_STRUCTURE[[#This Row],[Bottom '[m']]]-WHOLE_STRUCTURE[[#This Row],[D, top '[m']]], "")</f>
        <v>96.032000000000011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222.42857142857142</v>
      </c>
      <c r="O39" s="55" t="s">
        <v>78</v>
      </c>
      <c r="P39" s="55">
        <v>100.89999999999999</v>
      </c>
      <c r="Q39" s="55">
        <v>1003</v>
      </c>
      <c r="R39" s="55" t="s">
        <v>267</v>
      </c>
    </row>
    <row r="40" spans="2:18" x14ac:dyDescent="0.25">
      <c r="B40" s="51">
        <v>26</v>
      </c>
      <c r="C40" s="51" t="s">
        <v>78</v>
      </c>
      <c r="D40" s="51">
        <v>26</v>
      </c>
      <c r="E40" s="51">
        <v>102.26</v>
      </c>
      <c r="F40" s="51">
        <v>102.10000000000001</v>
      </c>
      <c r="G40" s="51">
        <v>6.2279999999999998</v>
      </c>
      <c r="H40" s="51">
        <v>6.2279999999999998</v>
      </c>
      <c r="I40" s="51">
        <v>28</v>
      </c>
      <c r="J40" s="54">
        <f t="shared" si="0"/>
        <v>0.68499788873694645</v>
      </c>
      <c r="K40" s="53">
        <f>IFERROR(WHOLE_STRUCTURE[[#This Row],[Bottom '[m']]]-WHOLE_STRUCTURE[[#This Row],[D, top '[m']]], "")</f>
        <v>95.872000000000014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222.42857142857142</v>
      </c>
      <c r="O40" s="55" t="s">
        <v>78</v>
      </c>
      <c r="P40" s="55">
        <v>99.002999999999986</v>
      </c>
      <c r="Q40" s="55">
        <v>137</v>
      </c>
      <c r="R40" s="55" t="s">
        <v>267</v>
      </c>
    </row>
    <row r="41" spans="2:18" x14ac:dyDescent="0.25">
      <c r="B41" s="51">
        <v>27</v>
      </c>
      <c r="C41" s="51" t="s">
        <v>78</v>
      </c>
      <c r="D41" s="51">
        <v>27</v>
      </c>
      <c r="E41" s="51">
        <v>102.10000000000001</v>
      </c>
      <c r="F41" s="51">
        <v>101.94000000000001</v>
      </c>
      <c r="G41" s="51">
        <v>6.2279999999999998</v>
      </c>
      <c r="H41" s="51">
        <v>6.2279999999999998</v>
      </c>
      <c r="I41" s="51">
        <v>28</v>
      </c>
      <c r="J41" s="54">
        <f t="shared" si="0"/>
        <v>0.68499788873694645</v>
      </c>
      <c r="K41" s="53">
        <f>IFERROR(WHOLE_STRUCTURE[[#This Row],[Bottom '[m']]]-WHOLE_STRUCTURE[[#This Row],[D, top '[m']]], "")</f>
        <v>95.712000000000018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222.42857142857142</v>
      </c>
      <c r="O41" s="55" t="s">
        <v>78</v>
      </c>
      <c r="P41" s="55">
        <v>94.891999999999996</v>
      </c>
      <c r="Q41" s="55">
        <v>138</v>
      </c>
      <c r="R41" s="55" t="s">
        <v>267</v>
      </c>
    </row>
    <row r="42" spans="2:18" x14ac:dyDescent="0.25">
      <c r="B42" s="51">
        <v>28</v>
      </c>
      <c r="C42" s="51" t="s">
        <v>78</v>
      </c>
      <c r="D42" s="51">
        <v>28</v>
      </c>
      <c r="E42" s="51">
        <v>101.94000000000001</v>
      </c>
      <c r="F42" s="51">
        <v>101.9</v>
      </c>
      <c r="G42" s="51">
        <v>6.2279999999999998</v>
      </c>
      <c r="H42" s="51">
        <v>6.23</v>
      </c>
      <c r="I42" s="51">
        <v>28</v>
      </c>
      <c r="J42" s="54">
        <f t="shared" ref="J42:J68" si="3">IF(7850/1000*(1/3)*PI()*ABS(E42-F42)*((G42/2)^2+(G42/2)*(H42/2)+(H42/2)^2-(G42/2-I42/1000)^2-(G42/2-I42/1000)*(H42/2-I42/1000)-(H42/2-I42/1000)^2)=0,"",7850/1000*(1/3)*PI()*ABS(E42-F42)*((G42/2)^2+(G42/2)*(H42/2)+(H42/2)^2-(G42/2-I42/1000)^2-(G42/2-I42/1000)*(H42/2-I42/1000)-(H42/2-I42/1000)^2))</f>
        <v>0.1712770930668801</v>
      </c>
      <c r="K42" s="53">
        <f>IFERROR(WHOLE_STRUCTURE[[#This Row],[Bottom '[m']]]-WHOLE_STRUCTURE[[#This Row],[D, top '[m']]], "")</f>
        <v>95.672000000000011</v>
      </c>
      <c r="L42" s="54">
        <f>IFERROR(-(WHOLE_STRUCTURE[[#This Row],[D, bottom '[m']]]-WHOLE_STRUCTURE[[#This Row],[D, top '[m']]])/(WHOLE_STRUCTURE[[#This Row],[Bottom '[m']]]-WHOLE_STRUCTURE[[#This Row],[Top '[m']]]),"")</f>
        <v>5.0000000000008885E-2</v>
      </c>
      <c r="M42" s="52">
        <f>IFERROR((WHOLE_STRUCTURE[[#This Row],[D, bottom '[m']]]+WHOLE_STRUCTURE[[#This Row],[D, top '[m']]])/(2*WHOLE_STRUCTURE[[#This Row],[t '[mm']]]/1000),"")</f>
        <v>222.46428571428572</v>
      </c>
      <c r="O42" s="55" t="s">
        <v>78</v>
      </c>
      <c r="P42" s="55">
        <v>91.005999999999986</v>
      </c>
      <c r="Q42" s="55">
        <v>138</v>
      </c>
      <c r="R42" s="55" t="s">
        <v>267</v>
      </c>
    </row>
    <row r="43" spans="2:18" x14ac:dyDescent="0.25">
      <c r="B43" s="51">
        <v>29</v>
      </c>
      <c r="C43" s="51" t="s">
        <v>78</v>
      </c>
      <c r="D43" s="51">
        <v>29</v>
      </c>
      <c r="E43" s="51">
        <v>101.9</v>
      </c>
      <c r="F43" s="51">
        <v>100.9</v>
      </c>
      <c r="G43" s="51">
        <v>6.23</v>
      </c>
      <c r="H43" s="51">
        <v>6.2530000000000001</v>
      </c>
      <c r="I43" s="51">
        <v>30.099999999999998</v>
      </c>
      <c r="J43" s="54">
        <f t="shared" si="3"/>
        <v>4.610791912861246</v>
      </c>
      <c r="K43" s="53">
        <f>IFERROR(WHOLE_STRUCTURE[[#This Row],[Bottom '[m']]]-WHOLE_STRUCTURE[[#This Row],[D, top '[m']]], "")</f>
        <v>94.67</v>
      </c>
      <c r="L43" s="54">
        <f>IFERROR(-(WHOLE_STRUCTURE[[#This Row],[D, bottom '[m']]]-WHOLE_STRUCTURE[[#This Row],[D, top '[m']]])/(WHOLE_STRUCTURE[[#This Row],[Bottom '[m']]]-WHOLE_STRUCTURE[[#This Row],[Top '[m']]]),"")</f>
        <v>2.2999999999999687E-2</v>
      </c>
      <c r="M43" s="52">
        <f>IFERROR((WHOLE_STRUCTURE[[#This Row],[D, bottom '[m']]]+WHOLE_STRUCTURE[[#This Row],[D, top '[m']]])/(2*WHOLE_STRUCTURE[[#This Row],[t '[mm']]]/1000),"")</f>
        <v>207.358803986711</v>
      </c>
      <c r="O43" s="55" t="s">
        <v>78</v>
      </c>
      <c r="P43" s="55">
        <v>90.899999999999991</v>
      </c>
      <c r="Q43" s="55">
        <v>139</v>
      </c>
      <c r="R43" s="55" t="s">
        <v>267</v>
      </c>
    </row>
    <row r="44" spans="2:18" x14ac:dyDescent="0.25">
      <c r="B44" s="51">
        <v>30</v>
      </c>
      <c r="C44" s="51" t="s">
        <v>78</v>
      </c>
      <c r="D44" s="51">
        <v>30</v>
      </c>
      <c r="E44" s="51">
        <v>100.9</v>
      </c>
      <c r="F44" s="51">
        <v>99.172000000000011</v>
      </c>
      <c r="G44" s="51">
        <v>6.2530000000000001</v>
      </c>
      <c r="H44" s="51">
        <v>6.2889999999999997</v>
      </c>
      <c r="I44" s="51">
        <v>30.099999999999998</v>
      </c>
      <c r="J44" s="54">
        <f t="shared" si="3"/>
        <v>8.0052884821827153</v>
      </c>
      <c r="K44" s="53">
        <f>IFERROR(WHOLE_STRUCTURE[[#This Row],[Bottom '[m']]]-WHOLE_STRUCTURE[[#This Row],[D, top '[m']]], "")</f>
        <v>92.919000000000011</v>
      </c>
      <c r="L44" s="54">
        <f>IFERROR(-(WHOLE_STRUCTURE[[#This Row],[D, bottom '[m']]]-WHOLE_STRUCTURE[[#This Row],[D, top '[m']]])/(WHOLE_STRUCTURE[[#This Row],[Bottom '[m']]]-WHOLE_STRUCTURE[[#This Row],[Top '[m']]]),"")</f>
        <v>2.0833333333333162E-2</v>
      </c>
      <c r="M44" s="52">
        <f>IFERROR((WHOLE_STRUCTURE[[#This Row],[D, bottom '[m']]]+WHOLE_STRUCTURE[[#This Row],[D, top '[m']]])/(2*WHOLE_STRUCTURE[[#This Row],[t '[mm']]]/1000),"")</f>
        <v>208.3388704318937</v>
      </c>
      <c r="O44" s="55" t="s">
        <v>78</v>
      </c>
      <c r="P44" s="55">
        <v>86.670999999999992</v>
      </c>
      <c r="Q44" s="55">
        <v>139</v>
      </c>
      <c r="R44" s="55" t="s">
        <v>267</v>
      </c>
    </row>
    <row r="45" spans="2:18" x14ac:dyDescent="0.25">
      <c r="B45" s="51">
        <v>31</v>
      </c>
      <c r="C45" s="51" t="s">
        <v>78</v>
      </c>
      <c r="D45" s="51">
        <v>31</v>
      </c>
      <c r="E45" s="51">
        <v>99.172000000000011</v>
      </c>
      <c r="F45" s="51">
        <v>99.003</v>
      </c>
      <c r="G45" s="51">
        <v>6.2889999999999997</v>
      </c>
      <c r="H45" s="51">
        <v>6.2919999999999998</v>
      </c>
      <c r="I45" s="51">
        <v>26.5</v>
      </c>
      <c r="J45" s="54">
        <f t="shared" si="3"/>
        <v>0.69183711520936486</v>
      </c>
      <c r="K45" s="53">
        <f>IFERROR(WHOLE_STRUCTURE[[#This Row],[Bottom '[m']]]-WHOLE_STRUCTURE[[#This Row],[D, top '[m']]], "")</f>
        <v>92.713999999999999</v>
      </c>
      <c r="L45" s="54">
        <f>IFERROR(-(WHOLE_STRUCTURE[[#This Row],[D, bottom '[m']]]-WHOLE_STRUCTURE[[#This Row],[D, top '[m']]])/(WHOLE_STRUCTURE[[#This Row],[Bottom '[m']]]-WHOLE_STRUCTURE[[#This Row],[Top '[m']]]),"")</f>
        <v>1.7751479289940329E-2</v>
      </c>
      <c r="M45" s="52">
        <f>IFERROR((WHOLE_STRUCTURE[[#This Row],[D, bottom '[m']]]+WHOLE_STRUCTURE[[#This Row],[D, top '[m']]])/(2*WHOLE_STRUCTURE[[#This Row],[t '[mm']]]/1000),"")</f>
        <v>237.37735849056602</v>
      </c>
      <c r="O45" s="55" t="s">
        <v>78</v>
      </c>
      <c r="P45" s="55">
        <v>82.839999999999989</v>
      </c>
      <c r="Q45" s="55">
        <v>140</v>
      </c>
      <c r="R45" s="55" t="s">
        <v>267</v>
      </c>
    </row>
    <row r="46" spans="2:18" x14ac:dyDescent="0.25">
      <c r="B46" s="51">
        <v>32</v>
      </c>
      <c r="C46" s="51" t="s">
        <v>78</v>
      </c>
      <c r="D46" s="51">
        <v>32</v>
      </c>
      <c r="E46" s="51">
        <v>99.003</v>
      </c>
      <c r="F46" s="51">
        <v>96.45</v>
      </c>
      <c r="G46" s="51">
        <v>6.2919999999999998</v>
      </c>
      <c r="H46" s="51">
        <v>6.351</v>
      </c>
      <c r="I46" s="51">
        <v>26.5</v>
      </c>
      <c r="J46" s="54">
        <f t="shared" si="3"/>
        <v>10.502965831367973</v>
      </c>
      <c r="K46" s="53">
        <f>IFERROR(WHOLE_STRUCTURE[[#This Row],[Bottom '[m']]]-WHOLE_STRUCTURE[[#This Row],[D, top '[m']]], "")</f>
        <v>90.158000000000001</v>
      </c>
      <c r="L46" s="54">
        <f>IFERROR(-(WHOLE_STRUCTURE[[#This Row],[D, bottom '[m']]]-WHOLE_STRUCTURE[[#This Row],[D, top '[m']]])/(WHOLE_STRUCTURE[[#This Row],[Bottom '[m']]]-WHOLE_STRUCTURE[[#This Row],[Top '[m']]]),"")</f>
        <v>2.3110066588327545E-2</v>
      </c>
      <c r="M46" s="52">
        <f>IFERROR((WHOLE_STRUCTURE[[#This Row],[D, bottom '[m']]]+WHOLE_STRUCTURE[[#This Row],[D, top '[m']]])/(2*WHOLE_STRUCTURE[[#This Row],[t '[mm']]]/1000),"")</f>
        <v>238.54716981132077</v>
      </c>
      <c r="O46" s="55" t="s">
        <v>78</v>
      </c>
      <c r="P46" s="55">
        <v>80.899999999999991</v>
      </c>
      <c r="Q46" s="55">
        <v>140</v>
      </c>
      <c r="R46" s="55" t="s">
        <v>267</v>
      </c>
    </row>
    <row r="47" spans="2:18" x14ac:dyDescent="0.25">
      <c r="B47" s="51">
        <v>33</v>
      </c>
      <c r="C47" s="51" t="s">
        <v>78</v>
      </c>
      <c r="D47" s="51">
        <v>33</v>
      </c>
      <c r="E47" s="51">
        <v>96.45</v>
      </c>
      <c r="F47" s="51">
        <v>94.89200000000001</v>
      </c>
      <c r="G47" s="51">
        <v>6.351</v>
      </c>
      <c r="H47" s="51">
        <v>6.3869999999999996</v>
      </c>
      <c r="I47" s="51">
        <v>28</v>
      </c>
      <c r="J47" s="54">
        <f t="shared" si="3"/>
        <v>6.8218594478281238</v>
      </c>
      <c r="K47" s="53">
        <f>IFERROR(WHOLE_STRUCTURE[[#This Row],[Bottom '[m']]]-WHOLE_STRUCTURE[[#This Row],[D, top '[m']]], "")</f>
        <v>88.541000000000011</v>
      </c>
      <c r="L47" s="54">
        <f>IFERROR(-(WHOLE_STRUCTURE[[#This Row],[D, bottom '[m']]]-WHOLE_STRUCTURE[[#This Row],[D, top '[m']]])/(WHOLE_STRUCTURE[[#This Row],[Bottom '[m']]]-WHOLE_STRUCTURE[[#This Row],[Top '[m']]]),"")</f>
        <v>2.3106546854942078E-2</v>
      </c>
      <c r="M47" s="52">
        <f>IFERROR((WHOLE_STRUCTURE[[#This Row],[D, bottom '[m']]]+WHOLE_STRUCTURE[[#This Row],[D, top '[m']]])/(2*WHOLE_STRUCTURE[[#This Row],[t '[mm']]]/1000),"")</f>
        <v>227.46428571428569</v>
      </c>
      <c r="O47" s="55" t="s">
        <v>78</v>
      </c>
      <c r="P47" s="55">
        <v>78.449999999999989</v>
      </c>
      <c r="Q47" s="55">
        <v>141</v>
      </c>
      <c r="R47" s="55" t="s">
        <v>267</v>
      </c>
    </row>
    <row r="48" spans="2:18" x14ac:dyDescent="0.25">
      <c r="B48" s="51">
        <v>34</v>
      </c>
      <c r="C48" s="51" t="s">
        <v>78</v>
      </c>
      <c r="D48" s="51">
        <v>34</v>
      </c>
      <c r="E48" s="51">
        <v>94.89200000000001</v>
      </c>
      <c r="F48" s="51">
        <v>93.728000000000009</v>
      </c>
      <c r="G48" s="51">
        <v>6.3869999999999996</v>
      </c>
      <c r="H48" s="51">
        <v>6.4139999999999997</v>
      </c>
      <c r="I48" s="51">
        <v>28</v>
      </c>
      <c r="J48" s="54">
        <f t="shared" si="3"/>
        <v>5.1220095660448148</v>
      </c>
      <c r="K48" s="53">
        <f>IFERROR(WHOLE_STRUCTURE[[#This Row],[Bottom '[m']]]-WHOLE_STRUCTURE[[#This Row],[D, top '[m']]], "")</f>
        <v>87.341000000000008</v>
      </c>
      <c r="L48" s="54">
        <f>IFERROR(-(WHOLE_STRUCTURE[[#This Row],[D, bottom '[m']]]-WHOLE_STRUCTURE[[#This Row],[D, top '[m']]])/(WHOLE_STRUCTURE[[#This Row],[Bottom '[m']]]-WHOLE_STRUCTURE[[#This Row],[Top '[m']]]),"")</f>
        <v>2.3195876288659881E-2</v>
      </c>
      <c r="M48" s="52">
        <f>IFERROR((WHOLE_STRUCTURE[[#This Row],[D, bottom '[m']]]+WHOLE_STRUCTURE[[#This Row],[D, top '[m']]])/(2*WHOLE_STRUCTURE[[#This Row],[t '[mm']]]/1000),"")</f>
        <v>228.58928571428569</v>
      </c>
      <c r="O48" s="55" t="s">
        <v>78</v>
      </c>
      <c r="P48" s="55">
        <v>74.673999999999992</v>
      </c>
      <c r="Q48" s="55">
        <v>141</v>
      </c>
      <c r="R48" s="55" t="s">
        <v>267</v>
      </c>
    </row>
    <row r="49" spans="2:18" x14ac:dyDescent="0.25">
      <c r="B49" s="51">
        <v>35</v>
      </c>
      <c r="C49" s="51" t="s">
        <v>78</v>
      </c>
      <c r="D49" s="51">
        <v>35</v>
      </c>
      <c r="E49" s="51">
        <v>93.728000000000009</v>
      </c>
      <c r="F49" s="51">
        <v>91.006</v>
      </c>
      <c r="G49" s="51">
        <v>6.4139999999999997</v>
      </c>
      <c r="H49" s="51">
        <v>6.4749999999999996</v>
      </c>
      <c r="I49" s="51">
        <v>28.6</v>
      </c>
      <c r="J49" s="54">
        <f t="shared" si="3"/>
        <v>12.317746718159135</v>
      </c>
      <c r="K49" s="53">
        <f>IFERROR(WHOLE_STRUCTURE[[#This Row],[Bottom '[m']]]-WHOLE_STRUCTURE[[#This Row],[D, top '[m']]], "")</f>
        <v>84.591999999999999</v>
      </c>
      <c r="L49" s="54">
        <f>IFERROR(-(WHOLE_STRUCTURE[[#This Row],[D, bottom '[m']]]-WHOLE_STRUCTURE[[#This Row],[D, top '[m']]])/(WHOLE_STRUCTURE[[#This Row],[Bottom '[m']]]-WHOLE_STRUCTURE[[#This Row],[Top '[m']]]),"")</f>
        <v>2.2409992652461335E-2</v>
      </c>
      <c r="M49" s="52">
        <f>IFERROR((WHOLE_STRUCTURE[[#This Row],[D, bottom '[m']]]+WHOLE_STRUCTURE[[#This Row],[D, top '[m']]])/(2*WHOLE_STRUCTURE[[#This Row],[t '[mm']]]/1000),"")</f>
        <v>225.33216783216781</v>
      </c>
      <c r="O49" s="55" t="s">
        <v>78</v>
      </c>
      <c r="P49" s="55">
        <v>71.951999999999984</v>
      </c>
      <c r="Q49" s="55">
        <v>142</v>
      </c>
      <c r="R49" s="55" t="s">
        <v>267</v>
      </c>
    </row>
    <row r="50" spans="2:18" x14ac:dyDescent="0.25">
      <c r="B50" s="51">
        <v>36</v>
      </c>
      <c r="C50" s="51" t="s">
        <v>78</v>
      </c>
      <c r="D50" s="51">
        <v>36</v>
      </c>
      <c r="E50" s="51">
        <v>91.006</v>
      </c>
      <c r="F50" s="51">
        <v>90.9</v>
      </c>
      <c r="G50" s="51">
        <v>6.4749999999999996</v>
      </c>
      <c r="H50" s="51">
        <v>6.4779999999999998</v>
      </c>
      <c r="I50" s="51">
        <v>29.4</v>
      </c>
      <c r="J50" s="54">
        <f t="shared" si="3"/>
        <v>0.49549255301145406</v>
      </c>
      <c r="K50" s="53">
        <f>IFERROR(WHOLE_STRUCTURE[[#This Row],[Bottom '[m']]]-WHOLE_STRUCTURE[[#This Row],[D, top '[m']]], "")</f>
        <v>84.425000000000011</v>
      </c>
      <c r="L50" s="54">
        <f>IFERROR(-(WHOLE_STRUCTURE[[#This Row],[D, bottom '[m']]]-WHOLE_STRUCTURE[[#This Row],[D, top '[m']]])/(WHOLE_STRUCTURE[[#This Row],[Bottom '[m']]]-WHOLE_STRUCTURE[[#This Row],[Top '[m']]]),"")</f>
        <v>2.830188679245536E-2</v>
      </c>
      <c r="M50" s="52">
        <f>IFERROR((WHOLE_STRUCTURE[[#This Row],[D, bottom '[m']]]+WHOLE_STRUCTURE[[#This Row],[D, top '[m']]])/(2*WHOLE_STRUCTURE[[#This Row],[t '[mm']]]/1000),"")</f>
        <v>220.28911564625849</v>
      </c>
      <c r="O50" s="55" t="s">
        <v>78</v>
      </c>
      <c r="P50" s="55">
        <v>70.899999999999991</v>
      </c>
      <c r="Q50" s="55">
        <v>143</v>
      </c>
      <c r="R50" s="55" t="s">
        <v>267</v>
      </c>
    </row>
    <row r="51" spans="2:18" x14ac:dyDescent="0.25">
      <c r="B51" s="51">
        <v>37</v>
      </c>
      <c r="C51" s="51" t="s">
        <v>78</v>
      </c>
      <c r="D51" s="51">
        <v>37</v>
      </c>
      <c r="E51" s="51">
        <v>90.9</v>
      </c>
      <c r="F51" s="51">
        <v>88.284000000000006</v>
      </c>
      <c r="G51" s="51">
        <v>6.4779999999999998</v>
      </c>
      <c r="H51" s="51">
        <v>6.5380000000000003</v>
      </c>
      <c r="I51" s="51">
        <v>29.4</v>
      </c>
      <c r="J51" s="54">
        <f t="shared" si="3"/>
        <v>12.288129120958363</v>
      </c>
      <c r="K51" s="53">
        <f>IFERROR(WHOLE_STRUCTURE[[#This Row],[Bottom '[m']]]-WHOLE_STRUCTURE[[#This Row],[D, top '[m']]], "")</f>
        <v>81.806000000000012</v>
      </c>
      <c r="L51" s="54">
        <f>IFERROR(-(WHOLE_STRUCTURE[[#This Row],[D, bottom '[m']]]-WHOLE_STRUCTURE[[#This Row],[D, top '[m']]])/(WHOLE_STRUCTURE[[#This Row],[Bottom '[m']]]-WHOLE_STRUCTURE[[#This Row],[Top '[m']]]),"")</f>
        <v>2.2935779816513954E-2</v>
      </c>
      <c r="M51" s="52">
        <f>IFERROR((WHOLE_STRUCTURE[[#This Row],[D, bottom '[m']]]+WHOLE_STRUCTURE[[#This Row],[D, top '[m']]])/(2*WHOLE_STRUCTURE[[#This Row],[t '[mm']]]/1000),"")</f>
        <v>221.36054421768708</v>
      </c>
      <c r="O51" s="55" t="s">
        <v>78</v>
      </c>
      <c r="P51" s="55">
        <v>66.489999999999995</v>
      </c>
      <c r="Q51" s="55">
        <v>144</v>
      </c>
      <c r="R51" s="55" t="s">
        <v>267</v>
      </c>
    </row>
    <row r="52" spans="2:18" x14ac:dyDescent="0.25">
      <c r="B52" s="51">
        <v>38</v>
      </c>
      <c r="C52" s="51" t="s">
        <v>78</v>
      </c>
      <c r="D52" s="51">
        <v>38</v>
      </c>
      <c r="E52" s="51">
        <v>88.284000000000006</v>
      </c>
      <c r="F52" s="51">
        <v>86.671000000000006</v>
      </c>
      <c r="G52" s="51">
        <v>6.5380000000000003</v>
      </c>
      <c r="H52" s="51">
        <v>6.5739999999999998</v>
      </c>
      <c r="I52" s="51">
        <v>29.5</v>
      </c>
      <c r="J52" s="54">
        <f t="shared" si="3"/>
        <v>7.6587211107854793</v>
      </c>
      <c r="K52" s="53">
        <f>IFERROR(WHOLE_STRUCTURE[[#This Row],[Bottom '[m']]]-WHOLE_STRUCTURE[[#This Row],[D, top '[m']]], "")</f>
        <v>80.13300000000001</v>
      </c>
      <c r="L52" s="54">
        <f>IFERROR(-(WHOLE_STRUCTURE[[#This Row],[D, bottom '[m']]]-WHOLE_STRUCTURE[[#This Row],[D, top '[m']]])/(WHOLE_STRUCTURE[[#This Row],[Bottom '[m']]]-WHOLE_STRUCTURE[[#This Row],[Top '[m']]]),"")</f>
        <v>2.2318660880346931E-2</v>
      </c>
      <c r="M52" s="52">
        <f>IFERROR((WHOLE_STRUCTURE[[#This Row],[D, bottom '[m']]]+WHOLE_STRUCTURE[[#This Row],[D, top '[m']]])/(2*WHOLE_STRUCTURE[[#This Row],[t '[mm']]]/1000),"")</f>
        <v>222.23728813559325</v>
      </c>
      <c r="O52" s="55" t="s">
        <v>78</v>
      </c>
      <c r="P52" s="55">
        <v>66.444999999999993</v>
      </c>
      <c r="Q52" s="55">
        <v>7316</v>
      </c>
      <c r="R52" s="55" t="s">
        <v>267</v>
      </c>
    </row>
    <row r="53" spans="2:18" x14ac:dyDescent="0.25">
      <c r="B53" s="51">
        <v>39</v>
      </c>
      <c r="C53" s="51" t="s">
        <v>78</v>
      </c>
      <c r="D53" s="51">
        <v>39</v>
      </c>
      <c r="E53" s="51">
        <v>86.671000000000006</v>
      </c>
      <c r="F53" s="51">
        <v>85.562000000000012</v>
      </c>
      <c r="G53" s="51">
        <v>6.5739999999999998</v>
      </c>
      <c r="H53" s="51">
        <v>6.601</v>
      </c>
      <c r="I53" s="51">
        <v>29.5</v>
      </c>
      <c r="J53" s="54">
        <f t="shared" si="3"/>
        <v>5.2910821427568031</v>
      </c>
      <c r="K53" s="53">
        <f>IFERROR(WHOLE_STRUCTURE[[#This Row],[Bottom '[m']]]-WHOLE_STRUCTURE[[#This Row],[D, top '[m']]], "")</f>
        <v>78.988000000000014</v>
      </c>
      <c r="L53" s="54">
        <f>IFERROR(-(WHOLE_STRUCTURE[[#This Row],[D, bottom '[m']]]-WHOLE_STRUCTURE[[#This Row],[D, top '[m']]])/(WHOLE_STRUCTURE[[#This Row],[Bottom '[m']]]-WHOLE_STRUCTURE[[#This Row],[Top '[m']]]),"")</f>
        <v>2.4346257889991223E-2</v>
      </c>
      <c r="M53" s="52">
        <f>IFERROR((WHOLE_STRUCTURE[[#This Row],[D, bottom '[m']]]+WHOLE_STRUCTURE[[#This Row],[D, top '[m']]])/(2*WHOLE_STRUCTURE[[#This Row],[t '[mm']]]/1000),"")</f>
        <v>223.30508474576274</v>
      </c>
      <c r="O53" s="55" t="s">
        <v>78</v>
      </c>
      <c r="P53" s="55">
        <v>66.259999999999991</v>
      </c>
      <c r="Q53" s="55">
        <v>10048</v>
      </c>
      <c r="R53" s="55" t="s">
        <v>267</v>
      </c>
    </row>
    <row r="54" spans="2:18" x14ac:dyDescent="0.25">
      <c r="B54" s="51">
        <v>40</v>
      </c>
      <c r="C54" s="51" t="s">
        <v>78</v>
      </c>
      <c r="D54" s="51">
        <v>40</v>
      </c>
      <c r="E54" s="51">
        <v>85.562000000000012</v>
      </c>
      <c r="F54" s="51">
        <v>82.84</v>
      </c>
      <c r="G54" s="51">
        <v>6.601</v>
      </c>
      <c r="H54" s="51">
        <v>6.6619999999999999</v>
      </c>
      <c r="I54" s="51">
        <v>31.5</v>
      </c>
      <c r="J54" s="54">
        <f t="shared" si="3"/>
        <v>13.956037882640588</v>
      </c>
      <c r="K54" s="53">
        <f>IFERROR(WHOLE_STRUCTURE[[#This Row],[Bottom '[m']]]-WHOLE_STRUCTURE[[#This Row],[D, top '[m']]], "")</f>
        <v>76.239000000000004</v>
      </c>
      <c r="L54" s="54">
        <f>IFERROR(-(WHOLE_STRUCTURE[[#This Row],[D, bottom '[m']]]-WHOLE_STRUCTURE[[#This Row],[D, top '[m']]])/(WHOLE_STRUCTURE[[#This Row],[Bottom '[m']]]-WHOLE_STRUCTURE[[#This Row],[Top '[m']]]),"")</f>
        <v>2.2409992652461335E-2</v>
      </c>
      <c r="M54" s="52">
        <f>IFERROR((WHOLE_STRUCTURE[[#This Row],[D, bottom '[m']]]+WHOLE_STRUCTURE[[#This Row],[D, top '[m']]])/(2*WHOLE_STRUCTURE[[#This Row],[t '[mm']]]/1000),"")</f>
        <v>210.52380952380952</v>
      </c>
      <c r="O54" s="55" t="s">
        <v>78</v>
      </c>
      <c r="P54" s="55">
        <v>66.074999999999989</v>
      </c>
      <c r="Q54" s="55">
        <v>6</v>
      </c>
      <c r="R54" s="55" t="s">
        <v>267</v>
      </c>
    </row>
    <row r="55" spans="2:18" x14ac:dyDescent="0.25">
      <c r="B55" s="51">
        <v>41</v>
      </c>
      <c r="C55" s="51" t="s">
        <v>78</v>
      </c>
      <c r="D55" s="51">
        <v>41</v>
      </c>
      <c r="E55" s="51">
        <v>82.84</v>
      </c>
      <c r="F55" s="51">
        <v>82.56</v>
      </c>
      <c r="G55" s="51">
        <v>6.6619999999999999</v>
      </c>
      <c r="H55" s="51">
        <v>6.6689999999999996</v>
      </c>
      <c r="I55" s="51">
        <v>31.2</v>
      </c>
      <c r="J55" s="54">
        <f t="shared" si="3"/>
        <v>1.4293127277149946</v>
      </c>
      <c r="K55" s="53">
        <f>IFERROR(WHOLE_STRUCTURE[[#This Row],[Bottom '[m']]]-WHOLE_STRUCTURE[[#This Row],[D, top '[m']]], "")</f>
        <v>75.897999999999996</v>
      </c>
      <c r="L55" s="54">
        <f>IFERROR(-(WHOLE_STRUCTURE[[#This Row],[D, bottom '[m']]]-WHOLE_STRUCTURE[[#This Row],[D, top '[m']]])/(WHOLE_STRUCTURE[[#This Row],[Bottom '[m']]]-WHOLE_STRUCTURE[[#This Row],[Top '[m']]]),"")</f>
        <v>2.4999999999998732E-2</v>
      </c>
      <c r="M55" s="52">
        <f>IFERROR((WHOLE_STRUCTURE[[#This Row],[D, bottom '[m']]]+WHOLE_STRUCTURE[[#This Row],[D, top '[m']]])/(2*WHOLE_STRUCTURE[[#This Row],[t '[mm']]]/1000),"")</f>
        <v>213.63782051282053</v>
      </c>
      <c r="O55" s="55" t="s">
        <v>78</v>
      </c>
      <c r="P55" s="55">
        <v>66.029999999999987</v>
      </c>
      <c r="Q55" s="55">
        <v>1061</v>
      </c>
      <c r="R55" s="55" t="s">
        <v>267</v>
      </c>
    </row>
    <row r="56" spans="2:18" x14ac:dyDescent="0.25">
      <c r="B56" s="51">
        <v>42</v>
      </c>
      <c r="C56" s="51" t="s">
        <v>78</v>
      </c>
      <c r="D56" s="51">
        <v>42</v>
      </c>
      <c r="E56" s="51">
        <v>82.56</v>
      </c>
      <c r="F56" s="51">
        <v>80.900000000000006</v>
      </c>
      <c r="G56" s="51">
        <v>6.6689999999999996</v>
      </c>
      <c r="H56" s="51">
        <v>6.7060000000000004</v>
      </c>
      <c r="I56" s="51">
        <v>31.2</v>
      </c>
      <c r="J56" s="54">
        <f t="shared" si="3"/>
        <v>8.5018825076561395</v>
      </c>
      <c r="K56" s="53">
        <f>IFERROR(WHOLE_STRUCTURE[[#This Row],[Bottom '[m']]]-WHOLE_STRUCTURE[[#This Row],[D, top '[m']]], "")</f>
        <v>74.231000000000009</v>
      </c>
      <c r="L56" s="54">
        <f>IFERROR(-(WHOLE_STRUCTURE[[#This Row],[D, bottom '[m']]]-WHOLE_STRUCTURE[[#This Row],[D, top '[m']]])/(WHOLE_STRUCTURE[[#This Row],[Bottom '[m']]]-WHOLE_STRUCTURE[[#This Row],[Top '[m']]]),"")</f>
        <v>2.2289156626506559E-2</v>
      </c>
      <c r="M56" s="52">
        <f>IFERROR((WHOLE_STRUCTURE[[#This Row],[D, bottom '[m']]]+WHOLE_STRUCTURE[[#This Row],[D, top '[m']]])/(2*WHOLE_STRUCTURE[[#This Row],[t '[mm']]]/1000),"")</f>
        <v>214.34294871794873</v>
      </c>
      <c r="O56" s="55" t="s">
        <v>78</v>
      </c>
      <c r="P56" s="55">
        <v>63.308000000000007</v>
      </c>
      <c r="Q56" s="55">
        <v>143</v>
      </c>
      <c r="R56" s="55" t="s">
        <v>267</v>
      </c>
    </row>
    <row r="57" spans="2:18" x14ac:dyDescent="0.25">
      <c r="B57" s="51">
        <v>43</v>
      </c>
      <c r="C57" s="51" t="s">
        <v>78</v>
      </c>
      <c r="D57" s="51">
        <v>43</v>
      </c>
      <c r="E57" s="51">
        <v>80.900000000000006</v>
      </c>
      <c r="F57" s="51">
        <v>80.118000000000009</v>
      </c>
      <c r="G57" s="51">
        <v>6.7060000000000004</v>
      </c>
      <c r="H57" s="51">
        <v>6.7240000000000002</v>
      </c>
      <c r="I57" s="51">
        <v>31.2</v>
      </c>
      <c r="J57" s="54">
        <f t="shared" si="3"/>
        <v>4.0216504702994413</v>
      </c>
      <c r="K57" s="53">
        <f>IFERROR(WHOLE_STRUCTURE[[#This Row],[Bottom '[m']]]-WHOLE_STRUCTURE[[#This Row],[D, top '[m']]], "")</f>
        <v>73.412000000000006</v>
      </c>
      <c r="L57" s="54">
        <f>IFERROR(-(WHOLE_STRUCTURE[[#This Row],[D, bottom '[m']]]-WHOLE_STRUCTURE[[#This Row],[D, top '[m']]])/(WHOLE_STRUCTURE[[#This Row],[Bottom '[m']]]-WHOLE_STRUCTURE[[#This Row],[Top '[m']]]),"")</f>
        <v>2.3017902813299074E-2</v>
      </c>
      <c r="M57" s="52">
        <f>IFERROR((WHOLE_STRUCTURE[[#This Row],[D, bottom '[m']]]+WHOLE_STRUCTURE[[#This Row],[D, top '[m']]])/(2*WHOLE_STRUCTURE[[#This Row],[t '[mm']]]/1000),"")</f>
        <v>215.22435897435898</v>
      </c>
      <c r="O57" s="55" t="s">
        <v>78</v>
      </c>
      <c r="P57" s="55">
        <v>62.007000000000005</v>
      </c>
      <c r="Q57" s="55">
        <v>144</v>
      </c>
      <c r="R57" s="55" t="s">
        <v>267</v>
      </c>
    </row>
    <row r="58" spans="2:18" x14ac:dyDescent="0.25">
      <c r="B58" s="51">
        <v>44</v>
      </c>
      <c r="C58" s="51" t="s">
        <v>78</v>
      </c>
      <c r="D58" s="51">
        <v>44</v>
      </c>
      <c r="E58" s="51">
        <v>80.118000000000009</v>
      </c>
      <c r="F58" s="51">
        <v>78.45</v>
      </c>
      <c r="G58" s="51">
        <v>6.7240000000000002</v>
      </c>
      <c r="H58" s="51">
        <v>6.7619999999999996</v>
      </c>
      <c r="I58" s="51">
        <v>31.7</v>
      </c>
      <c r="J58" s="54">
        <f t="shared" si="3"/>
        <v>8.751479715240583</v>
      </c>
      <c r="K58" s="53">
        <f>IFERROR(WHOLE_STRUCTURE[[#This Row],[Bottom '[m']]]-WHOLE_STRUCTURE[[#This Row],[D, top '[m']]], "")</f>
        <v>71.725999999999999</v>
      </c>
      <c r="L58" s="54">
        <f>IFERROR(-(WHOLE_STRUCTURE[[#This Row],[D, bottom '[m']]]-WHOLE_STRUCTURE[[#This Row],[D, top '[m']]])/(WHOLE_STRUCTURE[[#This Row],[Bottom '[m']]]-WHOLE_STRUCTURE[[#This Row],[Top '[m']]]),"")</f>
        <v>2.2781774580335264E-2</v>
      </c>
      <c r="M58" s="52">
        <f>IFERROR((WHOLE_STRUCTURE[[#This Row],[D, bottom '[m']]]+WHOLE_STRUCTURE[[#This Row],[D, top '[m']]])/(2*WHOLE_STRUCTURE[[#This Row],[t '[mm']]]/1000),"")</f>
        <v>212.71293375394325</v>
      </c>
      <c r="O58" s="55" t="s">
        <v>78</v>
      </c>
      <c r="P58" s="55">
        <v>57.896000000000001</v>
      </c>
      <c r="Q58" s="55">
        <v>144</v>
      </c>
      <c r="R58" s="55" t="s">
        <v>267</v>
      </c>
    </row>
    <row r="59" spans="2:18" x14ac:dyDescent="0.25">
      <c r="B59" s="51">
        <v>45</v>
      </c>
      <c r="C59" s="51" t="s">
        <v>78</v>
      </c>
      <c r="D59" s="51">
        <v>45</v>
      </c>
      <c r="E59" s="51">
        <v>78.45</v>
      </c>
      <c r="F59" s="51">
        <v>77.396000000000001</v>
      </c>
      <c r="G59" s="51">
        <v>6.7619999999999996</v>
      </c>
      <c r="H59" s="51">
        <v>6.7859999999999996</v>
      </c>
      <c r="I59" s="51">
        <v>31.7</v>
      </c>
      <c r="J59" s="54">
        <f t="shared" si="3"/>
        <v>5.5555553031988758</v>
      </c>
      <c r="K59" s="53">
        <f>IFERROR(WHOLE_STRUCTURE[[#This Row],[Bottom '[m']]]-WHOLE_STRUCTURE[[#This Row],[D, top '[m']]], "")</f>
        <v>70.634</v>
      </c>
      <c r="L59" s="54">
        <f>IFERROR(-(WHOLE_STRUCTURE[[#This Row],[D, bottom '[m']]]-WHOLE_STRUCTURE[[#This Row],[D, top '[m']]])/(WHOLE_STRUCTURE[[#This Row],[Bottom '[m']]]-WHOLE_STRUCTURE[[#This Row],[Top '[m']]]),"")</f>
        <v>2.277039848197341E-2</v>
      </c>
      <c r="M59" s="52">
        <f>IFERROR((WHOLE_STRUCTURE[[#This Row],[D, bottom '[m']]]+WHOLE_STRUCTURE[[#This Row],[D, top '[m']]])/(2*WHOLE_STRUCTURE[[#This Row],[t '[mm']]]/1000),"")</f>
        <v>213.69085173501574</v>
      </c>
      <c r="O59" s="55" t="s">
        <v>78</v>
      </c>
      <c r="P59" s="55">
        <v>55.153999999999996</v>
      </c>
      <c r="Q59" s="55">
        <v>144</v>
      </c>
      <c r="R59" s="55" t="s">
        <v>267</v>
      </c>
    </row>
    <row r="60" spans="2:18" x14ac:dyDescent="0.25">
      <c r="B60" s="51">
        <v>46</v>
      </c>
      <c r="C60" s="51" t="s">
        <v>78</v>
      </c>
      <c r="D60" s="51">
        <v>46</v>
      </c>
      <c r="E60" s="51">
        <v>77.396000000000001</v>
      </c>
      <c r="F60" s="51">
        <v>74.674000000000007</v>
      </c>
      <c r="G60" s="51">
        <v>6.7859999999999996</v>
      </c>
      <c r="H60" s="51">
        <v>6.8479999999999999</v>
      </c>
      <c r="I60" s="51">
        <v>32.200000000000003</v>
      </c>
      <c r="J60" s="54">
        <f t="shared" si="3"/>
        <v>14.665624875429092</v>
      </c>
      <c r="K60" s="53">
        <f>IFERROR(WHOLE_STRUCTURE[[#This Row],[Bottom '[m']]]-WHOLE_STRUCTURE[[#This Row],[D, top '[m']]], "")</f>
        <v>67.888000000000005</v>
      </c>
      <c r="L60" s="54">
        <f>IFERROR(-(WHOLE_STRUCTURE[[#This Row],[D, bottom '[m']]]-WHOLE_STRUCTURE[[#This Row],[D, top '[m']]])/(WHOLE_STRUCTURE[[#This Row],[Bottom '[m']]]-WHOLE_STRUCTURE[[#This Row],[Top '[m']]]),"")</f>
        <v>2.2777369581190452E-2</v>
      </c>
      <c r="M60" s="52">
        <f>IFERROR((WHOLE_STRUCTURE[[#This Row],[D, bottom '[m']]]+WHOLE_STRUCTURE[[#This Row],[D, top '[m']]])/(2*WHOLE_STRUCTURE[[#This Row],[t '[mm']]]/1000),"")</f>
        <v>211.70807453416151</v>
      </c>
      <c r="O60" s="55" t="s">
        <v>78</v>
      </c>
      <c r="P60" s="55">
        <v>53.786000000000001</v>
      </c>
      <c r="Q60" s="55">
        <v>145</v>
      </c>
      <c r="R60" s="55" t="s">
        <v>267</v>
      </c>
    </row>
    <row r="61" spans="2:18" x14ac:dyDescent="0.25">
      <c r="B61" s="51">
        <v>47</v>
      </c>
      <c r="C61" s="51" t="s">
        <v>78</v>
      </c>
      <c r="D61" s="51">
        <v>47</v>
      </c>
      <c r="E61" s="51">
        <v>74.674000000000007</v>
      </c>
      <c r="F61" s="51">
        <v>71.951999999999998</v>
      </c>
      <c r="G61" s="51">
        <v>6.8479999999999999</v>
      </c>
      <c r="H61" s="51">
        <v>6.9109999999999996</v>
      </c>
      <c r="I61" s="51">
        <v>32.5</v>
      </c>
      <c r="J61" s="54">
        <f t="shared" si="3"/>
        <v>14.937961615821818</v>
      </c>
      <c r="K61" s="53">
        <f>IFERROR(WHOLE_STRUCTURE[[#This Row],[Bottom '[m']]]-WHOLE_STRUCTURE[[#This Row],[D, top '[m']]], "")</f>
        <v>65.103999999999999</v>
      </c>
      <c r="L61" s="54">
        <f>IFERROR(-(WHOLE_STRUCTURE[[#This Row],[D, bottom '[m']]]-WHOLE_STRUCTURE[[#This Row],[D, top '[m']]])/(WHOLE_STRUCTURE[[#This Row],[Bottom '[m']]]-WHOLE_STRUCTURE[[#This Row],[Top '[m']]]),"")</f>
        <v>2.3144746509919004E-2</v>
      </c>
      <c r="M61" s="52">
        <f>IFERROR((WHOLE_STRUCTURE[[#This Row],[D, bottom '[m']]]+WHOLE_STRUCTURE[[#This Row],[D, top '[m']]])/(2*WHOLE_STRUCTURE[[#This Row],[t '[mm']]]/1000),"")</f>
        <v>211.67692307692309</v>
      </c>
      <c r="O61" s="55" t="s">
        <v>78</v>
      </c>
      <c r="P61" s="55">
        <v>50.900000000000006</v>
      </c>
      <c r="Q61" s="55">
        <v>145</v>
      </c>
      <c r="R61" s="55" t="s">
        <v>267</v>
      </c>
    </row>
    <row r="62" spans="2:18" x14ac:dyDescent="0.25">
      <c r="B62" s="51">
        <v>48</v>
      </c>
      <c r="C62" s="51" t="s">
        <v>78</v>
      </c>
      <c r="D62" s="51">
        <v>48</v>
      </c>
      <c r="E62" s="51">
        <v>71.951999999999998</v>
      </c>
      <c r="F62" s="51">
        <v>70.900000000000006</v>
      </c>
      <c r="G62" s="51">
        <v>6.9109999999999996</v>
      </c>
      <c r="H62" s="51">
        <v>6.9340000000000002</v>
      </c>
      <c r="I62" s="51">
        <v>33.5</v>
      </c>
      <c r="J62" s="54">
        <f t="shared" si="3"/>
        <v>5.9873722621344063</v>
      </c>
      <c r="K62" s="53">
        <f>IFERROR(WHOLE_STRUCTURE[[#This Row],[Bottom '[m']]]-WHOLE_STRUCTURE[[#This Row],[D, top '[m']]], "")</f>
        <v>63.989000000000004</v>
      </c>
      <c r="L62" s="54">
        <f>IFERROR(-(WHOLE_STRUCTURE[[#This Row],[D, bottom '[m']]]-WHOLE_STRUCTURE[[#This Row],[D, top '[m']]])/(WHOLE_STRUCTURE[[#This Row],[Bottom '[m']]]-WHOLE_STRUCTURE[[#This Row],[Top '[m']]]),"")</f>
        <v>2.1863117870723137E-2</v>
      </c>
      <c r="M62" s="52">
        <f>IFERROR((WHOLE_STRUCTURE[[#This Row],[D, bottom '[m']]]+WHOLE_STRUCTURE[[#This Row],[D, top '[m']]])/(2*WHOLE_STRUCTURE[[#This Row],[t '[mm']]]/1000),"")</f>
        <v>206.64179104477608</v>
      </c>
      <c r="O62" s="55" t="s">
        <v>78</v>
      </c>
      <c r="P62" s="55">
        <v>49.674999999999997</v>
      </c>
      <c r="Q62" s="55">
        <v>145</v>
      </c>
      <c r="R62" s="55" t="s">
        <v>267</v>
      </c>
    </row>
    <row r="63" spans="2:18" x14ac:dyDescent="0.25">
      <c r="B63" s="51">
        <v>49</v>
      </c>
      <c r="C63" s="51" t="s">
        <v>78</v>
      </c>
      <c r="D63" s="51">
        <v>49</v>
      </c>
      <c r="E63" s="51">
        <v>70.900000000000006</v>
      </c>
      <c r="F63" s="51">
        <v>69.225000000000009</v>
      </c>
      <c r="G63" s="51">
        <v>6.9340000000000002</v>
      </c>
      <c r="H63" s="51">
        <v>6.9720000000000004</v>
      </c>
      <c r="I63" s="51">
        <v>33.5</v>
      </c>
      <c r="J63" s="54">
        <f t="shared" si="3"/>
        <v>9.5753324534747843</v>
      </c>
      <c r="K63" s="53">
        <f>IFERROR(WHOLE_STRUCTURE[[#This Row],[Bottom '[m']]]-WHOLE_STRUCTURE[[#This Row],[D, top '[m']]], "")</f>
        <v>62.291000000000011</v>
      </c>
      <c r="L63" s="54">
        <f>IFERROR(-(WHOLE_STRUCTURE[[#This Row],[D, bottom '[m']]]-WHOLE_STRUCTURE[[#This Row],[D, top '[m']]])/(WHOLE_STRUCTURE[[#This Row],[Bottom '[m']]]-WHOLE_STRUCTURE[[#This Row],[Top '[m']]]),"")</f>
        <v>2.2686567164179296E-2</v>
      </c>
      <c r="M63" s="52">
        <f>IFERROR((WHOLE_STRUCTURE[[#This Row],[D, bottom '[m']]]+WHOLE_STRUCTURE[[#This Row],[D, top '[m']]])/(2*WHOLE_STRUCTURE[[#This Row],[t '[mm']]]/1000),"")</f>
        <v>207.55223880597015</v>
      </c>
      <c r="O63" s="55" t="s">
        <v>78</v>
      </c>
      <c r="P63" s="55">
        <v>45.564000000000007</v>
      </c>
      <c r="Q63" s="55">
        <v>146</v>
      </c>
      <c r="R63" s="55" t="s">
        <v>267</v>
      </c>
    </row>
    <row r="64" spans="2:18" x14ac:dyDescent="0.25">
      <c r="B64" s="51">
        <v>50</v>
      </c>
      <c r="C64" s="51" t="s">
        <v>78</v>
      </c>
      <c r="D64" s="51">
        <v>50</v>
      </c>
      <c r="E64" s="51">
        <v>69.225000000000009</v>
      </c>
      <c r="F64" s="51">
        <v>66.490000000000009</v>
      </c>
      <c r="G64" s="51">
        <v>6.9720000000000004</v>
      </c>
      <c r="H64" s="51">
        <v>7.0380000000000003</v>
      </c>
      <c r="I64" s="51">
        <v>34</v>
      </c>
      <c r="J64" s="54">
        <f t="shared" si="3"/>
        <v>15.986406792159258</v>
      </c>
      <c r="K64" s="53">
        <f>IFERROR(WHOLE_STRUCTURE[[#This Row],[Bottom '[m']]]-WHOLE_STRUCTURE[[#This Row],[D, top '[m']]], "")</f>
        <v>59.518000000000008</v>
      </c>
      <c r="L64" s="54">
        <f>IFERROR(-(WHOLE_STRUCTURE[[#This Row],[D, bottom '[m']]]-WHOLE_STRUCTURE[[#This Row],[D, top '[m']]])/(WHOLE_STRUCTURE[[#This Row],[Bottom '[m']]]-WHOLE_STRUCTURE[[#This Row],[Top '[m']]]),"")</f>
        <v>2.4131627056672707E-2</v>
      </c>
      <c r="M64" s="52">
        <f>IFERROR((WHOLE_STRUCTURE[[#This Row],[D, bottom '[m']]]+WHOLE_STRUCTURE[[#This Row],[D, top '[m']]])/(2*WHOLE_STRUCTURE[[#This Row],[t '[mm']]]/1000),"")</f>
        <v>206.02941176470588</v>
      </c>
      <c r="O64" s="55" t="s">
        <v>78</v>
      </c>
      <c r="P64" s="55">
        <v>41.561000000000007</v>
      </c>
      <c r="Q64" s="55">
        <v>146</v>
      </c>
      <c r="R64" s="55" t="s">
        <v>267</v>
      </c>
    </row>
    <row r="65" spans="2:18" x14ac:dyDescent="0.25">
      <c r="B65" s="51">
        <v>51</v>
      </c>
      <c r="C65" s="51" t="s">
        <v>78</v>
      </c>
      <c r="D65" s="51">
        <v>51</v>
      </c>
      <c r="E65" s="51">
        <v>66.490000000000009</v>
      </c>
      <c r="F65" s="51">
        <v>66.445000000000007</v>
      </c>
      <c r="G65" s="51">
        <v>7.0380000000000003</v>
      </c>
      <c r="H65" s="51">
        <v>7.0380000000000003</v>
      </c>
      <c r="I65" s="51">
        <v>38</v>
      </c>
      <c r="J65" s="54">
        <f t="shared" si="3"/>
        <v>0.29519818289824729</v>
      </c>
      <c r="K65" s="54">
        <f>IFERROR(WHOLE_STRUCTURE[[#This Row],[Bottom '[m']]]-WHOLE_STRUCTURE[[#This Row],[D, top '[m']]], "")</f>
        <v>59.407000000000011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185.21052631578948</v>
      </c>
      <c r="O65" s="55" t="s">
        <v>78</v>
      </c>
      <c r="P65" s="55">
        <v>40.900000000000006</v>
      </c>
      <c r="Q65" s="55">
        <v>150</v>
      </c>
      <c r="R65" s="55" t="s">
        <v>267</v>
      </c>
    </row>
    <row r="66" spans="2:18" x14ac:dyDescent="0.25">
      <c r="B66" s="51">
        <v>52</v>
      </c>
      <c r="C66" s="51" t="s">
        <v>78</v>
      </c>
      <c r="D66" s="51">
        <v>52</v>
      </c>
      <c r="E66" s="51">
        <v>66.445000000000007</v>
      </c>
      <c r="F66" s="51">
        <v>66.260000000000005</v>
      </c>
      <c r="G66" s="51">
        <v>7.0380000000000003</v>
      </c>
      <c r="H66" s="51">
        <v>7.0380000000000003</v>
      </c>
      <c r="I66" s="51">
        <v>38</v>
      </c>
      <c r="J66" s="54">
        <f t="shared" si="3"/>
        <v>1.2135925296927634</v>
      </c>
      <c r="K66" s="54">
        <f>IFERROR(WHOLE_STRUCTURE[[#This Row],[Bottom '[m']]]-WHOLE_STRUCTURE[[#This Row],[D, top '[m']]], "")</f>
        <v>59.222000000000008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185.21052631578948</v>
      </c>
      <c r="O66" s="55" t="s">
        <v>78</v>
      </c>
      <c r="P66" s="55">
        <v>38.725000000000001</v>
      </c>
      <c r="Q66" s="55">
        <v>7072</v>
      </c>
      <c r="R66" s="55" t="s">
        <v>267</v>
      </c>
    </row>
    <row r="67" spans="2:18" x14ac:dyDescent="0.25">
      <c r="B67" s="51">
        <v>53</v>
      </c>
      <c r="C67" s="51" t="s">
        <v>78</v>
      </c>
      <c r="D67" s="51">
        <v>53</v>
      </c>
      <c r="E67" s="51">
        <v>66.260000000000005</v>
      </c>
      <c r="F67" s="51">
        <v>66.075000000000003</v>
      </c>
      <c r="G67" s="51">
        <v>7.0380000000000003</v>
      </c>
      <c r="H67" s="51">
        <v>7.0380000000000003</v>
      </c>
      <c r="I67" s="51">
        <v>38</v>
      </c>
      <c r="J67" s="54">
        <f t="shared" si="3"/>
        <v>1.2135925296927634</v>
      </c>
      <c r="K67" s="54">
        <f>IFERROR(WHOLE_STRUCTURE[[#This Row],[Bottom '[m']]]-WHOLE_STRUCTURE[[#This Row],[D, top '[m']]], "")</f>
        <v>59.037000000000006</v>
      </c>
      <c r="L67" s="54">
        <f>IFERROR(-(WHOLE_STRUCTURE[[#This Row],[D, bottom '[m']]]-WHOLE_STRUCTURE[[#This Row],[D, top '[m']]])/(WHOLE_STRUCTURE[[#This Row],[Bottom '[m']]]-WHOLE_STRUCTURE[[#This Row],[Top '[m']]]),"")</f>
        <v>0</v>
      </c>
      <c r="M67" s="54">
        <f>IFERROR((WHOLE_STRUCTURE[[#This Row],[D, bottom '[m']]]+WHOLE_STRUCTURE[[#This Row],[D, top '[m']]])/(2*WHOLE_STRUCTURE[[#This Row],[t '[mm']]]/1000),"")</f>
        <v>185.21052631578948</v>
      </c>
      <c r="O67" s="55" t="s">
        <v>78</v>
      </c>
      <c r="P67" s="55">
        <v>38.540000000000006</v>
      </c>
      <c r="Q67" s="55">
        <v>11176</v>
      </c>
      <c r="R67" s="55" t="s">
        <v>267</v>
      </c>
    </row>
    <row r="68" spans="2:18" x14ac:dyDescent="0.25">
      <c r="B68" s="51">
        <v>54</v>
      </c>
      <c r="C68" s="51" t="s">
        <v>78</v>
      </c>
      <c r="D68" s="51">
        <v>54</v>
      </c>
      <c r="E68" s="51">
        <v>66.075000000000003</v>
      </c>
      <c r="F68" s="51">
        <v>66.03</v>
      </c>
      <c r="G68" s="51">
        <v>7.0380000000000003</v>
      </c>
      <c r="H68" s="51">
        <v>7.032</v>
      </c>
      <c r="I68" s="51">
        <v>38</v>
      </c>
      <c r="J68" s="54">
        <f t="shared" si="3"/>
        <v>0.29507166939129226</v>
      </c>
      <c r="K68" s="54">
        <f>IFERROR(WHOLE_STRUCTURE[[#This Row],[Bottom '[m']]]-WHOLE_STRUCTURE[[#This Row],[D, top '[m']]], "")</f>
        <v>58.992000000000004</v>
      </c>
      <c r="L68" s="54">
        <f>IFERROR(-(WHOLE_STRUCTURE[[#This Row],[D, bottom '[m']]]-WHOLE_STRUCTURE[[#This Row],[D, top '[m']]])/(WHOLE_STRUCTURE[[#This Row],[Bottom '[m']]]-WHOLE_STRUCTURE[[#This Row],[Top '[m']]]),"")</f>
        <v>-0.13333333333333333</v>
      </c>
      <c r="M68" s="54">
        <f>IFERROR((WHOLE_STRUCTURE[[#This Row],[D, bottom '[m']]]+WHOLE_STRUCTURE[[#This Row],[D, top '[m']]])/(2*WHOLE_STRUCTURE[[#This Row],[t '[mm']]]/1000),"")</f>
        <v>185.13157894736844</v>
      </c>
      <c r="O68" s="55" t="s">
        <v>78</v>
      </c>
      <c r="P68" s="55">
        <v>38.355000000000004</v>
      </c>
      <c r="Q68" s="55">
        <v>6</v>
      </c>
      <c r="R68" s="55" t="s">
        <v>267</v>
      </c>
    </row>
    <row r="69" spans="2:18" x14ac:dyDescent="0.25">
      <c r="B69" s="51">
        <v>55</v>
      </c>
      <c r="C69" s="51" t="s">
        <v>78</v>
      </c>
      <c r="D69" s="51">
        <v>55</v>
      </c>
      <c r="E69" s="51">
        <v>66.03</v>
      </c>
      <c r="F69" s="51">
        <v>63.308000000000007</v>
      </c>
      <c r="G69" s="51">
        <v>7.032</v>
      </c>
      <c r="H69" s="51">
        <v>7.0759999999999996</v>
      </c>
      <c r="I69" s="51">
        <v>32</v>
      </c>
      <c r="J69" s="54">
        <f t="shared" ref="J69:J131" si="4">IF(7850/1000*(1/3)*PI()*ABS(E69-F69)*((G69/2)^2+(G69/2)*(H69/2)+(H69/2)^2-(G69/2-I69/1000)^2-(G69/2-I69/1000)*(H69/2-I69/1000)-(H69/2-I69/1000)^2)=0,"",7850/1000*(1/3)*PI()*ABS(E69-F69)*((G69/2)^2+(G69/2)*(H69/2)+(H69/2)^2-(G69/2-I69/1000)^2-(G69/2-I69/1000)*(H69/2-I69/1000)-(H69/2-I69/1000)^2))</f>
        <v>15.0840670340591</v>
      </c>
      <c r="K69" s="54">
        <f>IFERROR(WHOLE_STRUCTURE[[#This Row],[Bottom '[m']]]-WHOLE_STRUCTURE[[#This Row],[D, top '[m']]], "")</f>
        <v>56.27600000000001</v>
      </c>
      <c r="L69" s="54">
        <f>IFERROR(-(WHOLE_STRUCTURE[[#This Row],[D, bottom '[m']]]-WHOLE_STRUCTURE[[#This Row],[D, top '[m']]])/(WHOLE_STRUCTURE[[#This Row],[Bottom '[m']]]-WHOLE_STRUCTURE[[#This Row],[Top '[m']]]),"")</f>
        <v>1.6164584864070422E-2</v>
      </c>
      <c r="M69" s="54">
        <f>IFERROR((WHOLE_STRUCTURE[[#This Row],[D, bottom '[m']]]+WHOLE_STRUCTURE[[#This Row],[D, top '[m']]])/(2*WHOLE_STRUCTURE[[#This Row],[t '[mm']]]/1000),"")</f>
        <v>220.4375</v>
      </c>
      <c r="O69" s="55" t="s">
        <v>78</v>
      </c>
      <c r="P69" s="55">
        <v>38.305000000000007</v>
      </c>
      <c r="Q69" s="55">
        <v>2</v>
      </c>
      <c r="R69" s="55" t="s">
        <v>267</v>
      </c>
    </row>
    <row r="70" spans="2:18" x14ac:dyDescent="0.25">
      <c r="B70" s="51">
        <v>56</v>
      </c>
      <c r="C70" s="51" t="s">
        <v>78</v>
      </c>
      <c r="D70" s="51">
        <v>56</v>
      </c>
      <c r="E70" s="51">
        <v>63.308000000000007</v>
      </c>
      <c r="F70" s="51">
        <v>62.007000000000005</v>
      </c>
      <c r="G70" s="51">
        <v>7.0759999999999996</v>
      </c>
      <c r="H70" s="51">
        <v>7.0970000000000004</v>
      </c>
      <c r="I70" s="51">
        <v>33</v>
      </c>
      <c r="J70" s="54">
        <f t="shared" si="4"/>
        <v>7.4681913438982228</v>
      </c>
      <c r="K70" s="54">
        <f>IFERROR(WHOLE_STRUCTURE[[#This Row],[Bottom '[m']]]-WHOLE_STRUCTURE[[#This Row],[D, top '[m']]], "")</f>
        <v>54.931000000000004</v>
      </c>
      <c r="L70" s="54">
        <f>IFERROR(-(WHOLE_STRUCTURE[[#This Row],[D, bottom '[m']]]-WHOLE_STRUCTURE[[#This Row],[D, top '[m']]])/(WHOLE_STRUCTURE[[#This Row],[Bottom '[m']]]-WHOLE_STRUCTURE[[#This Row],[Top '[m']]]),"")</f>
        <v>1.6141429669485598E-2</v>
      </c>
      <c r="M70" s="54">
        <f>IFERROR((WHOLE_STRUCTURE[[#This Row],[D, bottom '[m']]]+WHOLE_STRUCTURE[[#This Row],[D, top '[m']]])/(2*WHOLE_STRUCTURE[[#This Row],[t '[mm']]]/1000),"")</f>
        <v>214.74242424242422</v>
      </c>
      <c r="O70" s="55" t="s">
        <v>78</v>
      </c>
      <c r="P70" s="55">
        <v>37.343000000000004</v>
      </c>
      <c r="Q70" s="55">
        <v>1318</v>
      </c>
      <c r="R70" s="55" t="s">
        <v>267</v>
      </c>
    </row>
    <row r="71" spans="2:18" x14ac:dyDescent="0.25">
      <c r="B71" s="51">
        <v>57</v>
      </c>
      <c r="C71" s="51" t="s">
        <v>78</v>
      </c>
      <c r="D71" s="51">
        <v>57</v>
      </c>
      <c r="E71" s="51">
        <v>62.007000000000005</v>
      </c>
      <c r="F71" s="51">
        <v>60.900000000000006</v>
      </c>
      <c r="G71" s="51">
        <v>7.0970000000000004</v>
      </c>
      <c r="H71" s="51">
        <v>7.1139999999999999</v>
      </c>
      <c r="I71" s="51">
        <v>33</v>
      </c>
      <c r="J71" s="54">
        <f t="shared" si="4"/>
        <v>6.3716813187634509</v>
      </c>
      <c r="K71" s="54">
        <f>IFERROR(WHOLE_STRUCTURE[[#This Row],[Bottom '[m']]]-WHOLE_STRUCTURE[[#This Row],[D, top '[m']]], "")</f>
        <v>53.803000000000004</v>
      </c>
      <c r="L71" s="54">
        <f>IFERROR(-(WHOLE_STRUCTURE[[#This Row],[D, bottom '[m']]]-WHOLE_STRUCTURE[[#This Row],[D, top '[m']]])/(WHOLE_STRUCTURE[[#This Row],[Bottom '[m']]]-WHOLE_STRUCTURE[[#This Row],[Top '[m']]]),"")</f>
        <v>1.5356820234868536E-2</v>
      </c>
      <c r="M71" s="54">
        <f>IFERROR((WHOLE_STRUCTURE[[#This Row],[D, bottom '[m']]]+WHOLE_STRUCTURE[[#This Row],[D, top '[m']]])/(2*WHOLE_STRUCTURE[[#This Row],[t '[mm']]]/1000),"")</f>
        <v>215.31818181818181</v>
      </c>
      <c r="O71" s="55" t="s">
        <v>78</v>
      </c>
      <c r="P71" s="55">
        <v>33.231999999999999</v>
      </c>
      <c r="Q71" s="55">
        <v>158</v>
      </c>
      <c r="R71" s="55" t="s">
        <v>267</v>
      </c>
    </row>
    <row r="72" spans="2:18" x14ac:dyDescent="0.25">
      <c r="B72" s="51">
        <v>58</v>
      </c>
      <c r="C72" s="51" t="s">
        <v>78</v>
      </c>
      <c r="D72" s="51">
        <v>58</v>
      </c>
      <c r="E72" s="51">
        <v>60.900000000000006</v>
      </c>
      <c r="F72" s="51">
        <v>60.59</v>
      </c>
      <c r="G72" s="51">
        <v>7.1139999999999999</v>
      </c>
      <c r="H72" s="51">
        <v>7.1189999999999998</v>
      </c>
      <c r="I72" s="51">
        <v>33</v>
      </c>
      <c r="J72" s="54">
        <f t="shared" si="4"/>
        <v>1.7870761604983658</v>
      </c>
      <c r="K72" s="54">
        <f>IFERROR(WHOLE_STRUCTURE[[#This Row],[Bottom '[m']]]-WHOLE_STRUCTURE[[#This Row],[D, top '[m']]], "")</f>
        <v>53.476000000000006</v>
      </c>
      <c r="L72" s="54">
        <f>IFERROR(-(WHOLE_STRUCTURE[[#This Row],[D, bottom '[m']]]-WHOLE_STRUCTURE[[#This Row],[D, top '[m']]])/(WHOLE_STRUCTURE[[#This Row],[Bottom '[m']]]-WHOLE_STRUCTURE[[#This Row],[Top '[m']]]),"")</f>
        <v>1.6129032258064054E-2</v>
      </c>
      <c r="M72" s="54">
        <f>IFERROR((WHOLE_STRUCTURE[[#This Row],[D, bottom '[m']]]+WHOLE_STRUCTURE[[#This Row],[D, top '[m']]])/(2*WHOLE_STRUCTURE[[#This Row],[t '[mm']]]/1000),"")</f>
        <v>215.65151515151516</v>
      </c>
      <c r="O72" s="55" t="s">
        <v>78</v>
      </c>
      <c r="P72" s="55">
        <v>30.900000000000002</v>
      </c>
      <c r="Q72" s="55">
        <v>158</v>
      </c>
      <c r="R72" s="55" t="s">
        <v>267</v>
      </c>
    </row>
    <row r="73" spans="2:18" x14ac:dyDescent="0.25">
      <c r="B73" s="51">
        <v>59</v>
      </c>
      <c r="C73" s="51" t="s">
        <v>78</v>
      </c>
      <c r="D73" s="51">
        <v>59</v>
      </c>
      <c r="E73" s="51">
        <v>60.59</v>
      </c>
      <c r="F73" s="51">
        <v>57.896000000000001</v>
      </c>
      <c r="G73" s="51">
        <v>7.1189999999999998</v>
      </c>
      <c r="H73" s="51">
        <v>7.1619999999999999</v>
      </c>
      <c r="I73" s="51">
        <v>33</v>
      </c>
      <c r="J73" s="54">
        <f t="shared" si="4"/>
        <v>15.582887276036354</v>
      </c>
      <c r="K73" s="54">
        <f>IFERROR(WHOLE_STRUCTURE[[#This Row],[Bottom '[m']]]-WHOLE_STRUCTURE[[#This Row],[D, top '[m']]], "")</f>
        <v>50.777000000000001</v>
      </c>
      <c r="L73" s="54">
        <f>IFERROR(-(WHOLE_STRUCTURE[[#This Row],[D, bottom '[m']]]-WHOLE_STRUCTURE[[#This Row],[D, top '[m']]])/(WHOLE_STRUCTURE[[#This Row],[Bottom '[m']]]-WHOLE_STRUCTURE[[#This Row],[Top '[m']]]),"")</f>
        <v>1.5961395694135155E-2</v>
      </c>
      <c r="M73" s="54">
        <f>IFERROR((WHOLE_STRUCTURE[[#This Row],[D, bottom '[m']]]+WHOLE_STRUCTURE[[#This Row],[D, top '[m']]])/(2*WHOLE_STRUCTURE[[#This Row],[t '[mm']]]/1000),"")</f>
        <v>216.37878787878785</v>
      </c>
      <c r="O73" s="55" t="s">
        <v>78</v>
      </c>
      <c r="P73" s="55">
        <v>29.121000000000002</v>
      </c>
      <c r="Q73" s="55">
        <v>158</v>
      </c>
      <c r="R73" s="55" t="s">
        <v>267</v>
      </c>
    </row>
    <row r="74" spans="2:18" x14ac:dyDescent="0.25">
      <c r="B74" s="51">
        <v>60</v>
      </c>
      <c r="C74" s="51" t="s">
        <v>78</v>
      </c>
      <c r="D74" s="51">
        <v>60</v>
      </c>
      <c r="E74" s="51">
        <v>57.896000000000001</v>
      </c>
      <c r="F74" s="51">
        <v>57.872</v>
      </c>
      <c r="G74" s="51">
        <v>7.1619999999999999</v>
      </c>
      <c r="H74" s="51">
        <v>7.1630000000000003</v>
      </c>
      <c r="I74" s="51">
        <v>33</v>
      </c>
      <c r="J74" s="54">
        <f t="shared" si="4"/>
        <v>0.13925275124633829</v>
      </c>
      <c r="K74" s="54">
        <f>IFERROR(WHOLE_STRUCTURE[[#This Row],[Bottom '[m']]]-WHOLE_STRUCTURE[[#This Row],[D, top '[m']]], "")</f>
        <v>50.71</v>
      </c>
      <c r="L74" s="54">
        <f>IFERROR(-(WHOLE_STRUCTURE[[#This Row],[D, bottom '[m']]]-WHOLE_STRUCTURE[[#This Row],[D, top '[m']]])/(WHOLE_STRUCTURE[[#This Row],[Bottom '[m']]]-WHOLE_STRUCTURE[[#This Row],[Top '[m']]]),"")</f>
        <v>4.1666666666679002E-2</v>
      </c>
      <c r="M74" s="54">
        <f>IFERROR((WHOLE_STRUCTURE[[#This Row],[D, bottom '[m']]]+WHOLE_STRUCTURE[[#This Row],[D, top '[m']]])/(2*WHOLE_STRUCTURE[[#This Row],[t '[mm']]]/1000),"")</f>
        <v>217.04545454545453</v>
      </c>
      <c r="O74" s="55" t="s">
        <v>78</v>
      </c>
      <c r="P74" s="55">
        <v>25.050000000000004</v>
      </c>
      <c r="Q74" s="55">
        <v>86</v>
      </c>
      <c r="R74" s="55" t="s">
        <v>267</v>
      </c>
    </row>
    <row r="75" spans="2:18" x14ac:dyDescent="0.25">
      <c r="B75" s="51">
        <v>61</v>
      </c>
      <c r="C75" s="51" t="s">
        <v>78</v>
      </c>
      <c r="D75" s="51">
        <v>61</v>
      </c>
      <c r="E75" s="51">
        <v>57.872</v>
      </c>
      <c r="F75" s="51">
        <v>55.153999999999996</v>
      </c>
      <c r="G75" s="51">
        <v>7.1630000000000003</v>
      </c>
      <c r="H75" s="51">
        <v>7.21</v>
      </c>
      <c r="I75" s="51">
        <v>34</v>
      </c>
      <c r="J75" s="54">
        <f t="shared" si="4"/>
        <v>16.300681633570363</v>
      </c>
      <c r="K75" s="54">
        <f>IFERROR(WHOLE_STRUCTURE[[#This Row],[Bottom '[m']]]-WHOLE_STRUCTURE[[#This Row],[D, top '[m']]], "")</f>
        <v>47.991</v>
      </c>
      <c r="L75" s="54">
        <f>IFERROR(-(WHOLE_STRUCTURE[[#This Row],[D, bottom '[m']]]-WHOLE_STRUCTURE[[#This Row],[D, top '[m']]])/(WHOLE_STRUCTURE[[#This Row],[Bottom '[m']]]-WHOLE_STRUCTURE[[#This Row],[Top '[m']]]),"")</f>
        <v>1.7292126563649615E-2</v>
      </c>
      <c r="M75" s="54">
        <f>IFERROR((WHOLE_STRUCTURE[[#This Row],[D, bottom '[m']]]+WHOLE_STRUCTURE[[#This Row],[D, top '[m']]])/(2*WHOLE_STRUCTURE[[#This Row],[t '[mm']]]/1000),"")</f>
        <v>211.36764705882354</v>
      </c>
      <c r="O75" s="55" t="s">
        <v>78</v>
      </c>
      <c r="P75" s="55">
        <v>25.011000000000003</v>
      </c>
      <c r="Q75" s="55">
        <v>688</v>
      </c>
      <c r="R75" s="55" t="s">
        <v>267</v>
      </c>
    </row>
    <row r="76" spans="2:18" x14ac:dyDescent="0.25">
      <c r="B76" s="51">
        <v>62</v>
      </c>
      <c r="C76" s="51" t="s">
        <v>78</v>
      </c>
      <c r="D76" s="51">
        <v>62</v>
      </c>
      <c r="E76" s="51">
        <v>55.153999999999996</v>
      </c>
      <c r="F76" s="51">
        <v>53.786000000000001</v>
      </c>
      <c r="G76" s="51">
        <v>7.21</v>
      </c>
      <c r="H76" s="51">
        <v>7.2309999999999999</v>
      </c>
      <c r="I76" s="51">
        <v>38.199999999999996</v>
      </c>
      <c r="J76" s="54">
        <f t="shared" si="4"/>
        <v>9.2561957628509823</v>
      </c>
      <c r="K76" s="54">
        <f>IFERROR(WHOLE_STRUCTURE[[#This Row],[Bottom '[m']]]-WHOLE_STRUCTURE[[#This Row],[D, top '[m']]], "")</f>
        <v>46.576000000000001</v>
      </c>
      <c r="L76" s="54">
        <f>IFERROR(-(WHOLE_STRUCTURE[[#This Row],[D, bottom '[m']]]-WHOLE_STRUCTURE[[#This Row],[D, top '[m']]])/(WHOLE_STRUCTURE[[#This Row],[Bottom '[m']]]-WHOLE_STRUCTURE[[#This Row],[Top '[m']]]),"")</f>
        <v>1.5350877192982445E-2</v>
      </c>
      <c r="M76" s="54">
        <f>IFERROR((WHOLE_STRUCTURE[[#This Row],[D, bottom '[m']]]+WHOLE_STRUCTURE[[#This Row],[D, top '[m']]])/(2*WHOLE_STRUCTURE[[#This Row],[t '[mm']]]/1000),"")</f>
        <v>189.01832460732984</v>
      </c>
      <c r="O76" s="55" t="s">
        <v>78</v>
      </c>
      <c r="P76" s="55">
        <v>22.12</v>
      </c>
      <c r="Q76" s="55">
        <v>13900</v>
      </c>
      <c r="R76" s="55" t="s">
        <v>267</v>
      </c>
    </row>
    <row r="77" spans="2:18" x14ac:dyDescent="0.25">
      <c r="B77" s="51">
        <v>63</v>
      </c>
      <c r="C77" s="51" t="s">
        <v>78</v>
      </c>
      <c r="D77" s="51">
        <v>63</v>
      </c>
      <c r="E77" s="51">
        <v>53.786000000000001</v>
      </c>
      <c r="F77" s="51">
        <v>52.436000000000007</v>
      </c>
      <c r="G77" s="51">
        <v>7.2309999999999999</v>
      </c>
      <c r="H77" s="51">
        <v>7.2519999999999998</v>
      </c>
      <c r="I77" s="51">
        <v>38.199999999999996</v>
      </c>
      <c r="J77" s="54">
        <f t="shared" si="4"/>
        <v>9.1611113805187827</v>
      </c>
      <c r="K77" s="54">
        <f>IFERROR(WHOLE_STRUCTURE[[#This Row],[Bottom '[m']]]-WHOLE_STRUCTURE[[#This Row],[D, top '[m']]], "")</f>
        <v>45.205000000000005</v>
      </c>
      <c r="L77" s="54">
        <f>IFERROR(-(WHOLE_STRUCTURE[[#This Row],[D, bottom '[m']]]-WHOLE_STRUCTURE[[#This Row],[D, top '[m']]])/(WHOLE_STRUCTURE[[#This Row],[Bottom '[m']]]-WHOLE_STRUCTURE[[#This Row],[Top '[m']]]),"")</f>
        <v>1.5555555555555553E-2</v>
      </c>
      <c r="M77" s="54">
        <f>IFERROR((WHOLE_STRUCTURE[[#This Row],[D, bottom '[m']]]+WHOLE_STRUCTURE[[#This Row],[D, top '[m']]])/(2*WHOLE_STRUCTURE[[#This Row],[t '[mm']]]/1000),"")</f>
        <v>189.56806282722516</v>
      </c>
      <c r="O77" s="55" t="s">
        <v>78</v>
      </c>
      <c r="P77" s="55">
        <v>21.14</v>
      </c>
      <c r="Q77" s="55">
        <v>53</v>
      </c>
      <c r="R77" s="55" t="s">
        <v>267</v>
      </c>
    </row>
    <row r="78" spans="2:18" x14ac:dyDescent="0.25">
      <c r="B78" s="51">
        <v>64</v>
      </c>
      <c r="C78" s="51" t="s">
        <v>78</v>
      </c>
      <c r="D78" s="51">
        <v>64</v>
      </c>
      <c r="E78" s="51">
        <v>52.436000000000007</v>
      </c>
      <c r="F78" s="51">
        <v>50.900000000000006</v>
      </c>
      <c r="G78" s="51">
        <v>7.2519999999999998</v>
      </c>
      <c r="H78" s="51">
        <v>7.2770000000000001</v>
      </c>
      <c r="I78" s="51">
        <v>38.199999999999996</v>
      </c>
      <c r="J78" s="54">
        <f t="shared" si="4"/>
        <v>10.456590375877102</v>
      </c>
      <c r="K78" s="54">
        <f>IFERROR(WHOLE_STRUCTURE[[#This Row],[Bottom '[m']]]-WHOLE_STRUCTURE[[#This Row],[D, top '[m']]], "")</f>
        <v>43.648000000000003</v>
      </c>
      <c r="L78" s="54">
        <f>IFERROR(-(WHOLE_STRUCTURE[[#This Row],[D, bottom '[m']]]-WHOLE_STRUCTURE[[#This Row],[D, top '[m']]])/(WHOLE_STRUCTURE[[#This Row],[Bottom '[m']]]-WHOLE_STRUCTURE[[#This Row],[Top '[m']]]),"")</f>
        <v>1.6276041666666883E-2</v>
      </c>
      <c r="M78" s="54">
        <f>IFERROR((WHOLE_STRUCTURE[[#This Row],[D, bottom '[m']]]+WHOLE_STRUCTURE[[#This Row],[D, top '[m']]])/(2*WHOLE_STRUCTURE[[#This Row],[t '[mm']]]/1000),"")</f>
        <v>190.17015706806285</v>
      </c>
      <c r="O78" s="55" t="s">
        <v>78</v>
      </c>
      <c r="P78" s="55">
        <v>21.080000000000002</v>
      </c>
      <c r="Q78" s="55">
        <v>14132</v>
      </c>
      <c r="R78" s="55" t="s">
        <v>267</v>
      </c>
    </row>
    <row r="79" spans="2:18" x14ac:dyDescent="0.25">
      <c r="B79" s="51">
        <v>65</v>
      </c>
      <c r="C79" s="51" t="s">
        <v>78</v>
      </c>
      <c r="D79" s="51">
        <v>65</v>
      </c>
      <c r="E79" s="51">
        <v>50.900000000000006</v>
      </c>
      <c r="F79" s="51">
        <v>49.718000000000004</v>
      </c>
      <c r="G79" s="51">
        <v>7.2770000000000001</v>
      </c>
      <c r="H79" s="51">
        <v>7.2919999999999998</v>
      </c>
      <c r="I79" s="51">
        <v>38.199999999999996</v>
      </c>
      <c r="J79" s="54">
        <f t="shared" si="4"/>
        <v>8.0689435830434757</v>
      </c>
      <c r="K79" s="54">
        <f>IFERROR(WHOLE_STRUCTURE[[#This Row],[Bottom '[m']]]-WHOLE_STRUCTURE[[#This Row],[D, top '[m']]], "")</f>
        <v>42.441000000000003</v>
      </c>
      <c r="L79" s="54">
        <f>IFERROR(-(WHOLE_STRUCTURE[[#This Row],[D, bottom '[m']]]-WHOLE_STRUCTURE[[#This Row],[D, top '[m']]])/(WHOLE_STRUCTURE[[#This Row],[Bottom '[m']]]-WHOLE_STRUCTURE[[#This Row],[Top '[m']]]),"")</f>
        <v>1.2690355329948945E-2</v>
      </c>
      <c r="M79" s="54">
        <f>IFERROR((WHOLE_STRUCTURE[[#This Row],[D, bottom '[m']]]+WHOLE_STRUCTURE[[#This Row],[D, top '[m']]])/(2*WHOLE_STRUCTURE[[#This Row],[t '[mm']]]/1000),"")</f>
        <v>190.69371727748691</v>
      </c>
      <c r="O79" s="55" t="s">
        <v>78</v>
      </c>
      <c r="P79" s="55">
        <v>20.900000000000002</v>
      </c>
      <c r="Q79" s="55">
        <v>28000</v>
      </c>
      <c r="R79" s="55" t="s">
        <v>100</v>
      </c>
    </row>
    <row r="80" spans="2:18" x14ac:dyDescent="0.25">
      <c r="B80" s="51">
        <v>66</v>
      </c>
      <c r="C80" s="51" t="s">
        <v>78</v>
      </c>
      <c r="D80" s="51">
        <v>66</v>
      </c>
      <c r="E80" s="51">
        <v>49.718000000000004</v>
      </c>
      <c r="F80" s="51">
        <v>49.674999999999997</v>
      </c>
      <c r="G80" s="51">
        <v>7.2919999999999998</v>
      </c>
      <c r="H80" s="51">
        <v>7.2919999999999998</v>
      </c>
      <c r="I80" s="51">
        <v>34.5</v>
      </c>
      <c r="J80" s="54">
        <f t="shared" si="4"/>
        <v>0.26551809567018186</v>
      </c>
      <c r="K80" s="54">
        <f>IFERROR(WHOLE_STRUCTURE[[#This Row],[Bottom '[m']]]-WHOLE_STRUCTURE[[#This Row],[D, top '[m']]], "")</f>
        <v>42.382999999999996</v>
      </c>
      <c r="L80" s="54">
        <f>IFERROR(-(WHOLE_STRUCTURE[[#This Row],[D, bottom '[m']]]-WHOLE_STRUCTURE[[#This Row],[D, top '[m']]])/(WHOLE_STRUCTURE[[#This Row],[Bottom '[m']]]-WHOLE_STRUCTURE[[#This Row],[Top '[m']]]),"")</f>
        <v>0</v>
      </c>
      <c r="M80" s="54">
        <f>IFERROR((WHOLE_STRUCTURE[[#This Row],[D, bottom '[m']]]+WHOLE_STRUCTURE[[#This Row],[D, top '[m']]])/(2*WHOLE_STRUCTURE[[#This Row],[t '[mm']]]/1000),"")</f>
        <v>211.36231884057969</v>
      </c>
      <c r="O80" s="55" t="s">
        <v>92</v>
      </c>
      <c r="P80" s="55">
        <v>20.100000000000001</v>
      </c>
      <c r="Q80" s="55">
        <v>20000</v>
      </c>
      <c r="R80" s="55" t="s">
        <v>101</v>
      </c>
    </row>
    <row r="81" spans="2:18" x14ac:dyDescent="0.25">
      <c r="B81" s="51">
        <v>67</v>
      </c>
      <c r="C81" s="51" t="s">
        <v>78</v>
      </c>
      <c r="D81" s="51">
        <v>67</v>
      </c>
      <c r="E81" s="51">
        <v>49.674999999999997</v>
      </c>
      <c r="F81" s="51">
        <v>47</v>
      </c>
      <c r="G81" s="51">
        <v>7.2919999999999998</v>
      </c>
      <c r="H81" s="51">
        <v>7.335</v>
      </c>
      <c r="I81" s="51">
        <v>34.5</v>
      </c>
      <c r="J81" s="54">
        <f t="shared" si="4"/>
        <v>16.566628376977938</v>
      </c>
      <c r="K81" s="54">
        <f>IFERROR(WHOLE_STRUCTURE[[#This Row],[Bottom '[m']]]-WHOLE_STRUCTURE[[#This Row],[D, top '[m']]], "")</f>
        <v>39.707999999999998</v>
      </c>
      <c r="L81" s="54">
        <f>IFERROR(-(WHOLE_STRUCTURE[[#This Row],[D, bottom '[m']]]-WHOLE_STRUCTURE[[#This Row],[D, top '[m']]])/(WHOLE_STRUCTURE[[#This Row],[Bottom '[m']]]-WHOLE_STRUCTURE[[#This Row],[Top '[m']]]),"")</f>
        <v>1.6074766355140258E-2</v>
      </c>
      <c r="M81" s="54">
        <f>IFERROR((WHOLE_STRUCTURE[[#This Row],[D, bottom '[m']]]+WHOLE_STRUCTURE[[#This Row],[D, top '[m']]])/(2*WHOLE_STRUCTURE[[#This Row],[t '[mm']]]/1000),"")</f>
        <v>211.98550724637678</v>
      </c>
      <c r="O81" s="55" t="s">
        <v>92</v>
      </c>
      <c r="P81" s="55">
        <v>19.5</v>
      </c>
      <c r="Q81" s="55">
        <v>5000</v>
      </c>
      <c r="R81" s="55" t="s">
        <v>95</v>
      </c>
    </row>
    <row r="82" spans="2:18" x14ac:dyDescent="0.25">
      <c r="B82" s="51">
        <v>68</v>
      </c>
      <c r="C82" s="51" t="s">
        <v>78</v>
      </c>
      <c r="D82" s="51">
        <v>68</v>
      </c>
      <c r="E82" s="51">
        <v>47</v>
      </c>
      <c r="F82" s="51">
        <v>45.564000000000007</v>
      </c>
      <c r="G82" s="51">
        <v>7.335</v>
      </c>
      <c r="H82" s="51">
        <v>7.3579999999999997</v>
      </c>
      <c r="I82" s="51">
        <v>35</v>
      </c>
      <c r="J82" s="54">
        <f t="shared" si="4"/>
        <v>9.0625099838538912</v>
      </c>
      <c r="K82" s="54">
        <f>IFERROR(WHOLE_STRUCTURE[[#This Row],[Bottom '[m']]]-WHOLE_STRUCTURE[[#This Row],[D, top '[m']]], "")</f>
        <v>38.229000000000006</v>
      </c>
      <c r="L82" s="54">
        <f>IFERROR(-(WHOLE_STRUCTURE[[#This Row],[D, bottom '[m']]]-WHOLE_STRUCTURE[[#This Row],[D, top '[m']]])/(WHOLE_STRUCTURE[[#This Row],[Bottom '[m']]]-WHOLE_STRUCTURE[[#This Row],[Top '[m']]]),"")</f>
        <v>1.6016713091921868E-2</v>
      </c>
      <c r="M82" s="54">
        <f>IFERROR((WHOLE_STRUCTURE[[#This Row],[D, bottom '[m']]]+WHOLE_STRUCTURE[[#This Row],[D, top '[m']]])/(2*WHOLE_STRUCTURE[[#This Row],[t '[mm']]]/1000),"")</f>
        <v>209.89999999999998</v>
      </c>
      <c r="O82" s="55" t="s">
        <v>92</v>
      </c>
      <c r="P82" s="55">
        <v>14</v>
      </c>
      <c r="Q82" s="55">
        <v>5000</v>
      </c>
      <c r="R82" s="55" t="s">
        <v>102</v>
      </c>
    </row>
    <row r="83" spans="2:18" x14ac:dyDescent="0.25">
      <c r="B83" s="51">
        <v>69</v>
      </c>
      <c r="C83" s="51" t="s">
        <v>78</v>
      </c>
      <c r="D83" s="51">
        <v>69</v>
      </c>
      <c r="E83" s="51">
        <v>45.564000000000007</v>
      </c>
      <c r="F83" s="51">
        <v>44.282000000000004</v>
      </c>
      <c r="G83" s="51">
        <v>7.3579999999999997</v>
      </c>
      <c r="H83" s="51">
        <v>7.3789999999999996</v>
      </c>
      <c r="I83" s="51">
        <v>35</v>
      </c>
      <c r="J83" s="54">
        <f t="shared" si="4"/>
        <v>8.1149695638373931</v>
      </c>
      <c r="K83" s="54">
        <f>IFERROR(WHOLE_STRUCTURE[[#This Row],[Bottom '[m']]]-WHOLE_STRUCTURE[[#This Row],[D, top '[m']]], "")</f>
        <v>36.924000000000007</v>
      </c>
      <c r="L83" s="54">
        <f>IFERROR(-(WHOLE_STRUCTURE[[#This Row],[D, bottom '[m']]]-WHOLE_STRUCTURE[[#This Row],[D, top '[m']]])/(WHOLE_STRUCTURE[[#This Row],[Bottom '[m']]]-WHOLE_STRUCTURE[[#This Row],[Top '[m']]]),"")</f>
        <v>1.6380655226208931E-2</v>
      </c>
      <c r="M83" s="54">
        <f>IFERROR((WHOLE_STRUCTURE[[#This Row],[D, bottom '[m']]]+WHOLE_STRUCTURE[[#This Row],[D, top '[m']]])/(2*WHOLE_STRUCTURE[[#This Row],[t '[mm']]]/1000),"")</f>
        <v>210.52857142857138</v>
      </c>
      <c r="O83" s="55" t="s">
        <v>92</v>
      </c>
      <c r="P83" s="55">
        <v>11</v>
      </c>
      <c r="Q83" s="55">
        <v>1</v>
      </c>
      <c r="R83" s="55" t="s">
        <v>268</v>
      </c>
    </row>
    <row r="84" spans="2:18" x14ac:dyDescent="0.25">
      <c r="B84" s="51">
        <v>70</v>
      </c>
      <c r="C84" s="51" t="s">
        <v>78</v>
      </c>
      <c r="D84" s="51">
        <v>70</v>
      </c>
      <c r="E84" s="51">
        <v>44.282000000000004</v>
      </c>
      <c r="F84" s="51">
        <v>41.561000000000007</v>
      </c>
      <c r="G84" s="51">
        <v>7.3789999999999996</v>
      </c>
      <c r="H84" s="51">
        <v>7.4249999999999998</v>
      </c>
      <c r="I84" s="51">
        <v>35.799999999999997</v>
      </c>
      <c r="J84" s="54">
        <f t="shared" si="4"/>
        <v>17.695979401197722</v>
      </c>
      <c r="K84" s="54">
        <f>IFERROR(WHOLE_STRUCTURE[[#This Row],[Bottom '[m']]]-WHOLE_STRUCTURE[[#This Row],[D, top '[m']]], "")</f>
        <v>34.182000000000009</v>
      </c>
      <c r="L84" s="54">
        <f>IFERROR(-(WHOLE_STRUCTURE[[#This Row],[D, bottom '[m']]]-WHOLE_STRUCTURE[[#This Row],[D, top '[m']]])/(WHOLE_STRUCTURE[[#This Row],[Bottom '[m']]]-WHOLE_STRUCTURE[[#This Row],[Top '[m']]]),"")</f>
        <v>1.6905549430356603E-2</v>
      </c>
      <c r="M84" s="54">
        <f>IFERROR((WHOLE_STRUCTURE[[#This Row],[D, bottom '[m']]]+WHOLE_STRUCTURE[[#This Row],[D, top '[m']]])/(2*WHOLE_STRUCTURE[[#This Row],[t '[mm']]]/1000),"")</f>
        <v>206.75977653631284</v>
      </c>
      <c r="O84" s="55" t="s">
        <v>92</v>
      </c>
      <c r="P84" s="55">
        <v>6.1</v>
      </c>
      <c r="Q84" s="55">
        <v>200</v>
      </c>
      <c r="R84" s="55" t="s">
        <v>103</v>
      </c>
    </row>
    <row r="85" spans="2:18" x14ac:dyDescent="0.25">
      <c r="B85" s="51">
        <v>71</v>
      </c>
      <c r="C85" s="51" t="s">
        <v>78</v>
      </c>
      <c r="D85" s="51">
        <v>71</v>
      </c>
      <c r="E85" s="51">
        <v>41.561000000000007</v>
      </c>
      <c r="F85" s="51">
        <v>40.900000000000006</v>
      </c>
      <c r="G85" s="51">
        <v>7.4249999999999998</v>
      </c>
      <c r="H85" s="51">
        <v>7.4349999999999996</v>
      </c>
      <c r="I85" s="51">
        <v>39</v>
      </c>
      <c r="J85" s="54">
        <f t="shared" si="4"/>
        <v>4.6988198876939959</v>
      </c>
      <c r="K85" s="54">
        <f>IFERROR(WHOLE_STRUCTURE[[#This Row],[Bottom '[m']]]-WHOLE_STRUCTURE[[#This Row],[D, top '[m']]], "")</f>
        <v>33.475000000000009</v>
      </c>
      <c r="L85" s="54">
        <f>IFERROR(-(WHOLE_STRUCTURE[[#This Row],[D, bottom '[m']]]-WHOLE_STRUCTURE[[#This Row],[D, top '[m']]])/(WHOLE_STRUCTURE[[#This Row],[Bottom '[m']]]-WHOLE_STRUCTURE[[#This Row],[Top '[m']]]),"")</f>
        <v>1.5128593040846848E-2</v>
      </c>
      <c r="M85" s="54">
        <f>IFERROR((WHOLE_STRUCTURE[[#This Row],[D, bottom '[m']]]+WHOLE_STRUCTURE[[#This Row],[D, top '[m']]])/(2*WHOLE_STRUCTURE[[#This Row],[t '[mm']]]/1000),"")</f>
        <v>190.5128205128205</v>
      </c>
      <c r="O85" s="55" t="s">
        <v>92</v>
      </c>
      <c r="P85" s="55">
        <v>5.6</v>
      </c>
      <c r="Q85" s="55">
        <v>60000</v>
      </c>
      <c r="R85" s="55" t="s">
        <v>97</v>
      </c>
    </row>
    <row r="86" spans="2:18" x14ac:dyDescent="0.25">
      <c r="B86" s="51">
        <v>72</v>
      </c>
      <c r="C86" s="51" t="s">
        <v>78</v>
      </c>
      <c r="D86" s="51">
        <v>72</v>
      </c>
      <c r="E86" s="51">
        <v>40.900000000000006</v>
      </c>
      <c r="F86" s="51">
        <v>38.775000000000006</v>
      </c>
      <c r="G86" s="51">
        <v>7.4349999999999996</v>
      </c>
      <c r="H86" s="51">
        <v>7.476</v>
      </c>
      <c r="I86" s="51">
        <v>39</v>
      </c>
      <c r="J86" s="54">
        <f t="shared" si="4"/>
        <v>15.158005904941108</v>
      </c>
      <c r="K86" s="54">
        <f>IFERROR(WHOLE_STRUCTURE[[#This Row],[Bottom '[m']]]-WHOLE_STRUCTURE[[#This Row],[D, top '[m']]], "")</f>
        <v>31.340000000000007</v>
      </c>
      <c r="L86" s="54">
        <f>IFERROR(-(WHOLE_STRUCTURE[[#This Row],[D, bottom '[m']]]-WHOLE_STRUCTURE[[#This Row],[D, top '[m']]])/(WHOLE_STRUCTURE[[#This Row],[Bottom '[m']]]-WHOLE_STRUCTURE[[#This Row],[Top '[m']]]),"")</f>
        <v>1.9294117647058996E-2</v>
      </c>
      <c r="M86" s="54">
        <f>IFERROR((WHOLE_STRUCTURE[[#This Row],[D, bottom '[m']]]+WHOLE_STRUCTURE[[#This Row],[D, top '[m']]])/(2*WHOLE_STRUCTURE[[#This Row],[t '[mm']]]/1000),"")</f>
        <v>191.16666666666666</v>
      </c>
      <c r="O86" s="55" t="s">
        <v>69</v>
      </c>
      <c r="P86" s="55">
        <v>5.6</v>
      </c>
      <c r="Q86" s="55">
        <v>60000</v>
      </c>
      <c r="R86" s="55" t="s">
        <v>97</v>
      </c>
    </row>
    <row r="87" spans="2:18" x14ac:dyDescent="0.25">
      <c r="B87" s="51">
        <v>73</v>
      </c>
      <c r="C87" s="51" t="s">
        <v>78</v>
      </c>
      <c r="D87" s="51">
        <v>73</v>
      </c>
      <c r="E87" s="51">
        <v>38.775000000000006</v>
      </c>
      <c r="F87" s="51">
        <v>38.725000000000001</v>
      </c>
      <c r="G87" s="51">
        <v>7.476</v>
      </c>
      <c r="H87" s="51">
        <v>7.476</v>
      </c>
      <c r="I87" s="51">
        <v>46</v>
      </c>
      <c r="J87" s="54">
        <f t="shared" si="4"/>
        <v>0.42144041332902277</v>
      </c>
      <c r="K87" s="54">
        <f>IFERROR(WHOLE_STRUCTURE[[#This Row],[Bottom '[m']]]-WHOLE_STRUCTURE[[#This Row],[D, top '[m']]], "")</f>
        <v>31.249000000000002</v>
      </c>
      <c r="L87" s="54">
        <f>IFERROR(-(WHOLE_STRUCTURE[[#This Row],[D, bottom '[m']]]-WHOLE_STRUCTURE[[#This Row],[D, top '[m']]])/(WHOLE_STRUCTURE[[#This Row],[Bottom '[m']]]-WHOLE_STRUCTURE[[#This Row],[Top '[m']]]),"")</f>
        <v>0</v>
      </c>
      <c r="M87" s="54">
        <f>IFERROR((WHOLE_STRUCTURE[[#This Row],[D, bottom '[m']]]+WHOLE_STRUCTURE[[#This Row],[D, top '[m']]])/(2*WHOLE_STRUCTURE[[#This Row],[t '[mm']]]/1000),"")</f>
        <v>162.52173913043478</v>
      </c>
      <c r="O87" s="55" t="s">
        <v>69</v>
      </c>
      <c r="P87" s="55">
        <v>4.2</v>
      </c>
      <c r="Q87" s="55">
        <v>9000</v>
      </c>
      <c r="R87" s="55" t="s">
        <v>98</v>
      </c>
    </row>
    <row r="88" spans="2:18" x14ac:dyDescent="0.25">
      <c r="B88" s="51">
        <v>74</v>
      </c>
      <c r="C88" s="51" t="s">
        <v>78</v>
      </c>
      <c r="D88" s="51">
        <v>74</v>
      </c>
      <c r="E88" s="51">
        <v>38.725000000000001</v>
      </c>
      <c r="F88" s="51">
        <v>38.540000000000006</v>
      </c>
      <c r="G88" s="51">
        <v>7.476</v>
      </c>
      <c r="H88" s="51">
        <v>7.476</v>
      </c>
      <c r="I88" s="51">
        <v>46</v>
      </c>
      <c r="J88" s="54">
        <f t="shared" si="4"/>
        <v>1.5593295293172105</v>
      </c>
      <c r="K88" s="54">
        <f>IFERROR(WHOLE_STRUCTURE[[#This Row],[Bottom '[m']]]-WHOLE_STRUCTURE[[#This Row],[D, top '[m']]], "")</f>
        <v>31.064000000000007</v>
      </c>
      <c r="L88" s="54">
        <f>IFERROR(-(WHOLE_STRUCTURE[[#This Row],[D, bottom '[m']]]-WHOLE_STRUCTURE[[#This Row],[D, top '[m']]])/(WHOLE_STRUCTURE[[#This Row],[Bottom '[m']]]-WHOLE_STRUCTURE[[#This Row],[Top '[m']]]),"")</f>
        <v>0</v>
      </c>
      <c r="M88" s="54">
        <f>IFERROR((WHOLE_STRUCTURE[[#This Row],[D, bottom '[m']]]+WHOLE_STRUCTURE[[#This Row],[D, top '[m']]])/(2*WHOLE_STRUCTURE[[#This Row],[t '[mm']]]/1000),"")</f>
        <v>162.52173913043478</v>
      </c>
      <c r="O88" s="55" t="s">
        <v>69</v>
      </c>
      <c r="P88" s="55">
        <v>2</v>
      </c>
      <c r="Q88" s="55">
        <v>80000</v>
      </c>
      <c r="R88" s="55" t="s">
        <v>99</v>
      </c>
    </row>
    <row r="89" spans="2:18" x14ac:dyDescent="0.25">
      <c r="B89" s="51">
        <v>75</v>
      </c>
      <c r="C89" s="51" t="s">
        <v>78</v>
      </c>
      <c r="D89" s="51">
        <v>75</v>
      </c>
      <c r="E89" s="51">
        <v>38.540000000000006</v>
      </c>
      <c r="F89" s="51">
        <v>38.355000000000004</v>
      </c>
      <c r="G89" s="51">
        <v>7.476</v>
      </c>
      <c r="H89" s="51">
        <v>7.476</v>
      </c>
      <c r="I89" s="51">
        <v>46</v>
      </c>
      <c r="J89" s="54">
        <f t="shared" si="4"/>
        <v>1.5593295293172704</v>
      </c>
      <c r="K89" s="54">
        <f>IFERROR(WHOLE_STRUCTURE[[#This Row],[Bottom '[m']]]-WHOLE_STRUCTURE[[#This Row],[D, top '[m']]], "")</f>
        <v>30.879000000000005</v>
      </c>
      <c r="L89" s="54">
        <f>IFERROR(-(WHOLE_STRUCTURE[[#This Row],[D, bottom '[m']]]-WHOLE_STRUCTURE[[#This Row],[D, top '[m']]])/(WHOLE_STRUCTURE[[#This Row],[Bottom '[m']]]-WHOLE_STRUCTURE[[#This Row],[Top '[m']]]),"")</f>
        <v>0</v>
      </c>
      <c r="M89" s="54">
        <f>IFERROR((WHOLE_STRUCTURE[[#This Row],[D, bottom '[m']]]+WHOLE_STRUCTURE[[#This Row],[D, top '[m']]])/(2*WHOLE_STRUCTURE[[#This Row],[t '[mm']]]/1000),"")</f>
        <v>162.52173913043478</v>
      </c>
    </row>
    <row r="90" spans="2:18" x14ac:dyDescent="0.25">
      <c r="B90" s="51">
        <v>76</v>
      </c>
      <c r="C90" s="51" t="s">
        <v>78</v>
      </c>
      <c r="D90" s="51">
        <v>76</v>
      </c>
      <c r="E90" s="51">
        <v>38.355000000000004</v>
      </c>
      <c r="F90" s="51">
        <v>38.305000000000007</v>
      </c>
      <c r="G90" s="51">
        <v>7.476</v>
      </c>
      <c r="H90" s="51">
        <v>7.4740000000000002</v>
      </c>
      <c r="I90" s="51">
        <v>46</v>
      </c>
      <c r="J90" s="54">
        <f t="shared" si="4"/>
        <v>0.42138369187360242</v>
      </c>
      <c r="K90" s="54">
        <f>IFERROR(WHOLE_STRUCTURE[[#This Row],[Bottom '[m']]]-WHOLE_STRUCTURE[[#This Row],[D, top '[m']]], "")</f>
        <v>30.829000000000008</v>
      </c>
      <c r="L90" s="54">
        <f>IFERROR(-(WHOLE_STRUCTURE[[#This Row],[D, bottom '[m']]]-WHOLE_STRUCTURE[[#This Row],[D, top '[m']]])/(WHOLE_STRUCTURE[[#This Row],[Bottom '[m']]]-WHOLE_STRUCTURE[[#This Row],[Top '[m']]]),"")</f>
        <v>-3.9999999999997871E-2</v>
      </c>
      <c r="M90" s="54">
        <f>IFERROR((WHOLE_STRUCTURE[[#This Row],[D, bottom '[m']]]+WHOLE_STRUCTURE[[#This Row],[D, top '[m']]])/(2*WHOLE_STRUCTURE[[#This Row],[t '[mm']]]/1000),"")</f>
        <v>162.5</v>
      </c>
    </row>
    <row r="91" spans="2:18" x14ac:dyDescent="0.25">
      <c r="B91" s="51">
        <v>77</v>
      </c>
      <c r="C91" s="51" t="s">
        <v>78</v>
      </c>
      <c r="D91" s="51">
        <v>77</v>
      </c>
      <c r="E91" s="51">
        <v>38.305000000000007</v>
      </c>
      <c r="F91" s="51">
        <v>37.343000000000004</v>
      </c>
      <c r="G91" s="51">
        <v>7.4740000000000002</v>
      </c>
      <c r="H91" s="51">
        <v>7.4740000000000002</v>
      </c>
      <c r="I91" s="51">
        <v>44.1</v>
      </c>
      <c r="J91" s="54">
        <f t="shared" si="4"/>
        <v>7.7734920638760601</v>
      </c>
      <c r="K91" s="54">
        <f>IFERROR(WHOLE_STRUCTURE[[#This Row],[Bottom '[m']]]-WHOLE_STRUCTURE[[#This Row],[D, top '[m']]], "")</f>
        <v>29.869000000000003</v>
      </c>
      <c r="L91" s="54">
        <f>IFERROR(-(WHOLE_STRUCTURE[[#This Row],[D, bottom '[m']]]-WHOLE_STRUCTURE[[#This Row],[D, top '[m']]])/(WHOLE_STRUCTURE[[#This Row],[Bottom '[m']]]-WHOLE_STRUCTURE[[#This Row],[Top '[m']]]),"")</f>
        <v>0</v>
      </c>
      <c r="M91" s="54">
        <f>IFERROR((WHOLE_STRUCTURE[[#This Row],[D, bottom '[m']]]+WHOLE_STRUCTURE[[#This Row],[D, top '[m']]])/(2*WHOLE_STRUCTURE[[#This Row],[t '[mm']]]/1000),"")</f>
        <v>169.47845804988663</v>
      </c>
    </row>
    <row r="92" spans="2:18" x14ac:dyDescent="0.25">
      <c r="B92" s="51">
        <v>78</v>
      </c>
      <c r="C92" s="51" t="s">
        <v>78</v>
      </c>
      <c r="D92" s="51">
        <v>78</v>
      </c>
      <c r="E92" s="51">
        <v>37.343000000000004</v>
      </c>
      <c r="F92" s="51">
        <v>35.43</v>
      </c>
      <c r="G92" s="51">
        <v>7.4740000000000002</v>
      </c>
      <c r="H92" s="51">
        <v>7.476</v>
      </c>
      <c r="I92" s="51">
        <v>44.1</v>
      </c>
      <c r="J92" s="54">
        <f t="shared" si="4"/>
        <v>15.460178569581235</v>
      </c>
      <c r="K92" s="54">
        <f>IFERROR(WHOLE_STRUCTURE[[#This Row],[Bottom '[m']]]-WHOLE_STRUCTURE[[#This Row],[D, top '[m']]], "")</f>
        <v>27.956</v>
      </c>
      <c r="L92" s="54">
        <f>IFERROR(-(WHOLE_STRUCTURE[[#This Row],[D, bottom '[m']]]-WHOLE_STRUCTURE[[#This Row],[D, top '[m']]])/(WHOLE_STRUCTURE[[#This Row],[Bottom '[m']]]-WHOLE_STRUCTURE[[#This Row],[Top '[m']]]),"")</f>
        <v>1.0454783063250266E-3</v>
      </c>
      <c r="M92" s="54">
        <f>IFERROR((WHOLE_STRUCTURE[[#This Row],[D, bottom '[m']]]+WHOLE_STRUCTURE[[#This Row],[D, top '[m']]])/(2*WHOLE_STRUCTURE[[#This Row],[t '[mm']]]/1000),"")</f>
        <v>169.50113378684807</v>
      </c>
    </row>
    <row r="93" spans="2:18" x14ac:dyDescent="0.25">
      <c r="B93" s="51">
        <v>79</v>
      </c>
      <c r="C93" s="51" t="s">
        <v>78</v>
      </c>
      <c r="D93" s="51">
        <v>79</v>
      </c>
      <c r="E93" s="51">
        <v>35.43</v>
      </c>
      <c r="F93" s="51">
        <v>33.231999999999999</v>
      </c>
      <c r="G93" s="51">
        <v>7.476</v>
      </c>
      <c r="H93" s="51">
        <v>7.476</v>
      </c>
      <c r="I93" s="51">
        <v>45.6</v>
      </c>
      <c r="J93" s="54">
        <f t="shared" si="4"/>
        <v>18.36640910818716</v>
      </c>
      <c r="K93" s="54">
        <f>IFERROR(WHOLE_STRUCTURE[[#This Row],[Bottom '[m']]]-WHOLE_STRUCTURE[[#This Row],[D, top '[m']]], "")</f>
        <v>25.756</v>
      </c>
      <c r="L93" s="54">
        <f>IFERROR(-(WHOLE_STRUCTURE[[#This Row],[D, bottom '[m']]]-WHOLE_STRUCTURE[[#This Row],[D, top '[m']]])/(WHOLE_STRUCTURE[[#This Row],[Bottom '[m']]]-WHOLE_STRUCTURE[[#This Row],[Top '[m']]]),"")</f>
        <v>0</v>
      </c>
      <c r="M93" s="54">
        <f>IFERROR((WHOLE_STRUCTURE[[#This Row],[D, bottom '[m']]]+WHOLE_STRUCTURE[[#This Row],[D, top '[m']]])/(2*WHOLE_STRUCTURE[[#This Row],[t '[mm']]]/1000),"")</f>
        <v>163.94736842105263</v>
      </c>
    </row>
    <row r="94" spans="2:18" x14ac:dyDescent="0.25">
      <c r="B94" s="51">
        <v>80</v>
      </c>
      <c r="C94" s="51" t="s">
        <v>78</v>
      </c>
      <c r="D94" s="51">
        <v>80</v>
      </c>
      <c r="E94" s="51">
        <v>33.231999999999999</v>
      </c>
      <c r="F94" s="51">
        <v>32.5</v>
      </c>
      <c r="G94" s="51">
        <v>7.476</v>
      </c>
      <c r="H94" s="51">
        <v>7.4770000000000003</v>
      </c>
      <c r="I94" s="51">
        <v>45.6</v>
      </c>
      <c r="J94" s="54">
        <f t="shared" si="4"/>
        <v>6.1169773172667181</v>
      </c>
      <c r="K94" s="54">
        <f>IFERROR(WHOLE_STRUCTURE[[#This Row],[Bottom '[m']]]-WHOLE_STRUCTURE[[#This Row],[D, top '[m']]], "")</f>
        <v>25.024000000000001</v>
      </c>
      <c r="L94" s="54">
        <f>IFERROR(-(WHOLE_STRUCTURE[[#This Row],[D, bottom '[m']]]-WHOLE_STRUCTURE[[#This Row],[D, top '[m']]])/(WHOLE_STRUCTURE[[#This Row],[Bottom '[m']]]-WHOLE_STRUCTURE[[#This Row],[Top '[m']]]),"")</f>
        <v>1.3661202185796925E-3</v>
      </c>
      <c r="M94" s="54">
        <f>IFERROR((WHOLE_STRUCTURE[[#This Row],[D, bottom '[m']]]+WHOLE_STRUCTURE[[#This Row],[D, top '[m']]])/(2*WHOLE_STRUCTURE[[#This Row],[t '[mm']]]/1000),"")</f>
        <v>163.95833333333331</v>
      </c>
    </row>
    <row r="95" spans="2:18" x14ac:dyDescent="0.25">
      <c r="B95" s="51">
        <v>81</v>
      </c>
      <c r="C95" s="51" t="s">
        <v>78</v>
      </c>
      <c r="D95" s="51">
        <v>81</v>
      </c>
      <c r="E95" s="51">
        <v>32.5</v>
      </c>
      <c r="F95" s="51">
        <v>30.9</v>
      </c>
      <c r="G95" s="51">
        <v>7.4770000000000003</v>
      </c>
      <c r="H95" s="51">
        <v>7.4770000000000003</v>
      </c>
      <c r="I95" s="51">
        <v>47.1</v>
      </c>
      <c r="J95" s="54">
        <f t="shared" si="4"/>
        <v>13.808400911123877</v>
      </c>
      <c r="K95" s="54">
        <f>IFERROR(WHOLE_STRUCTURE[[#This Row],[Bottom '[m']]]-WHOLE_STRUCTURE[[#This Row],[D, top '[m']]], "")</f>
        <v>23.422999999999998</v>
      </c>
      <c r="L95" s="54">
        <f>IFERROR(-(WHOLE_STRUCTURE[[#This Row],[D, bottom '[m']]]-WHOLE_STRUCTURE[[#This Row],[D, top '[m']]])/(WHOLE_STRUCTURE[[#This Row],[Bottom '[m']]]-WHOLE_STRUCTURE[[#This Row],[Top '[m']]]),"")</f>
        <v>0</v>
      </c>
      <c r="M95" s="54">
        <f>IFERROR((WHOLE_STRUCTURE[[#This Row],[D, bottom '[m']]]+WHOLE_STRUCTURE[[#This Row],[D, top '[m']]])/(2*WHOLE_STRUCTURE[[#This Row],[t '[mm']]]/1000),"")</f>
        <v>158.74734607218684</v>
      </c>
    </row>
    <row r="96" spans="2:18" x14ac:dyDescent="0.25">
      <c r="B96" s="51">
        <v>82</v>
      </c>
      <c r="C96" s="51" t="s">
        <v>78</v>
      </c>
      <c r="D96" s="51">
        <v>82</v>
      </c>
      <c r="E96" s="51">
        <v>30.9</v>
      </c>
      <c r="F96" s="51">
        <v>29.569999999999997</v>
      </c>
      <c r="G96" s="51">
        <v>7.4770000000000003</v>
      </c>
      <c r="H96" s="51">
        <v>7.4790000000000001</v>
      </c>
      <c r="I96" s="51">
        <v>47.1</v>
      </c>
      <c r="J96" s="54">
        <f t="shared" si="4"/>
        <v>11.47977812786228</v>
      </c>
      <c r="K96" s="54">
        <f>IFERROR(WHOLE_STRUCTURE[[#This Row],[Bottom '[m']]]-WHOLE_STRUCTURE[[#This Row],[D, top '[m']]], "")</f>
        <v>22.092999999999996</v>
      </c>
      <c r="L96" s="54">
        <f>IFERROR(-(WHOLE_STRUCTURE[[#This Row],[D, bottom '[m']]]-WHOLE_STRUCTURE[[#This Row],[D, top '[m']]])/(WHOLE_STRUCTURE[[#This Row],[Bottom '[m']]]-WHOLE_STRUCTURE[[#This Row],[Top '[m']]]),"")</f>
        <v>1.5037593984960729E-3</v>
      </c>
      <c r="M96" s="54">
        <f>IFERROR((WHOLE_STRUCTURE[[#This Row],[D, bottom '[m']]]+WHOLE_STRUCTURE[[#This Row],[D, top '[m']]])/(2*WHOLE_STRUCTURE[[#This Row],[t '[mm']]]/1000),"")</f>
        <v>158.76857749469212</v>
      </c>
    </row>
    <row r="97" spans="2:13" x14ac:dyDescent="0.25">
      <c r="B97" s="51">
        <v>83</v>
      </c>
      <c r="C97" s="51" t="s">
        <v>78</v>
      </c>
      <c r="D97" s="51">
        <v>83</v>
      </c>
      <c r="E97" s="51">
        <v>29.569999999999997</v>
      </c>
      <c r="F97" s="51">
        <v>29.120999999999999</v>
      </c>
      <c r="G97" s="51">
        <v>7.4790000000000001</v>
      </c>
      <c r="H97" s="51">
        <v>7.4790000000000001</v>
      </c>
      <c r="I97" s="51">
        <v>49</v>
      </c>
      <c r="J97" s="54">
        <f t="shared" si="4"/>
        <v>4.0313524059352366</v>
      </c>
      <c r="K97" s="54">
        <f>IFERROR(WHOLE_STRUCTURE[[#This Row],[Bottom '[m']]]-WHOLE_STRUCTURE[[#This Row],[D, top '[m']]], "")</f>
        <v>21.641999999999999</v>
      </c>
      <c r="L97" s="54">
        <f>IFERROR(-(WHOLE_STRUCTURE[[#This Row],[D, bottom '[m']]]-WHOLE_STRUCTURE[[#This Row],[D, top '[m']]])/(WHOLE_STRUCTURE[[#This Row],[Bottom '[m']]]-WHOLE_STRUCTURE[[#This Row],[Top '[m']]]),"")</f>
        <v>0</v>
      </c>
      <c r="M97" s="54">
        <f>IFERROR((WHOLE_STRUCTURE[[#This Row],[D, bottom '[m']]]+WHOLE_STRUCTURE[[#This Row],[D, top '[m']]])/(2*WHOLE_STRUCTURE[[#This Row],[t '[mm']]]/1000),"")</f>
        <v>152.63265306122449</v>
      </c>
    </row>
    <row r="98" spans="2:13" x14ac:dyDescent="0.25">
      <c r="B98" s="51">
        <v>84</v>
      </c>
      <c r="C98" s="51" t="s">
        <v>78</v>
      </c>
      <c r="D98" s="51">
        <v>84</v>
      </c>
      <c r="E98" s="51">
        <v>29.120999999999999</v>
      </c>
      <c r="F98" s="51">
        <v>26.639999999999997</v>
      </c>
      <c r="G98" s="51">
        <v>7.4790000000000001</v>
      </c>
      <c r="H98" s="51">
        <v>7.5</v>
      </c>
      <c r="I98" s="51">
        <v>49</v>
      </c>
      <c r="J98" s="54">
        <f t="shared" si="4"/>
        <v>22.307170912766217</v>
      </c>
      <c r="K98" s="54">
        <f>IFERROR(WHOLE_STRUCTURE[[#This Row],[Bottom '[m']]]-WHOLE_STRUCTURE[[#This Row],[D, top '[m']]], "")</f>
        <v>19.160999999999998</v>
      </c>
      <c r="L98" s="54">
        <f>IFERROR(-(WHOLE_STRUCTURE[[#This Row],[D, bottom '[m']]]-WHOLE_STRUCTURE[[#This Row],[D, top '[m']]])/(WHOLE_STRUCTURE[[#This Row],[Bottom '[m']]]-WHOLE_STRUCTURE[[#This Row],[Top '[m']]]),"")</f>
        <v>8.4643288996371999E-3</v>
      </c>
      <c r="M98" s="54">
        <f>IFERROR((WHOLE_STRUCTURE[[#This Row],[D, bottom '[m']]]+WHOLE_STRUCTURE[[#This Row],[D, top '[m']]])/(2*WHOLE_STRUCTURE[[#This Row],[t '[mm']]]/1000),"")</f>
        <v>152.84693877551018</v>
      </c>
    </row>
    <row r="99" spans="2:13" x14ac:dyDescent="0.25">
      <c r="B99" s="51">
        <v>85</v>
      </c>
      <c r="C99" s="51" t="s">
        <v>78</v>
      </c>
      <c r="D99" s="51">
        <v>85</v>
      </c>
      <c r="E99" s="51">
        <v>26.639999999999997</v>
      </c>
      <c r="F99" s="51">
        <v>25.05</v>
      </c>
      <c r="G99" s="51">
        <v>7.5</v>
      </c>
      <c r="H99" s="51">
        <v>7.5</v>
      </c>
      <c r="I99" s="51">
        <v>70</v>
      </c>
      <c r="J99" s="54">
        <f t="shared" si="4"/>
        <v>20.394051305876623</v>
      </c>
      <c r="K99" s="54">
        <f>IFERROR(WHOLE_STRUCTURE[[#This Row],[Bottom '[m']]]-WHOLE_STRUCTURE[[#This Row],[D, top '[m']]], "")</f>
        <v>17.55</v>
      </c>
      <c r="L99" s="54">
        <f>IFERROR(-(WHOLE_STRUCTURE[[#This Row],[D, bottom '[m']]]-WHOLE_STRUCTURE[[#This Row],[D, top '[m']]])/(WHOLE_STRUCTURE[[#This Row],[Bottom '[m']]]-WHOLE_STRUCTURE[[#This Row],[Top '[m']]]),"")</f>
        <v>0</v>
      </c>
      <c r="M99" s="54">
        <f>IFERROR((WHOLE_STRUCTURE[[#This Row],[D, bottom '[m']]]+WHOLE_STRUCTURE[[#This Row],[D, top '[m']]])/(2*WHOLE_STRUCTURE[[#This Row],[t '[mm']]]/1000),"")</f>
        <v>107.14285714285714</v>
      </c>
    </row>
    <row r="100" spans="2:13" x14ac:dyDescent="0.25">
      <c r="B100" s="51">
        <v>86</v>
      </c>
      <c r="C100" s="51" t="s">
        <v>78</v>
      </c>
      <c r="D100" s="51">
        <v>86</v>
      </c>
      <c r="E100" s="51">
        <v>25.05</v>
      </c>
      <c r="F100" s="51">
        <v>25.010999999999999</v>
      </c>
      <c r="G100" s="51">
        <v>7.5</v>
      </c>
      <c r="H100" s="51">
        <v>7.5</v>
      </c>
      <c r="I100" s="51">
        <v>70</v>
      </c>
      <c r="J100" s="54">
        <f t="shared" si="4"/>
        <v>0.50023144712529577</v>
      </c>
      <c r="K100" s="54">
        <f>IFERROR(WHOLE_STRUCTURE[[#This Row],[Bottom '[m']]]-WHOLE_STRUCTURE[[#This Row],[D, top '[m']]], "")</f>
        <v>17.510999999999999</v>
      </c>
      <c r="L100" s="54">
        <f>IFERROR(-(WHOLE_STRUCTURE[[#This Row],[D, bottom '[m']]]-WHOLE_STRUCTURE[[#This Row],[D, top '[m']]])/(WHOLE_STRUCTURE[[#This Row],[Bottom '[m']]]-WHOLE_STRUCTURE[[#This Row],[Top '[m']]]),"")</f>
        <v>0</v>
      </c>
      <c r="M100" s="54">
        <f>IFERROR((WHOLE_STRUCTURE[[#This Row],[D, bottom '[m']]]+WHOLE_STRUCTURE[[#This Row],[D, top '[m']]])/(2*WHOLE_STRUCTURE[[#This Row],[t '[mm']]]/1000),"")</f>
        <v>107.14285714285714</v>
      </c>
    </row>
    <row r="101" spans="2:13" x14ac:dyDescent="0.25">
      <c r="B101" s="51">
        <v>87</v>
      </c>
      <c r="C101" s="51" t="s">
        <v>78</v>
      </c>
      <c r="D101" s="51">
        <v>87</v>
      </c>
      <c r="E101" s="51">
        <v>25.010999999999999</v>
      </c>
      <c r="F101" s="51">
        <v>22.119999999999997</v>
      </c>
      <c r="G101" s="51">
        <v>7.5</v>
      </c>
      <c r="H101" s="51">
        <v>7.5</v>
      </c>
      <c r="I101" s="51">
        <v>70</v>
      </c>
      <c r="J101" s="54">
        <f t="shared" si="4"/>
        <v>37.081259324081437</v>
      </c>
      <c r="K101" s="54">
        <f>IFERROR(WHOLE_STRUCTURE[[#This Row],[Bottom '[m']]]-WHOLE_STRUCTURE[[#This Row],[D, top '[m']]], "")</f>
        <v>14.619999999999997</v>
      </c>
      <c r="L101" s="54">
        <f>IFERROR(-(WHOLE_STRUCTURE[[#This Row],[D, bottom '[m']]]-WHOLE_STRUCTURE[[#This Row],[D, top '[m']]])/(WHOLE_STRUCTURE[[#This Row],[Bottom '[m']]]-WHOLE_STRUCTURE[[#This Row],[Top '[m']]]),"")</f>
        <v>0</v>
      </c>
      <c r="M101" s="54">
        <f>IFERROR((WHOLE_STRUCTURE[[#This Row],[D, bottom '[m']]]+WHOLE_STRUCTURE[[#This Row],[D, top '[m']]])/(2*WHOLE_STRUCTURE[[#This Row],[t '[mm']]]/1000),"")</f>
        <v>107.14285714285714</v>
      </c>
    </row>
    <row r="102" spans="2:13" x14ac:dyDescent="0.25">
      <c r="B102" s="51">
        <v>88</v>
      </c>
      <c r="C102" s="51" t="s">
        <v>78</v>
      </c>
      <c r="D102" s="51">
        <v>88</v>
      </c>
      <c r="E102" s="51">
        <v>22.119999999999997</v>
      </c>
      <c r="F102" s="51">
        <v>21.139999999999997</v>
      </c>
      <c r="G102" s="51">
        <v>7.5</v>
      </c>
      <c r="H102" s="51">
        <v>7.5</v>
      </c>
      <c r="I102" s="51">
        <v>70</v>
      </c>
      <c r="J102" s="54">
        <f t="shared" si="4"/>
        <v>12.569918414942858</v>
      </c>
      <c r="K102" s="54">
        <f>IFERROR(WHOLE_STRUCTURE[[#This Row],[Bottom '[m']]]-WHOLE_STRUCTURE[[#This Row],[D, top '[m']]], "")</f>
        <v>13.639999999999997</v>
      </c>
      <c r="L102" s="54">
        <f>IFERROR(-(WHOLE_STRUCTURE[[#This Row],[D, bottom '[m']]]-WHOLE_STRUCTURE[[#This Row],[D, top '[m']]])/(WHOLE_STRUCTURE[[#This Row],[Bottom '[m']]]-WHOLE_STRUCTURE[[#This Row],[Top '[m']]]),"")</f>
        <v>0</v>
      </c>
      <c r="M102" s="54">
        <f>IFERROR((WHOLE_STRUCTURE[[#This Row],[D, bottom '[m']]]+WHOLE_STRUCTURE[[#This Row],[D, top '[m']]])/(2*WHOLE_STRUCTURE[[#This Row],[t '[mm']]]/1000),"")</f>
        <v>107.14285714285714</v>
      </c>
    </row>
    <row r="103" spans="2:13" x14ac:dyDescent="0.25">
      <c r="B103" s="51">
        <v>89</v>
      </c>
      <c r="C103" s="51" t="s">
        <v>78</v>
      </c>
      <c r="D103" s="51">
        <v>89</v>
      </c>
      <c r="E103" s="51">
        <v>21.139999999999997</v>
      </c>
      <c r="F103" s="51">
        <v>21.08</v>
      </c>
      <c r="G103" s="51">
        <v>7.5</v>
      </c>
      <c r="H103" s="51">
        <v>7.5</v>
      </c>
      <c r="I103" s="51">
        <v>70</v>
      </c>
      <c r="J103" s="54">
        <f t="shared" si="4"/>
        <v>0.76958684173117875</v>
      </c>
      <c r="K103" s="54">
        <f>IFERROR(WHOLE_STRUCTURE[[#This Row],[Bottom '[m']]]-WHOLE_STRUCTURE[[#This Row],[D, top '[m']]], "")</f>
        <v>13.579999999999998</v>
      </c>
      <c r="L103" s="54">
        <f>IFERROR(-(WHOLE_STRUCTURE[[#This Row],[D, bottom '[m']]]-WHOLE_STRUCTURE[[#This Row],[D, top '[m']]])/(WHOLE_STRUCTURE[[#This Row],[Bottom '[m']]]-WHOLE_STRUCTURE[[#This Row],[Top '[m']]]),"")</f>
        <v>0</v>
      </c>
      <c r="M103" s="54">
        <f>IFERROR((WHOLE_STRUCTURE[[#This Row],[D, bottom '[m']]]+WHOLE_STRUCTURE[[#This Row],[D, top '[m']]])/(2*WHOLE_STRUCTURE[[#This Row],[t '[mm']]]/1000),"")</f>
        <v>107.14285714285714</v>
      </c>
    </row>
    <row r="104" spans="2:13" x14ac:dyDescent="0.25">
      <c r="B104" s="51">
        <v>90</v>
      </c>
      <c r="C104" s="51" t="s">
        <v>78</v>
      </c>
      <c r="D104" s="51">
        <v>90</v>
      </c>
      <c r="E104" s="51">
        <v>21.08</v>
      </c>
      <c r="F104" s="51">
        <v>20.9</v>
      </c>
      <c r="G104" s="51">
        <v>7.5</v>
      </c>
      <c r="H104" s="51">
        <v>7.5</v>
      </c>
      <c r="I104" s="51">
        <v>70</v>
      </c>
      <c r="J104" s="54">
        <f t="shared" si="4"/>
        <v>2.3087605251935819</v>
      </c>
      <c r="K104" s="54">
        <f>IFERROR(WHOLE_STRUCTURE[[#This Row],[Bottom '[m']]]-WHOLE_STRUCTURE[[#This Row],[D, top '[m']]], "")</f>
        <v>13.399999999999999</v>
      </c>
      <c r="L104" s="54">
        <f>IFERROR(-(WHOLE_STRUCTURE[[#This Row],[D, bottom '[m']]]-WHOLE_STRUCTURE[[#This Row],[D, top '[m']]])/(WHOLE_STRUCTURE[[#This Row],[Bottom '[m']]]-WHOLE_STRUCTURE[[#This Row],[Top '[m']]]),"")</f>
        <v>0</v>
      </c>
      <c r="M104" s="54">
        <f>IFERROR((WHOLE_STRUCTURE[[#This Row],[D, bottom '[m']]]+WHOLE_STRUCTURE[[#This Row],[D, top '[m']]])/(2*WHOLE_STRUCTURE[[#This Row],[t '[mm']]]/1000),"")</f>
        <v>107.14285714285714</v>
      </c>
    </row>
    <row r="105" spans="2:13" x14ac:dyDescent="0.25">
      <c r="B105" s="51">
        <v>91</v>
      </c>
      <c r="C105" s="51" t="s">
        <v>92</v>
      </c>
      <c r="D105" s="51">
        <v>1</v>
      </c>
      <c r="E105" s="51">
        <v>20.9</v>
      </c>
      <c r="F105" s="51">
        <v>17.5</v>
      </c>
      <c r="G105" s="51">
        <v>7.5</v>
      </c>
      <c r="H105" s="51">
        <v>7.5</v>
      </c>
      <c r="I105" s="51">
        <v>86</v>
      </c>
      <c r="J105" s="54">
        <f t="shared" si="4"/>
        <v>53.462526608972695</v>
      </c>
      <c r="K105" s="54">
        <f>IFERROR(WHOLE_STRUCTURE[[#This Row],[Bottom '[m']]]-WHOLE_STRUCTURE[[#This Row],[D, top '[m']]], "")</f>
        <v>10</v>
      </c>
      <c r="L105" s="54">
        <f>IFERROR(-(WHOLE_STRUCTURE[[#This Row],[D, bottom '[m']]]-WHOLE_STRUCTURE[[#This Row],[D, top '[m']]])/(WHOLE_STRUCTURE[[#This Row],[Bottom '[m']]]-WHOLE_STRUCTURE[[#This Row],[Top '[m']]]),"")</f>
        <v>0</v>
      </c>
      <c r="M105" s="54">
        <f>IFERROR((WHOLE_STRUCTURE[[#This Row],[D, bottom '[m']]]+WHOLE_STRUCTURE[[#This Row],[D, top '[m']]])/(2*WHOLE_STRUCTURE[[#This Row],[t '[mm']]]/1000),"")</f>
        <v>87.209302325581405</v>
      </c>
    </row>
    <row r="106" spans="2:13" x14ac:dyDescent="0.25">
      <c r="B106" s="51">
        <v>92</v>
      </c>
      <c r="C106" s="51" t="s">
        <v>92</v>
      </c>
      <c r="D106" s="51">
        <v>2</v>
      </c>
      <c r="E106" s="51">
        <v>17.5</v>
      </c>
      <c r="F106" s="51">
        <v>13.5</v>
      </c>
      <c r="G106" s="51">
        <v>7.5</v>
      </c>
      <c r="H106" s="51">
        <v>7.5</v>
      </c>
      <c r="I106" s="51">
        <v>86</v>
      </c>
      <c r="J106" s="54">
        <f t="shared" si="4"/>
        <v>62.897090128203196</v>
      </c>
      <c r="K106" s="54">
        <f>IFERROR(WHOLE_STRUCTURE[[#This Row],[Bottom '[m']]]-WHOLE_STRUCTURE[[#This Row],[D, top '[m']]], "")</f>
        <v>6</v>
      </c>
      <c r="L106" s="54">
        <f>IFERROR(-(WHOLE_STRUCTURE[[#This Row],[D, bottom '[m']]]-WHOLE_STRUCTURE[[#This Row],[D, top '[m']]])/(WHOLE_STRUCTURE[[#This Row],[Bottom '[m']]]-WHOLE_STRUCTURE[[#This Row],[Top '[m']]]),"")</f>
        <v>0</v>
      </c>
      <c r="M106" s="54">
        <f>IFERROR((WHOLE_STRUCTURE[[#This Row],[D, bottom '[m']]]+WHOLE_STRUCTURE[[#This Row],[D, top '[m']]])/(2*WHOLE_STRUCTURE[[#This Row],[t '[mm']]]/1000),"")</f>
        <v>87.209302325581405</v>
      </c>
    </row>
    <row r="107" spans="2:13" x14ac:dyDescent="0.25">
      <c r="B107" s="51">
        <v>93</v>
      </c>
      <c r="C107" s="51" t="s">
        <v>92</v>
      </c>
      <c r="D107" s="51">
        <v>3</v>
      </c>
      <c r="E107" s="51">
        <v>13.5</v>
      </c>
      <c r="F107" s="51">
        <v>9.5</v>
      </c>
      <c r="G107" s="51">
        <v>7.5</v>
      </c>
      <c r="H107" s="51">
        <v>7.5</v>
      </c>
      <c r="I107" s="51">
        <v>93</v>
      </c>
      <c r="J107" s="54">
        <f t="shared" si="4"/>
        <v>67.952402167964607</v>
      </c>
      <c r="K107" s="54">
        <f>IFERROR(WHOLE_STRUCTURE[[#This Row],[Bottom '[m']]]-WHOLE_STRUCTURE[[#This Row],[D, top '[m']]], "")</f>
        <v>2</v>
      </c>
      <c r="L107" s="54">
        <f>IFERROR(-(WHOLE_STRUCTURE[[#This Row],[D, bottom '[m']]]-WHOLE_STRUCTURE[[#This Row],[D, top '[m']]])/(WHOLE_STRUCTURE[[#This Row],[Bottom '[m']]]-WHOLE_STRUCTURE[[#This Row],[Top '[m']]]),"")</f>
        <v>0</v>
      </c>
      <c r="M107" s="54">
        <f>IFERROR((WHOLE_STRUCTURE[[#This Row],[D, bottom '[m']]]+WHOLE_STRUCTURE[[#This Row],[D, top '[m']]])/(2*WHOLE_STRUCTURE[[#This Row],[t '[mm']]]/1000),"")</f>
        <v>80.645161290322577</v>
      </c>
    </row>
    <row r="108" spans="2:13" x14ac:dyDescent="0.25">
      <c r="B108" s="51">
        <v>94</v>
      </c>
      <c r="C108" s="51" t="s">
        <v>92</v>
      </c>
      <c r="D108" s="51">
        <v>4</v>
      </c>
      <c r="E108" s="51">
        <v>9.5</v>
      </c>
      <c r="F108" s="51">
        <v>5.6</v>
      </c>
      <c r="G108" s="51">
        <v>7.5</v>
      </c>
      <c r="H108" s="51">
        <v>7.5</v>
      </c>
      <c r="I108" s="51">
        <v>100</v>
      </c>
      <c r="J108" s="54">
        <f t="shared" si="4"/>
        <v>71.173095726342197</v>
      </c>
      <c r="K108" s="54">
        <f>IFERROR(WHOLE_STRUCTURE[[#This Row],[Bottom '[m']]]-WHOLE_STRUCTURE[[#This Row],[D, top '[m']]], "")</f>
        <v>-1.9000000000000004</v>
      </c>
      <c r="L108" s="54">
        <f>IFERROR(-(WHOLE_STRUCTURE[[#This Row],[D, bottom '[m']]]-WHOLE_STRUCTURE[[#This Row],[D, top '[m']]])/(WHOLE_STRUCTURE[[#This Row],[Bottom '[m']]]-WHOLE_STRUCTURE[[#This Row],[Top '[m']]]),"")</f>
        <v>0</v>
      </c>
      <c r="M108" s="54">
        <f>IFERROR((WHOLE_STRUCTURE[[#This Row],[D, bottom '[m']]]+WHOLE_STRUCTURE[[#This Row],[D, top '[m']]])/(2*WHOLE_STRUCTURE[[#This Row],[t '[mm']]]/1000),"")</f>
        <v>75</v>
      </c>
    </row>
    <row r="109" spans="2:13" x14ac:dyDescent="0.25">
      <c r="B109" s="51">
        <v>95</v>
      </c>
      <c r="C109" s="51" t="s">
        <v>69</v>
      </c>
      <c r="D109" s="51">
        <v>1</v>
      </c>
      <c r="E109" s="51">
        <v>5.6</v>
      </c>
      <c r="F109" s="51">
        <v>1.6</v>
      </c>
      <c r="G109" s="51">
        <v>7.5</v>
      </c>
      <c r="H109" s="51">
        <v>7.5</v>
      </c>
      <c r="I109" s="51">
        <v>108</v>
      </c>
      <c r="J109" s="54">
        <f t="shared" si="4"/>
        <v>78.752660498662593</v>
      </c>
      <c r="K109" s="54">
        <f>IFERROR(WHOLE_STRUCTURE[[#This Row],[Bottom '[m']]]-WHOLE_STRUCTURE[[#This Row],[D, top '[m']]], "")</f>
        <v>-5.9</v>
      </c>
      <c r="L109" s="54">
        <f>IFERROR(-(WHOLE_STRUCTURE[[#This Row],[D, bottom '[m']]]-WHOLE_STRUCTURE[[#This Row],[D, top '[m']]])/(WHOLE_STRUCTURE[[#This Row],[Bottom '[m']]]-WHOLE_STRUCTURE[[#This Row],[Top '[m']]]),"")</f>
        <v>0</v>
      </c>
      <c r="M109" s="54">
        <f>IFERROR((WHOLE_STRUCTURE[[#This Row],[D, bottom '[m']]]+WHOLE_STRUCTURE[[#This Row],[D, top '[m']]])/(2*WHOLE_STRUCTURE[[#This Row],[t '[mm']]]/1000),"")</f>
        <v>69.444444444444443</v>
      </c>
    </row>
    <row r="110" spans="2:13" x14ac:dyDescent="0.25">
      <c r="B110" s="51">
        <v>96</v>
      </c>
      <c r="C110" s="51" t="s">
        <v>69</v>
      </c>
      <c r="D110" s="51">
        <v>2</v>
      </c>
      <c r="E110" s="51">
        <v>1.6</v>
      </c>
      <c r="F110" s="51">
        <v>-2.2999999999999998</v>
      </c>
      <c r="G110" s="51">
        <v>7.5</v>
      </c>
      <c r="H110" s="51">
        <v>7.5</v>
      </c>
      <c r="I110" s="51">
        <v>100</v>
      </c>
      <c r="J110" s="54">
        <f t="shared" si="4"/>
        <v>71.173095726342183</v>
      </c>
      <c r="K110" s="54">
        <f>IFERROR(WHOLE_STRUCTURE[[#This Row],[Bottom '[m']]]-WHOLE_STRUCTURE[[#This Row],[D, top '[m']]], "")</f>
        <v>-9.8000000000000007</v>
      </c>
      <c r="L110" s="54">
        <f>IFERROR(-(WHOLE_STRUCTURE[[#This Row],[D, bottom '[m']]]-WHOLE_STRUCTURE[[#This Row],[D, top '[m']]])/(WHOLE_STRUCTURE[[#This Row],[Bottom '[m']]]-WHOLE_STRUCTURE[[#This Row],[Top '[m']]]),"")</f>
        <v>0</v>
      </c>
      <c r="M110" s="54">
        <f>IFERROR((WHOLE_STRUCTURE[[#This Row],[D, bottom '[m']]]+WHOLE_STRUCTURE[[#This Row],[D, top '[m']]])/(2*WHOLE_STRUCTURE[[#This Row],[t '[mm']]]/1000),"")</f>
        <v>75</v>
      </c>
    </row>
    <row r="111" spans="2:13" x14ac:dyDescent="0.25">
      <c r="B111" s="51">
        <v>97</v>
      </c>
      <c r="C111" s="51" t="s">
        <v>69</v>
      </c>
      <c r="D111" s="51">
        <v>3</v>
      </c>
      <c r="E111" s="51">
        <v>-2.2999999999999998</v>
      </c>
      <c r="F111" s="51">
        <v>-6.2</v>
      </c>
      <c r="G111" s="51">
        <v>7.5</v>
      </c>
      <c r="H111" s="51">
        <v>7.5</v>
      </c>
      <c r="I111" s="51">
        <v>98</v>
      </c>
      <c r="J111" s="54">
        <f t="shared" si="4"/>
        <v>69.768485064196611</v>
      </c>
      <c r="K111" s="54">
        <f>IFERROR(WHOLE_STRUCTURE[[#This Row],[Bottom '[m']]]-WHOLE_STRUCTURE[[#This Row],[D, top '[m']]], "")</f>
        <v>-13.7</v>
      </c>
      <c r="L111" s="54">
        <f>IFERROR(-(WHOLE_STRUCTURE[[#This Row],[D, bottom '[m']]]-WHOLE_STRUCTURE[[#This Row],[D, top '[m']]])/(WHOLE_STRUCTURE[[#This Row],[Bottom '[m']]]-WHOLE_STRUCTURE[[#This Row],[Top '[m']]]),"")</f>
        <v>0</v>
      </c>
      <c r="M111" s="54">
        <f>IFERROR((WHOLE_STRUCTURE[[#This Row],[D, bottom '[m']]]+WHOLE_STRUCTURE[[#This Row],[D, top '[m']]])/(2*WHOLE_STRUCTURE[[#This Row],[t '[mm']]]/1000),"")</f>
        <v>76.530612244897952</v>
      </c>
    </row>
    <row r="112" spans="2:13" x14ac:dyDescent="0.25">
      <c r="B112" s="51">
        <v>98</v>
      </c>
      <c r="C112" s="51" t="s">
        <v>69</v>
      </c>
      <c r="D112" s="51">
        <v>4</v>
      </c>
      <c r="E112" s="51">
        <v>-6.2</v>
      </c>
      <c r="F112" s="51">
        <v>-10.1</v>
      </c>
      <c r="G112" s="51">
        <v>7.5</v>
      </c>
      <c r="H112" s="51">
        <v>7.8282999999999996</v>
      </c>
      <c r="I112" s="51">
        <v>98</v>
      </c>
      <c r="J112" s="54">
        <f t="shared" si="4"/>
        <v>71.315701603414155</v>
      </c>
      <c r="K112" s="54">
        <f>IFERROR(WHOLE_STRUCTURE[[#This Row],[Bottom '[m']]]-WHOLE_STRUCTURE[[#This Row],[D, top '[m']]], "")</f>
        <v>-17.600000000000001</v>
      </c>
      <c r="L112" s="54">
        <f>IFERROR(-(WHOLE_STRUCTURE[[#This Row],[D, bottom '[m']]]-WHOLE_STRUCTURE[[#This Row],[D, top '[m']]])/(WHOLE_STRUCTURE[[#This Row],[Bottom '[m']]]-WHOLE_STRUCTURE[[#This Row],[Top '[m']]]),"")</f>
        <v>8.4179487179487089E-2</v>
      </c>
      <c r="M112" s="54">
        <f>IFERROR((WHOLE_STRUCTURE[[#This Row],[D, bottom '[m']]]+WHOLE_STRUCTURE[[#This Row],[D, top '[m']]])/(2*WHOLE_STRUCTURE[[#This Row],[t '[mm']]]/1000),"")</f>
        <v>78.205612244897949</v>
      </c>
    </row>
    <row r="113" spans="2:13" x14ac:dyDescent="0.25">
      <c r="B113" s="51">
        <v>99</v>
      </c>
      <c r="C113" s="51" t="s">
        <v>69</v>
      </c>
      <c r="D113" s="51">
        <v>5</v>
      </c>
      <c r="E113" s="51">
        <v>-10.1</v>
      </c>
      <c r="F113" s="51">
        <v>-14</v>
      </c>
      <c r="G113" s="51">
        <v>7.8282999999999996</v>
      </c>
      <c r="H113" s="51">
        <v>8.1565999999999992</v>
      </c>
      <c r="I113" s="51">
        <v>104</v>
      </c>
      <c r="J113" s="54">
        <f t="shared" si="4"/>
        <v>78.905840981319429</v>
      </c>
      <c r="K113" s="54">
        <f>IFERROR(WHOLE_STRUCTURE[[#This Row],[Bottom '[m']]]-WHOLE_STRUCTURE[[#This Row],[D, top '[m']]], "")</f>
        <v>-21.828299999999999</v>
      </c>
      <c r="L113" s="54">
        <f>IFERROR(-(WHOLE_STRUCTURE[[#This Row],[D, bottom '[m']]]-WHOLE_STRUCTURE[[#This Row],[D, top '[m']]])/(WHOLE_STRUCTURE[[#This Row],[Bottom '[m']]]-WHOLE_STRUCTURE[[#This Row],[Top '[m']]]),"")</f>
        <v>8.4179487179487061E-2</v>
      </c>
      <c r="M113" s="54">
        <f>IFERROR((WHOLE_STRUCTURE[[#This Row],[D, bottom '[m']]]+WHOLE_STRUCTURE[[#This Row],[D, top '[m']]])/(2*WHOLE_STRUCTURE[[#This Row],[t '[mm']]]/1000),"")</f>
        <v>76.850480769230771</v>
      </c>
    </row>
    <row r="114" spans="2:13" x14ac:dyDescent="0.25">
      <c r="B114" s="51">
        <v>100</v>
      </c>
      <c r="C114" s="51" t="s">
        <v>69</v>
      </c>
      <c r="D114" s="51">
        <v>6</v>
      </c>
      <c r="E114" s="51">
        <v>-14</v>
      </c>
      <c r="F114" s="51">
        <v>-17.899999999999999</v>
      </c>
      <c r="G114" s="51">
        <v>8.1565999999999992</v>
      </c>
      <c r="H114" s="51">
        <v>8.4847999999999999</v>
      </c>
      <c r="I114" s="51">
        <v>98</v>
      </c>
      <c r="J114" s="54">
        <f t="shared" si="4"/>
        <v>77.504096478974631</v>
      </c>
      <c r="K114" s="54">
        <f>IFERROR(WHOLE_STRUCTURE[[#This Row],[Bottom '[m']]]-WHOLE_STRUCTURE[[#This Row],[D, top '[m']]], "")</f>
        <v>-26.056599999999996</v>
      </c>
      <c r="L114" s="54">
        <f>IFERROR(-(WHOLE_STRUCTURE[[#This Row],[D, bottom '[m']]]-WHOLE_STRUCTURE[[#This Row],[D, top '[m']]])/(WHOLE_STRUCTURE[[#This Row],[Bottom '[m']]]-WHOLE_STRUCTURE[[#This Row],[Top '[m']]]),"")</f>
        <v>8.4153846153846371E-2</v>
      </c>
      <c r="M114" s="54">
        <f>IFERROR((WHOLE_STRUCTURE[[#This Row],[D, bottom '[m']]]+WHOLE_STRUCTURE[[#This Row],[D, top '[m']]])/(2*WHOLE_STRUCTURE[[#This Row],[t '[mm']]]/1000),"")</f>
        <v>84.905102040816303</v>
      </c>
    </row>
    <row r="115" spans="2:13" x14ac:dyDescent="0.25">
      <c r="B115" s="51">
        <v>101</v>
      </c>
      <c r="C115" s="51" t="s">
        <v>69</v>
      </c>
      <c r="D115" s="51">
        <v>7</v>
      </c>
      <c r="E115" s="51">
        <v>-17.899999999999999</v>
      </c>
      <c r="F115" s="51">
        <v>-21.8</v>
      </c>
      <c r="G115" s="51">
        <v>8.4847999999999999</v>
      </c>
      <c r="H115" s="51">
        <v>8.8131000000000004</v>
      </c>
      <c r="I115" s="51">
        <v>94</v>
      </c>
      <c r="J115" s="54">
        <f t="shared" si="4"/>
        <v>77.34450523878759</v>
      </c>
      <c r="K115" s="54">
        <f>IFERROR(WHOLE_STRUCTURE[[#This Row],[Bottom '[m']]]-WHOLE_STRUCTURE[[#This Row],[D, top '[m']]], "")</f>
        <v>-30.284800000000001</v>
      </c>
      <c r="L115" s="54">
        <f>IFERROR(-(WHOLE_STRUCTURE[[#This Row],[D, bottom '[m']]]-WHOLE_STRUCTURE[[#This Row],[D, top '[m']]])/(WHOLE_STRUCTURE[[#This Row],[Bottom '[m']]]-WHOLE_STRUCTURE[[#This Row],[Top '[m']]]),"")</f>
        <v>8.4179487179487256E-2</v>
      </c>
      <c r="M115" s="54">
        <f>IFERROR((WHOLE_STRUCTURE[[#This Row],[D, bottom '[m']]]+WHOLE_STRUCTURE[[#This Row],[D, top '[m']]])/(2*WHOLE_STRUCTURE[[#This Row],[t '[mm']]]/1000),"")</f>
        <v>92.010106382978719</v>
      </c>
    </row>
    <row r="116" spans="2:13" x14ac:dyDescent="0.25">
      <c r="B116" s="51">
        <v>102</v>
      </c>
      <c r="C116" s="51" t="s">
        <v>69</v>
      </c>
      <c r="D116" s="51">
        <v>8</v>
      </c>
      <c r="E116" s="51">
        <v>-21.8</v>
      </c>
      <c r="F116" s="51">
        <v>-25.7</v>
      </c>
      <c r="G116" s="51">
        <v>8.8131000000000004</v>
      </c>
      <c r="H116" s="51">
        <v>9.1414000000000009</v>
      </c>
      <c r="I116" s="51">
        <v>92</v>
      </c>
      <c r="J116" s="54">
        <f t="shared" si="4"/>
        <v>78.621552553821701</v>
      </c>
      <c r="K116" s="54">
        <f>IFERROR(WHOLE_STRUCTURE[[#This Row],[Bottom '[m']]]-WHOLE_STRUCTURE[[#This Row],[D, top '[m']]], "")</f>
        <v>-34.513100000000001</v>
      </c>
      <c r="L116" s="54">
        <f>IFERROR(-(WHOLE_STRUCTURE[[#This Row],[D, bottom '[m']]]-WHOLE_STRUCTURE[[#This Row],[D, top '[m']]])/(WHOLE_STRUCTURE[[#This Row],[Bottom '[m']]]-WHOLE_STRUCTURE[[#This Row],[Top '[m']]]),"")</f>
        <v>8.4179487179487339E-2</v>
      </c>
      <c r="M116" s="54">
        <f>IFERROR((WHOLE_STRUCTURE[[#This Row],[D, bottom '[m']]]+WHOLE_STRUCTURE[[#This Row],[D, top '[m']]])/(2*WHOLE_STRUCTURE[[#This Row],[t '[mm']]]/1000),"")</f>
        <v>97.578804347826107</v>
      </c>
    </row>
    <row r="117" spans="2:13" x14ac:dyDescent="0.25">
      <c r="B117" s="51">
        <v>103</v>
      </c>
      <c r="C117" s="51" t="s">
        <v>69</v>
      </c>
      <c r="D117" s="51">
        <v>9</v>
      </c>
      <c r="E117" s="51">
        <v>-25.7</v>
      </c>
      <c r="F117" s="51">
        <v>-29.6</v>
      </c>
      <c r="G117" s="51">
        <v>9.1414000000000009</v>
      </c>
      <c r="H117" s="51">
        <v>9.4696999999999996</v>
      </c>
      <c r="I117" s="51">
        <v>90</v>
      </c>
      <c r="J117" s="54">
        <f t="shared" si="4"/>
        <v>79.771527039027319</v>
      </c>
      <c r="K117" s="54">
        <f>IFERROR(WHOLE_STRUCTURE[[#This Row],[Bottom '[m']]]-WHOLE_STRUCTURE[[#This Row],[D, top '[m']]], "")</f>
        <v>-38.741399999999999</v>
      </c>
      <c r="L117" s="54">
        <f>IFERROR(-(WHOLE_STRUCTURE[[#This Row],[D, bottom '[m']]]-WHOLE_STRUCTURE[[#This Row],[D, top '[m']]])/(WHOLE_STRUCTURE[[#This Row],[Bottom '[m']]]-WHOLE_STRUCTURE[[#This Row],[Top '[m']]]),"")</f>
        <v>8.4179487179486798E-2</v>
      </c>
      <c r="M117" s="54">
        <f>IFERROR((WHOLE_STRUCTURE[[#This Row],[D, bottom '[m']]]+WHOLE_STRUCTURE[[#This Row],[D, top '[m']]])/(2*WHOLE_STRUCTURE[[#This Row],[t '[mm']]]/1000),"")</f>
        <v>103.39500000000001</v>
      </c>
    </row>
    <row r="118" spans="2:13" x14ac:dyDescent="0.25">
      <c r="B118" s="51">
        <v>104</v>
      </c>
      <c r="C118" s="51" t="s">
        <v>69</v>
      </c>
      <c r="D118" s="51">
        <v>10</v>
      </c>
      <c r="E118" s="51">
        <v>-29.6</v>
      </c>
      <c r="F118" s="51">
        <v>-33.5</v>
      </c>
      <c r="G118" s="51">
        <v>9.4696999999999996</v>
      </c>
      <c r="H118" s="51">
        <v>9.8000000000000007</v>
      </c>
      <c r="I118" s="51">
        <v>90</v>
      </c>
      <c r="J118" s="54">
        <f t="shared" si="4"/>
        <v>82.622009522867344</v>
      </c>
      <c r="K118" s="54">
        <f>IFERROR(WHOLE_STRUCTURE[[#This Row],[Bottom '[m']]]-WHOLE_STRUCTURE[[#This Row],[D, top '[m']]], "")</f>
        <v>-42.969700000000003</v>
      </c>
      <c r="L118" s="54">
        <f>IFERROR(-(WHOLE_STRUCTURE[[#This Row],[D, bottom '[m']]]-WHOLE_STRUCTURE[[#This Row],[D, top '[m']]])/(WHOLE_STRUCTURE[[#This Row],[Bottom '[m']]]-WHOLE_STRUCTURE[[#This Row],[Top '[m']]]),"")</f>
        <v>8.4692307692308011E-2</v>
      </c>
      <c r="M118" s="54">
        <f>IFERROR((WHOLE_STRUCTURE[[#This Row],[D, bottom '[m']]]+WHOLE_STRUCTURE[[#This Row],[D, top '[m']]])/(2*WHOLE_STRUCTURE[[#This Row],[t '[mm']]]/1000),"")</f>
        <v>107.05388888888889</v>
      </c>
    </row>
    <row r="119" spans="2:13" x14ac:dyDescent="0.25">
      <c r="B119" s="51">
        <v>105</v>
      </c>
      <c r="C119" s="51" t="s">
        <v>69</v>
      </c>
      <c r="D119" s="51">
        <v>11</v>
      </c>
      <c r="E119" s="51">
        <v>-33.5</v>
      </c>
      <c r="F119" s="51">
        <v>-36.799999999999997</v>
      </c>
      <c r="G119" s="51">
        <v>9.8000000000000007</v>
      </c>
      <c r="H119" s="51">
        <v>9.8000000000000007</v>
      </c>
      <c r="I119" s="51">
        <v>90</v>
      </c>
      <c r="J119" s="54">
        <f t="shared" si="4"/>
        <v>71.120566726377618</v>
      </c>
      <c r="K119" s="54">
        <f>IFERROR(WHOLE_STRUCTURE[[#This Row],[Bottom '[m']]]-WHOLE_STRUCTURE[[#This Row],[D, top '[m']]], "")</f>
        <v>-46.599999999999994</v>
      </c>
      <c r="L119" s="54">
        <f>IFERROR(-(WHOLE_STRUCTURE[[#This Row],[D, bottom '[m']]]-WHOLE_STRUCTURE[[#This Row],[D, top '[m']]])/(WHOLE_STRUCTURE[[#This Row],[Bottom '[m']]]-WHOLE_STRUCTURE[[#This Row],[Top '[m']]]),"")</f>
        <v>0</v>
      </c>
      <c r="M119" s="54">
        <f>IFERROR((WHOLE_STRUCTURE[[#This Row],[D, bottom '[m']]]+WHOLE_STRUCTURE[[#This Row],[D, top '[m']]])/(2*WHOLE_STRUCTURE[[#This Row],[t '[mm']]]/1000),"")</f>
        <v>108.8888888888889</v>
      </c>
    </row>
    <row r="120" spans="2:13" x14ac:dyDescent="0.25">
      <c r="B120" s="51">
        <v>106</v>
      </c>
      <c r="C120" s="51" t="s">
        <v>69</v>
      </c>
      <c r="D120" s="51">
        <v>12</v>
      </c>
      <c r="E120" s="51">
        <v>-36.799999999999997</v>
      </c>
      <c r="F120" s="51">
        <v>-40.200000000000003</v>
      </c>
      <c r="G120" s="51">
        <v>9.8000000000000007</v>
      </c>
      <c r="H120" s="51">
        <v>9.8000000000000007</v>
      </c>
      <c r="I120" s="51">
        <v>98</v>
      </c>
      <c r="J120" s="54">
        <f t="shared" si="4"/>
        <v>79.723396418003802</v>
      </c>
      <c r="K120" s="54">
        <f>IFERROR(WHOLE_STRUCTURE[[#This Row],[Bottom '[m']]]-WHOLE_STRUCTURE[[#This Row],[D, top '[m']]], "")</f>
        <v>-50</v>
      </c>
      <c r="L120" s="54">
        <f>IFERROR(-(WHOLE_STRUCTURE[[#This Row],[D, bottom '[m']]]-WHOLE_STRUCTURE[[#This Row],[D, top '[m']]])/(WHOLE_STRUCTURE[[#This Row],[Bottom '[m']]]-WHOLE_STRUCTURE[[#This Row],[Top '[m']]]),"")</f>
        <v>0</v>
      </c>
      <c r="M120" s="54">
        <f>IFERROR((WHOLE_STRUCTURE[[#This Row],[D, bottom '[m']]]+WHOLE_STRUCTURE[[#This Row],[D, top '[m']]])/(2*WHOLE_STRUCTURE[[#This Row],[t '[mm']]]/1000),"")</f>
        <v>100</v>
      </c>
    </row>
    <row r="121" spans="2:13" x14ac:dyDescent="0.25">
      <c r="B121" s="51">
        <v>107</v>
      </c>
      <c r="C121" s="51" t="s">
        <v>69</v>
      </c>
      <c r="D121" s="51">
        <v>13</v>
      </c>
      <c r="E121" s="51">
        <v>-40.200000000000003</v>
      </c>
      <c r="F121" s="51">
        <v>-43.8</v>
      </c>
      <c r="G121" s="51">
        <v>9.8000000000000007</v>
      </c>
      <c r="H121" s="51">
        <v>9.8000000000000007</v>
      </c>
      <c r="I121" s="51">
        <v>88</v>
      </c>
      <c r="J121" s="54">
        <f t="shared" si="4"/>
        <v>75.87756336934649</v>
      </c>
      <c r="K121" s="54">
        <f>IFERROR(WHOLE_STRUCTURE[[#This Row],[Bottom '[m']]]-WHOLE_STRUCTURE[[#This Row],[D, top '[m']]], "")</f>
        <v>-53.599999999999994</v>
      </c>
      <c r="L121" s="54">
        <f>IFERROR(-(WHOLE_STRUCTURE[[#This Row],[D, bottom '[m']]]-WHOLE_STRUCTURE[[#This Row],[D, top '[m']]])/(WHOLE_STRUCTURE[[#This Row],[Bottom '[m']]]-WHOLE_STRUCTURE[[#This Row],[Top '[m']]]),"")</f>
        <v>0</v>
      </c>
      <c r="M121" s="54">
        <f>IFERROR((WHOLE_STRUCTURE[[#This Row],[D, bottom '[m']]]+WHOLE_STRUCTURE[[#This Row],[D, top '[m']]])/(2*WHOLE_STRUCTURE[[#This Row],[t '[mm']]]/1000),"")</f>
        <v>111.36363636363637</v>
      </c>
    </row>
    <row r="122" spans="2:13" x14ac:dyDescent="0.25">
      <c r="B122" s="51">
        <v>108</v>
      </c>
      <c r="C122" s="51" t="s">
        <v>69</v>
      </c>
      <c r="D122" s="51">
        <v>14</v>
      </c>
      <c r="E122" s="51">
        <v>-43.8</v>
      </c>
      <c r="F122" s="51">
        <v>-47.8</v>
      </c>
      <c r="G122" s="51">
        <v>9.8000000000000007</v>
      </c>
      <c r="H122" s="51">
        <v>9.8000000000000007</v>
      </c>
      <c r="I122" s="51">
        <v>88</v>
      </c>
      <c r="J122" s="54">
        <f t="shared" si="4"/>
        <v>84.308403743718472</v>
      </c>
      <c r="K122" s="54">
        <f>IFERROR(WHOLE_STRUCTURE[[#This Row],[Bottom '[m']]]-WHOLE_STRUCTURE[[#This Row],[D, top '[m']]], "")</f>
        <v>-57.599999999999994</v>
      </c>
      <c r="L122" s="54">
        <f>IFERROR(-(WHOLE_STRUCTURE[[#This Row],[D, bottom '[m']]]-WHOLE_STRUCTURE[[#This Row],[D, top '[m']]])/(WHOLE_STRUCTURE[[#This Row],[Bottom '[m']]]-WHOLE_STRUCTURE[[#This Row],[Top '[m']]]),"")</f>
        <v>0</v>
      </c>
      <c r="M122" s="54">
        <f>IFERROR((WHOLE_STRUCTURE[[#This Row],[D, bottom '[m']]]+WHOLE_STRUCTURE[[#This Row],[D, top '[m']]])/(2*WHOLE_STRUCTURE[[#This Row],[t '[mm']]]/1000),"")</f>
        <v>111.36363636363637</v>
      </c>
    </row>
    <row r="123" spans="2:13" x14ac:dyDescent="0.25">
      <c r="B123" s="51">
        <v>109</v>
      </c>
      <c r="C123" s="51" t="s">
        <v>69</v>
      </c>
      <c r="D123" s="51">
        <v>15</v>
      </c>
      <c r="E123" s="51">
        <v>-47.8</v>
      </c>
      <c r="F123" s="51">
        <v>-51.8</v>
      </c>
      <c r="G123" s="51">
        <v>9.8000000000000007</v>
      </c>
      <c r="H123" s="51">
        <v>9.8000000000000007</v>
      </c>
      <c r="I123" s="51">
        <v>88</v>
      </c>
      <c r="J123" s="54">
        <f t="shared" si="4"/>
        <v>84.308403743718472</v>
      </c>
      <c r="K123" s="54">
        <f>IFERROR(WHOLE_STRUCTURE[[#This Row],[Bottom '[m']]]-WHOLE_STRUCTURE[[#This Row],[D, top '[m']]], "")</f>
        <v>-61.599999999999994</v>
      </c>
      <c r="L123" s="54">
        <f>IFERROR(-(WHOLE_STRUCTURE[[#This Row],[D, bottom '[m']]]-WHOLE_STRUCTURE[[#This Row],[D, top '[m']]])/(WHOLE_STRUCTURE[[#This Row],[Bottom '[m']]]-WHOLE_STRUCTURE[[#This Row],[Top '[m']]]),"")</f>
        <v>0</v>
      </c>
      <c r="M123" s="54">
        <f>IFERROR((WHOLE_STRUCTURE[[#This Row],[D, bottom '[m']]]+WHOLE_STRUCTURE[[#This Row],[D, top '[m']]])/(2*WHOLE_STRUCTURE[[#This Row],[t '[mm']]]/1000),"")</f>
        <v>111.36363636363637</v>
      </c>
    </row>
    <row r="124" spans="2:13" x14ac:dyDescent="0.25">
      <c r="B124" s="51">
        <v>110</v>
      </c>
      <c r="C124" s="51" t="s">
        <v>69</v>
      </c>
      <c r="D124" s="51">
        <v>16</v>
      </c>
      <c r="E124" s="51">
        <v>-51.8</v>
      </c>
      <c r="F124" s="51">
        <v>-55.8</v>
      </c>
      <c r="G124" s="51">
        <v>9.8000000000000007</v>
      </c>
      <c r="H124" s="51">
        <v>9.8000000000000007</v>
      </c>
      <c r="I124" s="51">
        <v>81</v>
      </c>
      <c r="J124" s="54">
        <f t="shared" si="4"/>
        <v>77.657985733209031</v>
      </c>
      <c r="K124" s="54">
        <f>IFERROR(WHOLE_STRUCTURE[[#This Row],[Bottom '[m']]]-WHOLE_STRUCTURE[[#This Row],[D, top '[m']]], "")</f>
        <v>-65.599999999999994</v>
      </c>
      <c r="L124" s="54">
        <f>IFERROR(-(WHOLE_STRUCTURE[[#This Row],[D, bottom '[m']]]-WHOLE_STRUCTURE[[#This Row],[D, top '[m']]])/(WHOLE_STRUCTURE[[#This Row],[Bottom '[m']]]-WHOLE_STRUCTURE[[#This Row],[Top '[m']]]),"")</f>
        <v>0</v>
      </c>
      <c r="M124" s="54">
        <f>IFERROR((WHOLE_STRUCTURE[[#This Row],[D, bottom '[m']]]+WHOLE_STRUCTURE[[#This Row],[D, top '[m']]])/(2*WHOLE_STRUCTURE[[#This Row],[t '[mm']]]/1000),"")</f>
        <v>120.98765432098766</v>
      </c>
    </row>
    <row r="125" spans="2:13" x14ac:dyDescent="0.25">
      <c r="B125" s="51">
        <v>111</v>
      </c>
      <c r="C125" s="51" t="s">
        <v>69</v>
      </c>
      <c r="D125" s="51">
        <v>17</v>
      </c>
      <c r="E125" s="51">
        <v>-55.8</v>
      </c>
      <c r="F125" s="51">
        <v>-59.8</v>
      </c>
      <c r="G125" s="51">
        <v>9.8000000000000007</v>
      </c>
      <c r="H125" s="51">
        <v>9.8000000000000007</v>
      </c>
      <c r="I125" s="51">
        <v>81</v>
      </c>
      <c r="J125" s="54">
        <f t="shared" si="4"/>
        <v>77.657985733209031</v>
      </c>
      <c r="K125" s="54">
        <f>IFERROR(WHOLE_STRUCTURE[[#This Row],[Bottom '[m']]]-WHOLE_STRUCTURE[[#This Row],[D, top '[m']]], "")</f>
        <v>-69.599999999999994</v>
      </c>
      <c r="L125" s="54">
        <f>IFERROR(-(WHOLE_STRUCTURE[[#This Row],[D, bottom '[m']]]-WHOLE_STRUCTURE[[#This Row],[D, top '[m']]])/(WHOLE_STRUCTURE[[#This Row],[Bottom '[m']]]-WHOLE_STRUCTURE[[#This Row],[Top '[m']]]),"")</f>
        <v>0</v>
      </c>
      <c r="M125" s="54">
        <f>IFERROR((WHOLE_STRUCTURE[[#This Row],[D, bottom '[m']]]+WHOLE_STRUCTURE[[#This Row],[D, top '[m']]])/(2*WHOLE_STRUCTURE[[#This Row],[t '[mm']]]/1000),"")</f>
        <v>120.98765432098766</v>
      </c>
    </row>
    <row r="126" spans="2:13" x14ac:dyDescent="0.25">
      <c r="B126" s="51">
        <v>112</v>
      </c>
      <c r="C126" s="51" t="s">
        <v>69</v>
      </c>
      <c r="D126" s="51">
        <v>18</v>
      </c>
      <c r="E126" s="51">
        <v>-59.8</v>
      </c>
      <c r="F126" s="51">
        <v>-63.8</v>
      </c>
      <c r="G126" s="51">
        <v>9.8000000000000007</v>
      </c>
      <c r="H126" s="51">
        <v>9.8000000000000007</v>
      </c>
      <c r="I126" s="51">
        <v>81</v>
      </c>
      <c r="J126" s="54">
        <f t="shared" si="4"/>
        <v>77.657985733209031</v>
      </c>
      <c r="K126" s="54">
        <f>IFERROR(WHOLE_STRUCTURE[[#This Row],[Bottom '[m']]]-WHOLE_STRUCTURE[[#This Row],[D, top '[m']]], "")</f>
        <v>-73.599999999999994</v>
      </c>
      <c r="L126" s="54">
        <f>IFERROR(-(WHOLE_STRUCTURE[[#This Row],[D, bottom '[m']]]-WHOLE_STRUCTURE[[#This Row],[D, top '[m']]])/(WHOLE_STRUCTURE[[#This Row],[Bottom '[m']]]-WHOLE_STRUCTURE[[#This Row],[Top '[m']]]),"")</f>
        <v>0</v>
      </c>
      <c r="M126" s="54">
        <f>IFERROR((WHOLE_STRUCTURE[[#This Row],[D, bottom '[m']]]+WHOLE_STRUCTURE[[#This Row],[D, top '[m']]])/(2*WHOLE_STRUCTURE[[#This Row],[t '[mm']]]/1000),"")</f>
        <v>120.98765432098766</v>
      </c>
    </row>
    <row r="127" spans="2:13" x14ac:dyDescent="0.25">
      <c r="B127" s="51">
        <v>113</v>
      </c>
      <c r="C127" s="51" t="s">
        <v>69</v>
      </c>
      <c r="D127" s="51">
        <v>19</v>
      </c>
      <c r="E127" s="51">
        <v>-63.8</v>
      </c>
      <c r="F127" s="51">
        <v>-67.599999999999994</v>
      </c>
      <c r="G127" s="51">
        <v>9.8000000000000007</v>
      </c>
      <c r="H127" s="51">
        <v>9.8000000000000007</v>
      </c>
      <c r="I127" s="51">
        <v>81</v>
      </c>
      <c r="J127" s="54">
        <f t="shared" si="4"/>
        <v>73.775086446548514</v>
      </c>
      <c r="K127" s="54">
        <f>IFERROR(WHOLE_STRUCTURE[[#This Row],[Bottom '[m']]]-WHOLE_STRUCTURE[[#This Row],[D, top '[m']]], "")</f>
        <v>-77.399999999999991</v>
      </c>
      <c r="L127" s="54">
        <f>IFERROR(-(WHOLE_STRUCTURE[[#This Row],[D, bottom '[m']]]-WHOLE_STRUCTURE[[#This Row],[D, top '[m']]])/(WHOLE_STRUCTURE[[#This Row],[Bottom '[m']]]-WHOLE_STRUCTURE[[#This Row],[Top '[m']]]),"")</f>
        <v>0</v>
      </c>
      <c r="M127" s="54">
        <f>IFERROR((WHOLE_STRUCTURE[[#This Row],[D, bottom '[m']]]+WHOLE_STRUCTURE[[#This Row],[D, top '[m']]])/(2*WHOLE_STRUCTURE[[#This Row],[t '[mm']]]/1000),"")</f>
        <v>120.98765432098766</v>
      </c>
    </row>
    <row r="128" spans="2:13" x14ac:dyDescent="0.25">
      <c r="B128" s="51">
        <v>114</v>
      </c>
      <c r="C128" s="51" t="s">
        <v>69</v>
      </c>
      <c r="D128" s="51">
        <v>20</v>
      </c>
      <c r="E128" s="51">
        <v>-67.599999999999994</v>
      </c>
      <c r="F128" s="51">
        <v>-70.7</v>
      </c>
      <c r="G128" s="51">
        <v>9.8000000000000007</v>
      </c>
      <c r="H128" s="51">
        <v>9.8000000000000007</v>
      </c>
      <c r="I128" s="51">
        <v>81</v>
      </c>
      <c r="J128" s="54">
        <f t="shared" si="4"/>
        <v>60.184938943237157</v>
      </c>
      <c r="K128" s="54">
        <f>IFERROR(WHOLE_STRUCTURE[[#This Row],[Bottom '[m']]]-WHOLE_STRUCTURE[[#This Row],[D, top '[m']]], "")</f>
        <v>-80.5</v>
      </c>
      <c r="L128" s="54">
        <f>IFERROR(-(WHOLE_STRUCTURE[[#This Row],[D, bottom '[m']]]-WHOLE_STRUCTURE[[#This Row],[D, top '[m']]])/(WHOLE_STRUCTURE[[#This Row],[Bottom '[m']]]-WHOLE_STRUCTURE[[#This Row],[Top '[m']]]),"")</f>
        <v>0</v>
      </c>
      <c r="M128" s="54">
        <f>IFERROR((WHOLE_STRUCTURE[[#This Row],[D, bottom '[m']]]+WHOLE_STRUCTURE[[#This Row],[D, top '[m']]])/(2*WHOLE_STRUCTURE[[#This Row],[t '[mm']]]/1000),"")</f>
        <v>120.98765432098766</v>
      </c>
    </row>
    <row r="129" spans="2:13" x14ac:dyDescent="0.25">
      <c r="B129" s="51">
        <v>115</v>
      </c>
      <c r="C129" s="51" t="s">
        <v>69</v>
      </c>
      <c r="D129" s="51">
        <v>21</v>
      </c>
      <c r="E129" s="51">
        <v>-70.7</v>
      </c>
      <c r="F129" s="51">
        <v>-73.7</v>
      </c>
      <c r="G129" s="51">
        <v>9.8000000000000007</v>
      </c>
      <c r="H129" s="51">
        <v>9.8000000000000007</v>
      </c>
      <c r="I129" s="51">
        <v>87</v>
      </c>
      <c r="J129" s="54">
        <f t="shared" si="4"/>
        <v>62.519201927990139</v>
      </c>
      <c r="K129" s="54">
        <f>IFERROR(WHOLE_STRUCTURE[[#This Row],[Bottom '[m']]]-WHOLE_STRUCTURE[[#This Row],[D, top '[m']]], "")</f>
        <v>-83.5</v>
      </c>
      <c r="L129" s="54">
        <f>IFERROR(-(WHOLE_STRUCTURE[[#This Row],[D, bottom '[m']]]-WHOLE_STRUCTURE[[#This Row],[D, top '[m']]])/(WHOLE_STRUCTURE[[#This Row],[Bottom '[m']]]-WHOLE_STRUCTURE[[#This Row],[Top '[m']]]),"")</f>
        <v>0</v>
      </c>
      <c r="M129" s="54">
        <f>IFERROR((WHOLE_STRUCTURE[[#This Row],[D, bottom '[m']]]+WHOLE_STRUCTURE[[#This Row],[D, top '[m']]])/(2*WHOLE_STRUCTURE[[#This Row],[t '[mm']]]/1000),"")</f>
        <v>112.64367816091955</v>
      </c>
    </row>
    <row r="130" spans="2:13" x14ac:dyDescent="0.25">
      <c r="B130" s="51">
        <v>116</v>
      </c>
      <c r="C130" s="51" t="s">
        <v>69</v>
      </c>
      <c r="D130" s="51">
        <v>22</v>
      </c>
      <c r="E130" s="51">
        <v>-73.7</v>
      </c>
      <c r="F130" s="51">
        <v>-76.8</v>
      </c>
      <c r="G130" s="51">
        <v>9.8000000000000007</v>
      </c>
      <c r="H130" s="51">
        <v>9.8000000000000007</v>
      </c>
      <c r="I130" s="51">
        <v>95</v>
      </c>
      <c r="J130" s="54">
        <f t="shared" si="4"/>
        <v>70.485594695118522</v>
      </c>
      <c r="K130" s="54">
        <f>IFERROR(WHOLE_STRUCTURE[[#This Row],[Bottom '[m']]]-WHOLE_STRUCTURE[[#This Row],[D, top '[m']]], "")</f>
        <v>-86.6</v>
      </c>
      <c r="L130" s="54">
        <f>IFERROR(-(WHOLE_STRUCTURE[[#This Row],[D, bottom '[m']]]-WHOLE_STRUCTURE[[#This Row],[D, top '[m']]])/(WHOLE_STRUCTURE[[#This Row],[Bottom '[m']]]-WHOLE_STRUCTURE[[#This Row],[Top '[m']]]),"")</f>
        <v>0</v>
      </c>
      <c r="M130" s="54">
        <f>IFERROR((WHOLE_STRUCTURE[[#This Row],[D, bottom '[m']]]+WHOLE_STRUCTURE[[#This Row],[D, top '[m']]])/(2*WHOLE_STRUCTURE[[#This Row],[t '[mm']]]/1000),"")</f>
        <v>103.15789473684211</v>
      </c>
    </row>
    <row r="131" spans="2:13" x14ac:dyDescent="0.25">
      <c r="B131" s="51">
        <v>117</v>
      </c>
      <c r="C131" s="51" t="s">
        <v>69</v>
      </c>
      <c r="D131" s="51">
        <v>23</v>
      </c>
      <c r="E131" s="51">
        <v>-76.8</v>
      </c>
      <c r="F131" s="51">
        <v>-79.8</v>
      </c>
      <c r="G131" s="51">
        <v>9.8000000000000007</v>
      </c>
      <c r="H131" s="51">
        <v>9.8000000000000007</v>
      </c>
      <c r="I131" s="51">
        <v>105</v>
      </c>
      <c r="J131" s="54">
        <f t="shared" si="4"/>
        <v>75.314378505222052</v>
      </c>
      <c r="K131" s="54">
        <f>IFERROR(WHOLE_STRUCTURE[[#This Row],[Bottom '[m']]]-WHOLE_STRUCTURE[[#This Row],[D, top '[m']]], "")</f>
        <v>-89.6</v>
      </c>
      <c r="L131" s="54">
        <f>IFERROR(-(WHOLE_STRUCTURE[[#This Row],[D, bottom '[m']]]-WHOLE_STRUCTURE[[#This Row],[D, top '[m']]])/(WHOLE_STRUCTURE[[#This Row],[Bottom '[m']]]-WHOLE_STRUCTURE[[#This Row],[Top '[m']]]),"")</f>
        <v>0</v>
      </c>
      <c r="M131" s="54">
        <f>IFERROR((WHOLE_STRUCTURE[[#This Row],[D, bottom '[m']]]+WHOLE_STRUCTURE[[#This Row],[D, top '[m']]])/(2*WHOLE_STRUCTURE[[#This Row],[t '[mm']]]/1000),"")</f>
        <v>93.333333333333343</v>
      </c>
    </row>
    <row r="132" spans="2:13" x14ac:dyDescent="0.25">
      <c r="J132" s="54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2:13" x14ac:dyDescent="0.25">
      <c r="J133" s="54" t="str">
        <f t="shared" ref="J133:J196" si="5"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2:13" x14ac:dyDescent="0.25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2:13" x14ac:dyDescent="0.25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2:13" x14ac:dyDescent="0.25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2:13" x14ac:dyDescent="0.25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2:13" x14ac:dyDescent="0.25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2:13" x14ac:dyDescent="0.25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2:13" x14ac:dyDescent="0.25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2:13" x14ac:dyDescent="0.25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2:13" x14ac:dyDescent="0.25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2:13" x14ac:dyDescent="0.25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2:13" x14ac:dyDescent="0.25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54" t="str">
        <f t="shared" si="5"/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54" t="str">
        <f t="shared" ref="J197:J260" si="6"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54" t="str">
        <f t="shared" si="6"/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54" t="str">
        <f t="shared" ref="J261:J324" si="7"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54" t="str">
        <f t="shared" si="7"/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54" t="str">
        <f t="shared" ref="J325:J388" si="8"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54" t="str">
        <f t="shared" si="8"/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54" t="str">
        <f t="shared" ref="J389:J452" si="9"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25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25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25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25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25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25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25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25">
      <c r="J451" s="54" t="str">
        <f t="shared" si="9"/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25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  <row r="453" spans="10:13" x14ac:dyDescent="0.25">
      <c r="J453" s="54" t="str">
        <f t="shared" ref="J453:J454" si="10">IF(7850/1000*(1/3)*PI()*ABS(E453-F453)*((G453/2)^2+(G453/2)*(H453/2)+(H453/2)^2-(G453/2-I453/1000)^2-(G453/2-I453/1000)*(H453/2-I453/1000)-(H453/2-I453/1000)^2)=0,"",7850/1000*(1/3)*PI()*ABS(E453-F453)*((G453/2)^2+(G453/2)*(H453/2)+(H453/2)^2-(G453/2-I453/1000)^2-(G453/2-I453/1000)*(H453/2-I453/1000)-(H453/2-I453/1000)^2))</f>
        <v/>
      </c>
      <c r="K453" s="54" t="str">
        <f>IFERROR(WHOLE_STRUCTURE[[#This Row],[Bottom '[m']]]-WHOLE_STRUCTURE[[#This Row],[D, top '[m']]], "")</f>
        <v/>
      </c>
      <c r="L453" s="54" t="str">
        <f>IFERROR(-(WHOLE_STRUCTURE[[#This Row],[D, bottom '[m']]]-WHOLE_STRUCTURE[[#This Row],[D, top '[m']]])/(WHOLE_STRUCTURE[[#This Row],[Bottom '[m']]]-WHOLE_STRUCTURE[[#This Row],[Top '[m']]]),"")</f>
        <v/>
      </c>
      <c r="M453" s="54" t="str">
        <f>IFERROR((WHOLE_STRUCTURE[[#This Row],[D, bottom '[m']]]+WHOLE_STRUCTURE[[#This Row],[D, top '[m']]])/(2*WHOLE_STRUCTURE[[#This Row],[t '[mm']]]/1000),"")</f>
        <v/>
      </c>
    </row>
    <row r="454" spans="10:13" x14ac:dyDescent="0.25">
      <c r="J454" s="54" t="str">
        <f t="shared" si="10"/>
        <v/>
      </c>
      <c r="K454" s="54" t="str">
        <f>IFERROR(WHOLE_STRUCTURE[[#This Row],[Bottom '[m']]]-WHOLE_STRUCTURE[[#This Row],[D, top '[m']]], "")</f>
        <v/>
      </c>
      <c r="L454" s="54" t="str">
        <f>IFERROR(-(WHOLE_STRUCTURE[[#This Row],[D, bottom '[m']]]-WHOLE_STRUCTURE[[#This Row],[D, top '[m']]])/(WHOLE_STRUCTURE[[#This Row],[Bottom '[m']]]-WHOLE_STRUCTURE[[#This Row],[Top '[m']]]),"")</f>
        <v/>
      </c>
      <c r="M454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$Q$22:$Q$35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59"/>
  <sheetViews>
    <sheetView zoomScale="85" zoomScaleNormal="85" workbookViewId="0">
      <selection activeCell="B6" sqref="B6"/>
    </sheetView>
  </sheetViews>
  <sheetFormatPr baseColWidth="10" defaultRowHeight="15" x14ac:dyDescent="0.25"/>
  <cols>
    <col min="2" max="2" width="41.7109375" customWidth="1"/>
    <col min="3" max="3" width="39.85546875" customWidth="1"/>
    <col min="5" max="5" width="22.5703125" customWidth="1"/>
    <col min="6" max="6" width="19.5703125" customWidth="1"/>
  </cols>
  <sheetData>
    <row r="2" spans="2:5" ht="31.5" x14ac:dyDescent="0.5">
      <c r="B2" s="68" t="s">
        <v>56</v>
      </c>
      <c r="C2" s="68"/>
    </row>
    <row r="5" spans="2:5" ht="18" customHeight="1" x14ac:dyDescent="0.25"/>
    <row r="6" spans="2:5" x14ac:dyDescent="0.25">
      <c r="B6" t="s">
        <v>273</v>
      </c>
    </row>
    <row r="8" spans="2:5" x14ac:dyDescent="0.25">
      <c r="B8" s="78" t="s">
        <v>157</v>
      </c>
      <c r="C8" s="78"/>
    </row>
    <row r="9" spans="2:5" x14ac:dyDescent="0.25">
      <c r="B9" t="s">
        <v>27</v>
      </c>
      <c r="C9" t="s">
        <v>19</v>
      </c>
      <c r="D9" t="s">
        <v>117</v>
      </c>
      <c r="E9" s="95" t="s">
        <v>116</v>
      </c>
    </row>
    <row r="10" spans="2:5" x14ac:dyDescent="0.25">
      <c r="B10" t="s">
        <v>113</v>
      </c>
      <c r="C10" t="s">
        <v>125</v>
      </c>
      <c r="D10" t="s">
        <v>84</v>
      </c>
      <c r="E10" s="84" t="s">
        <v>114</v>
      </c>
    </row>
    <row r="11" spans="2:5" x14ac:dyDescent="0.25">
      <c r="B11" t="s">
        <v>115</v>
      </c>
      <c r="D11" t="s">
        <v>118</v>
      </c>
      <c r="E11" s="96">
        <v>210000000000</v>
      </c>
    </row>
    <row r="12" spans="2:5" x14ac:dyDescent="0.25">
      <c r="B12" t="s">
        <v>221</v>
      </c>
      <c r="D12" t="s">
        <v>119</v>
      </c>
      <c r="E12" s="84">
        <v>7850</v>
      </c>
    </row>
    <row r="13" spans="2:5" x14ac:dyDescent="0.25">
      <c r="B13" t="s">
        <v>120</v>
      </c>
      <c r="C13" t="s">
        <v>143</v>
      </c>
      <c r="D13" t="s">
        <v>121</v>
      </c>
      <c r="E13" s="85">
        <v>0.1</v>
      </c>
    </row>
    <row r="14" spans="2:5" x14ac:dyDescent="0.25">
      <c r="B14" t="s">
        <v>122</v>
      </c>
      <c r="C14" t="s">
        <v>142</v>
      </c>
      <c r="D14" t="s">
        <v>123</v>
      </c>
      <c r="E14" s="84">
        <v>5</v>
      </c>
    </row>
    <row r="15" spans="2:5" x14ac:dyDescent="0.25">
      <c r="B15" t="s">
        <v>124</v>
      </c>
      <c r="C15" t="s">
        <v>143</v>
      </c>
      <c r="D15" t="s">
        <v>121</v>
      </c>
      <c r="E15" s="85">
        <v>0.5</v>
      </c>
    </row>
    <row r="16" spans="2:5" x14ac:dyDescent="0.25">
      <c r="B16" t="s">
        <v>136</v>
      </c>
      <c r="D16" s="55" t="s">
        <v>132</v>
      </c>
      <c r="E16" s="84">
        <v>0.1</v>
      </c>
    </row>
    <row r="18" spans="2:6" x14ac:dyDescent="0.25">
      <c r="B18" t="s">
        <v>194</v>
      </c>
      <c r="F18" t="s">
        <v>195</v>
      </c>
    </row>
    <row r="20" spans="2:6" x14ac:dyDescent="0.25">
      <c r="B20" s="78" t="s">
        <v>158</v>
      </c>
      <c r="C20" s="78" t="s">
        <v>19</v>
      </c>
      <c r="D20" s="78" t="s">
        <v>225</v>
      </c>
      <c r="E20" s="78" t="s">
        <v>193</v>
      </c>
      <c r="F20" s="78" t="s">
        <v>224</v>
      </c>
    </row>
    <row r="21" spans="2:6" x14ac:dyDescent="0.25">
      <c r="B21" t="s">
        <v>196</v>
      </c>
      <c r="C21" t="s">
        <v>212</v>
      </c>
      <c r="D21" s="94" t="s">
        <v>84</v>
      </c>
      <c r="E21" s="94" t="s">
        <v>198</v>
      </c>
      <c r="F21" s="94"/>
    </row>
    <row r="22" spans="2:6" x14ac:dyDescent="0.25">
      <c r="B22" t="s">
        <v>197</v>
      </c>
      <c r="C22" t="s">
        <v>211</v>
      </c>
      <c r="D22" s="94" t="s">
        <v>84</v>
      </c>
      <c r="E22" s="94" t="s">
        <v>199</v>
      </c>
      <c r="F22" s="94"/>
    </row>
    <row r="23" spans="2:6" x14ac:dyDescent="0.25">
      <c r="B23" t="s">
        <v>159</v>
      </c>
      <c r="D23" s="94" t="s">
        <v>84</v>
      </c>
      <c r="E23" s="94" t="s">
        <v>200</v>
      </c>
      <c r="F23" s="94"/>
    </row>
    <row r="24" spans="2:6" x14ac:dyDescent="0.25">
      <c r="B24" t="s">
        <v>160</v>
      </c>
      <c r="D24" s="94" t="s">
        <v>84</v>
      </c>
      <c r="E24" s="94" t="s">
        <v>201</v>
      </c>
      <c r="F24" s="94"/>
    </row>
    <row r="25" spans="2:6" x14ac:dyDescent="0.25">
      <c r="B25" t="s">
        <v>161</v>
      </c>
      <c r="D25" s="94" t="s">
        <v>84</v>
      </c>
      <c r="E25" s="94" t="s">
        <v>202</v>
      </c>
      <c r="F25" s="94"/>
    </row>
    <row r="26" spans="2:6" x14ac:dyDescent="0.25">
      <c r="B26" t="s">
        <v>162</v>
      </c>
      <c r="D26" s="94" t="s">
        <v>84</v>
      </c>
      <c r="E26" s="94" t="s">
        <v>203</v>
      </c>
      <c r="F26" s="94"/>
    </row>
    <row r="27" spans="2:6" x14ac:dyDescent="0.25">
      <c r="B27" t="s">
        <v>163</v>
      </c>
      <c r="D27" s="94" t="s">
        <v>84</v>
      </c>
      <c r="E27" s="94" t="s">
        <v>204</v>
      </c>
      <c r="F27" s="94"/>
    </row>
    <row r="28" spans="2:6" x14ac:dyDescent="0.25">
      <c r="B28" t="s">
        <v>164</v>
      </c>
      <c r="D28" s="94" t="s">
        <v>84</v>
      </c>
      <c r="E28" s="94" t="s">
        <v>205</v>
      </c>
      <c r="F28" s="94"/>
    </row>
    <row r="29" spans="2:6" x14ac:dyDescent="0.25">
      <c r="B29" t="s">
        <v>165</v>
      </c>
      <c r="D29" s="94" t="s">
        <v>84</v>
      </c>
      <c r="E29" s="94">
        <v>501</v>
      </c>
      <c r="F29" s="94"/>
    </row>
    <row r="30" spans="2:6" x14ac:dyDescent="0.25">
      <c r="B30" t="s">
        <v>166</v>
      </c>
      <c r="D30" t="s">
        <v>229</v>
      </c>
      <c r="E30" s="94">
        <v>4630000000</v>
      </c>
      <c r="F30" s="94"/>
    </row>
    <row r="31" spans="2:6" x14ac:dyDescent="0.25">
      <c r="B31" t="s">
        <v>167</v>
      </c>
      <c r="D31" t="s">
        <v>229</v>
      </c>
      <c r="E31" s="94">
        <v>900000000000</v>
      </c>
      <c r="F31" s="94"/>
    </row>
    <row r="32" spans="2:6" x14ac:dyDescent="0.25">
      <c r="B32" t="s">
        <v>168</v>
      </c>
      <c r="D32" t="s">
        <v>229</v>
      </c>
      <c r="E32" s="94">
        <v>-46200000000</v>
      </c>
      <c r="F32" s="94"/>
    </row>
    <row r="33" spans="2:6" x14ac:dyDescent="0.25">
      <c r="B33" t="s">
        <v>169</v>
      </c>
      <c r="D33" t="s">
        <v>230</v>
      </c>
      <c r="E33" s="94">
        <v>170000</v>
      </c>
      <c r="F33" s="94"/>
    </row>
    <row r="34" spans="2:6" x14ac:dyDescent="0.25">
      <c r="B34" t="s">
        <v>170</v>
      </c>
      <c r="D34" t="s">
        <v>230</v>
      </c>
      <c r="E34" s="94">
        <v>360000000</v>
      </c>
      <c r="F34" s="94"/>
    </row>
    <row r="35" spans="2:6" x14ac:dyDescent="0.25">
      <c r="B35" t="s">
        <v>171</v>
      </c>
      <c r="D35" t="s">
        <v>230</v>
      </c>
      <c r="E35" s="94">
        <v>0</v>
      </c>
      <c r="F35" s="94"/>
    </row>
    <row r="36" spans="2:6" x14ac:dyDescent="0.25">
      <c r="B36" t="s">
        <v>172</v>
      </c>
      <c r="D36" s="94"/>
      <c r="E36" s="94">
        <v>2</v>
      </c>
      <c r="F36" s="94"/>
    </row>
    <row r="37" spans="2:6" x14ac:dyDescent="0.25">
      <c r="B37" t="s">
        <v>234</v>
      </c>
      <c r="D37" s="94"/>
      <c r="E37" s="94">
        <v>10</v>
      </c>
      <c r="F37" s="94"/>
    </row>
    <row r="38" spans="2:6" x14ac:dyDescent="0.25">
      <c r="B38" t="s">
        <v>173</v>
      </c>
      <c r="D38" s="94" t="s">
        <v>230</v>
      </c>
      <c r="E38" s="94">
        <v>1</v>
      </c>
      <c r="F38" s="94"/>
    </row>
    <row r="39" spans="2:6" x14ac:dyDescent="0.25">
      <c r="B39" t="s">
        <v>174</v>
      </c>
      <c r="D39" s="94" t="s">
        <v>231</v>
      </c>
      <c r="E39" s="94">
        <v>1027</v>
      </c>
      <c r="F39" s="94"/>
    </row>
    <row r="40" spans="2:6" x14ac:dyDescent="0.25">
      <c r="B40" t="s">
        <v>214</v>
      </c>
      <c r="C40" t="s">
        <v>210</v>
      </c>
      <c r="D40" s="94" t="s">
        <v>132</v>
      </c>
      <c r="E40" s="94" t="s">
        <v>206</v>
      </c>
      <c r="F40" s="94" t="s">
        <v>222</v>
      </c>
    </row>
    <row r="41" spans="2:6" x14ac:dyDescent="0.25">
      <c r="B41" t="s">
        <v>215</v>
      </c>
      <c r="C41" t="s">
        <v>210</v>
      </c>
      <c r="D41" s="94" t="s">
        <v>132</v>
      </c>
      <c r="E41" s="94" t="s">
        <v>206</v>
      </c>
      <c r="F41" s="94"/>
    </row>
    <row r="42" spans="2:6" x14ac:dyDescent="0.25">
      <c r="B42" t="s">
        <v>175</v>
      </c>
      <c r="D42" s="94" t="s">
        <v>231</v>
      </c>
      <c r="E42" s="94">
        <v>1325</v>
      </c>
      <c r="F42" s="94"/>
    </row>
    <row r="43" spans="2:6" x14ac:dyDescent="0.25">
      <c r="B43" t="s">
        <v>176</v>
      </c>
      <c r="D43" s="94"/>
      <c r="E43" s="94">
        <v>2</v>
      </c>
      <c r="F43" s="94"/>
    </row>
    <row r="44" spans="2:6" x14ac:dyDescent="0.25">
      <c r="B44" t="s">
        <v>177</v>
      </c>
      <c r="D44" s="94"/>
      <c r="E44" s="94">
        <v>300</v>
      </c>
      <c r="F44" s="94"/>
    </row>
    <row r="45" spans="2:6" x14ac:dyDescent="0.25">
      <c r="B45" t="s">
        <v>178</v>
      </c>
      <c r="D45" s="94"/>
      <c r="E45" s="94">
        <v>10</v>
      </c>
      <c r="F45" s="94"/>
    </row>
    <row r="46" spans="2:6" x14ac:dyDescent="0.25">
      <c r="B46" t="s">
        <v>179</v>
      </c>
      <c r="D46" s="94" t="s">
        <v>222</v>
      </c>
      <c r="E46" s="94">
        <v>7.4999999999999997E-3</v>
      </c>
      <c r="F46" s="94"/>
    </row>
    <row r="47" spans="2:6" x14ac:dyDescent="0.25">
      <c r="B47" t="s">
        <v>180</v>
      </c>
      <c r="D47" s="94" t="s">
        <v>222</v>
      </c>
      <c r="E47" s="94">
        <v>6.4000000000000003E-3</v>
      </c>
      <c r="F47" s="94"/>
    </row>
    <row r="48" spans="2:6" x14ac:dyDescent="0.25">
      <c r="B48" t="s">
        <v>181</v>
      </c>
      <c r="D48" s="94" t="s">
        <v>232</v>
      </c>
      <c r="E48" s="94">
        <v>36</v>
      </c>
      <c r="F48" s="94"/>
    </row>
    <row r="49" spans="2:6" x14ac:dyDescent="0.25">
      <c r="B49" t="s">
        <v>184</v>
      </c>
      <c r="D49" s="94" t="s">
        <v>222</v>
      </c>
      <c r="E49" s="94">
        <v>5</v>
      </c>
      <c r="F49" s="94" t="s">
        <v>223</v>
      </c>
    </row>
    <row r="50" spans="2:6" x14ac:dyDescent="0.25">
      <c r="B50" t="s">
        <v>182</v>
      </c>
      <c r="D50" s="94" t="s">
        <v>222</v>
      </c>
      <c r="E50" s="94">
        <v>10000000</v>
      </c>
      <c r="F50" s="94"/>
    </row>
    <row r="51" spans="2:6" x14ac:dyDescent="0.25">
      <c r="B51" t="s">
        <v>183</v>
      </c>
      <c r="D51" s="94" t="s">
        <v>222</v>
      </c>
      <c r="E51" s="94">
        <v>0.89500000000000002</v>
      </c>
      <c r="F51" s="94"/>
    </row>
    <row r="52" spans="2:6" x14ac:dyDescent="0.25">
      <c r="B52" t="s">
        <v>185</v>
      </c>
      <c r="C52" t="s">
        <v>213</v>
      </c>
      <c r="D52" s="94" t="s">
        <v>132</v>
      </c>
      <c r="E52" s="94" t="s">
        <v>206</v>
      </c>
      <c r="F52" s="94"/>
    </row>
    <row r="53" spans="2:6" x14ac:dyDescent="0.25">
      <c r="B53" t="s">
        <v>186</v>
      </c>
      <c r="C53" t="s">
        <v>210</v>
      </c>
      <c r="D53" s="94" t="s">
        <v>132</v>
      </c>
      <c r="E53" s="94" t="s">
        <v>208</v>
      </c>
      <c r="F53" s="94">
        <v>140</v>
      </c>
    </row>
    <row r="54" spans="2:6" x14ac:dyDescent="0.25">
      <c r="B54" t="s">
        <v>187</v>
      </c>
      <c r="D54" s="94" t="s">
        <v>222</v>
      </c>
      <c r="E54" s="94">
        <v>0.11</v>
      </c>
      <c r="F54" s="94"/>
    </row>
    <row r="55" spans="2:6" x14ac:dyDescent="0.25">
      <c r="B55" t="s">
        <v>188</v>
      </c>
      <c r="D55" s="94" t="s">
        <v>233</v>
      </c>
      <c r="E55" s="94">
        <v>0</v>
      </c>
      <c r="F55" s="94"/>
    </row>
    <row r="56" spans="2:6" x14ac:dyDescent="0.25">
      <c r="B56" t="s">
        <v>189</v>
      </c>
      <c r="D56" s="94" t="s">
        <v>84</v>
      </c>
      <c r="E56" s="94">
        <v>0</v>
      </c>
      <c r="F56" s="94"/>
    </row>
    <row r="57" spans="2:6" x14ac:dyDescent="0.25">
      <c r="B57" t="s">
        <v>190</v>
      </c>
      <c r="D57" s="94" t="s">
        <v>84</v>
      </c>
      <c r="E57" s="94">
        <v>1</v>
      </c>
      <c r="F57" s="94"/>
    </row>
    <row r="58" spans="2:6" x14ac:dyDescent="0.25">
      <c r="B58" t="s">
        <v>191</v>
      </c>
      <c r="D58" s="94" t="s">
        <v>84</v>
      </c>
      <c r="E58" s="94" t="s">
        <v>209</v>
      </c>
      <c r="F58" s="94"/>
    </row>
    <row r="59" spans="2:6" x14ac:dyDescent="0.25">
      <c r="B59" t="s">
        <v>192</v>
      </c>
      <c r="C59" t="s">
        <v>226</v>
      </c>
      <c r="D59" s="94"/>
      <c r="E59" s="94" t="s">
        <v>217</v>
      </c>
      <c r="F59" s="94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O59"/>
  <sheetViews>
    <sheetView workbookViewId="0">
      <selection activeCell="D23" sqref="D23"/>
    </sheetView>
  </sheetViews>
  <sheetFormatPr baseColWidth="10" defaultRowHeight="15" x14ac:dyDescent="0.25"/>
  <cols>
    <col min="2" max="2" width="54.42578125" customWidth="1"/>
    <col min="3" max="3" width="15.7109375" customWidth="1"/>
    <col min="4" max="5" width="16.140625" customWidth="1"/>
    <col min="6" max="6" width="12.28515625" customWidth="1"/>
    <col min="7" max="7" width="16" customWidth="1"/>
    <col min="8" max="8" width="17.42578125" customWidth="1"/>
    <col min="10" max="10" width="10.85546875" customWidth="1"/>
    <col min="11" max="13" width="20.140625" customWidth="1"/>
    <col min="14" max="14" width="61.5703125" customWidth="1"/>
  </cols>
  <sheetData>
    <row r="2" spans="2:15" ht="31.5" x14ac:dyDescent="0.5">
      <c r="B2" s="68" t="s">
        <v>238</v>
      </c>
      <c r="C2" s="68"/>
    </row>
    <row r="5" spans="2:15" ht="18" customHeight="1" x14ac:dyDescent="0.25"/>
    <row r="6" spans="2:15" x14ac:dyDescent="0.25">
      <c r="B6" t="s">
        <v>273</v>
      </c>
    </row>
    <row r="8" spans="2:15" x14ac:dyDescent="0.25">
      <c r="B8" t="s">
        <v>249</v>
      </c>
      <c r="C8" s="55" t="s">
        <v>94</v>
      </c>
      <c r="D8" t="s">
        <v>105</v>
      </c>
      <c r="E8" t="s">
        <v>104</v>
      </c>
      <c r="F8" t="s">
        <v>96</v>
      </c>
      <c r="G8" t="s">
        <v>239</v>
      </c>
      <c r="H8" t="s">
        <v>240</v>
      </c>
      <c r="I8" t="s">
        <v>241</v>
      </c>
      <c r="J8" t="s">
        <v>247</v>
      </c>
      <c r="K8" t="s">
        <v>242</v>
      </c>
      <c r="L8" s="55" t="s">
        <v>19</v>
      </c>
    </row>
    <row r="9" spans="2:15" x14ac:dyDescent="0.25">
      <c r="B9" s="55" t="s">
        <v>250</v>
      </c>
      <c r="C9" s="55" t="s">
        <v>92</v>
      </c>
      <c r="D9" s="55">
        <v>16.5</v>
      </c>
      <c r="E9" s="55">
        <v>9.6</v>
      </c>
      <c r="F9" s="55">
        <v>1000</v>
      </c>
      <c r="G9" s="55">
        <v>0.152</v>
      </c>
      <c r="H9" s="55">
        <v>100.4</v>
      </c>
      <c r="I9" s="55">
        <v>4.2149999999999999</v>
      </c>
      <c r="J9" s="55"/>
      <c r="K9" s="55">
        <v>0</v>
      </c>
      <c r="L9" s="55" t="s">
        <v>243</v>
      </c>
    </row>
    <row r="10" spans="2:15" x14ac:dyDescent="0.25">
      <c r="B10" s="55" t="s">
        <v>250</v>
      </c>
      <c r="C10" s="55" t="s">
        <v>92</v>
      </c>
      <c r="D10" s="55">
        <v>16.5</v>
      </c>
      <c r="E10" s="55">
        <v>9.6</v>
      </c>
      <c r="F10" s="55">
        <v>1000</v>
      </c>
      <c r="G10" s="55">
        <v>0.152</v>
      </c>
      <c r="H10" s="55">
        <v>109.6</v>
      </c>
      <c r="I10" s="55">
        <v>4.2149999999999999</v>
      </c>
      <c r="J10" s="55"/>
      <c r="K10" s="55">
        <v>0</v>
      </c>
      <c r="L10" s="55" t="s">
        <v>243</v>
      </c>
    </row>
    <row r="11" spans="2:15" x14ac:dyDescent="0.25">
      <c r="B11" s="55" t="s">
        <v>250</v>
      </c>
      <c r="C11" s="55" t="s">
        <v>92</v>
      </c>
      <c r="D11" s="55">
        <v>12</v>
      </c>
      <c r="E11" s="55">
        <v>-2.1</v>
      </c>
      <c r="F11" s="55">
        <v>1250</v>
      </c>
      <c r="G11" s="55">
        <v>0.19400000000000001</v>
      </c>
      <c r="H11" s="55">
        <v>85.2</v>
      </c>
      <c r="I11" s="55">
        <v>4.2149999999999999</v>
      </c>
      <c r="J11" s="55"/>
      <c r="K11" s="55">
        <v>0</v>
      </c>
      <c r="L11" s="55" t="s">
        <v>244</v>
      </c>
    </row>
    <row r="12" spans="2:15" x14ac:dyDescent="0.25">
      <c r="B12" s="55" t="s">
        <v>250</v>
      </c>
      <c r="C12" s="55" t="s">
        <v>92</v>
      </c>
      <c r="D12" s="55">
        <v>12</v>
      </c>
      <c r="E12" s="55">
        <v>-2.1</v>
      </c>
      <c r="F12" s="55">
        <v>1250</v>
      </c>
      <c r="G12" s="55">
        <v>0.19400000000000001</v>
      </c>
      <c r="H12" s="55">
        <v>94.8</v>
      </c>
      <c r="I12" s="55">
        <v>4.2149999999999999</v>
      </c>
      <c r="J12" s="55"/>
      <c r="K12" s="55">
        <v>0</v>
      </c>
      <c r="L12" s="55" t="s">
        <v>244</v>
      </c>
    </row>
    <row r="13" spans="2:15" x14ac:dyDescent="0.25">
      <c r="B13" s="55" t="s">
        <v>250</v>
      </c>
      <c r="C13" s="55" t="s">
        <v>92</v>
      </c>
      <c r="D13" s="55">
        <v>9.5</v>
      </c>
      <c r="E13" s="55">
        <v>-2.1</v>
      </c>
      <c r="F13" s="55">
        <v>4250</v>
      </c>
      <c r="G13" s="55">
        <v>0.42199999999999999</v>
      </c>
      <c r="H13" s="55">
        <v>79.5</v>
      </c>
      <c r="I13" s="55">
        <v>4.93</v>
      </c>
      <c r="J13" s="55"/>
      <c r="K13" s="55">
        <v>0</v>
      </c>
      <c r="L13" s="55" t="s">
        <v>245</v>
      </c>
    </row>
    <row r="14" spans="2:15" x14ac:dyDescent="0.25">
      <c r="B14" s="55" t="s">
        <v>250</v>
      </c>
      <c r="C14" s="55" t="s">
        <v>92</v>
      </c>
      <c r="D14" s="55">
        <v>9.5</v>
      </c>
      <c r="E14" s="55">
        <v>-2.1</v>
      </c>
      <c r="F14" s="55">
        <v>4250</v>
      </c>
      <c r="G14" s="55">
        <v>0.42199999999999999</v>
      </c>
      <c r="H14" s="55">
        <v>100.5</v>
      </c>
      <c r="I14" s="55">
        <v>4.93</v>
      </c>
      <c r="J14" s="55"/>
      <c r="K14" s="55">
        <v>0</v>
      </c>
      <c r="L14" s="55" t="s">
        <v>245</v>
      </c>
    </row>
    <row r="15" spans="2:15" x14ac:dyDescent="0.25">
      <c r="B15" s="55" t="s">
        <v>250</v>
      </c>
      <c r="C15" s="55" t="s">
        <v>92</v>
      </c>
      <c r="D15" s="55">
        <v>10.199999999999999</v>
      </c>
      <c r="E15" s="55">
        <v>9.6</v>
      </c>
      <c r="F15" s="55">
        <v>2500</v>
      </c>
      <c r="G15" s="55">
        <v>1.2</v>
      </c>
      <c r="H15" s="55">
        <v>105</v>
      </c>
      <c r="I15" s="55">
        <v>4.93</v>
      </c>
      <c r="J15" s="55"/>
      <c r="K15" s="55">
        <v>0</v>
      </c>
      <c r="L15" s="55" t="s">
        <v>246</v>
      </c>
      <c r="M15" s="94"/>
      <c r="N15" s="94"/>
      <c r="O15" s="94"/>
    </row>
    <row r="16" spans="2:15" x14ac:dyDescent="0.25">
      <c r="B16" s="55" t="s">
        <v>251</v>
      </c>
      <c r="C16" s="55" t="s">
        <v>92</v>
      </c>
      <c r="D16" s="98">
        <v>21.47</v>
      </c>
      <c r="E16" s="98">
        <v>21.47</v>
      </c>
      <c r="F16" s="98">
        <v>30000</v>
      </c>
      <c r="G16" s="55"/>
      <c r="H16" s="55"/>
      <c r="I16" s="55"/>
      <c r="J16" s="55"/>
      <c r="K16" s="55"/>
      <c r="L16" s="99" t="s">
        <v>100</v>
      </c>
      <c r="M16" s="94"/>
      <c r="N16" s="94"/>
    </row>
    <row r="17" spans="2:14" x14ac:dyDescent="0.25">
      <c r="B17" s="55" t="s">
        <v>251</v>
      </c>
      <c r="C17" s="55" t="s">
        <v>92</v>
      </c>
      <c r="D17" s="100">
        <v>20.7</v>
      </c>
      <c r="E17" s="100">
        <v>20.7</v>
      </c>
      <c r="F17" s="100">
        <v>20000</v>
      </c>
      <c r="G17" s="55"/>
      <c r="H17" s="55"/>
      <c r="I17" s="55"/>
      <c r="J17" s="55"/>
      <c r="K17" s="55"/>
      <c r="L17" s="101" t="s">
        <v>101</v>
      </c>
      <c r="M17" s="94"/>
      <c r="N17" s="94"/>
    </row>
    <row r="18" spans="2:14" x14ac:dyDescent="0.25">
      <c r="B18" s="55" t="s">
        <v>251</v>
      </c>
      <c r="C18" s="55" t="s">
        <v>92</v>
      </c>
      <c r="D18" s="98">
        <v>20.100000000000001</v>
      </c>
      <c r="E18" s="98">
        <v>20.100000000000001</v>
      </c>
      <c r="F18" s="98">
        <v>5000</v>
      </c>
      <c r="G18" s="55"/>
      <c r="H18" s="55"/>
      <c r="I18" s="55"/>
      <c r="J18" s="55"/>
      <c r="K18" s="55"/>
      <c r="L18" s="99" t="s">
        <v>95</v>
      </c>
      <c r="M18" s="94"/>
      <c r="N18" s="94"/>
    </row>
    <row r="19" spans="2:14" x14ac:dyDescent="0.25">
      <c r="B19" s="55" t="s">
        <v>251</v>
      </c>
      <c r="C19" s="55" t="s">
        <v>92</v>
      </c>
      <c r="D19" s="100">
        <v>14</v>
      </c>
      <c r="E19" s="100">
        <v>14</v>
      </c>
      <c r="F19" s="100">
        <v>5000</v>
      </c>
      <c r="G19" s="55"/>
      <c r="H19" s="55"/>
      <c r="I19" s="55"/>
      <c r="J19" s="55"/>
      <c r="K19" s="55"/>
      <c r="L19" s="101" t="s">
        <v>102</v>
      </c>
      <c r="M19" s="94"/>
      <c r="N19" s="94"/>
    </row>
    <row r="20" spans="2:14" x14ac:dyDescent="0.25">
      <c r="B20" s="78"/>
      <c r="C20" s="78"/>
      <c r="D20" s="78"/>
      <c r="F20" s="94"/>
      <c r="G20" s="94"/>
      <c r="H20" s="94"/>
      <c r="I20" s="94"/>
      <c r="J20" s="94"/>
      <c r="K20" s="94"/>
      <c r="L20" s="94"/>
      <c r="M20" s="94"/>
      <c r="N20" s="94"/>
    </row>
    <row r="21" spans="2:14" x14ac:dyDescent="0.25"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</row>
    <row r="22" spans="2:14" x14ac:dyDescent="0.25"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</row>
    <row r="23" spans="2:14" x14ac:dyDescent="0.25"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</row>
    <row r="24" spans="2:14" x14ac:dyDescent="0.25"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</row>
    <row r="25" spans="2:14" x14ac:dyDescent="0.25">
      <c r="D25" s="94"/>
      <c r="E25" s="94"/>
      <c r="F25" s="94"/>
      <c r="G25" s="94"/>
      <c r="H25" s="94"/>
      <c r="I25" s="94"/>
      <c r="J25" s="94"/>
      <c r="K25" s="94" t="s">
        <v>248</v>
      </c>
      <c r="L25" s="94"/>
      <c r="M25" s="94"/>
      <c r="N25" s="94"/>
    </row>
    <row r="26" spans="2:14" x14ac:dyDescent="0.25"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</row>
    <row r="27" spans="2:14" x14ac:dyDescent="0.25"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</row>
    <row r="28" spans="2:14" x14ac:dyDescent="0.25"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</row>
    <row r="29" spans="2:14" x14ac:dyDescent="0.25">
      <c r="C29" s="94"/>
      <c r="E29" s="94"/>
      <c r="G29" s="94"/>
      <c r="H29" s="94"/>
      <c r="I29" s="94"/>
      <c r="J29" s="94"/>
      <c r="K29" s="94"/>
      <c r="L29" s="94"/>
      <c r="M29" s="94"/>
      <c r="N29" s="94"/>
    </row>
    <row r="30" spans="2:14" x14ac:dyDescent="0.25">
      <c r="C30" s="94"/>
      <c r="E30" s="94"/>
      <c r="G30" s="94"/>
      <c r="H30" s="94"/>
      <c r="I30" s="94"/>
      <c r="J30" s="94"/>
      <c r="K30" s="94"/>
      <c r="L30" s="94"/>
      <c r="M30" s="94"/>
      <c r="N30" s="94"/>
    </row>
    <row r="31" spans="2:14" x14ac:dyDescent="0.25">
      <c r="C31" s="94"/>
      <c r="E31" s="94"/>
      <c r="G31" s="94"/>
      <c r="H31" s="94"/>
      <c r="I31" s="94"/>
      <c r="J31" s="94"/>
      <c r="K31" s="94"/>
      <c r="L31" s="94"/>
      <c r="M31" s="94"/>
      <c r="N31" s="94"/>
    </row>
    <row r="32" spans="2:14" x14ac:dyDescent="0.25">
      <c r="C32" s="94"/>
      <c r="E32" s="94"/>
      <c r="G32" s="94"/>
      <c r="H32" s="94"/>
      <c r="I32" s="94"/>
      <c r="J32" s="94"/>
      <c r="K32" s="94"/>
      <c r="L32" s="94"/>
      <c r="M32" s="94"/>
      <c r="N32" s="94"/>
    </row>
    <row r="33" spans="3:14" x14ac:dyDescent="0.25">
      <c r="C33" s="94"/>
      <c r="E33" s="94"/>
      <c r="G33" s="94"/>
      <c r="H33" s="94"/>
      <c r="I33" s="94"/>
      <c r="J33" s="94"/>
      <c r="K33" s="94"/>
      <c r="L33" s="94"/>
      <c r="M33" s="94"/>
      <c r="N33" s="94"/>
    </row>
    <row r="34" spans="3:14" x14ac:dyDescent="0.25">
      <c r="C34" s="94"/>
      <c r="E34" s="94"/>
      <c r="G34" s="94"/>
      <c r="H34" s="94"/>
      <c r="I34" s="94"/>
      <c r="J34" s="94"/>
      <c r="K34" s="94"/>
      <c r="L34" s="94"/>
      <c r="M34" s="94"/>
      <c r="N34" s="94"/>
    </row>
    <row r="35" spans="3:14" x14ac:dyDescent="0.25">
      <c r="C35" s="94"/>
      <c r="E35" s="94"/>
      <c r="G35" s="94"/>
      <c r="H35" s="94"/>
      <c r="I35" s="94"/>
      <c r="J35" s="94"/>
      <c r="K35" s="94"/>
      <c r="L35" s="94"/>
      <c r="M35" s="94"/>
      <c r="N35" s="94"/>
    </row>
    <row r="36" spans="3:14" x14ac:dyDescent="0.25">
      <c r="C36" s="94"/>
      <c r="E36" s="94"/>
      <c r="G36" s="94"/>
      <c r="H36" s="94"/>
      <c r="I36" s="94"/>
      <c r="J36" s="94"/>
      <c r="K36" s="94"/>
      <c r="L36" s="94"/>
      <c r="M36" s="94"/>
      <c r="N36" s="94"/>
    </row>
    <row r="37" spans="3:14" x14ac:dyDescent="0.25">
      <c r="C37" s="94"/>
      <c r="E37" s="94"/>
      <c r="G37" s="94"/>
      <c r="H37" s="94"/>
      <c r="I37" s="94"/>
      <c r="J37" s="94"/>
      <c r="K37" s="94"/>
      <c r="L37" s="94"/>
      <c r="M37" s="94"/>
      <c r="N37" s="94"/>
    </row>
    <row r="38" spans="3:14" x14ac:dyDescent="0.25">
      <c r="C38" s="94"/>
      <c r="E38" s="94"/>
      <c r="G38" s="94"/>
      <c r="H38" s="94"/>
      <c r="I38" s="94"/>
      <c r="J38" s="94"/>
      <c r="K38" s="94"/>
      <c r="L38" s="94"/>
      <c r="M38" s="94"/>
      <c r="N38" s="94"/>
    </row>
    <row r="39" spans="3:14" x14ac:dyDescent="0.25">
      <c r="C39" s="94"/>
      <c r="E39" s="94"/>
      <c r="G39" s="94"/>
      <c r="H39" s="94"/>
      <c r="I39" s="94"/>
      <c r="J39" s="94"/>
      <c r="K39" s="94"/>
      <c r="L39" s="94"/>
      <c r="M39" s="94"/>
      <c r="N39" s="94"/>
    </row>
    <row r="40" spans="3:14" x14ac:dyDescent="0.25">
      <c r="C40" s="94"/>
      <c r="E40" s="94"/>
      <c r="G40" s="94"/>
      <c r="H40" s="94"/>
      <c r="I40" s="94"/>
      <c r="J40" s="94"/>
      <c r="K40" s="94"/>
      <c r="L40" s="94"/>
      <c r="M40" s="94"/>
      <c r="N40" s="94"/>
    </row>
    <row r="41" spans="3:14" x14ac:dyDescent="0.25">
      <c r="C41" s="94"/>
      <c r="E41" s="94"/>
      <c r="G41" s="94"/>
      <c r="H41" s="94"/>
      <c r="I41" s="94"/>
      <c r="J41" s="94"/>
      <c r="K41" s="94"/>
      <c r="L41" s="94"/>
      <c r="M41" s="94"/>
      <c r="N41" s="94"/>
    </row>
    <row r="42" spans="3:14" x14ac:dyDescent="0.25"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</row>
    <row r="43" spans="3:14" x14ac:dyDescent="0.25"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</row>
    <row r="44" spans="3:14" x14ac:dyDescent="0.25"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</row>
    <row r="45" spans="3:14" x14ac:dyDescent="0.25"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</row>
    <row r="46" spans="3:14" x14ac:dyDescent="0.25"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</row>
    <row r="47" spans="3:14" x14ac:dyDescent="0.25"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</row>
    <row r="48" spans="3:14" x14ac:dyDescent="0.25"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</row>
    <row r="49" spans="4:14" x14ac:dyDescent="0.25"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</row>
    <row r="50" spans="4:14" x14ac:dyDescent="0.25"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</row>
    <row r="51" spans="4:14" x14ac:dyDescent="0.25"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</row>
    <row r="52" spans="4:14" x14ac:dyDescent="0.25">
      <c r="D52" s="94"/>
      <c r="E52" s="94"/>
    </row>
    <row r="53" spans="4:14" x14ac:dyDescent="0.25">
      <c r="D53" s="94"/>
      <c r="E53" s="94"/>
    </row>
    <row r="54" spans="4:14" x14ac:dyDescent="0.25">
      <c r="D54" s="94"/>
      <c r="E54" s="94"/>
    </row>
    <row r="55" spans="4:14" x14ac:dyDescent="0.25">
      <c r="D55" s="94"/>
      <c r="E55" s="94"/>
    </row>
    <row r="56" spans="4:14" x14ac:dyDescent="0.25">
      <c r="D56" s="94"/>
      <c r="E56" s="94"/>
    </row>
    <row r="57" spans="4:14" x14ac:dyDescent="0.25">
      <c r="D57" s="94"/>
      <c r="E57" s="94"/>
    </row>
    <row r="58" spans="4:14" x14ac:dyDescent="0.25">
      <c r="D58" s="94"/>
      <c r="E58" s="94"/>
    </row>
    <row r="59" spans="4:14" x14ac:dyDescent="0.25">
      <c r="D59" s="94"/>
      <c r="E59" s="9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14" sqref="B14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68</v>
      </c>
    </row>
    <row r="3" spans="2:4" ht="17.25" customHeight="1" x14ac:dyDescent="0.25">
      <c r="B3" s="49" t="s">
        <v>50</v>
      </c>
    </row>
    <row r="4" spans="2:4" ht="17.25" customHeight="1" x14ac:dyDescent="0.25">
      <c r="B4" s="49" t="s">
        <v>51</v>
      </c>
      <c r="D4" s="49"/>
    </row>
    <row r="5" spans="2:4" ht="17.25" customHeight="1" x14ac:dyDescent="0.25">
      <c r="B5" s="49" t="s">
        <v>52</v>
      </c>
    </row>
    <row r="6" spans="2:4" ht="17.25" customHeight="1" x14ac:dyDescent="0.25">
      <c r="B6" s="49" t="s">
        <v>53</v>
      </c>
    </row>
    <row r="7" spans="2:4" ht="17.25" customHeight="1" x14ac:dyDescent="0.25">
      <c r="B7" s="50" t="s">
        <v>54</v>
      </c>
    </row>
    <row r="8" spans="2:4" ht="17.25" customHeight="1" x14ac:dyDescent="0.25">
      <c r="B8" s="50" t="s">
        <v>55</v>
      </c>
    </row>
    <row r="9" spans="2:4" ht="17.25" customHeight="1" x14ac:dyDescent="0.25">
      <c r="B9" s="50" t="s">
        <v>56</v>
      </c>
    </row>
    <row r="10" spans="2:4" ht="17.25" customHeight="1" x14ac:dyDescent="0.25">
      <c r="B10" s="50" t="s">
        <v>57</v>
      </c>
    </row>
    <row r="11" spans="2:4" ht="17.25" customHeight="1" x14ac:dyDescent="0.25">
      <c r="B11" s="50" t="s">
        <v>58</v>
      </c>
    </row>
    <row r="12" spans="2:4" ht="17.25" customHeight="1" x14ac:dyDescent="0.25">
      <c r="B12" s="49" t="s">
        <v>272</v>
      </c>
    </row>
    <row r="13" spans="2:4" ht="17.25" customHeight="1" x14ac:dyDescent="0.25">
      <c r="B13" s="49" t="s">
        <v>59</v>
      </c>
    </row>
    <row r="14" spans="2:4" ht="17.25" customHeight="1" x14ac:dyDescent="0.25">
      <c r="B14" s="49" t="s">
        <v>60</v>
      </c>
    </row>
    <row r="15" spans="2:4" ht="17.25" customHeight="1" x14ac:dyDescent="0.25">
      <c r="B15" s="49" t="s">
        <v>61</v>
      </c>
    </row>
    <row r="16" spans="2:4" ht="17.25" customHeight="1" x14ac:dyDescent="0.25">
      <c r="B16" s="49" t="s">
        <v>62</v>
      </c>
    </row>
    <row r="17" spans="2:2" ht="17.25" customHeight="1" x14ac:dyDescent="0.25">
      <c r="B17" s="49" t="s">
        <v>63</v>
      </c>
    </row>
    <row r="18" spans="2:2" ht="17.25" customHeight="1" x14ac:dyDescent="0.25">
      <c r="B18" s="49" t="s">
        <v>64</v>
      </c>
    </row>
    <row r="19" spans="2:2" ht="17.25" customHeight="1" x14ac:dyDescent="0.25">
      <c r="B19" s="49" t="s">
        <v>65</v>
      </c>
    </row>
    <row r="20" spans="2:2" ht="17.25" customHeight="1" x14ac:dyDescent="0.25">
      <c r="B20" s="49" t="s">
        <v>66</v>
      </c>
    </row>
    <row r="21" spans="2:2" ht="17.25" customHeight="1" x14ac:dyDescent="0.25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27</vt:i4>
      </vt:variant>
    </vt:vector>
  </HeadingPairs>
  <TitlesOfParts>
    <vt:vector size="34" baseType="lpstr">
      <vt:lpstr>GlobalConfig</vt:lpstr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Import_GeomConv_path</vt:lpstr>
      <vt:lpstr>Import_MP_path</vt:lpstr>
      <vt:lpstr>JBOOST_Path</vt:lpstr>
      <vt:lpstr>MOVE_STRUCT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2025-06-18T14:29:57Z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